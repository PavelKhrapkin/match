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0" yWindow="0" windowWidth="13725" windowHeight="7680" firstSheet="1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Process!$A$4:$O$151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cc1C_Summary" comment="25.8.13 Acc1C_Summary --пятка списка Организаций 1С">Header!$A$43:$I$44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Header!$B$18:$AA$23</definedName>
    <definedName name="HDR_1C_Contract_Summary" comment="11.9.12 HDR_1C_Contract_Summary">Header!$A$27:$W$32</definedName>
    <definedName name="HDR_1C_Payment_MyCol" comment="11.9.12 HDR_1C_Payment_MyCol">Header!$B$6:$AM$11</definedName>
    <definedName name="HDR_1C_Payment_Summary" comment="11.9.12 HDR_1C_Payment_Summary">Header!$A$14:$AC$14</definedName>
    <definedName name="HDR_A_SN_1" comment="11.8.13 шаблон для Registered SN из ADSKfrSF">Header!$B$210:$C$215</definedName>
    <definedName name="HDR_A_SN_2" comment="Sheet_для_загрузки_output.csv_с_SN_из_License_Inquiry_PartnerCenter.Autodesk">Header!$B$218:$R$224</definedName>
    <definedName name="HDR_A_SN_3" comment="16.08.13 HDR_A_SN_3 - Sheet для Upsert данных по SN Autodesk в SF -- SN_UPDATE">Header!$B$226:$R$232</definedName>
    <definedName name="HDR_AccntUpd" comment="18.6.12 HDR_AccntUpd шапка изменений Организаций SF, включая связь с 1С">Header!$A$180:$N$180</definedName>
    <definedName name="HDR_AdAcc" comment="11.6.12 - Шапка полей новой Организации">Header!$A$177:$V$177</definedName>
    <definedName name="HDR_BTOlog" comment="7.4.13 HDR_BTOlog шапка для журнала писем БТО">Header!$B$202:$N$207</definedName>
    <definedName name="HDR_ContractUpdate" comment="31.10.12 ContractUpdate  -  связывание существующего Договора с Проектом">Header!$C$166:$D$171</definedName>
    <definedName name="HDR_DicAcc" comment="19.6.12 HDR_AccDic - шапка Словаря Организаций">Header!$A$183:$C$184</definedName>
    <definedName name="HDR_NewAcc" comment="HDR_NewAcc для занесения новых Организаций в SF">Header!$A$177:$V$177</definedName>
    <definedName name="HDR_NewContract" comment="25.3.12 HDR_NewContract - шапка &quot;голубого&quot; листа в NewContract">Header!$B$133:$V$137</definedName>
    <definedName name="HDR_NewOpp" comment="28.10.12 HDR_NewOpp - создание Проектов SF. Они записываются в файл OppInsert.csv и загружаются в SF Data Loader'ом">Header!$C$149:$O$154</definedName>
    <definedName name="HDR_NewOppByPaidContr">Header!$C$157:$N$162</definedName>
    <definedName name="HDR_NewOrder" comment="25.4.12 HDR_NewOrder - шапка для новых Заказов">Header!$B$187:$N$192</definedName>
    <definedName name="HDR_NewPayment" comment="26.9.12  занесение Платежей в SF. Они записываются в файл Payment.csv и загружаются в SF Data Loader'ом">Header!$B$117:$J$122</definedName>
    <definedName name="HDR_NewSN" comment="6.6.12 шапки для занесения новыз SN в SF -- 2PASS">Header!$A$199:$C$199</definedName>
    <definedName name="HDR_P_ADSKlink" comment="14/5/12 новые связи Платежей и Контрактов ADSK">Header!$A$196:$C$196</definedName>
    <definedName name="HDR_PaidBalky" comment="23/1/2003">Header!$B$125:$J$130</definedName>
    <definedName name="HDR_PaymentUpd" comment="11.3.12 Update Платежа - связывание существующего Платежа с Договором">Header!$A$174:$B$174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Header!$C$149:$M$149</definedName>
    <definedName name="OppTypeRng" comment="22.3.12">We!$A$56:$D$70</definedName>
    <definedName name="Orders_MyCol" comment="1.10.12 Orders_MyCol  - шаблон для колонок листа Заказов">Header!$B$81:$AL$86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Header!$C$50:$D$55</definedName>
    <definedName name="SF_Summary" comment="14.7.12 SF_Summary SFDC.xlsm SF  -- пятка. Фильтрует обороты CSIT">Header!$A$58:$F$59</definedName>
    <definedName name="SFD_MyCol" comment="4.11.12 SFD_MyCol SFDC.xlsm SFD формулы -- для связки с Договорами 1С">Header!$C$63:$D$68</definedName>
    <definedName name="SFD_Summary" comment="14.7.12 SF_Summary SFDC.xlsm SFD  -- пятка">Header!$A$72</definedName>
    <definedName name="Stock_MyCol" comment="1.10.12 Stock_MyCol  - шаблон для колонок листа Stock">Header!$C$97:$Y$102</definedName>
    <definedName name="Team">We!$A$17:$E$47</definedName>
    <definedName name="TOCmatch" comment="11.7.12 TOCmatch - Оглавление по всем отчетам в базе данных" localSheetId="1">Process!$A$149:$L$152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2" i="3" l="1"/>
  <c r="K82" i="3" s="1"/>
  <c r="C82" i="3"/>
  <c r="C81" i="3"/>
  <c r="C77" i="3" l="1"/>
  <c r="F81" i="3" l="1"/>
  <c r="K81" i="3" s="1"/>
  <c r="T27" i="6" l="1"/>
  <c r="J31" i="6"/>
  <c r="J30" i="6"/>
  <c r="J29" i="6"/>
  <c r="J28" i="6"/>
  <c r="J27" i="6"/>
  <c r="C31" i="6"/>
  <c r="C30" i="6"/>
  <c r="C29" i="6"/>
  <c r="C28" i="6"/>
  <c r="C27" i="6"/>
  <c r="F79" i="3" l="1"/>
  <c r="K79" i="3" s="1"/>
  <c r="C79" i="3"/>
  <c r="F80" i="3"/>
  <c r="K80" i="3" s="1"/>
  <c r="N75" i="3"/>
  <c r="L74" i="3"/>
  <c r="N78" i="3" l="1"/>
  <c r="M78" i="3" l="1"/>
  <c r="L78" i="3"/>
  <c r="K76" i="3" l="1"/>
  <c r="F76" i="3" s="1"/>
  <c r="C76" i="3"/>
  <c r="AH9" i="6" l="1"/>
  <c r="AJ9" i="6" s="1"/>
  <c r="AK9" i="6" l="1"/>
  <c r="AI9" i="6"/>
  <c r="L75" i="3" l="1"/>
  <c r="M75" i="3"/>
  <c r="K75" i="3"/>
  <c r="C78" i="3"/>
  <c r="C75" i="3"/>
  <c r="K13" i="3"/>
  <c r="F13" i="3"/>
  <c r="C80" i="3"/>
  <c r="K74" i="3"/>
  <c r="K77" i="3" s="1"/>
  <c r="F77" i="3" s="1"/>
  <c r="F74" i="3"/>
  <c r="AE9" i="6"/>
  <c r="C41" i="3" l="1"/>
  <c r="C40" i="3"/>
  <c r="C39" i="3"/>
  <c r="C51" i="3"/>
  <c r="C50" i="3"/>
  <c r="C49" i="3"/>
  <c r="K48" i="3" l="1"/>
  <c r="F48" i="3"/>
  <c r="K56" i="3"/>
  <c r="F56" i="3"/>
  <c r="K47" i="3"/>
  <c r="F47" i="3"/>
  <c r="F38" i="3"/>
  <c r="K38" i="3"/>
  <c r="F12" i="3" l="1"/>
  <c r="K11" i="3"/>
  <c r="K12" i="3"/>
  <c r="K10" i="3"/>
  <c r="F11" i="3"/>
  <c r="F10" i="3"/>
  <c r="F9" i="3"/>
  <c r="F8" i="3"/>
  <c r="F7" i="3"/>
  <c r="K9" i="3"/>
  <c r="K8" i="3"/>
  <c r="K7" i="3"/>
  <c r="L58" i="3"/>
  <c r="L59" i="3"/>
  <c r="L60" i="3"/>
  <c r="K50" i="3" l="1"/>
  <c r="I44" i="6" l="1"/>
  <c r="K60" i="3" l="1"/>
  <c r="K59" i="3"/>
  <c r="K58" i="3"/>
  <c r="K57" i="3" l="1"/>
  <c r="C42" i="3" l="1"/>
  <c r="S42" i="3" l="1"/>
  <c r="L42" i="3" l="1"/>
  <c r="K41" i="3"/>
  <c r="K37" i="3"/>
  <c r="K40" i="3" s="1"/>
  <c r="N35" i="3"/>
  <c r="N34" i="3"/>
  <c r="N28" i="3"/>
  <c r="L27" i="3"/>
  <c r="M25" i="3"/>
  <c r="L25" i="3"/>
  <c r="N20" i="3"/>
  <c r="N17" i="3"/>
  <c r="M17" i="3"/>
  <c r="L17" i="3"/>
  <c r="K23" i="3"/>
  <c r="K26" i="3" s="1"/>
  <c r="K15" i="3"/>
  <c r="K45" i="3" l="1"/>
  <c r="L41" i="3"/>
  <c r="K27" i="3"/>
  <c r="K39" i="3"/>
  <c r="K44" i="3"/>
  <c r="K42" i="3"/>
  <c r="K24" i="3"/>
  <c r="K43" i="3"/>
  <c r="Y14" i="6"/>
  <c r="R14" i="6"/>
  <c r="AA14" i="6" s="1"/>
  <c r="C29" i="3" l="1"/>
  <c r="C21" i="3" l="1"/>
  <c r="K21" i="3" l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12" i="6"/>
  <c r="C1212" i="6"/>
  <c r="J1211" i="6"/>
  <c r="C1211" i="6"/>
  <c r="J1210" i="6"/>
  <c r="C1210" i="6"/>
  <c r="J1209" i="6"/>
  <c r="C1209" i="6"/>
  <c r="V1208" i="6"/>
  <c r="U1208" i="6"/>
  <c r="C120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G268" i="6"/>
  <c r="AF268" i="6"/>
  <c r="AD268" i="6"/>
  <c r="AC268" i="6"/>
  <c r="AB268" i="6"/>
  <c r="AA268" i="6"/>
  <c r="Z268" i="6"/>
  <c r="Y268" i="6"/>
  <c r="X268" i="6"/>
  <c r="W268" i="6"/>
  <c r="V268" i="6"/>
  <c r="U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F268" i="6"/>
  <c r="E268" i="6"/>
  <c r="D268" i="6"/>
  <c r="C268" i="6"/>
  <c r="AU267" i="6"/>
  <c r="AH267" i="6"/>
  <c r="T267" i="6"/>
  <c r="G267" i="6"/>
  <c r="AV267" i="6" s="1"/>
  <c r="AU266" i="6"/>
  <c r="AH266" i="6"/>
  <c r="T266" i="6"/>
  <c r="G266" i="6"/>
  <c r="AU265" i="6"/>
  <c r="AH265" i="6"/>
  <c r="T265" i="6"/>
  <c r="G265" i="6"/>
  <c r="AV265" i="6" s="1"/>
  <c r="AU264" i="6"/>
  <c r="AH264" i="6"/>
  <c r="T264" i="6"/>
  <c r="G264" i="6"/>
  <c r="AU263" i="6"/>
  <c r="AH263" i="6"/>
  <c r="T263" i="6"/>
  <c r="G263" i="6"/>
  <c r="AV263" i="6" s="1"/>
  <c r="AU262" i="6"/>
  <c r="AH262" i="6"/>
  <c r="T262" i="6"/>
  <c r="G262" i="6"/>
  <c r="AU261" i="6"/>
  <c r="AH261" i="6"/>
  <c r="T261" i="6"/>
  <c r="G261" i="6"/>
  <c r="AV261" i="6" s="1"/>
  <c r="AU260" i="6"/>
  <c r="AH260" i="6"/>
  <c r="T260" i="6"/>
  <c r="G260" i="6"/>
  <c r="AU259" i="6"/>
  <c r="AH259" i="6"/>
  <c r="T259" i="6"/>
  <c r="G259" i="6"/>
  <c r="AV259" i="6" s="1"/>
  <c r="AU258" i="6"/>
  <c r="AH258" i="6"/>
  <c r="T258" i="6"/>
  <c r="G258" i="6"/>
  <c r="AU257" i="6"/>
  <c r="AH257" i="6"/>
  <c r="T257" i="6"/>
  <c r="G257" i="6"/>
  <c r="AV257" i="6" s="1"/>
  <c r="AU256" i="6"/>
  <c r="AH256" i="6"/>
  <c r="T256" i="6"/>
  <c r="G256" i="6"/>
  <c r="AU255" i="6"/>
  <c r="AH255" i="6"/>
  <c r="T255" i="6"/>
  <c r="G255" i="6"/>
  <c r="AV255" i="6" s="1"/>
  <c r="AU254" i="6"/>
  <c r="AH254" i="6"/>
  <c r="T254" i="6"/>
  <c r="G254" i="6"/>
  <c r="AV254" i="6" s="1"/>
  <c r="AU253" i="6"/>
  <c r="AH253" i="6"/>
  <c r="T253" i="6"/>
  <c r="G253" i="6"/>
  <c r="AV253" i="6" s="1"/>
  <c r="AU252" i="6"/>
  <c r="AH252" i="6"/>
  <c r="T252" i="6"/>
  <c r="G252" i="6"/>
  <c r="AV252" i="6" s="1"/>
  <c r="AU251" i="6"/>
  <c r="AH251" i="6"/>
  <c r="T251" i="6"/>
  <c r="G251" i="6"/>
  <c r="AV251" i="6" s="1"/>
  <c r="AU250" i="6"/>
  <c r="AH250" i="6"/>
  <c r="T250" i="6"/>
  <c r="G250" i="6"/>
  <c r="AU249" i="6"/>
  <c r="AH249" i="6"/>
  <c r="T249" i="6"/>
  <c r="G249" i="6"/>
  <c r="AV249" i="6" s="1"/>
  <c r="AU248" i="6"/>
  <c r="AH248" i="6"/>
  <c r="T248" i="6"/>
  <c r="G248" i="6"/>
  <c r="AU247" i="6"/>
  <c r="AH247" i="6"/>
  <c r="T247" i="6"/>
  <c r="G247" i="6"/>
  <c r="AU246" i="6"/>
  <c r="AH246" i="6"/>
  <c r="T246" i="6"/>
  <c r="G246" i="6"/>
  <c r="AU245" i="6"/>
  <c r="AH245" i="6"/>
  <c r="T245" i="6"/>
  <c r="G245" i="6"/>
  <c r="AU244" i="6"/>
  <c r="AH244" i="6"/>
  <c r="T244" i="6"/>
  <c r="G244" i="6"/>
  <c r="AU243" i="6"/>
  <c r="AH243" i="6"/>
  <c r="T243" i="6"/>
  <c r="G243" i="6"/>
  <c r="AU242" i="6"/>
  <c r="AH242" i="6"/>
  <c r="T242" i="6"/>
  <c r="G242" i="6"/>
  <c r="AU241" i="6"/>
  <c r="AH241" i="6"/>
  <c r="T241" i="6"/>
  <c r="G241" i="6"/>
  <c r="AU240" i="6"/>
  <c r="AH240" i="6"/>
  <c r="T240" i="6"/>
  <c r="G240" i="6"/>
  <c r="AU239" i="6"/>
  <c r="AH239" i="6"/>
  <c r="T239" i="6"/>
  <c r="G239" i="6"/>
  <c r="AU238" i="6"/>
  <c r="AH238" i="6"/>
  <c r="T238" i="6"/>
  <c r="G238" i="6"/>
  <c r="AU237" i="6"/>
  <c r="AH237" i="6"/>
  <c r="T237" i="6"/>
  <c r="G237" i="6"/>
  <c r="AU236" i="6"/>
  <c r="AH236" i="6"/>
  <c r="T236" i="6"/>
  <c r="G236" i="6"/>
  <c r="AU235" i="6"/>
  <c r="AH235" i="6"/>
  <c r="T235" i="6"/>
  <c r="G235" i="6"/>
  <c r="L203" i="6"/>
  <c r="G195" i="6"/>
  <c r="C195" i="6"/>
  <c r="I108" i="6"/>
  <c r="F90" i="6"/>
  <c r="F82" i="6"/>
  <c r="I78" i="6"/>
  <c r="F65" i="6"/>
  <c r="F68" i="6" s="1"/>
  <c r="D64" i="6"/>
  <c r="C64" i="6"/>
  <c r="F59" i="6"/>
  <c r="A59" i="6" s="1"/>
  <c r="F58" i="6"/>
  <c r="D51" i="6"/>
  <c r="V27" i="6"/>
  <c r="U27" i="6"/>
  <c r="J1208" i="6"/>
  <c r="I19" i="6"/>
  <c r="G19" i="6"/>
  <c r="F19" i="6"/>
  <c r="AB14" i="6"/>
  <c r="AC14" i="6" s="1"/>
  <c r="F7" i="6"/>
  <c r="C7" i="6"/>
  <c r="M66" i="4"/>
  <c r="M67" i="4" s="1"/>
  <c r="M62" i="4"/>
  <c r="M63" i="4" s="1"/>
  <c r="P61" i="4"/>
  <c r="P65" i="4" s="1"/>
  <c r="M60" i="4"/>
  <c r="C161" i="3"/>
  <c r="F143" i="3"/>
  <c r="K143" i="3" s="1"/>
  <c r="C143" i="3"/>
  <c r="C142" i="3"/>
  <c r="C140" i="3"/>
  <c r="K139" i="3"/>
  <c r="K142" i="3"/>
  <c r="K136" i="3"/>
  <c r="C136" i="3"/>
  <c r="K135" i="3"/>
  <c r="C135" i="3"/>
  <c r="C134" i="3"/>
  <c r="K133" i="3"/>
  <c r="K132" i="3"/>
  <c r="F131" i="3"/>
  <c r="C131" i="3"/>
  <c r="F130" i="3"/>
  <c r="F129" i="3"/>
  <c r="C129" i="3"/>
  <c r="H128" i="3"/>
  <c r="G128" i="3"/>
  <c r="F128" i="3"/>
  <c r="K127" i="3"/>
  <c r="K134" i="3" s="1"/>
  <c r="F125" i="3"/>
  <c r="K125" i="3" s="1"/>
  <c r="C125" i="3"/>
  <c r="C123" i="3"/>
  <c r="L122" i="3"/>
  <c r="K123" i="3" s="1"/>
  <c r="K122" i="3"/>
  <c r="G122" i="3"/>
  <c r="C119" i="3"/>
  <c r="F119" i="3"/>
  <c r="K119" i="3" s="1"/>
  <c r="C115" i="3"/>
  <c r="K115" i="3"/>
  <c r="C108" i="3"/>
  <c r="F108" i="3"/>
  <c r="H107" i="3" s="1"/>
  <c r="C107" i="3"/>
  <c r="C104" i="3"/>
  <c r="F104" i="3"/>
  <c r="K104" i="3" s="1"/>
  <c r="C103" i="3"/>
  <c r="K103" i="3"/>
  <c r="F100" i="3"/>
  <c r="K100" i="3" s="1"/>
  <c r="C100" i="3"/>
  <c r="C99" i="3"/>
  <c r="F96" i="3"/>
  <c r="K96" i="3" s="1"/>
  <c r="C96" i="3"/>
  <c r="C95" i="3"/>
  <c r="K95" i="3"/>
  <c r="K92" i="3"/>
  <c r="C92" i="3"/>
  <c r="H91" i="3"/>
  <c r="C91" i="3"/>
  <c r="K91" i="3"/>
  <c r="G91" i="3" s="1"/>
  <c r="C88" i="3"/>
  <c r="C87" i="3"/>
  <c r="K86" i="3"/>
  <c r="K87" i="3"/>
  <c r="L71" i="3"/>
  <c r="F71" i="3"/>
  <c r="C71" i="3"/>
  <c r="C69" i="3"/>
  <c r="K161" i="3"/>
  <c r="C65" i="3"/>
  <c r="C64" i="3"/>
  <c r="K64" i="3"/>
  <c r="F60" i="3"/>
  <c r="F59" i="3"/>
  <c r="F58" i="3"/>
  <c r="F53" i="3"/>
  <c r="C53" i="3"/>
  <c r="C52" i="3"/>
  <c r="F41" i="3"/>
  <c r="C35" i="3"/>
  <c r="C34" i="3"/>
  <c r="C33" i="3"/>
  <c r="K33" i="3"/>
  <c r="C28" i="3"/>
  <c r="C27" i="3"/>
  <c r="C26" i="3"/>
  <c r="C25" i="3"/>
  <c r="K20" i="3"/>
  <c r="C20" i="3"/>
  <c r="K19" i="3"/>
  <c r="C19" i="3"/>
  <c r="K18" i="3"/>
  <c r="C18" i="3"/>
  <c r="K17" i="3"/>
  <c r="C17" i="3"/>
  <c r="K16" i="3"/>
  <c r="I41" i="2"/>
  <c r="I29" i="2"/>
  <c r="I23" i="2"/>
  <c r="H22" i="2"/>
  <c r="H21" i="2"/>
  <c r="H20" i="2"/>
  <c r="H19" i="2"/>
  <c r="H18" i="2"/>
  <c r="H17" i="2"/>
  <c r="H16" i="2"/>
  <c r="H15" i="2"/>
  <c r="H14" i="2"/>
  <c r="AV241" i="6" l="1"/>
  <c r="AV250" i="6"/>
  <c r="AV266" i="6"/>
  <c r="AV237" i="6"/>
  <c r="AV239" i="6"/>
  <c r="AV236" i="6"/>
  <c r="AV238" i="6"/>
  <c r="AV240" i="6"/>
  <c r="AV243" i="6"/>
  <c r="C1213" i="6"/>
  <c r="D1212" i="6" s="1"/>
  <c r="T268" i="6"/>
  <c r="AV242" i="6"/>
  <c r="AV244" i="6"/>
  <c r="AV246" i="6"/>
  <c r="AV248" i="6"/>
  <c r="G268" i="6"/>
  <c r="AU268" i="6"/>
  <c r="AV256" i="6"/>
  <c r="AH268" i="6"/>
  <c r="AV245" i="6"/>
  <c r="AV247" i="6"/>
  <c r="AV258" i="6"/>
  <c r="AV260" i="6"/>
  <c r="AV262" i="6"/>
  <c r="AV264" i="6"/>
  <c r="AV235" i="6"/>
  <c r="K98" i="3"/>
  <c r="K99" i="3" s="1"/>
  <c r="K29" i="3"/>
  <c r="K28" i="3"/>
  <c r="K71" i="3"/>
  <c r="K25" i="3"/>
  <c r="J1213" i="6"/>
  <c r="L1209" i="6" s="1"/>
  <c r="C32" i="6"/>
  <c r="D27" i="6" s="1"/>
  <c r="J32" i="6"/>
  <c r="L27" i="6" s="1"/>
  <c r="K34" i="3"/>
  <c r="K63" i="3"/>
  <c r="K65" i="3" s="1"/>
  <c r="K68" i="3"/>
  <c r="K32" i="3"/>
  <c r="K69" i="3"/>
  <c r="K35" i="3"/>
  <c r="K108" i="3"/>
  <c r="D1208" i="6" l="1"/>
  <c r="AV268" i="6"/>
  <c r="D1209" i="6"/>
  <c r="D1211" i="6"/>
  <c r="D1210" i="6"/>
  <c r="L1208" i="6"/>
  <c r="L1211" i="6"/>
  <c r="L1212" i="6"/>
  <c r="L1210" i="6"/>
  <c r="L28" i="6"/>
  <c r="L30" i="6"/>
  <c r="L31" i="6"/>
  <c r="L29" i="6"/>
  <c r="D29" i="6"/>
  <c r="D31" i="6"/>
  <c r="D30" i="6"/>
  <c r="D28" i="6"/>
  <c r="F43" i="6" l="1"/>
  <c r="A58" i="6" l="1"/>
  <c r="A72" i="6" s="1"/>
  <c r="F44" i="6"/>
  <c r="H44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<sst xmlns="http://schemas.openxmlformats.org/spreadsheetml/2006/main" count="3417" uniqueCount="1453">
  <si>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</si>
  <si>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C:\Users\Pavel_Khrapkin\Documents\Pavel\match\DBs\</t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</si>
  <si>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</si>
  <si>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</si>
  <si>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</si>
  <si>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</si>
  <si>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</si>
  <si>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</si>
  <si>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</si>
  <si>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</si>
  <si>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</si>
  <si>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</si>
  <si>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</si>
  <si>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</si>
  <si>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</si>
  <si>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</si>
  <si>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</si>
  <si>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</si>
  <si>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</si>
  <si>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</si>
  <si>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</si>
  <si>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</si>
  <si>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</si>
  <si>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</si>
  <si>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</si>
  <si>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</si>
  <si>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</si>
  <si>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</si>
  <si>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</si>
  <si>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</si>
  <si>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</si>
  <si>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</si>
  <si>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</si>
  <si>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</si>
  <si>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</si>
  <si>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</si>
  <si>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</si>
  <si>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</si>
  <si>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</si>
  <si>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</si>
  <si>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</si>
  <si>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</si>
  <si>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</si>
  <si>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</si>
  <si>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</si>
  <si>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</si>
  <si>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</si>
  <si>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</si>
  <si>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</si>
  <si>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</si>
  <si>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</si>
  <si>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</si>
  <si>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</si>
  <si>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</si>
  <si>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</si>
  <si>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</si>
  <si>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</si>
  <si>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</si>
  <si>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</si>
  <si>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</si>
  <si>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</si>
  <si>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</si>
  <si>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</si>
  <si>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</si>
  <si>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</si>
  <si>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</si>
  <si>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</si>
  <si>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</si>
  <si>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</si>
  <si>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</si>
  <si>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</si>
  <si>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</si>
  <si>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</si>
  <si>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</si>
  <si>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</si>
  <si>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</si>
  <si>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</si>
  <si>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</si>
  <si>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</si>
  <si>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</si>
  <si>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</si>
  <si>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</si>
  <si>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</si>
  <si>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</si>
  <si>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</si>
  <si>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</si>
  <si>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</si>
  <si>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</si>
  <si>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</si>
  <si>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</si>
  <si>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</si>
  <si>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</si>
  <si>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</si>
  <si>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</si>
  <si>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</si>
  <si>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</si>
  <si>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</si>
  <si>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</si>
  <si>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</si>
  <si>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</si>
  <si>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</si>
  <si>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</si>
  <si>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</si>
  <si>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</si>
  <si>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</si>
  <si>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</si>
  <si>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</si>
  <si>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</si>
  <si>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</si>
  <si>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</si>
  <si>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</si>
  <si>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</si>
  <si>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</si>
  <si>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</si>
  <si>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</si>
  <si>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</si>
  <si>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</si>
  <si>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</si>
  <si>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</si>
  <si>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</si>
  <si>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</si>
  <si>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</si>
  <si>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</si>
  <si>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</si>
  <si>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</si>
  <si>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</si>
  <si>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</si>
  <si>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</si>
  <si>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</si>
  <si>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</si>
  <si>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</si>
  <si>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</si>
  <si>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</si>
  <si>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</si>
  <si>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</si>
  <si>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</si>
  <si>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</si>
  <si>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</si>
  <si>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</si>
  <si>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</si>
  <si>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</si>
  <si>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</si>
  <si>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</si>
  <si>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</si>
  <si>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</si>
  <si>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</si>
  <si>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</si>
  <si>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</si>
  <si>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</si>
  <si>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</si>
  <si>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</si>
  <si>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</si>
  <si>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</si>
  <si>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</si>
  <si>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</si>
  <si>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</si>
  <si>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</si>
  <si>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</si>
  <si>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</si>
  <si>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</si>
  <si>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</si>
  <si>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</si>
  <si>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</si>
  <si>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</si>
  <si>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</si>
  <si>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</si>
  <si>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</si>
  <si>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</si>
  <si>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</si>
  <si>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</si>
  <si>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</si>
  <si>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</si>
  <si>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</si>
  <si>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</si>
  <si>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</si>
  <si>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</si>
  <si>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</si>
  <si>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</si>
  <si>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</si>
  <si>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</si>
  <si>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</si>
  <si>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</si>
  <si>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</si>
  <si>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</si>
  <si>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</si>
  <si>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</si>
  <si>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</si>
  <si>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</si>
  <si>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</si>
  <si>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</si>
  <si>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</si>
  <si>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</si>
  <si>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</si>
  <si>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</si>
  <si>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</si>
  <si>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</si>
  <si>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</si>
  <si>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</si>
  <si>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</si>
  <si>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</si>
  <si>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</si>
  <si>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</si>
  <si>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</si>
  <si>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</si>
  <si>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</si>
  <si>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</si>
  <si>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</si>
  <si>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</si>
  <si>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</si>
  <si>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</si>
  <si>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</si>
  <si>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</si>
  <si>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</si>
  <si>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</si>
  <si>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</si>
  <si>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</si>
  <si>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</si>
  <si>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</si>
  <si>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</si>
  <si>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</si>
  <si>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</si>
  <si>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</si>
  <si>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</si>
  <si>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</si>
  <si>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</si>
  <si>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</si>
  <si>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</si>
  <si>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</si>
  <si>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</si>
  <si>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</si>
  <si>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</si>
  <si>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</si>
  <si>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</si>
  <si>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</si>
  <si>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</si>
  <si>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</si>
  <si>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</si>
  <si>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</si>
  <si>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</si>
  <si>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</si>
  <si>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</si>
  <si>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</si>
  <si>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</si>
  <si>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</si>
  <si>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</si>
  <si>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</si>
  <si>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</si>
  <si>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</si>
  <si>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</si>
  <si>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</si>
  <si>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</si>
  <si>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</si>
  <si>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</si>
  <si>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</si>
  <si>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</si>
  <si>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</si>
  <si>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</si>
  <si>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</si>
  <si>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</si>
  <si>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</si>
  <si>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</si>
  <si>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</si>
  <si>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</si>
  <si>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</si>
  <si>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</si>
  <si>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</si>
  <si>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</si>
  <si>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</si>
  <si>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</si>
  <si>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</si>
  <si>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</si>
  <si>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</si>
  <si>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</si>
  <si>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</si>
  <si>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</si>
  <si>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</si>
  <si>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</si>
  <si>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</si>
  <si>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</si>
  <si>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</si>
  <si>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</si>
  <si>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</si>
  <si>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</si>
  <si>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</si>
  <si>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</si>
  <si>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</si>
  <si>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</si>
  <si>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</si>
  <si>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</si>
  <si>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</si>
  <si>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</si>
  <si>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</si>
  <si>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</si>
  <si>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</si>
  <si>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</si>
  <si>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</si>
  <si>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</si>
  <si>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</si>
  <si>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</si>
  <si>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</si>
  <si>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</si>
  <si>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</si>
  <si>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</si>
  <si>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</si>
  <si>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</si>
  <si>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</si>
  <si>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</si>
  <si>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</si>
  <si>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</si>
  <si>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</si>
  <si>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</si>
  <si>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</si>
  <si>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</si>
  <si>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</si>
  <si>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</si>
  <si>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</si>
  <si>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</si>
  <si>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</si>
  <si>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</si>
  <si>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</si>
  <si>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</si>
  <si>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</si>
  <si>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</si>
  <si>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</si>
  <si>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</si>
  <si>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</si>
  <si>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</si>
  <si>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</si>
  <si>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</si>
  <si>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</si>
  <si>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</si>
  <si>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</si>
  <si>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</si>
  <si>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</si>
  <si>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</si>
  <si>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</si>
  <si>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</si>
  <si>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</si>
  <si>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</si>
  <si>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</si>
  <si>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</si>
  <si>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</si>
  <si>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</si>
  <si>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</si>
  <si>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</si>
  <si>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</si>
  <si>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</si>
  <si>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</si>
  <si>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</si>
  <si>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</si>
  <si>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</si>
  <si>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</si>
  <si>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</si>
  <si>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</si>
  <si>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</si>
  <si>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</si>
  <si>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</si>
  <si>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</si>
  <si>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</si>
  <si>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</si>
  <si>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</si>
  <si>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</si>
  <si>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</si>
  <si>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</si>
  <si>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</si>
  <si>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</si>
  <si>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</si>
  <si>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</si>
  <si>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</si>
  <si>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</si>
  <si>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</si>
  <si>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</si>
  <si>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</si>
  <si>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</si>
  <si>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</si>
  <si>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</si>
  <si>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</si>
  <si>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</si>
  <si>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</si>
  <si>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</si>
  <si>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</si>
  <si>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</si>
  <si>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</si>
  <si>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</si>
  <si>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</si>
  <si>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</si>
  <si>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</si>
  <si>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</si>
  <si>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</si>
  <si>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</si>
  <si>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</si>
  <si>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</si>
  <si>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</si>
  <si>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</si>
  <si>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</si>
  <si>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</si>
  <si>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</si>
  <si>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</si>
  <si>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</si>
  <si>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</si>
  <si>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</si>
  <si>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</si>
  <si>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</si>
  <si>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</si>
  <si>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</si>
  <si>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</si>
  <si>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</si>
  <si>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</si>
  <si>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</si>
  <si>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</si>
  <si>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</si>
  <si>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</si>
  <si>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</si>
  <si>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</si>
  <si>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</si>
  <si>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</si>
  <si>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</si>
  <si>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</si>
  <si>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</si>
  <si>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</si>
  <si>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</si>
  <si>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</si>
  <si>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</si>
  <si>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</si>
  <si>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</si>
  <si>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</si>
  <si>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</si>
  <si>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</si>
  <si>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</si>
  <si>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</si>
  <si>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</si>
  <si>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</si>
  <si>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</si>
  <si>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</si>
  <si>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</si>
  <si>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</si>
  <si>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</si>
  <si>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</si>
  <si>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</si>
  <si>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</si>
  <si>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</si>
  <si>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</si>
  <si>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</si>
  <si>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</si>
  <si>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</si>
  <si>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</si>
  <si>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</si>
  <si>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</si>
  <si>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</si>
  <si>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</si>
  <si>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</si>
  <si>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</si>
  <si>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</si>
  <si>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</si>
  <si>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</si>
  <si>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</si>
  <si>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</si>
  <si>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</si>
  <si>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</si>
  <si>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</si>
  <si>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</si>
  <si>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</si>
  <si>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</si>
  <si>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</si>
  <si>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</si>
  <si>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</si>
  <si>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</si>
  <si>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</si>
  <si>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</si>
  <si>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</si>
  <si>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</si>
  <si>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</si>
  <si>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</si>
  <si>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</si>
  <si>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</si>
  <si>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</si>
  <si>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</si>
  <si>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</si>
  <si>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</si>
  <si>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</si>
  <si>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</si>
  <si>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</si>
  <si>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</si>
  <si>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</si>
  <si>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</si>
  <si>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</si>
  <si>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</si>
  <si>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</si>
  <si>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</si>
  <si>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</si>
  <si>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</si>
  <si>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</si>
  <si>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</si>
  <si>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</si>
  <si>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</si>
  <si>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</si>
  <si>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</si>
  <si>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</si>
  <si>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</si>
  <si>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</si>
  <si>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</si>
  <si>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</si>
  <si>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</si>
  <si>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</si>
  <si>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</si>
  <si>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</si>
  <si>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</si>
  <si>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</si>
  <si>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</si>
  <si>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</si>
  <si>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</si>
  <si>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</si>
  <si>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</si>
  <si>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</si>
  <si>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</si>
  <si>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</si>
  <si>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</si>
  <si>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</si>
  <si>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</si>
  <si>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</si>
  <si>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</si>
  <si>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</si>
  <si>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</si>
  <si>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</si>
  <si>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</si>
  <si>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</si>
  <si>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</si>
  <si>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</si>
  <si>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</si>
  <si>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</si>
  <si>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</si>
  <si>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</si>
  <si>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</si>
  <si>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</si>
  <si>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</si>
  <si>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</si>
  <si>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</si>
  <si>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</si>
  <si>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</si>
  <si>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</si>
  <si>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</si>
  <si>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</si>
  <si>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</si>
  <si>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</si>
  <si>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</si>
  <si>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</si>
  <si>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</si>
  <si>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</si>
  <si>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</si>
  <si>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</si>
  <si>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</si>
  <si>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</si>
  <si>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</si>
  <si>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</si>
  <si>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</si>
  <si>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</si>
  <si>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</si>
  <si>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</si>
  <si>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</si>
  <si>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</si>
  <si>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</si>
  <si>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</si>
  <si>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</si>
  <si>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</si>
  <si>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</si>
  <si>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</si>
  <si>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</si>
  <si>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</si>
  <si>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</si>
  <si>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</si>
  <si>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</si>
  <si>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</si>
  <si>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</si>
  <si>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</si>
  <si>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</si>
  <si>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</si>
  <si>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</si>
  <si>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</si>
  <si>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</si>
  <si>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</si>
  <si>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</si>
  <si>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</si>
  <si>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</si>
  <si>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</si>
  <si>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</si>
  <si>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</si>
  <si>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</si>
  <si>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</si>
  <si>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</si>
  <si>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</si>
  <si>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</si>
  <si>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</si>
  <si>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</si>
  <si>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</si>
  <si>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</si>
  <si>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</si>
  <si>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</si>
  <si>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</si>
  <si>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</si>
  <si>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</si>
  <si>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</si>
  <si>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</si>
  <si>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</si>
  <si>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</si>
  <si>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</si>
  <si>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</si>
  <si>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</si>
  <si>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</si>
  <si>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</si>
  <si>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</si>
  <si>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</si>
  <si>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</si>
  <si>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</si>
  <si>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</si>
  <si>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</si>
  <si>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</si>
  <si>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</si>
  <si>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</si>
  <si>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</si>
  <si>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</si>
  <si>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</si>
  <si>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</si>
  <si>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</si>
  <si>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</si>
  <si>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</si>
  <si>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</si>
  <si>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</si>
  <si>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</si>
  <si>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</si>
  <si>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</si>
  <si>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</si>
  <si>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</si>
  <si>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</si>
  <si>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</si>
  <si>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</si>
  <si>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</si>
  <si>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</si>
  <si>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</si>
  <si>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</si>
  <si>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</si>
  <si>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</si>
  <si>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</si>
  <si>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</si>
  <si>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</si>
  <si>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</si>
  <si>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</si>
  <si>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</si>
  <si>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</si>
  <si>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</si>
  <si>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</si>
  <si>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</si>
  <si>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</si>
  <si>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</si>
  <si>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</si>
  <si>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</si>
  <si>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</si>
  <si>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</si>
  <si>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</si>
  <si>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</si>
  <si>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</si>
  <si>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</si>
  <si>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</si>
  <si>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</si>
  <si>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</si>
  <si>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</si>
  <si>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</si>
  <si>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</si>
  <si>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</si>
  <si>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</si>
  <si>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</si>
  <si>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</si>
  <si>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</si>
  <si>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</si>
  <si>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</si>
  <si>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</si>
  <si>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</si>
  <si>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</si>
  <si>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</si>
  <si>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</si>
  <si>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</si>
  <si>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</si>
  <si>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</si>
  <si>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</si>
  <si>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</si>
  <si>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</si>
  <si>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</si>
  <si>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</si>
  <si>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</si>
  <si>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</si>
  <si>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</si>
  <si>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</si>
  <si>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</si>
  <si>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</si>
  <si>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</si>
  <si>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</si>
  <si>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</si>
  <si>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</si>
  <si>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</si>
  <si>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</si>
  <si>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</si>
  <si>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</si>
  <si>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</si>
  <si>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</si>
  <si>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</si>
  <si>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</si>
  <si>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</si>
  <si>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</si>
  <si>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</si>
  <si>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</si>
  <si>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</si>
  <si>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</si>
  <si>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</si>
  <si>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</si>
  <si>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</si>
  <si>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</si>
  <si>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</si>
  <si>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</si>
  <si>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</si>
  <si>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</si>
  <si>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</si>
  <si>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</si>
  <si>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</si>
  <si>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</si>
  <si>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</si>
  <si>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</si>
  <si>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</si>
  <si>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</si>
  <si>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</si>
  <si>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</si>
  <si>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</si>
  <si>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</si>
  <si>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</si>
  <si>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</si>
  <si>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</si>
  <si>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</si>
  <si>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</si>
  <si>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</si>
  <si>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</si>
  <si>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</si>
  <si>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</si>
  <si>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</si>
  <si>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</si>
  <si>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</si>
  <si>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</si>
  <si>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</si>
  <si>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</si>
  <si>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</si>
  <si>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</si>
  <si>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</si>
  <si>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</si>
  <si>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</si>
  <si>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</si>
  <si>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</si>
  <si>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</si>
  <si>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</si>
  <si>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</si>
  <si>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</si>
  <si>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</si>
  <si>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</si>
  <si>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</si>
  <si>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</si>
  <si>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</si>
  <si>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</si>
  <si>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</si>
  <si>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</si>
  <si>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</si>
  <si>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</si>
  <si>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</si>
  <si>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</si>
  <si>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</si>
  <si>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</si>
  <si>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</si>
  <si>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</si>
  <si>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</si>
  <si>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</si>
  <si>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</si>
  <si>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</si>
  <si>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</si>
  <si>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</si>
  <si>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</si>
  <si>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</si>
  <si>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</si>
  <si>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</si>
  <si>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</si>
  <si>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</si>
  <si>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</si>
  <si>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</si>
  <si>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</si>
  <si>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</si>
  <si>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</si>
  <si>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</si>
  <si>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</si>
  <si>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</si>
  <si>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</si>
  <si>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</si>
  <si>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</si>
  <si>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</si>
  <si>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</si>
  <si>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</si>
  <si>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</si>
  <si>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</si>
  <si>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</si>
  <si>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</si>
  <si>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</si>
  <si>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</si>
  <si>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</si>
  <si>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</si>
  <si>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</si>
  <si>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</si>
  <si>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</si>
  <si>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</si>
  <si>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</si>
  <si>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ГУП "ГУИОН"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</si>
  <si>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</si>
  <si>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</si>
  <si>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</si>
  <si>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</si>
  <si>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</si>
  <si>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</si>
  <si>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</si>
  <si>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</si>
  <si>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</si>
  <si>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</si>
  <si>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</si>
  <si>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</si>
  <si>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</si>
  <si>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</si>
  <si>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</si>
  <si>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</si>
  <si>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</si>
  <si>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</si>
  <si>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</si>
  <si>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</si>
  <si>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</si>
  <si>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</si>
  <si>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</si>
  <si>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</si>
  <si>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</si>
  <si>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</si>
  <si>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</si>
  <si>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</si>
  <si>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</si>
  <si>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</si>
  <si>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</si>
  <si>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</si>
  <si>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</si>
  <si>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</si>
  <si>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</si>
  <si>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</si>
  <si>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</si>
  <si>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</si>
  <si>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</si>
  <si>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</si>
  <si>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</si>
  <si>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</si>
  <si>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</si>
  <si>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</si>
  <si>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</si>
  <si>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</si>
  <si>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</si>
  <si>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</si>
  <si>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</si>
  <si>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</si>
  <si>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</si>
  <si>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</si>
  <si>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</si>
  <si>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</si>
  <si>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</si>
  <si>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</si>
  <si>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</si>
  <si>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</si>
  <si>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</si>
  <si>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</si>
  <si>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</si>
  <si>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</si>
  <si>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</si>
  <si>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</si>
  <si>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</si>
  <si>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</si>
  <si>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</si>
  <si>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</si>
  <si>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</si>
  <si>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</si>
  <si>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</si>
  <si>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</si>
  <si>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</si>
  <si>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</si>
  <si>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</si>
  <si>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</si>
  <si>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</si>
  <si>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</si>
  <si>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</si>
  <si>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</si>
  <si>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</si>
  <si>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</si>
  <si>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</si>
  <si>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</si>
  <si>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</si>
  <si>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</si>
  <si>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</si>
  <si>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</si>
  <si>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</si>
  <si>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</si>
  <si>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</si>
  <si>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</si>
  <si>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</si>
  <si>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</si>
  <si>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</si>
  <si>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</si>
  <si>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</si>
  <si>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</si>
  <si>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</si>
  <si>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</si>
  <si>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</si>
  <si>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</si>
  <si>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</si>
  <si>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</si>
  <si>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</si>
  <si>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</si>
  <si>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</si>
  <si>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</si>
  <si>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</si>
  <si>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</si>
  <si>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</si>
  <si>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</si>
  <si>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</si>
  <si>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</si>
  <si>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</si>
  <si>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</si>
  <si>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</si>
  <si>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</si>
  <si>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</si>
  <si>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</si>
  <si>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</si>
  <si>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</si>
  <si>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</si>
  <si>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</si>
  <si>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</si>
  <si>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</si>
  <si>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</si>
  <si>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</si>
  <si>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</si>
  <si>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</si>
  <si>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</si>
  <si>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</si>
  <si>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</si>
  <si>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</si>
  <si>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</si>
  <si>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</si>
  <si>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</si>
  <si>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</si>
  <si>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</si>
  <si>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</si>
  <si>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</si>
  <si>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</si>
  <si>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</si>
  <si>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</si>
  <si>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</si>
  <si>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</si>
  <si>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</si>
  <si>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</si>
  <si>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</si>
  <si>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</si>
  <si>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</si>
  <si>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</si>
  <si>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</si>
  <si>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</si>
  <si>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</si>
  <si>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</si>
  <si>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</si>
  <si>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</si>
  <si>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</si>
  <si>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</si>
  <si>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</si>
  <si>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</si>
  <si>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</si>
  <si>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</si>
  <si>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</si>
  <si>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</si>
  <si>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</si>
  <si>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</si>
  <si>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</si>
  <si>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</si>
  <si>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</si>
  <si>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</si>
  <si>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</si>
  <si>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</si>
  <si>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</si>
  <si>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</si>
  <si>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</si>
  <si>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</si>
  <si>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</si>
  <si>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</si>
  <si>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</si>
  <si>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</si>
  <si>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</si>
  <si>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</si>
  <si>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</si>
  <si>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</si>
  <si>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</si>
  <si>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</si>
  <si>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</si>
  <si>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</si>
  <si>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</si>
  <si>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</si>
  <si>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</si>
  <si>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</si>
  <si>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</si>
  <si>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</si>
  <si>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</si>
  <si>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</si>
  <si>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</si>
  <si>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</si>
  <si>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</si>
  <si>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</si>
  <si>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</si>
  <si>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</si>
  <si>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</si>
  <si>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</si>
  <si>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</si>
  <si>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</si>
  <si>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</si>
  <si>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</si>
  <si>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</si>
  <si>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</si>
  <si>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</si>
  <si>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</si>
  <si>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</si>
  <si>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</si>
  <si>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</si>
  <si>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</si>
  <si>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</si>
  <si>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</si>
  <si>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</si>
  <si>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</si>
  <si>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</si>
  <si>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</si>
  <si>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</si>
  <si>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</si>
  <si>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</si>
  <si>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</si>
  <si>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</si>
  <si>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</si>
  <si>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</si>
  <si>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</si>
  <si>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</si>
  <si>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</si>
  <si>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</si>
  <si>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</si>
  <si>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</si>
  <si>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</si>
  <si>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</si>
  <si>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</si>
  <si>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</si>
  <si>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</si>
  <si>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</si>
  <si>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</si>
  <si>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</si>
  <si>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</si>
  <si>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</si>
  <si>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</si>
  <si>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</si>
  <si>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</si>
  <si>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</si>
  <si>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</si>
  <si>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</si>
  <si>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</si>
  <si>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</si>
  <si>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</si>
  <si>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</si>
  <si>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</si>
  <si>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</si>
  <si>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</si>
  <si>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</si>
  <si>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</si>
  <si>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</si>
  <si>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</si>
  <si>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</si>
  <si>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</si>
  <si>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</si>
  <si>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</si>
  <si>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</si>
  <si>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</si>
  <si>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</si>
  <si>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</si>
  <si>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</si>
  <si>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</si>
  <si>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</si>
  <si>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</si>
  <si>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</si>
  <si>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</si>
  <si>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</si>
  <si>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</si>
  <si>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</si>
  <si>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</si>
  <si>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</si>
  <si>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</si>
  <si>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</si>
  <si>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</si>
  <si>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</si>
  <si>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</si>
  <si>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</si>
  <si>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</si>
  <si>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</si>
  <si>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</si>
  <si>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</si>
  <si>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</si>
  <si>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</si>
  <si>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</si>
  <si>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</si>
  <si>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</si>
  <si>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</si>
  <si>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</si>
  <si>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</si>
  <si>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</si>
  <si>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</si>
  <si>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</si>
  <si>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</si>
  <si>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</si>
  <si>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</si>
  <si>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</si>
  <si>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</si>
  <si>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</si>
  <si>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</si>
  <si>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</si>
  <si>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</si>
  <si>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</si>
  <si>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</si>
  <si>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</si>
  <si>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</si>
  <si>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</si>
  <si>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</si>
  <si>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</si>
  <si>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</si>
  <si>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</si>
  <si>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</si>
  <si>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</si>
  <si>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</si>
  <si>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</si>
  <si>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</si>
  <si>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</si>
  <si>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</si>
  <si>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</si>
  <si>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</si>
  <si>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</si>
  <si>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</si>
  <si>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</si>
  <si>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</si>
  <si>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</si>
  <si>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</si>
  <si>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</si>
  <si>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</si>
  <si>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</si>
  <si>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</si>
  <si>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</si>
  <si>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</si>
  <si>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</si>
  <si>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</si>
  <si>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</si>
  <si>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</si>
  <si>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</si>
  <si>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</si>
  <si>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</si>
  <si>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</si>
  <si>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</si>
  <si>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</si>
  <si>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</si>
  <si>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</si>
  <si>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</si>
  <si>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</si>
  <si>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</si>
  <si>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</si>
  <si>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</si>
  <si>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</si>
  <si>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</si>
  <si>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</si>
  <si>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</si>
  <si>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</si>
  <si>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</si>
  <si>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</si>
  <si>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</si>
  <si>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</si>
  <si>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</si>
  <si>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</si>
  <si>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</si>
  <si>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!6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</si>
  <si>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</si>
  <si>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</si>
  <si>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</si>
  <si>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</si>
  <si>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</si>
  <si>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</si>
  <si>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</si>
  <si>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</si>
  <si>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</si>
  <si>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</si>
  <si>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</si>
  <si>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</si>
  <si>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</si>
  <si>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</si>
  <si>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</si>
  <si>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</si>
  <si>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</si>
  <si>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</si>
  <si>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</si>
  <si>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</si>
  <si>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</si>
  <si>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</si>
  <si>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</si>
  <si>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</si>
  <si>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SFaccSplit</t>
  </si>
  <si>
    <t>0 /3</t>
  </si>
  <si>
    <t>-1</t>
  </si>
  <si>
    <t>LOADER</t>
  </si>
  <si>
    <t>CheckRepDate</t>
  </si>
  <si>
    <t>&lt; WARNING &gt; Адаптер Мы(ООО "ПетроСАПР") не получил данных</t>
  </si>
  <si>
    <t>&lt; WARNING &gt; Адаптер&gt; ссылка SFacc/3:4/W(001D000001BqQDk) не работает, результат &lt;пусто&gt;</t>
  </si>
  <si>
    <t>&lt; WARNING &gt; Адаптер&gt; ссылка SFacc/3:4/W(001D000000jhYqa) не работает, результат &lt;пусто&gt;</t>
  </si>
  <si>
    <t>&lt; WARNING &gt; Адаптер&gt; ссылка SFacc/3:4/W(0012000000X1sph) не работает, результат &lt;пусто&gt;</t>
  </si>
  <si>
    <t>&lt; WARNING &gt; Адаптер Продавец_в_SF(Хабаров Алексей Валерьевич) не получил данных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</si>
  <si>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</si>
  <si>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</si>
  <si>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&lt;ForProcess&gt;</t>
  </si>
  <si>
    <t>2)Value</t>
  </si>
  <si>
    <t>Paid1C</t>
  </si>
  <si>
    <t>SheetSort</t>
  </si>
  <si>
    <t>Descend</t>
  </si>
  <si>
    <t>&lt; WARNING &gt; Адаптер&gt; ссылка SFacc/3:6(0012000000MXkEp) не работает, результат &lt;пусто&gt;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</si>
  <si>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</si>
  <si>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</si>
  <si>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&lt; WARNING &gt; Адаптер&gt; ссылка SFD/4:15(2013-2-26) не работает, результат &lt;пусто&gt;</t>
  </si>
  <si>
    <t>&lt; WARNING &gt; В строке 820Платежей 1С ссылка на Договор 2008-1-048,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</si>
  <si>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</si>
  <si>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WrCSV&gt; в 'Payment.txt' записано 12 строк.</t>
  </si>
  <si>
    <t>&lt; WARNING &gt; В строке 705Платежей 1С ссылка на Договор 2008-2-008, которого нет в листе Договоров 1С</t>
  </si>
  <si>
    <t>&lt; WARNING &gt; В строке 722Платежей 1С ссылка на Договор 1311-07, которого нет в листе Договоров 1С</t>
  </si>
  <si>
    <t>&lt; WARNING &gt; В строке 818Платежей 1С ссылка на Договор 2008-1-048, которого нет в листе Договоров 1С</t>
  </si>
  <si>
    <t>&lt; WARNING &gt; В строке 819Платежей 1С ссылка на Договор 2008-1-048, которого нет в листе Договоров 1С</t>
  </si>
  <si>
    <t>&lt; WARNING &gt; В строке 959Платежей 1С ссылка на Договор 0107-07/2с, которого нет в листе Договоров 1С</t>
  </si>
  <si>
    <t>&lt; WARNING &gt; В строке 960Платежей 1С ссылка на Договор 0107-07/2с, которого нет в листе Договоров 1С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</si>
  <si>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</si>
  <si>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</si>
  <si>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</si>
  <si>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</si>
  <si>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</si>
  <si>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</si>
  <si>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</si>
  <si>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ВНИМАНИЕ:WrNewSheet: Ошибка при записи в лист 'NewContract'_x000D_
 из листа 'Договоры' строки=1310_x000D_
 в колонке=4 =13 X=ООО "ПетроСАПР"_x000D_
 Адаптер=Мы/2 Fetch =</t>
  </si>
  <si>
    <t>001D000001Bsfmi</t>
  </si>
  <si>
    <t>ООО "ПетроСАПР"</t>
  </si>
  <si>
    <t>ВНИМАНИЕ:WrNewSheet: Ошибка при записи в лист 'NewContract'_x000D_
 из листа 'Договоры' строки=1377_x000D_
 в колонке=6 =14 X=Хабаров Алексей Валерьевич_x000D_
 Адаптер=Продавец_в_SF/3 Fetch =</t>
  </si>
  <si>
    <t>Хабаров Алексей Валерьевич</t>
  </si>
  <si>
    <t>Хабаров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</si>
  <si>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</si>
  <si>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</si>
  <si>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</si>
  <si>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В строке 465Платежей 1С ссылка на Договор №105-06/1с, которого нет в листе Договоров 1С</t>
  </si>
  <si>
    <t>&lt; WARNING &gt; В строке 508Платежей 1С ссылка на Договор №105-06/1с, которого нет в листе Договоров 1С</t>
  </si>
  <si>
    <t>&lt; WARNING &gt; В строке 591Платежей 1С ссылка на Договор №105-06/1с, которого нет в листе Договоров 1С</t>
  </si>
  <si>
    <t>&lt; WARNING &gt; В строке 626Платежей 1С ссылка на Договор №105-06/1с, которого нет в листе Договоров 1С</t>
  </si>
  <si>
    <t>&lt; WARNING &gt; В строке 678Платежей 1С ссылка на Договор №105-06/1с, которого нет в листе Договоров 1С</t>
  </si>
  <si>
    <t>&lt; WARNING &gt; В строке 704Платежей 1С ссылка на Договор 2008-2-008, которого нет в листе Договоров 1С</t>
  </si>
  <si>
    <t>&lt; WARNING &gt; В строке 709Платежей 1С ссылка на Договор №105-06/1с,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</si>
  <si>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</si>
  <si>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720Платежей 1С ссылка на Договор 2008-2-050, которого нет в листе Договоров 1С</t>
  </si>
  <si>
    <t>&lt; WARNING &gt; В строке 721Платежей 1С ссылка на Договор 1311-07, которого нет в листе Договоров 1С</t>
  </si>
  <si>
    <t>&lt; WARNING &gt; В строке 743Платежей 1С ссылка на Договор №105-06/1с, которого нет в листе Договоров 1С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</si>
  <si>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</si>
  <si>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В строке 814Платежей 1С ссылка на Договор №105-06/1с,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</si>
  <si>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</si>
  <si>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822Платежей 1С ссылка на Договор №105-06/1с, которого нет в листе Договоров 1С</t>
  </si>
  <si>
    <t>&lt; WARNING &gt; В строке 831Платежей 1С ссылка на Договор №105-06/1с, которого нет в листе Договоров 1С</t>
  </si>
  <si>
    <t>&lt; WARNING &gt; В строке 855Платежей 1С ссылка на Договор №105-06/1с, которого нет в листе Договоров 1С</t>
  </si>
  <si>
    <t>&lt; WARNING &gt; В строке 892Платежей 1С ссылка на Договор №105-06/1с, которого нет в листе Договоров 1С</t>
  </si>
  <si>
    <t>&lt; WARNING &gt; В строке 958Платежей 1С ссылка на Договор 0107-07/2с, которого нет в листе Договоров 1С</t>
  </si>
  <si>
    <t>&lt; WARNING &gt; В строке 1048Платежей 1С ссылка на Договор №105-06/1с, которого нет в листе Договоров 1С</t>
  </si>
  <si>
    <t>WrCSV&gt; в 'Dogovor.txt' записано 10 строк.</t>
  </si>
  <si>
    <t>&lt; WARNING &gt; Адаптер&gt; ссылка SFopp/4:№(ОАО 58-й Центральный проектный институт) не работает, результат &lt;пусто&gt;</t>
  </si>
  <si>
    <t>ВНИМАНИЕ:OppSelect&gt; Не найдено ни одного Проекта</t>
  </si>
  <si>
    <t>&lt;! ERROR !&gt; OppSelect&gt; Внутренняя ошибка FetchDoс- нечисловой незультат по №</t>
  </si>
  <si>
    <t>&lt; WARNING &gt; Адаптер&gt; ссылка SFopp/4:№(ОАО "ЦКБ МТ "Рубин")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</si>
  <si>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</si>
  <si>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&lt;! ERROR !&gt; GetRep &gt; Не найден Штамп в Документе 'В Salesforce нет подходящих Проектов. '_x000D_
_x000D_
Этот Документ надо загрузить в match заново или _x000D_
исправить параметры в TOCmatch.</t>
  </si>
  <si>
    <t>MoveToMatch: В файл '1C.xlsx' загружен новый отчет 'Договоры'; EOL=103 строк, в прежнем 1402_x000D_
Это изменяемая ЧАСТЬ данных.</t>
  </si>
  <si>
    <t>adapt profile: total = 0,32_x000D_
By steps =  0,07 0,15 0,04 0,00 0,00 0,00 0,04 0,00 0,00 0,00 0,00 0,00 0,00 0,00 0,00 0,00 0,00 0,00 0,00 0,00 0,00 0,00 0,00 0,00 0,00 0,00</t>
  </si>
  <si>
    <t>MoveToMatch: В файл '1C.xlsx' загружен новый отчет 'Договоры'; EOL=103 строк, в прежнем 103_x000D_
Это изменяемая ЧАСТЬ данных.</t>
  </si>
  <si>
    <t>adapt profile: total = 0,32_x000D_
By steps =  0,08 0,18 0,02 0,00 0,00 0,00 0,01 0,00 0,00 0,00 0,00 0,00 0,00 0,00 0,00 0,00 0,00 0,00 0,00 0,00 0,00 0,00 0,00 0,00 0,00 0,00</t>
  </si>
  <si>
    <t>MoveToMatch: В файл '1C.xlsx' загружен новый отчет 'Платежи'; EOL=96 строк, в прежнем 5798_x000D_
Это изменяемая ЧАСТЬ данных.</t>
  </si>
  <si>
    <t>adapt profile: total = 6,05_x000D_
By steps =  0,42 0,00 2,70 2,91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</si>
  <si>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ПОЛНЫЙ документ.</t>
  </si>
  <si>
    <t>adapt profile: total = 2,84_x000D_
By steps =  0,31 0,00 1,22 1,30 0,00 0,00 0,00 0,00 0,00 0,00 0,00 0,00 0,00 0,00 0,00 0,00 0,00 0,00 0,00 0,00 0,00 0,00 0,00 0,00 0,00 0,00 0,00 0,00 0,00 0,00 0,00 0,00 0,00 0,00 0,00 0,00 0,00 0,00</t>
  </si>
  <si>
    <t>MoveToMatch: В файл '1C.xlsx' загружен новый отчет 'Платежи'; EOL=96 строк, в прежнем 90_x000D_
Это изменяемая ЧАСТЬ данных.</t>
  </si>
  <si>
    <t>adapt profile: total = 5,99_x000D_
By steps =  0,47 0,00 2,56 2,88 0,00 0,00 0,00 0,00 0,00 0,00 0,00 0,00 0,00 0,00 0,00 0,00 0,00 0,00 0,00 0,00 0,00 0,00 0,00 0,00 0,00 0,00 0,00 0,00 0,00 0,00 0,00 0,00 0,00 0,00 0,00 0,00 0,00 0,00</t>
  </si>
  <si>
    <t>adapt profile: total = 6,00_x000D_
By steps =  0,44 0,00 2,70 2,82 0,00 0,00 0,00 0,00 0,00 0,00 0,00 0,00 0,00 0,00 0,00 0,00 0,00 0,00 0,00 0,00 0,00 0,00 0,00 0,00 0,00 0,00 0,00 0,00 0,00 0,00 0,00 0,00 0,00 0,00 0,00 0,00 0,00 0,00</t>
  </si>
  <si>
    <t>&lt;! ERROR !&gt; GetRep &gt; Не найден Штамп в Документе 'Платежи_OLD'_x000D_
_x000D_
Этот Документ надо загрузить в match заново или _x000D_
исправить параметры в TOCmatch.</t>
  </si>
  <si>
    <t>adapt profile: total = 1,28_x000D_
By steps =  0,30 0,00 0,61 0,31 0,00 0,00 0,00 0,00 0,00 0,00 0,00 0,00 0,00 0,00 0,00 0,00 0,00 0,00 0,00 0,00 0,00 0,00 0,00 0,00 0,00 0,00 0,00 0,00 0,00 0,00 0,00 0,00 0,00 0,00 0,00 0,00 0,00 0,00</t>
  </si>
  <si>
    <t>adapt profile: total = 6,12_x000D_
By steps =  0,47 0,00 2,75 2,85 0,00 0,00 0,00 0,00 0,00 0,00 0,00 0,00 0,00 0,00 0,00 0,00 0,00 0,00 0,00 0,00 0,00 0,00 0,00 0,00 0,00 0,00 0,00 0,00 0,00 0,00 0,00 0,00 0,00 0,00 0,00 0,00 0,00 0,00</t>
  </si>
  <si>
    <t>MoveToMatch: В файл '1C.xlsx' загружен новый отчет 'Договоры'; EOL=103 строк, в прежнем 1399_x000D_
Это изменяемая ЧАСТЬ данных.</t>
  </si>
  <si>
    <t>adapt profile: total = 0,35_x000D_
By steps =  0,08 0,14 0,05 0,00 0,00 0,00 0,04 0,00 0,00 0,00 0,00 0,00 0,00 0,00 0,00 0,00 0,00 0,00 0,00 0,00 0,00 0,00 0,00 0,00 0,00 0,00</t>
  </si>
  <si>
    <t>MoveToMatch: В файл '1C.xlsx' загружен новый отчет 'Платежи'; EOL=96 строк, в прежнем 5817_x000D_
Это изменяемая ЧАСТЬ данных.</t>
  </si>
  <si>
    <t>adapt profile: total = 3,56_x000D_
By steps =  0,35 0,00 1,65 1,51 0,00 0,00 0,00 0,00 0,00 0,00 0,00 0,00 0,00 0,00 0,00 0,00 0,00 0,00 0,00 0,00 0,00 0,00 0,00 0,00 0,00 0,00 0,00 0,00 0,00 0,00 0,00 0,00 0,00 0,00 0,00 0,00 0,00 0,00</t>
  </si>
  <si>
    <t>adapt profile: total = 0,38_x000D_
By steps =  0,08 0,16 0,04 0,00 0,00 0,00 0,04 0,00 0,00 0,00 0,00 0,00 0,00 0,00 0,00 0,00 0,00 0,00 0,00 0,00 0,00 0,00 0,00 0,00 0,00 0,00</t>
  </si>
  <si>
    <t>adapt profile: total = 33,27_x000D_
By steps =  0,00 0,00 0,00 0,00 0,00 0,00 0,00 0,00 0,00 0,00 0,00 0,00 0,00 0,00 0,00 0,00 0,00 0,00 0,00 0,00 0,00 0,00 0,00 0,00 0,00 0,00 0,00 0,00 0,00 0,00 97353,65 3,07 4,58 4,61 4,56 4,38 4,97 5,33</t>
  </si>
  <si>
    <t>&lt; WARNING &gt; Адаптер&gt; ссылка SFacc/3:12(001D000000hu3Dv) не работает, результат &lt;пусто&gt;</t>
  </si>
  <si>
    <t>&lt; WARNING &gt; Адаптер&gt; ссылка SFacc/3:6(001D000000hu3Dv) не работает, результат &lt;пусто&gt;</t>
  </si>
  <si>
    <t>&lt; WARNING &gt; Адаптер&gt; ссылка SFacc/3:10(001D000000hu3Dv) не работает, результат &lt;пусто&gt;</t>
  </si>
  <si>
    <t>&lt; WARNING &gt; Адаптер&gt; ссылка SFopp/4:№("Тебодин Истерн Юроп Б.В." (Частное ООО) (Нидерланды),_x000D_
Филиал в г.Санкт-Петербурге) не работает, результат &lt;пусто&gt;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</si>
  <si>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</si>
  <si>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</si>
  <si>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</si>
  <si>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</si>
  <si>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</si>
  <si>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&lt;! ERROR !&gt; X_Parse&gt; странный iCol=</t>
  </si>
  <si>
    <t>&lt; WARNING &gt; Адаптер&gt; ссылка SFacc/3:2(ул. Заводская, д.17) не работает, результат &lt;пусто&gt;</t>
  </si>
  <si>
    <t>&lt; WARNING &gt; Адаптер&gt; ссылка SFacc/3:9(ул. Заводская, д.17) не работает, результат &lt;пусто&gt;</t>
  </si>
  <si>
    <t>&lt; WARNING &gt; Адаптер&gt; ссылка SFacc/3:12(ул. Заводская, д.17) не работает, результат &lt;пусто&gt;</t>
  </si>
  <si>
    <t>&lt; WARNING &gt; Адаптер&gt; ссылка SFacc/3:6(ул. Заводская, д.17) не работает, результат &lt;пусто&gt;</t>
  </si>
  <si>
    <t>&lt; WARNING &gt; Адаптер&gt; ссылка SFacc/3:5(ул. Заводская, д.17) не работает, результат &lt;пусто&gt;</t>
  </si>
  <si>
    <t>&lt; WARNING &gt; Адаптер&gt; ссылка SFacc/3:4(ул. Заводская, д.17) не работает, результат &lt;пусто&gt;</t>
  </si>
  <si>
    <t>&lt; WARNING &gt; Адаптер&gt; ссылка SFacc/3:7(ул. Заводская, д.17) не работает, результат &lt;пусто&gt;</t>
  </si>
  <si>
    <t>&lt; WARNING &gt; Адаптер&gt; ссылка SFacc/3:10(ул. Заводская, д.17) не работает, результат &lt;пусто&gt;</t>
  </si>
  <si>
    <t>&lt; WARNING &gt; Адаптер&gt; ссылка SFacc/3:11(ул. Заводская, д.17) не работает, результат &lt;пусто&gt;</t>
  </si>
  <si>
    <t>&lt; WARNING &gt; Адаптер&gt; ссылка SFacc/3:2(ул. Складочная, д.1, стр 5) не работает, результат &lt;пусто&gt;</t>
  </si>
  <si>
    <t>&lt; WARNING &gt; Адаптер&gt; ссылка SFacc/3:6(0012000000MXkEj) не работает, результат &lt;пусто&gt;</t>
  </si>
  <si>
    <t>&lt; WARNING &gt; Адаптер&gt; ссылка SFopp/4:№(ООО "АНК-Строй") не работает, результат &lt;пусто&gt;</t>
  </si>
  <si>
    <t>&lt; WARNING &gt; Адаптер&gt; ссылка SFacc/3:6(001D000001BrWiN) не работает, результат &lt;пусто&gt;</t>
  </si>
  <si>
    <t>&lt; WARNING &gt; Адаптер&gt; ссылка SFacc/3:10(001D000001BrWiN) не работает, результат &lt;пусто&gt;</t>
  </si>
  <si>
    <t>DogVal</t>
  </si>
  <si>
    <t>&lt;! ERROR !&gt; Неизвестный тип товара 0</t>
  </si>
  <si>
    <t>консультац</t>
  </si>
  <si>
    <t>&lt; WARNING &gt; Адаптер&gt; ссылка SFacc/3:6(001D000000gx9LY) не работает, результат &lt;пусто&gt;</t>
  </si>
  <si>
    <t>&lt; WARNING &gt; Адаптер&gt; ссылка SFopp/4:№(ООО "БУСТЕР") не работает, результат &lt;пусто&gt;</t>
  </si>
  <si>
    <t>32</t>
  </si>
  <si>
    <t>KindOpp</t>
  </si>
  <si>
    <t>&lt;! ERROR !&gt; GetRep &gt; Не найден Штамп в Документе 'We'_x000D_
_x000D_
Этот Документ надо загрузить в match заново или _x000D_
исправить параметры в TOCmatch.</t>
  </si>
  <si>
    <t>EmptyBuddy</t>
  </si>
  <si>
    <t>&lt; WARNING &gt; Адаптер&gt; ссылка SFacc/3:12(0012000000VwcVA) не работает, результат &lt;пусто&gt;</t>
  </si>
  <si>
    <t>&lt; WARNING &gt; Адаптер&gt; ссылка SFacc/3:6(0012000000VwcVA)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</si>
  <si>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</si>
  <si>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SFacc/3:12(001D000000u9qYQ) не работает, результат &lt;пусто&gt;</t>
  </si>
  <si>
    <t>&lt; WARNING &gt; Адаптер&gt; ссылка SFacc/3:10(001D000000u9qYQ) не работает, результат &lt;пусто&gt;</t>
  </si>
  <si>
    <t>&lt; WARNING &gt; Адаптер&gt; ссылка SFopp/4:№(ОАО "ГРЦ Макеева") не работает, результат &lt;пусто&gt;</t>
  </si>
  <si>
    <t>WrCSV&gt; в 'Payment.txt' записано 2 строк.</t>
  </si>
  <si>
    <t>WrCSV&gt; в 'NewOpp.txt' записано 4 строк.</t>
  </si>
  <si>
    <t>MoveToMatch: В файл 'SFDC.xlsx' загружен новый отчет 'SFD'; EOL=1157 строк, в прежнем 1172_x000D_
Это ПОЛНЫЙ документ.</t>
  </si>
  <si>
    <t>&lt;! ERROR !&gt; Необходимо загрузить заново 'SFopp' за 05.09.2013 2:00:00_x000D_
Он устарел относительно 'Договоры' за 07.09.2013</t>
  </si>
  <si>
    <t>MoveToMatch: В файл 'SFDC.xlsx' загружен новый отчет 'SFopp'; EOL=3557 строк, в прежнем 3555_x000D_
Это ПОЛНЫЙ документ.</t>
  </si>
  <si>
    <t>MoveToMatch: В файл 'SFDC.xlsx' загружен новый отчет 'SFD'; EOL=1157 строк, в прежнем 1157_x000D_
Это ПОЛНЫЙ документ.</t>
  </si>
  <si>
    <t>adapt profile: total = 7,00_x000D_
By steps =  6,64 0,01</t>
  </si>
  <si>
    <t>adapt profile: total = 5,66_x000D_
By steps =  0,83 2,98 0,67 0,01 0,00 0,00 0,57 0,00 0,00 0,00 0,00 0,00 0,00 0,00 0,00 0,00 0,00 0,00 0,00 0,01 0,00 0,00 0,00 0,00 0,00 0,00</t>
  </si>
  <si>
    <t>&lt;! ERROR !&gt; Необходимо загрузить заново 'SF' за 05.09.2013 2:39:00_x000D_
Он устарел относительно 'Платежи' за 07.09.2013</t>
  </si>
  <si>
    <t>MoveToMatch: В файл 'SFDC.xlsx' загружен новый отчет 'SF'; EOL=4872 строк, в прежнем 4913_x000D_
Это ПОЛНЫЙ документ.</t>
  </si>
  <si>
    <t>adapt profile: total = 41,07_x000D_
By steps =  15,90 0,06 18,40 4,09 0,03 0,01 0,01 0,01 0,01 0,01 0,01 0,01 0,01 0,01 0,02 0,01 0,01 0,01 0,01 0,01 0,01 0,01 0,01 0,01 0,01 0,01 0,02 0,01 0,01 0,00 0,00 0,00 0,00 0,00 0,00 0,00 0,00 0,00</t>
  </si>
  <si>
    <t>adapt profile: total = 13,73_x000D_
By steps =  12,18 0,04</t>
  </si>
  <si>
    <t>adapt profile: total = 32,59_x000D_
By steps =  0,09 0,00 0,00 0,00 0,00 0,00 0,00 0,00 0,00 0,00 0,00 0,00 0,00 0,00 0,00 0,00 0,00 0,00 0,00 0,00 0,00 0,00 0,00 0,00 0,00 0,00 0,00 0,00 0,00 0,00 95593,20 2,89 4,42 4,49 4,40 4,18 4,91 5,32</t>
  </si>
  <si>
    <t>adapt profile: total = 31,80_x000D_
By steps =  0,00 0,00 0,00 0,00 0,00 0,00 0,00 0,00 0,00 0,00 0,00 0,00 0,00 0,00 0,00 0,00 0,00 0,00 0,00 0,00 0,00 0,00 0,00 0,00 0,00 0,00 0,00 0,00 0,00 0,00 95965,34 2,80 4,35 4,39 4,20 4,20 4,82 5,21</t>
  </si>
  <si>
    <t>&lt; WARNING &gt; Адаптер&gt; ссылка SFacc/3:12(0012000000PBXlG) не работает, результат &lt;пусто&gt;</t>
  </si>
  <si>
    <t>&lt; WARNING &gt; Адаптер&gt; ссылка SFacc/3:6(0012000000PBXlG) не работает, результат &lt;пусто&gt;</t>
  </si>
  <si>
    <t>&lt; WARNING &gt; Адаптер&gt; ссылка SFopp/4:№(ООО "КНРГ Управление") не работает, результат &lt;пусто&gt;</t>
  </si>
  <si>
    <t>WrCSV&gt; в 'Payment.txt' записано 8 строк.</t>
  </si>
  <si>
    <t>MoveToMatch: В файл 'SFDC.xlsx' загружен новый отчет 'SF'; EOL=4876 строк, в прежнем 4913_x000D_
Это ПОЛНЫЙ документ.</t>
  </si>
  <si>
    <t>adapt profile: total = 34,45_x000D_
By steps =  13,03 0,05 14,78 4,30 0,03 0,01 0,01 0,02 0,02 0,01 0,01 0,01 0,01 0,01 0,01 0,01 0,01 0,01 0,01 0,01 0,01 0,01 0,02 0,01 0,01 0,01 0,01 0,01 0,01 0,00 0,00 0,00 0,00 0,00 0,00 0,00 0,00 0,00</t>
  </si>
  <si>
    <t>adapt profile: total = 26,22_x000D_
By steps =  24,64 0,04</t>
  </si>
  <si>
    <t>MoveToMatch: В файл 'SFDC.xlsx' загружен новый отчет 'SFacc'; EOL=4522 строк, в прежнем 4522_x000D_
Это ПОЛНЫЙ документ.</t>
  </si>
  <si>
    <t>adapt profile: total = 61,87_x000D_
By steps =  18,73 0,05 31,34 9,24 0,03 0,01 0,01 0,01 0,01 0,02 0,01 0,02 0,01 0,01 0,01 0,01 0,01 0,01 0,01 0,01 0,01 0,01 0,01 0,01 0,01 0,01 0,01 0,01 0,01 0,00 0,00 0,00 0,00 0,00 0,00 0,00 0,00 0,00</t>
  </si>
  <si>
    <t>adapt profile: total = 7,22_x000D_
By steps =  1,25 3,91 0,73 0,01 0,01 0,00 0,63 0,01 0,00 0,00 0,00 0,00 0,00 0,00 0,00 0,00 0,00 0,00 0,00 0,00 0,00 0,00 0,00 0,00 0,00 0,00</t>
  </si>
  <si>
    <t>adapt profile: total = 6,26_x000D_
By steps =  5,64</t>
  </si>
  <si>
    <t>adapt profile: total = 51,28_x000D_
By steps =  0,09 0,00 0,01 0,00 0,00 0,00 0,00 0,00 0,00 0,00 0,00 0,00 0,00 0,00 0,00 0,00 0,00 0,00 0,00 0,00 0,00 0,00 0,00 0,00 0,00 0,00 0,00 0,00 0,00 0,00 163277,60 2,72 4,27 4,57 4,47 4,35 14,08 14,72</t>
  </si>
  <si>
    <t>&lt; WARNING &gt; Адаптер&gt; ссылка SFD/4:15(2012-2-11/2013-1-64) не работает, результат &lt;пусто&gt;</t>
  </si>
  <si>
    <t>ВНИМАНИЕ:WrNewSheet: Ошибка при записи в лист 'NewPayment'_x000D_
 из листа 'Платежи' строки=4_x000D_
 в колонке=7 =25 X=2013-1-64           _x000D_
 Адаптер=ContrK/26 Fetch =SFD/4:15</t>
  </si>
  <si>
    <t>ВНИМАНИЕ:WrNewSheet: Ошибка при записи в лист 'NewPayment'_x000D_
 из листа 'Платежи' строки=7_x000D_
 в колонке=7 =25 X=2013-1-64           _x000D_
 Адаптер=ContrK/26 Fetch =SFD/4:15</t>
  </si>
  <si>
    <t>adapt profile: total = 52,28_x000D_
By steps =  0,00 0,00 0,02 0,00 0,00 0,00 0,00 0,00 0,00 0,00 0,00 0,00 0,00 0,00 0,00 0,00 0,00 0,00 0,00 0,00 0,00 0,00 0,00 0,00 0,00 0,00 0,00 0,00 0,00 0,00 164717,40 3,11 4,87 4,66 4,50 4,31 14,45 14,19</t>
  </si>
  <si>
    <t>&lt; WARNING &gt; Адаптер&gt; ссылка SFD/4:15(2012-1-38/2013-1-64) не работает, результат &lt;пусто&gt;</t>
  </si>
  <si>
    <t>&lt; WARNING &gt; Адаптер&gt; ссылка SFacc/3:6(0012000000NZhGf) не работает, результат &lt;пусто&gt;</t>
  </si>
  <si>
    <t>&lt; WARNING &gt; Адаптер&gt; ссылка SFopp/4:№(СП ЗАО "ИВС") не работает, результат &lt;пусто&gt;</t>
  </si>
  <si>
    <t>&lt; WARNING &gt; Адаптер&gt; ссылка SFacc/3:6(001D0000015KcjS) не работает, результат &lt;пусто&gt;</t>
  </si>
  <si>
    <t>&lt; WARNING &gt; Адаптер&gt; ссылка SFacc/3:10(001D0000015KcjS) не работает, результат &lt;пусто&gt;</t>
  </si>
  <si>
    <t>&lt; WARNING &gt; Адаптер&gt; ссылка SFopp/4:№(ООО "Инженерный Центр") не работает, результат &lt;пусто&gt;</t>
  </si>
  <si>
    <t>&lt; WARNING &gt; Адаптер&gt; ссылка SFacc/3:6(0012000000NZhO1) не работает, результат &lt;пусто&gt;</t>
  </si>
  <si>
    <t>&lt; WARNING &gt; Адаптер&gt; ссылка SFopp/4:№(ОАО "Тулагипрохим") не работает, результат &lt;пусто&gt;</t>
  </si>
  <si>
    <t>ВНИМАНИЕ:WrNewSheet: Ошибка при записи в лист 'NewPayment'_x000D_
 из листа 'Платежи' строки=19_x000D_
 в колонке=7 =25 X=2013-1-64           _x000D_
 Адаптер=ContrK/26 Fetch =SFD/4:15</t>
  </si>
  <si>
    <t>ВНИМАНИЕ:WrNewSheet: Ошибка при записи в лист 'NewPayment'_x000D_
 из листа 'Платежи' строки=20_x000D_
 в колонке=7 =25 X=2013-1-64           _x000D_
 Адаптер=ContrK/26 Fetch =SFD/4:15</t>
  </si>
  <si>
    <t>ВНИМАНИЕ:WrNewSheet: Ошибка при записи в лист 'NewPayment'_x000D_
 из листа 'Платежи' строки=21_x000D_
 в колонке=7 =25 X=2013-1-64           _x000D_
 Адаптер=ContrK/26 Fetch =SFD/4:15</t>
  </si>
  <si>
    <t>ВНИМАНИЕ:WrNewSheet: Ошибка при записи в лист 'NewPayment'_x000D_
 из листа 'Платежи' строки=22_x000D_
 в колонке=7 =25 X=2013-1-64           _x000D_
 Адаптер=ContrK/26 Fetch =SFD/4:15</t>
  </si>
  <si>
    <t>&lt; WARNING &gt; Адаптер&gt; ссылка SFacc/3:6(0012000000S4GUq)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</si>
  <si>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</si>
  <si>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WrCSV&gt; в 'NewOpp.txt' записано 9 строк.</t>
  </si>
  <si>
    <t>MoveToMatch: В файл 'SFDC.xlsx' загружен новый отчет 'SFopp'; EOL=3562 строк, в прежнем 3557_x000D_
Это ПОЛНЫЙ документ.</t>
  </si>
  <si>
    <t>adapt profile: total = 4,61_x000D_
By steps =  4,29 0,01</t>
  </si>
  <si>
    <t>adapt profile: total = 7,22_x000D_
By steps =  1,24 3,91 0,76 0,00 0,00 0,00 0,65 0,00 0,00 0,00 0,00 0,00 0,00 0,00 0,00 0,00 0,00 0,00 0,00 0,00 0,00 0,00 0,00 0,00 0,00 0,00</t>
  </si>
  <si>
    <t>adapt profile: total = 50,46_x000D_
By steps =  0,00 0,00 0,01 0,00 0,00 0,00 0,00 0,00 0,00 0,00 0,00 0,00 0,00 0,00 0,00 0,00 0,00 0,00 0,00 0,00 0,00 0,00 0,00 0,00 0,00 0,00 0,00 0,00 0,00 0,00 161130,30 2,93 4,47 4,49 4,49 4,32 13,75 14,22</t>
  </si>
  <si>
    <t>&lt; WARNING &gt; Адаптер&gt; ссылка SFacc/3:6(001D0000010wRlt) не работает, результат &lt;пусто&gt;</t>
  </si>
  <si>
    <t>&lt; WARNING &gt; Адаптер&gt; ссылка SFopp/4:№(ООО "СТРОЙРЕМОНТ") не работает, результат &lt;пусто&gt;</t>
  </si>
  <si>
    <t>WrCSV&gt; в 'Payment.txt' записано 20 строк.</t>
  </si>
  <si>
    <t>MoveToMatch: В файл '1C.xlsx' загружен новый отчет 'Список клиентов 1C'; EOL=2023 строк, в прежнем 2017_x000D_
Это ПОЛНЫЙ документ.</t>
  </si>
  <si>
    <t>Список клиентов 1С на 09.09.13</t>
  </si>
  <si>
    <t>Рассматриваются документы с даты 01.01.07 по дату 09.09.13</t>
  </si>
  <si>
    <t>adapt profile: total = 20,80_x000D_
By steps =  20,30</t>
  </si>
  <si>
    <t>MoveToMatch: В файл 'SFDC.xlsx' загружен новый отчет 'SFacc'; EOL=4528 строк, в прежнем 4523_x000D_
Это ПОЛНЫЙ документ.</t>
  </si>
  <si>
    <t>adapt profile: total = 52,48_x000D_
By steps =  17,95 0,04 25,42 7,34 0,04 0,02 0,01 0,00 0,02 0,00 0,01 0,01 0,02 0,02 0,02 0,01 0,01 0,01 0,00 0,03 0,00 0,01 0,02 0,01 0,02 0,00 0,02 0,00 0,01 0,00 0,00 0,00 0,00 0,00 0,00 0,00 0,00 0,00</t>
  </si>
  <si>
    <t>adapt profile: total = 7,32_x000D_
By steps =  1,20 4,07 0,85 0,00 0,00 0,00 0,63 0,01 0,00 0,00 0,00 0,00 0,00 0,00 0,00 0,01 0,00 0,00 0,00 0,00 0,00 0,00 0,00 0,01 0,00 0,00</t>
  </si>
  <si>
    <t>adapt profile: total = 6,43_x000D_
By steps =  6,02</t>
  </si>
  <si>
    <t>MoveToMatch: В файл 'SFDC.xlsx' загружен новый отчет 'SFacc'; EOL=4540 строк, в прежнем 4530_x000D_
Это ПОЛНЫЙ документ.</t>
  </si>
  <si>
    <t>adapt profile: total = 49,03_x000D_
By steps =  17,23 0,07 26,13 3,74 0,01 0,01 0,02 0,05 0,02 0,01 0,03 0,00 0,01 0,01 0,01 0,02 0,02 0,02 0,01 0,02 0,01 0,02 0,02 0,02 0,01 0,00 0,01 0,01 0,01 0,00 0,00 0,00 0,00 0,00 0,00 0,00 0,00 0,00</t>
  </si>
  <si>
    <t>adapt profile: total = 7,43_x000D_
By steps =  1,31 4,11 0,78 0,01 0,01 0,00 0,65 0,01 0,00 0,01 0,00 0,00 0,00 0,00 0,00 0,00 0,00 0,01 0,02 0,00 0,00 0,00 0,01 0,00 0,00 0,01</t>
  </si>
  <si>
    <t>adapt profile: total = 6,52_x000D_
By steps =  6,02</t>
  </si>
  <si>
    <t>adapt profile: total = 48,91_x000D_
By steps =  0,00 0,00 0,01 0,00 0,00 0,00 0,00 0,00 0,00 0,00 0,00 0,00 0,00 0,00 0,00 0,00 0,00 0,00 0,00 0,00 0,00 0,00 0,00 0,00 0,00 0,00 0,00 0,00 0,00 0,00 129114,40 3,02 4,49 4,13 4,32 4,13 13,35 14,02</t>
  </si>
  <si>
    <t>adapt profile: total = 55,13_x000D_
By steps =  0,01 0,00 0,00 0,01 0,00 0,00 0,00 0,00 0,00 0,00 0,00 0,00 0,00 0,00 0,00 0,00 0,00 0,00 0,00 0,00 0,00 0,00 0,00 0,00 0,00 0,00 0,00 0,00 0,00 0,00 157958,80 3,05 5,64 5,20 5,67 4,30 15,26 14,21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</si>
  <si>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</si>
  <si>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</si>
  <si>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</si>
  <si>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&lt; WARNING &gt; Адаптер&gt; ссылка SFacc/3:6(0012000000UOMMQ) не работает, результат &lt;пусто&gt;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</si>
  <si>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</si>
  <si>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</si>
  <si>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SFacc/3:6(001D0000018xFwz) не работает, результат &lt;пусто&gt;</t>
  </si>
  <si>
    <t>&lt; WARNING &gt; Адаптер&gt; ссылка SFacc/3:7(001D0000018xFwz) не работает, результат &lt;пусто&gt;</t>
  </si>
  <si>
    <t>&lt; WARNING &gt; Адаптер&gt; ссылка SFopp/4:№(ООО "ИКСПИ-групп") не работает, результат &lt;пусто&gt;</t>
  </si>
  <si>
    <t>WrCSV&gt; в 'Dogovor.txt' записано 17 строк.</t>
  </si>
  <si>
    <t>WrCSV&gt; в 'Payment.txt' записано 44 строк.</t>
  </si>
  <si>
    <t>WrCSV&gt; в 'NewOpp.txt' записано 13 строк.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</si>
  <si>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</si>
  <si>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</si>
  <si>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WrCSV&gt; в 'Dogovor.txt' записано 9 строк.</t>
  </si>
  <si>
    <t>WrCSV&gt; в 'Payment.txt' записано 13 строк.</t>
  </si>
  <si>
    <t>MoveToMatch: В файл 'SFDC.xlsx' загружен новый отчет 'SFD'; EOL=1165 строк, в прежнем 1172_x000D_
Это ПОЛНЫЙ документ.</t>
  </si>
  <si>
    <t>adapt profile: total = 5,61_x000D_
By steps =  5,11 0,02</t>
  </si>
  <si>
    <t>adapt profile: total = 8,11_x000D_
By steps =  1,41 4,33 0,90 0,00 0,01 0,00 0,74 0,00 0,00 0,00 0,00 0,00 0,01 0,00 0,00 0,00 0,00 0,00 0,00 0,00 0,02 0,00 0,01 0,00 0,00 0,01</t>
  </si>
  <si>
    <t>MoveToMatch: В файл 'SFDC.xlsx' загружен новый отчет 'SFopp'; EOL=3575 строк, в прежнем 3562_x000D_
Это ПОЛНЫЙ документ.</t>
  </si>
  <si>
    <t>adapt profile: total = 57,61_x000D_
By steps =  0,01 0,00 0,01 0,00 0,00 0,00 0,00 0,00 0,00 0,00 0,00 0,00 0,00 0,00 0,00 0,00 0,00 0,00 0,00 0,00 0,00 0,00 0,00 0,00 0,00 0,00 0,00 0,00 0,00 0,00 182032,00 3,30 4,89 5,45 5,62 4,63 15,96 15,29</t>
  </si>
  <si>
    <t>&lt; WARNING &gt; Адаптер&gt; ссылка SFacc/3:6(001D000000ezj0Q) не работает, результат &lt;пусто&gt;</t>
  </si>
  <si>
    <t>&lt; WARNING &gt; Адаптер&gt; ссылка SFopp/4:№(ОАО "Гипротранспроект") не работает, результат &lt;пусто&gt;</t>
  </si>
  <si>
    <t>MoveToMatch: В файл 'SFDC.xlsx' загружен новый отчет 'SFopp'; EOL=3575 строк, в прежнем 3575_x000D_
Это ПОЛНЫЙ документ.</t>
  </si>
  <si>
    <t>MoveToMatch: В файл 'SFDC.xlsx' загружен новый отчет 'SFD'; EOL=1165 строк, в прежнем 1190_x000D_
Это ПОЛНЫЙ документ.</t>
  </si>
  <si>
    <t>adapt profile: total = 7,30_x000D_
By steps =  6,96 0,01</t>
  </si>
  <si>
    <t>adapt profile: total = 6,26_x000D_
By steps =  0,87 3,50 0,76 0,01 0,00 0,00 0,58 0,01 0,00 0,00 0,00 0,00 0,00 0,00 0,00 0,00 0,00 0,00 0,00 0,00 0,00 0,00 0,00 0,00 0,00 0,00</t>
  </si>
  <si>
    <t>MoveToMatch: В файл 'SFDC.xlsx' загружен новый отчет 'SFacc'; EOL=4540 строк, в прежнем 4548_x000D_
Это ПОЛНЫЙ документ.</t>
  </si>
  <si>
    <t>adapt profile: total = 53,72_x000D_
By steps =  19,22 0,05 27,02 5,70 0,03 0,01 0,01 0,01 0,01 0,01 0,01 0,01 0,01 0,00 0,01 0,01 0,00 0,01 0,01 0,02 0,01 0,01 0,01 0,01 0,01 0,01 0,01 0,01 0,01 0,00 0,00 0,00 0,00 0,00 0,00 0,00 0,00 0,00</t>
  </si>
  <si>
    <t>adapt profile: total = 8,08_x000D_
By steps =  1,35 4,51 0,88 0,00 0,00 0,00 0,72 0,01 0,00 0,00 0,00 0,00 0,00 0,00 0,00 0,00 0,00 0,00 0,00 0,00 0,00 0,00 0,00 0,00 0,00 0,00</t>
  </si>
  <si>
    <t>adapt profile: total = 7,82_x000D_
By steps =  7,32</t>
  </si>
  <si>
    <t>adapt profile: total = 51,41_x000D_
By steps =  0,00 0,00 0,01 0,00 0,00 0,00 0,00 0,00 0,00 0,00 0,00 0,00 0,00 0,00 0,00 0,00 0,00 0,00 0,00 0,00 0,00 0,00 0,00 0,00 0,00 0,00 0,00 0,00 0,00 0,00 137158,70 3,32 4,63 4,65 4,56 4,44 13,90 14,35</t>
  </si>
  <si>
    <t>&lt; WARNING &gt; Адаптер&gt; ссылка SFacc/3:6(001D000000vhVhX) не работает, результат &lt;пусто&gt;</t>
  </si>
  <si>
    <t>&lt; WARNING &gt; Адаптер&gt; ссылка SFopp/4:№(ЧУ"ИТЦП "ПРОРЫВ") не работает, результат &lt;пусто&gt;</t>
  </si>
  <si>
    <t>WrCSV&gt; в 'NewOpp.txt' записано 2 строк.</t>
  </si>
  <si>
    <t>MoveToMatch: В файл 'SFDC.xlsx' загружен новый отчет 'SFopp'; EOL=3576 строк, в прежнем 3575_x000D_
Это ПОЛНЫЙ документ.</t>
  </si>
  <si>
    <t>adapt profile: total = 56,56_x000D_
By steps =  0,00 0,00 0,01 0,00 0,00 0,00 0,00 0,00 0,00 0,00 0,00 0,00 0,00 0,00 0,00 0,00 0,00 0,00 0,00 0,00 0,00 0,00 0,00 0,00 0,00 0,00 0,00 0,00 0,00 0,00 179181,60 3,15 5,17 5,59 5,86 4,62 15,05 15,06</t>
  </si>
  <si>
    <t>&lt; WARNING &gt; Адаптер&gt; ссылка SFopp/4:№(ЗАО "Вагонмаш") не работает, результат &lt;пусто&gt;</t>
  </si>
  <si>
    <t>&lt; WARNING &gt; Адаптер&gt; ссылка SFopp/4:№(ОАО "Гипроспецгаз")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</si>
  <si>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</si>
  <si>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</si>
  <si>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</si>
  <si>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</si>
  <si>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WrCSV&gt; в 'ContrUpd.txt' записано 2 строк.</t>
  </si>
  <si>
    <t>adapt profile: total = 34,24_x000D_
By steps =  0,00 0,00 0,00 0,00 0,00 0,00 0,00 0,00 0,00 0,00 0,00 0,00 0,00 0,00 0,00 0,00 0,00 0,00 0,00 0,00 0,00 0,00 0,00 0,00 0,00 0,00 0,00 0,00 0,00 0,00 104746,60 3,18 4,73 4,69 4,66 4,44 5,09 5,53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</si>
</sst>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[$-F400]h:mm:ss\ AM/PM"/>
    <numFmt numFmtId="165" formatCode="dd/mm/yy\ h:mm;@"/>
    <numFmt numFmtId="166" formatCode="dd/mm/yy;@"/>
    <numFmt numFmtId="167" formatCode="_-* #,##0.00_р_._-;\-* #,##0.00_р_._-;_-* &quot;-&quot;??_р_._-;_-@_-"/>
    <numFmt numFmtId="168" formatCode="_(* #,##0_);_(* \(#,##0\);_(* &quot;-&quot;??_);_(@_)"/>
    <numFmt numFmtId="169" formatCode="#,##0_ ;\-#,##0\ "/>
    <numFmt numFmtId="170" formatCode="d/m/yy;@"/>
    <numFmt numFmtId="171" formatCode="dd\-mm\-yyyy"/>
    <numFmt numFmtId="172" formatCode="0.0%"/>
    <numFmt numFmtId="173" formatCode="_-* #,##0_р_._-;\-* #,##0_р_._-;_-* &quot;-&quot;??_р_._-;_-@_-"/>
    <numFmt numFmtId="174" formatCode="[$-419]mmmm\ yyyy;@"/>
    <numFmt numFmtId="175" formatCode="_-* #,##0.00&quot;р.&quot;_-;\-* #,##0.00&quot;р.&quot;_-;_-* &quot;-&quot;??&quot;р.&quot;_-;_-@_-"/>
    <numFmt numFmtId="176" formatCode="_-* #,##0[$р.-419]_-;\-* #,##0[$р.-419]_-;_-* &quot;-&quot;??[$р.-419]_-;_-@_-"/>
  </numFmts>
  <fonts count="6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7">
    <xf numFmtId="0" fontId="0" fillId="0" borderId="0"/>
    <xf numFmtId="164" fontId="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 applyNumberFormat="0" applyFill="0" applyBorder="0" applyAlignment="0" applyProtection="0"/>
    <xf numFmtId="164" fontId="1" fillId="0" borderId="0"/>
    <xf numFmtId="167" fontId="1" fillId="0" borderId="0" applyFont="0" applyFill="0" applyBorder="0" applyAlignment="0" applyProtection="0"/>
    <xf numFmtId="164" fontId="1" fillId="0" borderId="0"/>
    <xf numFmtId="164" fontId="1" fillId="0" borderId="0"/>
    <xf numFmtId="164" fontId="9" fillId="0" borderId="0"/>
    <xf numFmtId="164" fontId="9" fillId="0" borderId="0"/>
    <xf numFmtId="0" fontId="9" fillId="0" borderId="0"/>
    <xf numFmtId="164" fontId="1" fillId="0" borderId="0"/>
    <xf numFmtId="167" fontId="9" fillId="0" borderId="0" applyFont="0" applyFill="0" applyBorder="0" applyAlignment="0" applyProtection="0"/>
    <xf numFmtId="164" fontId="1" fillId="0" borderId="0"/>
    <xf numFmtId="0" fontId="1" fillId="0" borderId="0"/>
    <xf numFmtId="164" fontId="29" fillId="0" borderId="0"/>
    <xf numFmtId="164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/>
    <xf numFmtId="0" fontId="9" fillId="0" borderId="0"/>
    <xf numFmtId="164" fontId="37" fillId="0" borderId="0"/>
    <xf numFmtId="164" fontId="1" fillId="0" borderId="0"/>
    <xf numFmtId="164" fontId="1" fillId="0" borderId="0"/>
    <xf numFmtId="167" fontId="1" fillId="0" borderId="0" applyFont="0" applyFill="0" applyBorder="0" applyAlignment="0" applyProtection="0"/>
    <xf numFmtId="0" fontId="9" fillId="0" borderId="0"/>
    <xf numFmtId="174" fontId="1" fillId="0" borderId="0"/>
    <xf numFmtId="174" fontId="1" fillId="0" borderId="0"/>
    <xf numFmtId="175" fontId="9" fillId="0" borderId="0" applyFont="0" applyFill="0" applyBorder="0" applyAlignment="0" applyProtection="0"/>
    <xf numFmtId="164" fontId="43" fillId="0" borderId="0"/>
    <xf numFmtId="0" fontId="9" fillId="0" borderId="0"/>
    <xf numFmtId="0" fontId="1" fillId="0" borderId="0"/>
    <xf numFmtId="164" fontId="29" fillId="0" borderId="0"/>
    <xf numFmtId="164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63">
    <xf numFmtId="0" fontId="0" fillId="0" borderId="0" xfId="0"/>
    <xf numFmtId="165" fontId="2" fillId="2" borderId="1" xfId="1" applyNumberFormat="1" applyFont="1" applyFill="1" applyBorder="1" applyAlignment="1">
      <alignment horizontal="center" vertical="center"/>
    </xf>
    <xf numFmtId="164" fontId="1" fillId="0" borderId="0" xfId="1"/>
    <xf numFmtId="164" fontId="4" fillId="0" borderId="0" xfId="1" applyFont="1"/>
    <xf numFmtId="164" fontId="6" fillId="2" borderId="0" xfId="1" applyFont="1" applyFill="1" applyAlignment="1">
      <alignment horizontal="left"/>
    </xf>
    <xf numFmtId="164" fontId="1" fillId="2" borderId="0" xfId="1" applyFill="1" applyAlignment="1">
      <alignment horizontal="center"/>
    </xf>
    <xf numFmtId="164" fontId="1" fillId="2" borderId="0" xfId="1" applyFill="1"/>
    <xf numFmtId="164" fontId="1" fillId="0" borderId="0" xfId="1" applyAlignment="1">
      <alignment horizontal="center"/>
    </xf>
    <xf numFmtId="164" fontId="8" fillId="0" borderId="0" xfId="1" applyFont="1"/>
    <xf numFmtId="164" fontId="8" fillId="0" borderId="0" xfId="1" applyFont="1" applyAlignment="1">
      <alignment horizontal="center"/>
    </xf>
    <xf numFmtId="164" fontId="8" fillId="3" borderId="0" xfId="1" applyFont="1" applyFill="1"/>
    <xf numFmtId="164" fontId="8" fillId="3" borderId="0" xfId="1" applyFont="1" applyFill="1" applyAlignment="1">
      <alignment horizontal="center"/>
    </xf>
    <xf numFmtId="165" fontId="1" fillId="4" borderId="0" xfId="1" applyNumberFormat="1" applyFill="1" applyAlignment="1">
      <alignment horizontal="center"/>
    </xf>
    <xf numFmtId="164" fontId="0" fillId="5" borderId="0" xfId="1" applyFont="1" applyFill="1"/>
    <xf numFmtId="49" fontId="1" fillId="5" borderId="0" xfId="1" applyNumberFormat="1" applyFill="1" applyAlignment="1">
      <alignment horizontal="center"/>
    </xf>
    <xf numFmtId="164" fontId="8" fillId="5" borderId="0" xfId="1" applyFont="1" applyFill="1"/>
    <xf numFmtId="164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5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4" fontId="8" fillId="5" borderId="2" xfId="1" applyFont="1" applyFill="1" applyBorder="1"/>
    <xf numFmtId="165" fontId="1" fillId="4" borderId="3" xfId="1" applyNumberFormat="1" applyFill="1" applyBorder="1" applyAlignment="1">
      <alignment horizontal="center"/>
    </xf>
    <xf numFmtId="164" fontId="1" fillId="0" borderId="3" xfId="1" applyBorder="1"/>
    <xf numFmtId="49" fontId="1" fillId="0" borderId="3" xfId="1" applyNumberFormat="1" applyBorder="1" applyAlignment="1">
      <alignment horizontal="center"/>
    </xf>
    <xf numFmtId="164" fontId="1" fillId="6" borderId="3" xfId="1" applyFill="1" applyBorder="1"/>
    <xf numFmtId="164" fontId="1" fillId="5" borderId="3" xfId="1" applyFill="1" applyBorder="1"/>
    <xf numFmtId="164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6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6" fontId="1" fillId="0" borderId="3" xfId="1" quotePrefix="1" applyNumberFormat="1" applyBorder="1"/>
    <xf numFmtId="164" fontId="1" fillId="4" borderId="0" xfId="1" applyFill="1"/>
    <xf numFmtId="164" fontId="1" fillId="0" borderId="0" xfId="1" applyBorder="1"/>
    <xf numFmtId="49" fontId="1" fillId="0" borderId="0" xfId="1" applyNumberFormat="1" applyBorder="1" applyAlignment="1">
      <alignment horizontal="center"/>
    </xf>
    <xf numFmtId="164" fontId="1" fillId="5" borderId="0" xfId="1" applyFill="1" applyBorder="1"/>
    <xf numFmtId="164" fontId="1" fillId="5" borderId="0" xfId="1" applyFill="1" applyBorder="1" applyAlignment="1">
      <alignment horizontal="center"/>
    </xf>
    <xf numFmtId="166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6" fontId="1" fillId="0" borderId="0" xfId="1" quotePrefix="1" applyNumberFormat="1" applyBorder="1"/>
    <xf numFmtId="164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4" fontId="1" fillId="7" borderId="0" xfId="1" applyFill="1" applyBorder="1"/>
    <xf numFmtId="164" fontId="1" fillId="5" borderId="0" xfId="1" applyFill="1"/>
    <xf numFmtId="164" fontId="1" fillId="5" borderId="0" xfId="1" applyFill="1" applyAlignment="1">
      <alignment horizontal="center"/>
    </xf>
    <xf numFmtId="166" fontId="1" fillId="0" borderId="0" xfId="1" applyNumberFormat="1" applyAlignment="1">
      <alignment horizontal="center"/>
    </xf>
    <xf numFmtId="1" fontId="1" fillId="0" borderId="0" xfId="1" quotePrefix="1" applyNumberFormat="1"/>
    <xf numFmtId="166" fontId="1" fillId="0" borderId="0" xfId="1" quotePrefix="1" applyNumberFormat="1"/>
    <xf numFmtId="1" fontId="1" fillId="0" borderId="0" xfId="1" quotePrefix="1" applyNumberFormat="1" applyFill="1"/>
    <xf numFmtId="166" fontId="1" fillId="0" borderId="0" xfId="1" quotePrefix="1" applyNumberFormat="1" applyFill="1"/>
    <xf numFmtId="164" fontId="1" fillId="2" borderId="0" xfId="1" applyFill="1" applyBorder="1"/>
    <xf numFmtId="164" fontId="1" fillId="0" borderId="0" xfId="1" applyFill="1"/>
    <xf numFmtId="166" fontId="1" fillId="0" borderId="0" xfId="1" applyNumberFormat="1" applyFill="1" applyAlignment="1">
      <alignment horizontal="center"/>
    </xf>
    <xf numFmtId="164" fontId="1" fillId="8" borderId="3" xfId="1" applyFill="1" applyBorder="1"/>
    <xf numFmtId="14" fontId="1" fillId="0" borderId="3" xfId="1" applyNumberFormat="1" applyBorder="1"/>
    <xf numFmtId="164" fontId="1" fillId="8" borderId="0" xfId="1" applyFill="1" applyBorder="1"/>
    <xf numFmtId="165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4" fontId="10" fillId="5" borderId="0" xfId="2" applyFont="1" applyFill="1"/>
    <xf numFmtId="164" fontId="10" fillId="5" borderId="0" xfId="3" applyFont="1" applyFill="1"/>
    <xf numFmtId="164" fontId="10" fillId="5" borderId="0" xfId="4" applyFont="1" applyFill="1"/>
    <xf numFmtId="165" fontId="1" fillId="6" borderId="0" xfId="1" applyNumberFormat="1" applyFill="1" applyAlignment="1">
      <alignment horizontal="center"/>
    </xf>
    <xf numFmtId="164" fontId="10" fillId="5" borderId="0" xfId="5" applyFont="1" applyFill="1"/>
    <xf numFmtId="164" fontId="1" fillId="8" borderId="2" xfId="1" applyFill="1" applyBorder="1"/>
    <xf numFmtId="164" fontId="10" fillId="5" borderId="0" xfId="6" applyFont="1" applyFill="1"/>
    <xf numFmtId="164" fontId="1" fillId="5" borderId="2" xfId="1" applyFill="1" applyBorder="1" applyAlignment="1">
      <alignment horizontal="center"/>
    </xf>
    <xf numFmtId="165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4" fontId="1" fillId="0" borderId="2" xfId="1" applyBorder="1"/>
    <xf numFmtId="165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4" fontId="1" fillId="9" borderId="0" xfId="1" applyFill="1" applyBorder="1"/>
    <xf numFmtId="165" fontId="1" fillId="0" borderId="3" xfId="1" applyNumberFormat="1" applyBorder="1" applyAlignment="1">
      <alignment horizontal="center"/>
    </xf>
    <xf numFmtId="1" fontId="11" fillId="9" borderId="0" xfId="7" quotePrefix="1" applyNumberFormat="1" applyFill="1" applyBorder="1"/>
    <xf numFmtId="1" fontId="1" fillId="0" borderId="0" xfId="1" applyNumberFormat="1" applyFill="1" applyBorder="1" applyAlignment="1">
      <alignment horizontal="center"/>
    </xf>
    <xf numFmtId="165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5" fontId="1" fillId="0" borderId="0" xfId="1" applyNumberFormat="1" applyBorder="1" applyAlignment="1">
      <alignment horizontal="center"/>
    </xf>
    <xf numFmtId="165" fontId="1" fillId="4" borderId="4" xfId="1" applyNumberFormat="1" applyFill="1" applyBorder="1" applyAlignment="1">
      <alignment horizontal="center"/>
    </xf>
    <xf numFmtId="164" fontId="1" fillId="0" borderId="4" xfId="1" applyBorder="1"/>
    <xf numFmtId="49" fontId="1" fillId="0" borderId="4" xfId="1" applyNumberFormat="1" applyFill="1" applyBorder="1" applyAlignment="1">
      <alignment horizontal="center"/>
    </xf>
    <xf numFmtId="164" fontId="1" fillId="5" borderId="4" xfId="1" applyFill="1" applyBorder="1"/>
    <xf numFmtId="164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5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4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4" fontId="1" fillId="10" borderId="0" xfId="1" applyFill="1" applyBorder="1"/>
    <xf numFmtId="164" fontId="1" fillId="5" borderId="5" xfId="1" applyFill="1" applyBorder="1"/>
    <xf numFmtId="164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5" fontId="1" fillId="0" borderId="5" xfId="1" applyNumberFormat="1" applyBorder="1" applyAlignment="1">
      <alignment horizontal="center"/>
    </xf>
    <xf numFmtId="0" fontId="1" fillId="0" borderId="5" xfId="1" applyNumberFormat="1" applyBorder="1"/>
    <xf numFmtId="164" fontId="11" fillId="10" borderId="0" xfId="7" applyFill="1" applyBorder="1"/>
    <xf numFmtId="165" fontId="1" fillId="4" borderId="0" xfId="1" applyNumberFormat="1" applyFill="1" applyBorder="1"/>
    <xf numFmtId="0" fontId="1" fillId="0" borderId="0" xfId="1" applyNumberFormat="1" applyBorder="1"/>
    <xf numFmtId="165" fontId="1" fillId="4" borderId="0" xfId="1" applyNumberFormat="1" applyFill="1"/>
    <xf numFmtId="49" fontId="1" fillId="0" borderId="0" xfId="1" applyNumberFormat="1" applyFill="1" applyAlignment="1">
      <alignment horizontal="center"/>
    </xf>
    <xf numFmtId="165" fontId="1" fillId="6" borderId="5" xfId="1" applyNumberFormat="1" applyFill="1" applyBorder="1"/>
    <xf numFmtId="164" fontId="1" fillId="11" borderId="5" xfId="1" applyFill="1" applyBorder="1"/>
    <xf numFmtId="164" fontId="1" fillId="0" borderId="3" xfId="1" applyBorder="1" applyAlignment="1">
      <alignment horizontal="center"/>
    </xf>
    <xf numFmtId="164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4" fontId="1" fillId="4" borderId="2" xfId="1" applyFill="1" applyBorder="1"/>
    <xf numFmtId="164" fontId="1" fillId="0" borderId="2" xfId="1" applyBorder="1" applyAlignment="1">
      <alignment horizontal="center"/>
    </xf>
    <xf numFmtId="164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5" fontId="1" fillId="4" borderId="6" xfId="1" applyNumberFormat="1" applyFill="1" applyBorder="1" applyAlignment="1">
      <alignment horizontal="center"/>
    </xf>
    <xf numFmtId="164" fontId="1" fillId="0" borderId="6" xfId="1" applyBorder="1"/>
    <xf numFmtId="49" fontId="1" fillId="0" borderId="6" xfId="1" applyNumberFormat="1" applyFill="1" applyBorder="1" applyAlignment="1">
      <alignment horizontal="center"/>
    </xf>
    <xf numFmtId="164" fontId="1" fillId="13" borderId="6" xfId="1" applyFill="1" applyBorder="1"/>
    <xf numFmtId="164" fontId="1" fillId="5" borderId="6" xfId="1" applyFill="1" applyBorder="1"/>
    <xf numFmtId="164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5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5" fontId="1" fillId="4" borderId="7" xfId="1" applyNumberFormat="1" applyFill="1" applyBorder="1" applyAlignment="1">
      <alignment horizontal="center"/>
    </xf>
    <xf numFmtId="164" fontId="1" fillId="0" borderId="7" xfId="1" applyBorder="1"/>
    <xf numFmtId="49" fontId="1" fillId="0" borderId="7" xfId="1" applyNumberFormat="1" applyFill="1" applyBorder="1" applyAlignment="1">
      <alignment horizontal="center"/>
    </xf>
    <xf numFmtId="164" fontId="1" fillId="14" borderId="7" xfId="1" applyFill="1" applyBorder="1"/>
    <xf numFmtId="164" fontId="1" fillId="5" borderId="7" xfId="1" applyFill="1" applyBorder="1"/>
    <xf numFmtId="164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5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5" fontId="1" fillId="6" borderId="0" xfId="1" applyNumberFormat="1" applyFill="1" applyBorder="1" applyAlignment="1">
      <alignment horizontal="center"/>
    </xf>
    <xf numFmtId="164" fontId="1" fillId="15" borderId="0" xfId="1" applyFill="1" applyBorder="1"/>
    <xf numFmtId="164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5" fontId="1" fillId="4" borderId="8" xfId="1" applyNumberFormat="1" applyFill="1" applyBorder="1" applyAlignment="1">
      <alignment horizontal="center"/>
    </xf>
    <xf numFmtId="164" fontId="1" fillId="0" borderId="8" xfId="1" applyBorder="1"/>
    <xf numFmtId="49" fontId="1" fillId="0" borderId="8" xfId="1" applyNumberFormat="1" applyFill="1" applyBorder="1" applyAlignment="1">
      <alignment horizontal="center"/>
    </xf>
    <xf numFmtId="164" fontId="1" fillId="5" borderId="8" xfId="1" applyFill="1" applyBorder="1"/>
    <xf numFmtId="164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5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4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5" fontId="1" fillId="6" borderId="9" xfId="1" applyNumberFormat="1" applyFill="1" applyBorder="1" applyAlignment="1">
      <alignment horizontal="center"/>
    </xf>
    <xf numFmtId="164" fontId="1" fillId="0" borderId="9" xfId="1" applyBorder="1"/>
    <xf numFmtId="49" fontId="1" fillId="0" borderId="9" xfId="1" applyNumberFormat="1" applyFill="1" applyBorder="1" applyAlignment="1">
      <alignment horizontal="center"/>
    </xf>
    <xf numFmtId="164" fontId="1" fillId="16" borderId="9" xfId="1" applyFill="1" applyBorder="1"/>
    <xf numFmtId="164" fontId="1" fillId="5" borderId="9" xfId="1" applyFill="1" applyBorder="1"/>
    <xf numFmtId="164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5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4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4" fontId="1" fillId="16" borderId="0" xfId="1" applyFill="1" applyBorder="1"/>
    <xf numFmtId="165" fontId="1" fillId="6" borderId="8" xfId="1" applyNumberFormat="1" applyFill="1" applyBorder="1" applyAlignment="1">
      <alignment horizontal="center"/>
    </xf>
    <xf numFmtId="164" fontId="1" fillId="16" borderId="8" xfId="1" applyFill="1" applyBorder="1"/>
    <xf numFmtId="165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4" fontId="3" fillId="17" borderId="2" xfId="1" applyFont="1" applyFill="1" applyBorder="1"/>
    <xf numFmtId="165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4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4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4" fontId="8" fillId="19" borderId="16" xfId="1" applyFont="1" applyFill="1" applyBorder="1"/>
    <xf numFmtId="164" fontId="8" fillId="19" borderId="0" xfId="1" applyFont="1" applyFill="1" applyBorder="1"/>
    <xf numFmtId="164" fontId="8" fillId="19" borderId="17" xfId="1" applyFont="1" applyFill="1" applyBorder="1"/>
    <xf numFmtId="164" fontId="8" fillId="20" borderId="0" xfId="1" applyFont="1" applyFill="1"/>
    <xf numFmtId="49" fontId="1" fillId="20" borderId="0" xfId="1" applyNumberFormat="1" applyFill="1" applyAlignment="1">
      <alignment horizontal="center"/>
    </xf>
    <xf numFmtId="164" fontId="8" fillId="0" borderId="0" xfId="1" applyFont="1" applyFill="1"/>
    <xf numFmtId="49" fontId="0" fillId="2" borderId="0" xfId="1" applyNumberFormat="1" applyFont="1" applyFill="1"/>
    <xf numFmtId="164" fontId="0" fillId="0" borderId="16" xfId="1" applyFont="1" applyFill="1" applyBorder="1" applyAlignment="1">
      <alignment horizontal="left"/>
    </xf>
    <xf numFmtId="164" fontId="8" fillId="0" borderId="0" xfId="1" applyFont="1" applyFill="1" applyBorder="1"/>
    <xf numFmtId="164" fontId="8" fillId="0" borderId="17" xfId="1" applyFont="1" applyFill="1" applyBorder="1"/>
    <xf numFmtId="164" fontId="0" fillId="0" borderId="16" xfId="1" applyFont="1" applyFill="1" applyBorder="1"/>
    <xf numFmtId="165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4" fontId="6" fillId="0" borderId="16" xfId="1" applyFont="1" applyFill="1" applyBorder="1" applyAlignment="1">
      <alignment vertical="center"/>
    </xf>
    <xf numFmtId="164" fontId="14" fillId="0" borderId="0" xfId="1" applyFont="1" applyFill="1" applyBorder="1" applyAlignment="1">
      <alignment vertical="center"/>
    </xf>
    <xf numFmtId="164" fontId="8" fillId="0" borderId="0" xfId="1" applyFont="1" applyFill="1" applyBorder="1" applyAlignment="1">
      <alignment vertical="center"/>
    </xf>
    <xf numFmtId="164" fontId="8" fillId="0" borderId="17" xfId="1" applyFont="1" applyFill="1" applyBorder="1" applyAlignment="1">
      <alignment vertical="center"/>
    </xf>
    <xf numFmtId="164" fontId="0" fillId="0" borderId="16" xfId="1" applyFont="1" applyFill="1" applyBorder="1" applyAlignment="1">
      <alignment vertical="center"/>
    </xf>
    <xf numFmtId="164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4" fontId="0" fillId="0" borderId="0" xfId="1" applyFont="1" applyFill="1" applyBorder="1" applyAlignment="1">
      <alignment vertical="center"/>
    </xf>
    <xf numFmtId="165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4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4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4" fontId="1" fillId="0" borderId="0" xfId="1" applyBorder="1" applyAlignment="1">
      <alignment vertical="center"/>
    </xf>
    <xf numFmtId="164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4" fontId="8" fillId="0" borderId="18" xfId="1" applyFont="1" applyFill="1" applyBorder="1" applyAlignment="1">
      <alignment vertical="center"/>
    </xf>
    <xf numFmtId="164" fontId="8" fillId="0" borderId="2" xfId="1" applyFont="1" applyFill="1" applyBorder="1" applyAlignment="1">
      <alignment vertical="center"/>
    </xf>
    <xf numFmtId="164" fontId="8" fillId="0" borderId="19" xfId="1" applyFont="1" applyFill="1" applyBorder="1" applyAlignment="1">
      <alignment vertical="center"/>
    </xf>
    <xf numFmtId="164" fontId="0" fillId="0" borderId="18" xfId="1" applyFont="1" applyFill="1" applyBorder="1" applyAlignment="1">
      <alignment vertical="center"/>
    </xf>
    <xf numFmtId="164" fontId="0" fillId="0" borderId="2" xfId="1" applyFont="1" applyFill="1" applyBorder="1" applyAlignment="1">
      <alignment vertical="center"/>
    </xf>
    <xf numFmtId="164" fontId="8" fillId="0" borderId="2" xfId="1" applyFont="1" applyFill="1" applyBorder="1"/>
    <xf numFmtId="165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4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4" fontId="1" fillId="0" borderId="20" xfId="1" applyBorder="1" applyAlignment="1">
      <alignment horizontal="left" vertical="center"/>
    </xf>
    <xf numFmtId="164" fontId="8" fillId="0" borderId="21" xfId="1" applyFont="1" applyFill="1" applyBorder="1" applyAlignment="1">
      <alignment vertical="center"/>
    </xf>
    <xf numFmtId="164" fontId="0" fillId="0" borderId="20" xfId="1" applyFont="1" applyFill="1" applyBorder="1" applyAlignment="1">
      <alignment vertical="center"/>
    </xf>
    <xf numFmtId="164" fontId="0" fillId="0" borderId="3" xfId="1" applyFont="1" applyFill="1" applyBorder="1" applyAlignment="1">
      <alignment vertical="center"/>
    </xf>
    <xf numFmtId="164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4" fontId="1" fillId="0" borderId="20" xfId="1" applyBorder="1" applyAlignment="1">
      <alignment vertical="center"/>
    </xf>
    <xf numFmtId="164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4" fontId="8" fillId="0" borderId="23" xfId="1" applyFont="1" applyFill="1" applyBorder="1" applyAlignment="1">
      <alignment vertical="center"/>
    </xf>
    <xf numFmtId="164" fontId="8" fillId="0" borderId="22" xfId="1" applyFont="1" applyFill="1" applyBorder="1" applyAlignment="1">
      <alignment vertical="center"/>
    </xf>
    <xf numFmtId="164" fontId="8" fillId="0" borderId="24" xfId="1" applyFont="1" applyFill="1" applyBorder="1" applyAlignment="1">
      <alignment vertical="center"/>
    </xf>
    <xf numFmtId="164" fontId="0" fillId="0" borderId="23" xfId="1" applyFont="1" applyFill="1" applyBorder="1" applyAlignment="1">
      <alignment vertical="center"/>
    </xf>
    <xf numFmtId="164" fontId="0" fillId="0" borderId="22" xfId="1" applyFont="1" applyFill="1" applyBorder="1" applyAlignment="1">
      <alignment vertical="center"/>
    </xf>
    <xf numFmtId="164" fontId="8" fillId="0" borderId="22" xfId="1" applyFont="1" applyFill="1" applyBorder="1"/>
    <xf numFmtId="165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4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4" fontId="1" fillId="0" borderId="26" xfId="1" applyBorder="1" applyAlignment="1">
      <alignment horizontal="left" vertical="center"/>
    </xf>
    <xf numFmtId="164" fontId="8" fillId="0" borderId="27" xfId="1" applyFont="1" applyFill="1" applyBorder="1" applyAlignment="1">
      <alignment vertical="center"/>
    </xf>
    <xf numFmtId="164" fontId="0" fillId="0" borderId="26" xfId="1" applyFont="1" applyFill="1" applyBorder="1" applyAlignment="1">
      <alignment vertical="center"/>
    </xf>
    <xf numFmtId="164" fontId="0" fillId="0" borderId="25" xfId="1" applyFont="1" applyFill="1" applyBorder="1" applyAlignment="1">
      <alignment vertical="center"/>
    </xf>
    <xf numFmtId="164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5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4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5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5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4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4" fontId="8" fillId="0" borderId="0" xfId="1" applyFont="1" applyFill="1" applyAlignment="1">
      <alignment horizontal="left"/>
    </xf>
    <xf numFmtId="164" fontId="0" fillId="0" borderId="26" xfId="1" applyFont="1" applyFill="1" applyBorder="1"/>
    <xf numFmtId="165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4" fontId="8" fillId="0" borderId="0" xfId="1" applyFont="1" applyFill="1" applyAlignment="1">
      <alignment vertical="center"/>
    </xf>
    <xf numFmtId="164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4" fontId="1" fillId="15" borderId="16" xfId="1" applyFill="1" applyBorder="1" applyAlignment="1">
      <alignment horizontal="left" vertical="center"/>
    </xf>
    <xf numFmtId="164" fontId="1" fillId="0" borderId="0" xfId="1" applyFill="1" applyBorder="1" applyAlignment="1">
      <alignment horizontal="left" vertical="center"/>
    </xf>
    <xf numFmtId="164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4" fontId="0" fillId="0" borderId="0" xfId="1" applyFont="1" applyFill="1"/>
    <xf numFmtId="164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4" fontId="8" fillId="11" borderId="2" xfId="1" applyFont="1" applyFill="1" applyBorder="1"/>
    <xf numFmtId="164" fontId="0" fillId="15" borderId="16" xfId="1" applyFont="1" applyFill="1" applyBorder="1" applyAlignment="1">
      <alignment vertical="center"/>
    </xf>
    <xf numFmtId="164" fontId="1" fillId="0" borderId="0" xfId="1" applyBorder="1" applyAlignment="1">
      <alignment horizontal="left" vertical="center"/>
    </xf>
    <xf numFmtId="164" fontId="1" fillId="20" borderId="0" xfId="1" applyFill="1" applyBorder="1" applyAlignment="1">
      <alignment horizontal="left" vertical="center"/>
    </xf>
    <xf numFmtId="164" fontId="8" fillId="10" borderId="0" xfId="1" applyFont="1" applyFill="1"/>
    <xf numFmtId="164" fontId="8" fillId="10" borderId="2" xfId="1" applyFont="1" applyFill="1" applyBorder="1"/>
    <xf numFmtId="164" fontId="8" fillId="2" borderId="0" xfId="1" applyFont="1" applyFill="1"/>
    <xf numFmtId="164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4" fontId="2" fillId="15" borderId="0" xfId="1" applyFont="1" applyFill="1"/>
    <xf numFmtId="164" fontId="8" fillId="2" borderId="2" xfId="1" applyFont="1" applyFill="1" applyBorder="1"/>
    <xf numFmtId="165" fontId="1" fillId="0" borderId="22" xfId="1" applyNumberFormat="1" applyFill="1" applyBorder="1" applyAlignment="1">
      <alignment horizontal="center" vertical="center"/>
    </xf>
    <xf numFmtId="164" fontId="8" fillId="14" borderId="0" xfId="1" applyFont="1" applyFill="1"/>
    <xf numFmtId="164" fontId="1" fillId="14" borderId="29" xfId="1" applyFill="1" applyBorder="1"/>
    <xf numFmtId="164" fontId="1" fillId="11" borderId="0" xfId="1" applyFill="1" applyBorder="1"/>
    <xf numFmtId="164" fontId="1" fillId="14" borderId="0" xfId="1" applyFill="1"/>
    <xf numFmtId="164" fontId="8" fillId="14" borderId="2" xfId="1" applyFont="1" applyFill="1" applyBorder="1"/>
    <xf numFmtId="164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4" fontId="1" fillId="8" borderId="4" xfId="1" applyFill="1" applyBorder="1"/>
    <xf numFmtId="164" fontId="0" fillId="16" borderId="0" xfId="1" applyFont="1" applyFill="1" applyBorder="1" applyAlignment="1">
      <alignment vertical="center"/>
    </xf>
    <xf numFmtId="164" fontId="1" fillId="16" borderId="0" xfId="1" applyFill="1"/>
    <xf numFmtId="164" fontId="1" fillId="16" borderId="29" xfId="1" applyFill="1" applyBorder="1"/>
    <xf numFmtId="164" fontId="1" fillId="6" borderId="0" xfId="1" applyFill="1" applyBorder="1" applyAlignment="1">
      <alignment vertical="center"/>
    </xf>
    <xf numFmtId="164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4" fontId="1" fillId="0" borderId="25" xfId="1" applyBorder="1" applyAlignment="1">
      <alignment horizontal="left" vertical="center"/>
    </xf>
    <xf numFmtId="164" fontId="8" fillId="0" borderId="25" xfId="1" applyFont="1" applyFill="1" applyBorder="1"/>
    <xf numFmtId="164" fontId="8" fillId="20" borderId="0" xfId="1" applyFont="1" applyFill="1" applyAlignment="1">
      <alignment horizontal="left"/>
    </xf>
    <xf numFmtId="164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5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4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4" fontId="8" fillId="0" borderId="33" xfId="1" applyFont="1" applyFill="1" applyBorder="1" applyAlignment="1">
      <alignment vertical="center"/>
    </xf>
    <xf numFmtId="164" fontId="8" fillId="0" borderId="36" xfId="1" applyFont="1" applyFill="1" applyBorder="1" applyAlignment="1">
      <alignment vertical="center"/>
    </xf>
    <xf numFmtId="164" fontId="0" fillId="0" borderId="34" xfId="1" applyFont="1" applyFill="1" applyBorder="1" applyAlignment="1">
      <alignment vertical="center"/>
    </xf>
    <xf numFmtId="164" fontId="0" fillId="8" borderId="33" xfId="1" applyFont="1" applyFill="1" applyBorder="1" applyAlignment="1">
      <alignment vertical="center"/>
    </xf>
    <xf numFmtId="165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4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4" fontId="1" fillId="0" borderId="3" xfId="1" applyBorder="1" applyAlignment="1">
      <alignment horizontal="left" vertical="center"/>
    </xf>
    <xf numFmtId="164" fontId="0" fillId="0" borderId="20" xfId="1" applyFont="1" applyFill="1" applyBorder="1"/>
    <xf numFmtId="164" fontId="8" fillId="0" borderId="3" xfId="1" applyFont="1" applyFill="1" applyBorder="1"/>
    <xf numFmtId="164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5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4" fontId="1" fillId="0" borderId="3" xfId="1" applyBorder="1" applyAlignment="1">
      <alignment vertical="center"/>
    </xf>
    <xf numFmtId="164" fontId="1" fillId="0" borderId="21" xfId="1" applyBorder="1" applyAlignment="1">
      <alignment vertical="center"/>
    </xf>
    <xf numFmtId="165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4" fontId="1" fillId="0" borderId="39" xfId="1" applyBorder="1"/>
    <xf numFmtId="164" fontId="1" fillId="0" borderId="40" xfId="1" applyBorder="1"/>
    <xf numFmtId="164" fontId="16" fillId="0" borderId="41" xfId="8" applyFont="1" applyBorder="1"/>
    <xf numFmtId="49" fontId="16" fillId="0" borderId="0" xfId="8" applyNumberFormat="1" applyFont="1"/>
    <xf numFmtId="164" fontId="1" fillId="0" borderId="0" xfId="8"/>
    <xf numFmtId="49" fontId="1" fillId="0" borderId="0" xfId="8" applyNumberFormat="1" applyAlignment="1">
      <alignment horizontal="right"/>
    </xf>
    <xf numFmtId="168" fontId="1" fillId="0" borderId="0" xfId="9" applyNumberFormat="1"/>
    <xf numFmtId="164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4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4" fontId="16" fillId="0" borderId="0" xfId="8" applyFont="1"/>
    <xf numFmtId="49" fontId="16" fillId="0" borderId="0" xfId="8" applyNumberFormat="1" applyFont="1" applyAlignment="1">
      <alignment horizontal="right"/>
    </xf>
    <xf numFmtId="168" fontId="16" fillId="0" borderId="0" xfId="9" applyNumberFormat="1" applyFont="1"/>
    <xf numFmtId="164" fontId="0" fillId="2" borderId="0" xfId="8" applyFont="1" applyFill="1"/>
    <xf numFmtId="49" fontId="0" fillId="2" borderId="0" xfId="8" applyNumberFormat="1" applyFont="1" applyFill="1"/>
    <xf numFmtId="164" fontId="0" fillId="0" borderId="0" xfId="10" applyFont="1" applyAlignment="1">
      <alignment vertical="top"/>
    </xf>
    <xf numFmtId="164" fontId="1" fillId="0" borderId="0" xfId="8" applyAlignment="1">
      <alignment vertical="center"/>
    </xf>
    <xf numFmtId="164" fontId="0" fillId="0" borderId="0" xfId="8" applyFont="1"/>
    <xf numFmtId="49" fontId="0" fillId="0" borderId="0" xfId="8" applyNumberFormat="1" applyFont="1" applyAlignment="1">
      <alignment horizontal="right"/>
    </xf>
    <xf numFmtId="164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4" fontId="0" fillId="0" borderId="0" xfId="10" applyFont="1" applyAlignment="1">
      <alignment vertical="center"/>
    </xf>
    <xf numFmtId="164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8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4" fontId="11" fillId="0" borderId="0" xfId="7"/>
    <xf numFmtId="49" fontId="1" fillId="2" borderId="0" xfId="8" applyNumberFormat="1" applyFill="1"/>
    <xf numFmtId="164" fontId="0" fillId="0" borderId="0" xfId="8" applyFont="1" applyFill="1"/>
    <xf numFmtId="164" fontId="1" fillId="0" borderId="0" xfId="11" applyAlignment="1">
      <alignment vertical="top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9" fillId="0" borderId="0" xfId="12" applyFont="1" applyAlignment="1">
      <alignment horizontal="center" vertical="center" wrapText="1"/>
    </xf>
    <xf numFmtId="164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8" fontId="0" fillId="0" borderId="0" xfId="9" applyNumberFormat="1" applyFont="1"/>
    <xf numFmtId="164" fontId="0" fillId="7" borderId="0" xfId="8" applyFont="1" applyFill="1"/>
    <xf numFmtId="164" fontId="0" fillId="21" borderId="0" xfId="8" applyFont="1" applyFill="1" applyAlignment="1">
      <alignment horizontal="center" wrapText="1"/>
    </xf>
    <xf numFmtId="164" fontId="2" fillId="7" borderId="0" xfId="8" applyFont="1" applyFill="1" applyAlignment="1">
      <alignment horizontal="center" vertical="center" wrapText="1"/>
    </xf>
    <xf numFmtId="164" fontId="2" fillId="7" borderId="0" xfId="8" applyFont="1" applyFill="1" applyAlignment="1">
      <alignment horizontal="center"/>
    </xf>
    <xf numFmtId="164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4" fontId="20" fillId="2" borderId="0" xfId="13" applyFont="1" applyFill="1" applyAlignment="1">
      <alignment vertical="top"/>
    </xf>
    <xf numFmtId="164" fontId="0" fillId="0" borderId="0" xfId="8" applyFont="1" applyAlignment="1">
      <alignment vertical="center" wrapText="1"/>
    </xf>
    <xf numFmtId="164" fontId="1" fillId="0" borderId="0" xfId="8" applyAlignment="1">
      <alignment vertical="center" wrapText="1"/>
    </xf>
    <xf numFmtId="164" fontId="1" fillId="0" borderId="0" xfId="8" applyFill="1"/>
    <xf numFmtId="49" fontId="20" fillId="2" borderId="0" xfId="13" applyNumberFormat="1" applyFont="1" applyFill="1" applyAlignment="1">
      <alignment vertical="top" wrapText="1"/>
    </xf>
    <xf numFmtId="164" fontId="14" fillId="0" borderId="0" xfId="8" applyFont="1" applyAlignment="1">
      <alignment vertical="center" wrapText="1"/>
    </xf>
    <xf numFmtId="164" fontId="0" fillId="15" borderId="0" xfId="8" applyFont="1" applyFill="1"/>
    <xf numFmtId="164" fontId="0" fillId="22" borderId="0" xfId="8" applyFont="1" applyFill="1"/>
    <xf numFmtId="164" fontId="8" fillId="0" borderId="0" xfId="8" applyFont="1"/>
    <xf numFmtId="164" fontId="2" fillId="0" borderId="0" xfId="8" applyFont="1"/>
    <xf numFmtId="164" fontId="21" fillId="0" borderId="0" xfId="11" applyFont="1" applyAlignment="1">
      <alignment vertical="center"/>
    </xf>
    <xf numFmtId="164" fontId="1" fillId="0" borderId="0" xfId="11"/>
    <xf numFmtId="164" fontId="2" fillId="0" borderId="42" xfId="8" applyFont="1" applyBorder="1"/>
    <xf numFmtId="49" fontId="1" fillId="0" borderId="43" xfId="8" applyNumberFormat="1" applyBorder="1"/>
    <xf numFmtId="164" fontId="2" fillId="2" borderId="42" xfId="8" applyFont="1" applyFill="1" applyBorder="1"/>
    <xf numFmtId="164" fontId="2" fillId="0" borderId="43" xfId="8" applyFont="1" applyBorder="1"/>
    <xf numFmtId="164" fontId="1" fillId="0" borderId="43" xfId="8" applyBorder="1"/>
    <xf numFmtId="164" fontId="1" fillId="0" borderId="44" xfId="8" applyBorder="1"/>
    <xf numFmtId="164" fontId="0" fillId="2" borderId="16" xfId="8" applyFont="1" applyFill="1" applyBorder="1"/>
    <xf numFmtId="49" fontId="0" fillId="0" borderId="0" xfId="8" applyNumberFormat="1" applyFont="1" applyBorder="1"/>
    <xf numFmtId="164" fontId="1" fillId="2" borderId="16" xfId="8" applyFill="1" applyBorder="1"/>
    <xf numFmtId="164" fontId="1" fillId="0" borderId="0" xfId="8" applyBorder="1"/>
    <xf numFmtId="164" fontId="1" fillId="0" borderId="17" xfId="8" applyBorder="1"/>
    <xf numFmtId="164" fontId="0" fillId="0" borderId="0" xfId="8" applyFont="1" applyBorder="1"/>
    <xf numFmtId="164" fontId="0" fillId="2" borderId="13" xfId="8" applyFont="1" applyFill="1" applyBorder="1"/>
    <xf numFmtId="49" fontId="0" fillId="0" borderId="15" xfId="8" applyNumberFormat="1" applyFont="1" applyBorder="1"/>
    <xf numFmtId="164" fontId="1" fillId="2" borderId="13" xfId="8" applyFill="1" applyBorder="1"/>
    <xf numFmtId="164" fontId="0" fillId="0" borderId="14" xfId="8" applyFont="1" applyBorder="1"/>
    <xf numFmtId="164" fontId="1" fillId="0" borderId="14" xfId="8" applyBorder="1"/>
    <xf numFmtId="164" fontId="1" fillId="0" borderId="15" xfId="8" applyBorder="1"/>
    <xf numFmtId="14" fontId="1" fillId="0" borderId="0" xfId="11" applyNumberFormat="1"/>
    <xf numFmtId="164" fontId="1" fillId="0" borderId="0" xfId="11" applyNumberFormat="1"/>
    <xf numFmtId="49" fontId="22" fillId="0" borderId="0" xfId="11" applyNumberFormat="1" applyFont="1"/>
    <xf numFmtId="169" fontId="1" fillId="10" borderId="0" xfId="11" applyNumberFormat="1" applyFill="1" applyAlignment="1">
      <alignment horizontal="left"/>
    </xf>
    <xf numFmtId="49" fontId="1" fillId="0" borderId="0" xfId="11" applyNumberFormat="1"/>
    <xf numFmtId="49" fontId="1" fillId="0" borderId="0" xfId="11" applyNumberFormat="1" applyAlignment="1">
      <alignment wrapText="1"/>
    </xf>
    <xf numFmtId="170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69" fontId="25" fillId="23" borderId="45" xfId="16" applyNumberFormat="1" applyFont="1" applyFill="1" applyBorder="1" applyAlignment="1">
      <alignment horizontal="center"/>
    </xf>
    <xf numFmtId="169" fontId="25" fillId="3" borderId="46" xfId="16" applyNumberFormat="1" applyFont="1" applyFill="1" applyBorder="1" applyAlignment="1">
      <alignment horizontal="center"/>
    </xf>
    <xf numFmtId="49" fontId="26" fillId="0" borderId="1" xfId="14" applyNumberFormat="1" applyFont="1" applyBorder="1" applyAlignment="1">
      <alignment horizontal="center" vertical="top" wrapText="1"/>
    </xf>
    <xf numFmtId="171" fontId="26" fillId="0" borderId="1" xfId="14" applyNumberFormat="1" applyFont="1" applyBorder="1" applyAlignment="1">
      <alignment horizontal="center" vertical="top" wrapText="1"/>
    </xf>
    <xf numFmtId="0" fontId="26" fillId="0" borderId="1" xfId="14" applyFont="1" applyBorder="1" applyAlignment="1">
      <alignment horizontal="center" vertical="top" wrapText="1"/>
    </xf>
    <xf numFmtId="4" fontId="26" fillId="0" borderId="1" xfId="14" applyNumberFormat="1" applyFont="1" applyBorder="1" applyAlignment="1">
      <alignment horizontal="center" vertical="top" wrapText="1"/>
    </xf>
    <xf numFmtId="4" fontId="26" fillId="24" borderId="1" xfId="14" applyNumberFormat="1" applyFont="1" applyFill="1" applyBorder="1" applyAlignment="1">
      <alignment horizontal="center" vertical="top" wrapText="1"/>
    </xf>
    <xf numFmtId="0" fontId="26" fillId="0" borderId="47" xfId="14" applyFont="1" applyBorder="1" applyAlignment="1">
      <alignment horizontal="center" vertical="top" wrapText="1"/>
    </xf>
    <xf numFmtId="0" fontId="9" fillId="3" borderId="1" xfId="14" applyFill="1" applyBorder="1"/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69" fontId="20" fillId="4" borderId="0" xfId="16" applyNumberFormat="1" applyFont="1" applyFill="1" applyAlignment="1">
      <alignment horizontal="center"/>
    </xf>
    <xf numFmtId="169" fontId="9" fillId="4" borderId="0" xfId="16" applyNumberFormat="1" applyFont="1" applyFill="1" applyAlignment="1">
      <alignment horizontal="center"/>
    </xf>
    <xf numFmtId="169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1" fontId="1" fillId="0" borderId="0" xfId="18" applyNumberFormat="1"/>
    <xf numFmtId="164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2" fontId="34" fillId="0" borderId="1" xfId="22" applyNumberFormat="1" applyFont="1" applyFill="1" applyBorder="1" applyAlignment="1">
      <alignment horizontal="center" vertical="top"/>
    </xf>
    <xf numFmtId="172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4" fontId="35" fillId="26" borderId="0" xfId="15" applyFont="1" applyFill="1" applyAlignment="1">
      <alignment horizontal="center" vertical="center" textRotation="90" wrapText="1"/>
    </xf>
    <xf numFmtId="164" fontId="20" fillId="21" borderId="0" xfId="15" applyFont="1" applyFill="1" applyAlignment="1">
      <alignment horizontal="center" vertical="center" textRotation="90" wrapText="1"/>
    </xf>
    <xf numFmtId="164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4" fontId="36" fillId="26" borderId="1" xfId="23" applyFont="1" applyFill="1" applyBorder="1" applyAlignment="1">
      <alignment horizontal="center" vertical="center" textRotation="90"/>
    </xf>
    <xf numFmtId="164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1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4" fontId="38" fillId="28" borderId="0" xfId="25" applyFont="1" applyFill="1"/>
    <xf numFmtId="164" fontId="38" fillId="28" borderId="0" xfId="25" applyFont="1" applyFill="1" applyAlignment="1">
      <alignment horizontal="center"/>
    </xf>
    <xf numFmtId="173" fontId="38" fillId="28" borderId="0" xfId="16" applyNumberFormat="1" applyFont="1" applyFill="1" applyAlignment="1">
      <alignment horizontal="center"/>
    </xf>
    <xf numFmtId="164" fontId="20" fillId="28" borderId="0" xfId="23" applyFont="1" applyFill="1" applyAlignment="1">
      <alignment horizontal="center" vertical="top"/>
    </xf>
    <xf numFmtId="164" fontId="20" fillId="28" borderId="0" xfId="23" applyFont="1" applyFill="1"/>
    <xf numFmtId="1" fontId="20" fillId="28" borderId="0" xfId="10" applyNumberFormat="1" applyFont="1" applyFill="1"/>
    <xf numFmtId="164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1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4" fontId="38" fillId="10" borderId="42" xfId="25" applyFont="1" applyFill="1" applyBorder="1" applyAlignment="1">
      <alignment horizontal="left"/>
    </xf>
    <xf numFmtId="173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4" fontId="20" fillId="0" borderId="0" xfId="23" applyFont="1"/>
    <xf numFmtId="164" fontId="20" fillId="0" borderId="0" xfId="23" applyFont="1" applyFill="1" applyAlignment="1">
      <alignment horizontal="center"/>
    </xf>
    <xf numFmtId="164" fontId="20" fillId="0" borderId="0" xfId="10" applyFont="1" applyFill="1"/>
    <xf numFmtId="164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2" fontId="20" fillId="10" borderId="44" xfId="22" applyNumberFormat="1" applyFont="1" applyFill="1" applyBorder="1" applyAlignment="1">
      <alignment horizontal="center"/>
    </xf>
    <xf numFmtId="164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4" fontId="38" fillId="18" borderId="16" xfId="25" applyFont="1" applyFill="1" applyBorder="1" applyAlignment="1">
      <alignment horizontal="left"/>
    </xf>
    <xf numFmtId="173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2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4" fontId="38" fillId="15" borderId="16" xfId="25" applyFont="1" applyFill="1" applyBorder="1" applyAlignment="1">
      <alignment horizontal="left"/>
    </xf>
    <xf numFmtId="173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2" fontId="20" fillId="15" borderId="17" xfId="22" applyNumberFormat="1" applyFont="1" applyFill="1" applyBorder="1" applyAlignment="1">
      <alignment horizontal="center"/>
    </xf>
    <xf numFmtId="164" fontId="20" fillId="0" borderId="0" xfId="17" applyFont="1" applyFill="1"/>
    <xf numFmtId="164" fontId="38" fillId="29" borderId="16" xfId="25" applyFont="1" applyFill="1" applyBorder="1"/>
    <xf numFmtId="173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2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4" fontId="40" fillId="2" borderId="47" xfId="25" applyFont="1" applyFill="1" applyBorder="1" applyAlignment="1">
      <alignment horizontal="left" vertical="center"/>
    </xf>
    <xf numFmtId="173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4" fontId="20" fillId="0" borderId="0" xfId="23" applyFont="1" applyAlignment="1">
      <alignment vertical="center"/>
    </xf>
    <xf numFmtId="164" fontId="20" fillId="0" borderId="0" xfId="23" applyFont="1" applyFill="1" applyAlignment="1">
      <alignment horizontal="center" vertical="center"/>
    </xf>
    <xf numFmtId="164" fontId="20" fillId="0" borderId="0" xfId="10" applyFont="1" applyFill="1" applyAlignment="1">
      <alignment vertical="center"/>
    </xf>
    <xf numFmtId="164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2" fontId="40" fillId="2" borderId="54" xfId="22" applyNumberFormat="1" applyFont="1" applyFill="1" applyBorder="1" applyAlignment="1">
      <alignment horizontal="center" vertical="center"/>
    </xf>
    <xf numFmtId="164" fontId="20" fillId="0" borderId="0" xfId="17" applyFont="1" applyFill="1" applyAlignment="1">
      <alignment vertical="center"/>
    </xf>
    <xf numFmtId="164" fontId="38" fillId="0" borderId="0" xfId="25" applyFont="1"/>
    <xf numFmtId="173" fontId="38" fillId="0" borderId="0" xfId="16" applyNumberFormat="1" applyFont="1" applyBorder="1" applyAlignment="1">
      <alignment horizontal="center"/>
    </xf>
    <xf numFmtId="164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1" fontId="20" fillId="0" borderId="0" xfId="27" applyNumberFormat="1" applyFont="1"/>
    <xf numFmtId="0" fontId="9" fillId="0" borderId="0" xfId="14" applyFont="1"/>
    <xf numFmtId="167" fontId="9" fillId="0" borderId="0" xfId="16" applyFont="1" applyFill="1"/>
    <xf numFmtId="167" fontId="42" fillId="0" borderId="0" xfId="16" applyFont="1" applyFill="1"/>
    <xf numFmtId="173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4" fontId="42" fillId="0" borderId="0" xfId="30" applyFont="1" applyFill="1"/>
    <xf numFmtId="173" fontId="9" fillId="3" borderId="0" xfId="16" applyNumberFormat="1" applyFill="1"/>
    <xf numFmtId="174" fontId="1" fillId="7" borderId="0" xfId="30" applyFill="1"/>
    <xf numFmtId="0" fontId="9" fillId="0" borderId="0" xfId="29" applyAlignment="1">
      <alignment horizontal="center"/>
    </xf>
    <xf numFmtId="167" fontId="2" fillId="6" borderId="49" xfId="16" applyNumberFormat="1" applyFont="1" applyFill="1" applyBorder="1" applyAlignment="1">
      <alignment horizontal="center"/>
    </xf>
    <xf numFmtId="174" fontId="1" fillId="0" borderId="0" xfId="30" applyFill="1" applyAlignment="1">
      <alignment horizontal="left" indent="2"/>
    </xf>
    <xf numFmtId="164" fontId="14" fillId="0" borderId="0" xfId="11" applyFont="1"/>
    <xf numFmtId="174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3" fontId="2" fillId="6" borderId="58" xfId="16" applyNumberFormat="1" applyFont="1" applyFill="1" applyBorder="1" applyAlignment="1">
      <alignment horizontal="center"/>
    </xf>
    <xf numFmtId="174" fontId="1" fillId="15" borderId="13" xfId="31" applyFill="1" applyBorder="1"/>
    <xf numFmtId="173" fontId="9" fillId="15" borderId="15" xfId="16" applyNumberFormat="1" applyFill="1" applyBorder="1" applyAlignment="1">
      <alignment horizontal="left" indent="1"/>
    </xf>
    <xf numFmtId="174" fontId="1" fillId="7" borderId="0" xfId="31" applyFill="1"/>
    <xf numFmtId="0" fontId="9" fillId="30" borderId="0" xfId="29" applyFill="1"/>
    <xf numFmtId="0" fontId="9" fillId="15" borderId="0" xfId="29" applyFill="1"/>
    <xf numFmtId="173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4" fontId="44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horizontal="center" vertical="center" wrapText="1"/>
    </xf>
    <xf numFmtId="164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4" fontId="43" fillId="0" borderId="59" xfId="33" applyFont="1" applyBorder="1" applyAlignment="1">
      <alignment vertical="center" wrapText="1"/>
    </xf>
    <xf numFmtId="164" fontId="46" fillId="0" borderId="59" xfId="33" applyFont="1" applyBorder="1" applyAlignment="1">
      <alignment horizontal="center" vertical="center" wrapText="1"/>
    </xf>
    <xf numFmtId="164" fontId="47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4" fontId="43" fillId="32" borderId="59" xfId="33" applyFill="1" applyBorder="1" applyAlignment="1">
      <alignment horizontal="center" vertical="center" wrapText="1"/>
    </xf>
    <xf numFmtId="164" fontId="43" fillId="0" borderId="59" xfId="33" applyBorder="1" applyAlignment="1">
      <alignment horizontal="left" vertical="center" wrapText="1"/>
    </xf>
    <xf numFmtId="166" fontId="46" fillId="0" borderId="59" xfId="33" applyNumberFormat="1" applyFont="1" applyBorder="1" applyAlignment="1">
      <alignment horizontal="center" vertical="center" wrapText="1"/>
    </xf>
    <xf numFmtId="164" fontId="49" fillId="0" borderId="59" xfId="33" applyFont="1" applyBorder="1" applyAlignment="1">
      <alignment horizontal="center" vertical="center" wrapText="1"/>
    </xf>
    <xf numFmtId="165" fontId="43" fillId="0" borderId="59" xfId="33" applyNumberFormat="1" applyBorder="1" applyAlignment="1">
      <alignment horizontal="center" vertical="center" wrapText="1"/>
    </xf>
    <xf numFmtId="164" fontId="43" fillId="0" borderId="0" xfId="33" applyAlignment="1">
      <alignment horizontal="left" vertical="center" wrapText="1"/>
    </xf>
    <xf numFmtId="166" fontId="43" fillId="0" borderId="59" xfId="33" applyNumberFormat="1" applyBorder="1" applyAlignment="1">
      <alignment horizontal="center" vertical="center" wrapText="1"/>
    </xf>
    <xf numFmtId="164" fontId="50" fillId="0" borderId="59" xfId="33" applyFont="1" applyBorder="1" applyAlignment="1">
      <alignment horizontal="center" vertical="center" wrapText="1"/>
    </xf>
    <xf numFmtId="164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69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7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4" fontId="44" fillId="8" borderId="59" xfId="33" applyFont="1" applyFill="1" applyBorder="1" applyAlignment="1">
      <alignment vertical="center" wrapText="1"/>
    </xf>
    <xf numFmtId="164" fontId="44" fillId="33" borderId="59" xfId="33" applyFont="1" applyFill="1" applyBorder="1" applyAlignment="1">
      <alignment horizontal="center" vertical="center" wrapText="1"/>
    </xf>
    <xf numFmtId="164" fontId="52" fillId="33" borderId="59" xfId="33" applyFont="1" applyFill="1" applyBorder="1" applyAlignment="1">
      <alignment horizontal="center" vertical="center" wrapText="1"/>
    </xf>
    <xf numFmtId="164" fontId="53" fillId="33" borderId="59" xfId="33" applyFont="1" applyFill="1" applyBorder="1" applyAlignment="1">
      <alignment horizontal="center" vertical="center" wrapText="1"/>
    </xf>
    <xf numFmtId="167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4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4" fontId="22" fillId="0" borderId="0" xfId="11" applyFont="1"/>
    <xf numFmtId="169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4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4" fontId="1" fillId="0" borderId="0" xfId="17"/>
    <xf numFmtId="49" fontId="1" fillId="0" borderId="0" xfId="11" applyNumberFormat="1" applyAlignment="1">
      <alignment horizontal="center"/>
    </xf>
    <xf numFmtId="164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4" fontId="1" fillId="2" borderId="0" xfId="11" applyFill="1"/>
    <xf numFmtId="164" fontId="1" fillId="0" borderId="0" xfId="11" applyAlignment="1">
      <alignment horizontal="center"/>
    </xf>
    <xf numFmtId="164" fontId="0" fillId="0" borderId="0" xfId="17" applyFont="1" applyFill="1" applyAlignment="1">
      <alignment horizontal="center" vertical="top"/>
    </xf>
    <xf numFmtId="164" fontId="20" fillId="0" borderId="0" xfId="36" applyFont="1" applyFill="1" applyAlignment="1">
      <alignment horizontal="center" vertical="top"/>
    </xf>
    <xf numFmtId="164" fontId="20" fillId="2" borderId="0" xfId="36" applyFont="1" applyFill="1" applyAlignment="1">
      <alignment horizontal="center" vertical="top"/>
    </xf>
    <xf numFmtId="164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4" fontId="1" fillId="34" borderId="0" xfId="11" applyFill="1"/>
    <xf numFmtId="164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4" fontId="55" fillId="6" borderId="1" xfId="37" applyFont="1" applyFill="1" applyBorder="1" applyAlignment="1">
      <alignment vertical="top"/>
    </xf>
    <xf numFmtId="164" fontId="55" fillId="10" borderId="1" xfId="37" applyFont="1" applyFill="1" applyBorder="1" applyAlignment="1">
      <alignment vertical="top"/>
    </xf>
    <xf numFmtId="164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1" fontId="20" fillId="0" borderId="0" xfId="36" applyNumberFormat="1" applyFont="1" applyFill="1" applyAlignment="1">
      <alignment vertical="top"/>
    </xf>
    <xf numFmtId="164" fontId="1" fillId="7" borderId="0" xfId="17" applyFill="1" applyAlignment="1">
      <alignment vertical="top"/>
    </xf>
    <xf numFmtId="164" fontId="1" fillId="2" borderId="0" xfId="17" applyFill="1" applyAlignment="1">
      <alignment vertical="top"/>
    </xf>
    <xf numFmtId="164" fontId="2" fillId="26" borderId="0" xfId="17" applyFont="1" applyFill="1" applyAlignment="1">
      <alignment vertical="top"/>
    </xf>
    <xf numFmtId="164" fontId="1" fillId="0" borderId="0" xfId="17" applyAlignment="1">
      <alignment vertical="top"/>
    </xf>
    <xf numFmtId="164" fontId="0" fillId="30" borderId="0" xfId="17" applyFont="1" applyFill="1"/>
    <xf numFmtId="164" fontId="1" fillId="15" borderId="0" xfId="17" applyFill="1"/>
    <xf numFmtId="171" fontId="1" fillId="15" borderId="0" xfId="17" applyNumberFormat="1" applyFill="1"/>
    <xf numFmtId="164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4" fontId="1" fillId="37" borderId="0" xfId="17" applyFill="1" applyAlignment="1">
      <alignment horizontal="center" vertical="center"/>
    </xf>
    <xf numFmtId="167" fontId="0" fillId="37" borderId="0" xfId="9" applyFont="1" applyFill="1" applyAlignment="1">
      <alignment horizontal="center" vertical="center"/>
    </xf>
    <xf numFmtId="164" fontId="20" fillId="6" borderId="0" xfId="36" applyFont="1" applyFill="1" applyAlignment="1">
      <alignment vertical="top"/>
    </xf>
    <xf numFmtId="164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4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4" fontId="20" fillId="15" borderId="0" xfId="36" applyFont="1" applyFill="1" applyAlignment="1">
      <alignment horizontal="center" vertical="top"/>
    </xf>
    <xf numFmtId="164" fontId="20" fillId="6" borderId="0" xfId="36" applyFont="1" applyFill="1" applyAlignment="1">
      <alignment horizontal="center" vertical="top"/>
    </xf>
    <xf numFmtId="164" fontId="1" fillId="6" borderId="0" xfId="11" applyFill="1"/>
    <xf numFmtId="164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4" fontId="9" fillId="38" borderId="0" xfId="36" applyFont="1" applyFill="1" applyAlignment="1">
      <alignment vertical="top"/>
    </xf>
    <xf numFmtId="164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4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4" fontId="9" fillId="0" borderId="0" xfId="36" quotePrefix="1" applyFont="1" applyFill="1" applyAlignment="1">
      <alignment horizontal="center" vertical="top" wrapText="1"/>
    </xf>
    <xf numFmtId="164" fontId="9" fillId="0" borderId="0" xfId="36" applyFont="1" applyFill="1" applyAlignment="1">
      <alignment horizontal="center" vertical="top"/>
    </xf>
    <xf numFmtId="164" fontId="28" fillId="38" borderId="0" xfId="36" applyFont="1" applyFill="1" applyAlignment="1">
      <alignment horizontal="center" vertical="top"/>
    </xf>
    <xf numFmtId="164" fontId="1" fillId="38" borderId="0" xfId="11" applyFill="1"/>
    <xf numFmtId="164" fontId="1" fillId="0" borderId="0" xfId="11" applyFill="1"/>
    <xf numFmtId="164" fontId="0" fillId="0" borderId="0" xfId="11" applyFont="1"/>
    <xf numFmtId="164" fontId="58" fillId="0" borderId="0" xfId="11" applyFont="1"/>
    <xf numFmtId="164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4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center" vertical="center" wrapText="1"/>
    </xf>
    <xf numFmtId="164" fontId="43" fillId="32" borderId="61" xfId="33" applyFont="1" applyFill="1" applyBorder="1" applyAlignment="1">
      <alignment horizontal="center" vertical="center" wrapText="1"/>
    </xf>
    <xf numFmtId="164" fontId="43" fillId="10" borderId="59" xfId="33" applyFont="1" applyFill="1" applyBorder="1" applyAlignment="1">
      <alignment horizontal="left" vertical="center" wrapText="1"/>
    </xf>
    <xf numFmtId="166" fontId="46" fillId="10" borderId="59" xfId="33" applyNumberFormat="1" applyFont="1" applyFill="1" applyBorder="1" applyAlignment="1">
      <alignment horizontal="center" vertical="center" wrapText="1"/>
    </xf>
    <xf numFmtId="166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4" fontId="0" fillId="10" borderId="1" xfId="11" applyFont="1" applyFill="1" applyBorder="1" applyAlignment="1">
      <alignment horizontal="center" vertical="center" wrapText="1"/>
    </xf>
    <xf numFmtId="164" fontId="0" fillId="3" borderId="1" xfId="11" applyFont="1" applyFill="1" applyBorder="1" applyAlignment="1">
      <alignment horizontal="center" vertical="center" wrapText="1"/>
    </xf>
    <xf numFmtId="164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4" fontId="6" fillId="0" borderId="0" xfId="11" applyFont="1"/>
    <xf numFmtId="49" fontId="1" fillId="3" borderId="0" xfId="11" applyNumberFormat="1" applyFill="1"/>
    <xf numFmtId="164" fontId="44" fillId="16" borderId="59" xfId="33" applyFont="1" applyFill="1" applyBorder="1" applyAlignment="1">
      <alignment horizontal="center" vertical="center"/>
    </xf>
    <xf numFmtId="164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4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4" fontId="2" fillId="0" borderId="47" xfId="11" applyFont="1" applyBorder="1" applyAlignment="1">
      <alignment horizontal="center" vertical="center" textRotation="90"/>
    </xf>
    <xf numFmtId="164" fontId="2" fillId="0" borderId="1" xfId="11" applyFont="1" applyBorder="1" applyAlignment="1">
      <alignment horizontal="center" vertical="center"/>
    </xf>
    <xf numFmtId="164" fontId="2" fillId="0" borderId="44" xfId="11" applyNumberFormat="1" applyFont="1" applyBorder="1" applyAlignment="1">
      <alignment textRotation="90"/>
    </xf>
    <xf numFmtId="164" fontId="2" fillId="36" borderId="44" xfId="11" quotePrefix="1" applyNumberFormat="1" applyFont="1" applyFill="1" applyBorder="1" applyAlignment="1">
      <alignment vertical="center" textRotation="90"/>
    </xf>
    <xf numFmtId="164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4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4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4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4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4" fontId="38" fillId="0" borderId="0" xfId="25" applyFont="1" applyFill="1"/>
    <xf numFmtId="164" fontId="20" fillId="0" borderId="0" xfId="23" applyFont="1" applyFill="1"/>
    <xf numFmtId="49" fontId="20" fillId="0" borderId="0" xfId="17" applyNumberFormat="1" applyFont="1" applyFill="1"/>
    <xf numFmtId="171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4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4" fontId="1" fillId="0" borderId="0" xfId="17" applyFill="1"/>
    <xf numFmtId="164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4" fontId="2" fillId="6" borderId="68" xfId="17" applyFont="1" applyFill="1" applyBorder="1" applyAlignment="1">
      <alignment horizontal="center"/>
    </xf>
    <xf numFmtId="164" fontId="1" fillId="0" borderId="0" xfId="11" applyFill="1" applyAlignment="1">
      <alignment horizontal="left" vertical="center"/>
    </xf>
    <xf numFmtId="164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4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69" fontId="60" fillId="23" borderId="45" xfId="16" applyNumberFormat="1" applyFont="1" applyFill="1" applyBorder="1" applyAlignment="1">
      <alignment horizontal="center" vertical="center" wrapText="1"/>
    </xf>
    <xf numFmtId="171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1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4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4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4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69" fontId="25" fillId="23" borderId="45" xfId="16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vertical="center"/>
    </xf>
    <xf numFmtId="169" fontId="25" fillId="6" borderId="45" xfId="16" applyNumberFormat="1" applyFont="1" applyFill="1" applyBorder="1" applyAlignment="1">
      <alignment horizontal="center" vertical="center"/>
    </xf>
    <xf numFmtId="169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69" fontId="9" fillId="41" borderId="0" xfId="16" applyNumberFormat="1" applyFont="1" applyFill="1" applyAlignment="1">
      <alignment horizontal="center" vertical="center"/>
    </xf>
    <xf numFmtId="169" fontId="9" fillId="42" borderId="0" xfId="16" applyNumberFormat="1" applyFont="1" applyFill="1" applyAlignment="1">
      <alignment horizontal="center" vertical="center"/>
    </xf>
    <xf numFmtId="169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 wrapText="1"/>
    </xf>
    <xf numFmtId="169" fontId="25" fillId="6" borderId="45" xfId="16" applyNumberFormat="1" applyFont="1" applyFill="1" applyBorder="1" applyAlignment="1">
      <alignment horizontal="center"/>
    </xf>
    <xf numFmtId="169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69" fontId="9" fillId="26" borderId="0" xfId="16" applyNumberFormat="1" applyFont="1" applyFill="1" applyAlignment="1">
      <alignment horizontal="center"/>
    </xf>
    <xf numFmtId="169" fontId="9" fillId="41" borderId="0" xfId="16" applyNumberFormat="1" applyFont="1" applyFill="1" applyAlignment="1">
      <alignment horizontal="center"/>
    </xf>
    <xf numFmtId="169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4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69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4" fontId="6" fillId="0" borderId="0" xfId="1" applyFont="1" applyFill="1" applyBorder="1" applyAlignment="1">
      <alignment vertical="center"/>
    </xf>
    <xf numFmtId="166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3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5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4" fontId="0" fillId="0" borderId="20" xfId="1" applyFont="1" applyBorder="1" applyAlignment="1">
      <alignment horizontal="left" vertical="center"/>
    </xf>
    <xf numFmtId="164" fontId="0" fillId="8" borderId="16" xfId="1" applyFont="1" applyFill="1" applyBorder="1" applyAlignment="1">
      <alignment vertical="center"/>
    </xf>
    <xf numFmtId="165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4" fontId="1" fillId="6" borderId="16" xfId="1" applyFill="1" applyBorder="1" applyAlignment="1">
      <alignment horizontal="left" vertical="center"/>
    </xf>
    <xf numFmtId="164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6" fontId="9" fillId="0" borderId="0" xfId="14" applyNumberFormat="1"/>
    <xf numFmtId="164" fontId="8" fillId="7" borderId="0" xfId="1" applyFont="1" applyFill="1"/>
    <xf numFmtId="164" fontId="1" fillId="7" borderId="0" xfId="1" applyFill="1"/>
    <xf numFmtId="164" fontId="8" fillId="7" borderId="2" xfId="1" applyFont="1" applyFill="1" applyBorder="1"/>
    <xf numFmtId="164" fontId="0" fillId="0" borderId="16" xfId="1" applyNumberFormat="1" applyFont="1" applyFill="1" applyBorder="1" applyAlignment="1">
      <alignment horizontal="center" vertical="center"/>
    </xf>
    <xf numFmtId="0" fontId="0" fillId="0" borderId="0" xfId="1" applyNumberFormat="1" applyFont="1" applyFill="1" applyBorder="1" applyAlignment="1">
      <alignment horizontal="center" vertical="center"/>
    </xf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4" fontId="1" fillId="15" borderId="0" xfId="1" applyFill="1"/>
    <xf numFmtId="164" fontId="0" fillId="0" borderId="0" xfId="1" applyFont="1" applyBorder="1"/>
    <xf numFmtId="49" fontId="0" fillId="0" borderId="3" xfId="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wrapText="1"/>
    </xf>
    <xf numFmtId="49" fontId="0" fillId="0" borderId="0" xfId="1" applyNumberFormat="1" applyFont="1" applyFill="1" applyAlignment="1">
      <alignment horizontal="center" vertical="center"/>
    </xf>
    <xf numFmtId="165" fontId="1" fillId="20" borderId="25" xfId="1" applyNumberFormat="1" applyFill="1" applyBorder="1" applyAlignment="1">
      <alignment horizontal="center" vertical="center"/>
    </xf>
    <xf numFmtId="49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7" fontId="8" fillId="15" borderId="55" xfId="11" applyNumberFormat="1" applyFont="1" applyFill="1" applyBorder="1" applyAlignment="1">
      <alignment horizontal="center" vertical="center"/>
    </xf>
    <xf numFmtId="167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1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4" fontId="0" fillId="6" borderId="0" xfId="17" applyFont="1" applyFill="1" applyAlignment="1">
      <alignment horizontal="center" vertical="center"/>
    </xf>
    <xf numFmtId="164" fontId="0" fillId="7" borderId="0" xfId="17" applyFont="1" applyFill="1" applyAlignment="1">
      <alignment vertical="top"/>
    </xf>
    <xf numFmtId="0" fontId="0" fillId="0" borderId="0" xfId="11" applyNumberFormat="1" applyFont="1"/>
    <xf numFmtId="164" fontId="20" fillId="2" borderId="0" xfId="36" applyFont="1" applyFill="1" applyAlignment="1">
      <alignment horizontal="center" vertical="center"/>
    </xf>
    <xf numFmtId="164" fontId="20" fillId="0" borderId="0" xfId="36" applyFont="1" applyFill="1" applyAlignment="1">
      <alignment horizontal="center" vertical="center"/>
    </xf>
    <xf numFmtId="164" fontId="20" fillId="15" borderId="0" xfId="36" applyFont="1" applyFill="1" applyAlignment="1">
      <alignment horizontal="center" vertical="center"/>
    </xf>
    <xf numFmtId="164" fontId="9" fillId="0" borderId="0" xfId="36" quotePrefix="1" applyFont="1" applyFill="1" applyAlignment="1">
      <alignment horizontal="center" vertical="center" wrapText="1"/>
    </xf>
    <xf numFmtId="164" fontId="20" fillId="6" borderId="0" xfId="36" applyFont="1" applyFill="1" applyAlignment="1">
      <alignment horizontal="center" vertical="center"/>
    </xf>
    <xf numFmtId="164" fontId="1" fillId="6" borderId="0" xfId="11" applyFill="1" applyAlignment="1">
      <alignment horizontal="center" vertical="center"/>
    </xf>
    <xf numFmtId="164" fontId="1" fillId="6" borderId="0" xfId="11" applyFill="1" applyAlignment="1">
      <alignment vertical="center"/>
    </xf>
    <xf numFmtId="164" fontId="0" fillId="0" borderId="0" xfId="11" applyFont="1" applyAlignment="1">
      <alignment vertical="center"/>
    </xf>
    <xf numFmtId="0" fontId="67" fillId="0" borderId="0" xfId="0" applyFont="1"/>
    <xf numFmtId="164" fontId="28" fillId="38" borderId="0" xfId="36" applyFont="1" applyFill="1" applyAlignment="1">
      <alignment horizontal="center" vertical="center"/>
    </xf>
    <xf numFmtId="164" fontId="0" fillId="0" borderId="0" xfId="1" applyFont="1" applyBorder="1" applyAlignment="1">
      <alignment vertical="center"/>
    </xf>
    <xf numFmtId="49" fontId="0" fillId="20" borderId="3" xfId="1" applyNumberFormat="1" applyFont="1" applyFill="1" applyBorder="1" applyAlignment="1">
      <alignment horizontal="center" vertical="center"/>
    </xf>
    <xf numFmtId="164" fontId="1" fillId="20" borderId="0" xfId="1" applyFill="1" applyAlignment="1">
      <alignment wrapText="1"/>
    </xf>
    <xf numFmtId="49" fontId="0" fillId="0" borderId="0" xfId="1" applyNumberFormat="1" applyFont="1" applyFill="1" applyBorder="1" applyAlignment="1">
      <alignment horizontal="center" vertical="center"/>
    </xf>
    <xf numFmtId="0" fontId="63" fillId="0" borderId="0" xfId="46" applyFont="1"/>
    <xf numFmtId="0" fontId="66" fillId="0" borderId="0" xfId="46" applyFont="1"/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4" fontId="0" fillId="15" borderId="8" xfId="1" applyFont="1" applyFill="1" applyBorder="1"/>
    <xf numFmtId="164" fontId="1" fillId="0" borderId="0" xfId="11" applyFont="1"/>
    <xf numFmtId="164" fontId="7" fillId="0" borderId="0" xfId="1" applyFont="1" applyAlignment="1">
      <alignment textRotation="90"/>
    </xf>
    <xf numFmtId="164" fontId="1" fillId="0" borderId="0" xfId="1" applyAlignment="1"/>
    <xf numFmtId="164" fontId="7" fillId="0" borderId="0" xfId="1" applyFont="1" applyAlignment="1">
      <alignment horizontal="center" textRotation="90" wrapText="1"/>
    </xf>
    <xf numFmtId="164" fontId="1" fillId="0" borderId="0" xfId="1" applyAlignment="1">
      <alignment horizontal="center"/>
    </xf>
    <xf numFmtId="164" fontId="7" fillId="0" borderId="0" xfId="1" applyFont="1" applyAlignment="1">
      <alignment horizontal="center" textRotation="90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4" fontId="15" fillId="0" borderId="10" xfId="1" applyFont="1" applyBorder="1" applyAlignment="1">
      <alignment horizontal="center"/>
    </xf>
    <xf numFmtId="164" fontId="15" fillId="0" borderId="11" xfId="1" applyFont="1" applyBorder="1" applyAlignment="1">
      <alignment horizontal="center"/>
    </xf>
    <xf numFmtId="164" fontId="15" fillId="0" borderId="12" xfId="1" applyFont="1" applyBorder="1" applyAlignment="1">
      <alignment horizontal="center"/>
    </xf>
    <xf numFmtId="164" fontId="0" fillId="7" borderId="0" xfId="8" applyFont="1" applyFill="1" applyAlignment="1">
      <alignment horizontal="center"/>
    </xf>
    <xf numFmtId="164" fontId="1" fillId="7" borderId="0" xfId="11" applyFill="1" applyAlignment="1">
      <alignment horizontal="center"/>
    </xf>
    <xf numFmtId="164" fontId="1" fillId="0" borderId="0" xfId="11" applyAlignment="1"/>
    <xf numFmtId="164" fontId="18" fillId="10" borderId="2" xfId="8" applyFont="1" applyFill="1" applyBorder="1" applyAlignment="1">
      <alignment horizontal="center"/>
    </xf>
    <xf numFmtId="164" fontId="18" fillId="10" borderId="2" xfId="11" applyFont="1" applyFill="1" applyBorder="1" applyAlignment="1">
      <alignment horizontal="center"/>
    </xf>
    <xf numFmtId="164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4" fontId="1" fillId="0" borderId="57" xfId="11" applyBorder="1" applyAlignment="1">
      <alignment horizontal="center" vertical="center"/>
    </xf>
    <xf numFmtId="167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26" fillId="18" borderId="47" xfId="14" applyFont="1" applyFill="1" applyBorder="1" applyAlignment="1">
      <alignment horizontal="center" vertical="center" wrapText="1"/>
    </xf>
    <xf numFmtId="164" fontId="1" fillId="18" borderId="51" xfId="11" applyFill="1" applyBorder="1" applyAlignment="1">
      <alignment horizontal="center" vertical="center" wrapText="1"/>
    </xf>
    <xf numFmtId="164" fontId="1" fillId="37" borderId="72" xfId="17" applyFill="1" applyBorder="1" applyAlignment="1">
      <alignment vertical="center" wrapText="1"/>
    </xf>
    <xf numFmtId="164" fontId="1" fillId="37" borderId="43" xfId="11" applyFill="1" applyBorder="1" applyAlignment="1">
      <alignment vertical="center" wrapText="1"/>
    </xf>
    <xf numFmtId="0" fontId="2" fillId="30" borderId="59" xfId="11" applyNumberFormat="1" applyFont="1" applyFill="1" applyBorder="1" applyAlignment="1">
      <alignment horizontal="center" vertical="center" wrapText="1"/>
    </xf>
    <xf numFmtId="164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4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4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</cellXfs>
  <cellStyles count="47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4" xfId="10"/>
    <cellStyle name="Normal 61" xfId="17"/>
    <cellStyle name="Normal 61 2" xfId="31"/>
    <cellStyle name="Normal 69" xfId="2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147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96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96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95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96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96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96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147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155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155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139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139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2"/>
  <sheetViews>
    <sheetView zoomScale="90" zoomScaleNormal="90" workbookViewId="0">
      <pane xSplit="2" ySplit="3" topLeftCell="C40" activePane="bottomRight" state="frozen"/>
      <selection pane="topRight" activeCell="C1" sqref="C1"/>
      <selection pane="bottomLeft" activeCell="A4" sqref="A4"/>
      <selection pane="bottomRight" activeCell="G53" sqref="G53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9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41529.073333333334</v>
      </c>
      <c r="C1" s="3" t="s">
        <v>0</v>
      </c>
      <c r="J1" s="4" t="s">
        <v>1</v>
      </c>
      <c r="K1" s="5"/>
      <c r="L1" s="6"/>
      <c r="M1" s="6"/>
      <c r="N1" s="6"/>
      <c r="O1" s="930" t="s">
        <v>2</v>
      </c>
      <c r="P1" s="932" t="s">
        <v>1200</v>
      </c>
      <c r="Q1" s="932" t="s">
        <v>1199</v>
      </c>
      <c r="R1" s="934" t="s">
        <v>3</v>
      </c>
      <c r="S1" s="934" t="s">
        <v>4</v>
      </c>
      <c r="V1" s="934" t="s">
        <v>1194</v>
      </c>
      <c r="W1" s="934" t="s">
        <v>1195</v>
      </c>
      <c r="X1" s="934" t="s">
        <v>1196</v>
      </c>
      <c r="Y1" s="934" t="s">
        <v>1197</v>
      </c>
      <c r="Z1" s="934" t="s">
        <v>1198</v>
      </c>
    </row>
    <row r="2" spans="1:27" ht="29.25" customHeight="1" x14ac:dyDescent="0.25">
      <c r="O2" s="931"/>
      <c r="P2" s="933"/>
      <c r="Q2" s="933"/>
      <c r="R2" s="933"/>
      <c r="S2" s="933"/>
      <c r="V2" s="933"/>
      <c r="W2" s="933"/>
      <c r="X2" s="933"/>
      <c r="Y2" s="933"/>
      <c r="Z2" s="933"/>
    </row>
    <row r="3" spans="1:27" s="8" customFormat="1" x14ac:dyDescent="0.25">
      <c r="A3" s="8" t="s">
        <v>5</v>
      </c>
      <c r="B3" s="8" t="s">
        <v>6</v>
      </c>
      <c r="C3" s="9" t="s">
        <v>7</v>
      </c>
      <c r="D3" s="8" t="s">
        <v>8</v>
      </c>
      <c r="E3" s="8" t="s">
        <v>9</v>
      </c>
      <c r="F3" s="8" t="s">
        <v>10</v>
      </c>
      <c r="G3" s="8" t="s">
        <v>11</v>
      </c>
      <c r="H3" s="8" t="s">
        <v>12</v>
      </c>
      <c r="I3" s="8" t="s">
        <v>13</v>
      </c>
      <c r="J3" s="10" t="s">
        <v>14</v>
      </c>
      <c r="K3" s="11" t="s">
        <v>15</v>
      </c>
      <c r="L3" s="10" t="s">
        <v>16</v>
      </c>
      <c r="M3" s="10" t="s">
        <v>17</v>
      </c>
      <c r="N3" s="9" t="s">
        <v>18</v>
      </c>
      <c r="O3" s="8" t="s">
        <v>19</v>
      </c>
      <c r="T3" s="8" t="s">
        <v>20</v>
      </c>
      <c r="V3" s="931"/>
      <c r="W3" s="931"/>
      <c r="X3" s="931"/>
      <c r="Y3" s="931"/>
      <c r="Z3" s="931"/>
    </row>
    <row r="4" spans="1:27" s="15" customFormat="1" x14ac:dyDescent="0.25">
      <c r="A4" s="12"/>
      <c r="B4" s="13" t="s">
        <v>21</v>
      </c>
      <c r="C4" s="14">
        <v>52</v>
      </c>
      <c r="H4" s="13" t="s">
        <v>22</v>
      </c>
      <c r="I4" s="13" t="s">
        <v>21</v>
      </c>
      <c r="J4" s="13" t="s">
        <v>21</v>
      </c>
      <c r="K4" s="16" t="s">
        <v>23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24</v>
      </c>
      <c r="C5" s="14" t="s">
        <v>25</v>
      </c>
      <c r="H5" s="13" t="s">
        <v>22</v>
      </c>
      <c r="I5" s="13" t="s">
        <v>24</v>
      </c>
      <c r="J5" s="13" t="s">
        <v>24</v>
      </c>
      <c r="K5" s="16" t="s">
        <v>23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26</v>
      </c>
      <c r="C6" s="867" t="s">
        <v>1212</v>
      </c>
      <c r="H6" s="13" t="s">
        <v>27</v>
      </c>
      <c r="I6" s="13"/>
      <c r="J6" s="13" t="s">
        <v>28</v>
      </c>
      <c r="K6" s="16" t="s">
        <v>23</v>
      </c>
      <c r="L6" s="17">
        <v>3</v>
      </c>
      <c r="M6" s="17">
        <v>1</v>
      </c>
      <c r="N6" s="18">
        <v>41112.947581018518</v>
      </c>
      <c r="O6" s="13" t="s">
        <v>29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30</v>
      </c>
      <c r="K7" s="16" t="s">
        <v>31</v>
      </c>
      <c r="L7" s="17">
        <v>6</v>
      </c>
      <c r="M7" s="17">
        <v>1</v>
      </c>
      <c r="N7" s="18"/>
    </row>
    <row r="8" spans="1:27" s="22" customFormat="1" x14ac:dyDescent="0.25">
      <c r="A8" s="21">
        <v>41529.070451388892</v>
      </c>
      <c r="B8" s="22" t="s">
        <v>32</v>
      </c>
      <c r="C8" s="23">
        <v>5817</v>
      </c>
      <c r="D8" s="23">
        <v>5</v>
      </c>
      <c r="E8" s="23">
        <v>2</v>
      </c>
      <c r="F8" s="2" t="s">
        <v>1225</v>
      </c>
      <c r="G8" s="23" t="s">
        <v>34</v>
      </c>
      <c r="H8" s="22" t="s">
        <v>35</v>
      </c>
      <c r="I8" s="24" t="s">
        <v>32</v>
      </c>
      <c r="J8" s="25" t="s">
        <v>36</v>
      </c>
      <c r="K8" s="26" t="s">
        <v>31</v>
      </c>
      <c r="L8" s="27">
        <v>1</v>
      </c>
      <c r="M8" s="27" t="s">
        <v>37</v>
      </c>
      <c r="N8" s="28">
        <v>41524</v>
      </c>
      <c r="O8" s="29" t="s">
        <v>29</v>
      </c>
      <c r="P8" s="30" t="s">
        <v>170</v>
      </c>
      <c r="Q8" s="30" t="s">
        <v>171</v>
      </c>
      <c r="R8" s="30">
        <v>40057</v>
      </c>
      <c r="S8" s="30">
        <v>41520</v>
      </c>
      <c r="T8" s="22" t="s">
        <v>38</v>
      </c>
      <c r="V8" s="27">
        <v>2</v>
      </c>
      <c r="W8" s="27" t="s">
        <v>7</v>
      </c>
      <c r="X8" s="27">
        <v>2</v>
      </c>
      <c r="Y8" s="30">
        <v>41493</v>
      </c>
      <c r="Z8" s="30">
        <v>41520</v>
      </c>
    </row>
    <row r="9" spans="1:27" s="32" customFormat="1" x14ac:dyDescent="0.25">
      <c r="A9" s="31"/>
      <c r="B9" s="32" t="s">
        <v>32</v>
      </c>
      <c r="C9" s="33"/>
      <c r="D9" s="33"/>
      <c r="E9" s="33"/>
      <c r="J9" s="34" t="s">
        <v>39</v>
      </c>
      <c r="K9" s="35" t="s">
        <v>31</v>
      </c>
      <c r="L9" s="17">
        <v>1</v>
      </c>
      <c r="M9" s="17" t="s">
        <v>40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41527.006249999999</v>
      </c>
      <c r="B10" s="2" t="s">
        <v>41</v>
      </c>
      <c r="C10" s="41">
        <v>1399</v>
      </c>
      <c r="D10" s="42">
        <v>8</v>
      </c>
      <c r="E10" s="41" t="s">
        <v>42</v>
      </c>
      <c r="F10" s="2" t="s">
        <v>33</v>
      </c>
      <c r="G10" s="33" t="s">
        <v>34</v>
      </c>
      <c r="H10" s="2" t="s">
        <v>35</v>
      </c>
      <c r="I10" s="43" t="s">
        <v>41</v>
      </c>
      <c r="J10" s="44" t="s">
        <v>44</v>
      </c>
      <c r="K10" s="45" t="s">
        <v>31</v>
      </c>
      <c r="L10" s="17">
        <v>1</v>
      </c>
      <c r="M10" s="17" t="s">
        <v>45</v>
      </c>
      <c r="N10" s="46">
        <v>41524</v>
      </c>
      <c r="O10" s="47" t="s">
        <v>29</v>
      </c>
      <c r="P10" s="849" t="s">
        <v>174</v>
      </c>
      <c r="Q10" s="195" t="s">
        <v>175</v>
      </c>
      <c r="R10" s="48">
        <v>40058</v>
      </c>
      <c r="S10" s="48">
        <v>41520</v>
      </c>
      <c r="T10" s="2" t="s">
        <v>46</v>
      </c>
      <c r="V10" s="17">
        <v>2</v>
      </c>
      <c r="W10" s="17" t="s">
        <v>7</v>
      </c>
      <c r="X10" s="17">
        <v>4</v>
      </c>
      <c r="Y10" s="38">
        <v>41400</v>
      </c>
      <c r="Z10" s="38">
        <v>41520</v>
      </c>
    </row>
    <row r="11" spans="1:27" x14ac:dyDescent="0.25">
      <c r="A11" s="31"/>
      <c r="B11" s="2" t="s">
        <v>41</v>
      </c>
      <c r="C11" s="41"/>
      <c r="D11" s="42"/>
      <c r="E11" s="42"/>
      <c r="G11" s="32"/>
      <c r="I11" s="32"/>
      <c r="J11" s="44" t="s">
        <v>47</v>
      </c>
      <c r="K11" s="45" t="s">
        <v>31</v>
      </c>
      <c r="L11" s="17">
        <v>1</v>
      </c>
      <c r="M11" s="17" t="s">
        <v>48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41527.006365740737</v>
      </c>
      <c r="B12" s="2" t="s">
        <v>49</v>
      </c>
      <c r="C12" s="41">
        <v>2020</v>
      </c>
      <c r="D12" s="41">
        <v>1</v>
      </c>
      <c r="E12" s="864" t="s">
        <v>1211</v>
      </c>
      <c r="F12" s="2" t="s">
        <v>33</v>
      </c>
      <c r="G12" s="33" t="s">
        <v>51</v>
      </c>
      <c r="H12" s="2" t="s">
        <v>35</v>
      </c>
      <c r="I12" s="51" t="s">
        <v>49</v>
      </c>
      <c r="J12" s="44" t="s">
        <v>52</v>
      </c>
      <c r="K12" s="45" t="s">
        <v>31</v>
      </c>
      <c r="L12" s="17" t="s">
        <v>53</v>
      </c>
      <c r="M12" s="17" t="s">
        <v>54</v>
      </c>
      <c r="N12" s="46">
        <v>41526</v>
      </c>
      <c r="O12" s="47" t="s">
        <v>29</v>
      </c>
      <c r="P12" s="849" t="s">
        <v>1209</v>
      </c>
      <c r="Q12" s="850" t="s">
        <v>1208</v>
      </c>
      <c r="R12" s="48">
        <v>39356</v>
      </c>
      <c r="S12" s="48">
        <v>41503</v>
      </c>
      <c r="T12" s="2" t="s">
        <v>55</v>
      </c>
      <c r="V12" s="40"/>
      <c r="W12" s="40"/>
      <c r="X12" s="40"/>
    </row>
    <row r="13" spans="1:27" x14ac:dyDescent="0.25">
      <c r="A13" s="31"/>
      <c r="B13" s="2" t="s">
        <v>49</v>
      </c>
      <c r="C13" s="41"/>
      <c r="D13" s="41"/>
      <c r="E13" s="41"/>
      <c r="G13" s="52"/>
      <c r="I13" s="32"/>
      <c r="J13" s="44" t="s">
        <v>56</v>
      </c>
      <c r="K13" s="45" t="s">
        <v>31</v>
      </c>
      <c r="L13" s="17" t="s">
        <v>53</v>
      </c>
      <c r="M13" s="17" t="s">
        <v>57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41526.145405092589</v>
      </c>
      <c r="B14" s="22" t="s">
        <v>58</v>
      </c>
      <c r="C14" s="23">
        <v>4917</v>
      </c>
      <c r="D14" s="23">
        <v>2</v>
      </c>
      <c r="E14" s="23">
        <v>6</v>
      </c>
      <c r="F14" s="22" t="s">
        <v>182</v>
      </c>
      <c r="G14" s="23" t="s">
        <v>60</v>
      </c>
      <c r="H14" s="22" t="str">
        <f t="shared" ref="H14:H22" si="0">H$6</f>
        <v>SFDC.xlsx</v>
      </c>
      <c r="I14" s="54" t="s">
        <v>58</v>
      </c>
      <c r="J14" s="25" t="s">
        <v>61</v>
      </c>
      <c r="K14" s="26" t="s">
        <v>31</v>
      </c>
      <c r="L14" s="27">
        <v>2</v>
      </c>
      <c r="M14" s="27" t="s">
        <v>62</v>
      </c>
      <c r="N14" s="75">
        <v>41526.131944444445</v>
      </c>
      <c r="O14" s="29"/>
      <c r="P14" s="29" t="s">
        <v>180</v>
      </c>
      <c r="Q14" s="29" t="s">
        <v>181</v>
      </c>
      <c r="T14" s="22" t="s">
        <v>179</v>
      </c>
      <c r="Y14" s="55"/>
      <c r="Z14" s="55"/>
      <c r="AA14" s="55"/>
    </row>
    <row r="15" spans="1:27" ht="15.75" customHeight="1" x14ac:dyDescent="0.25">
      <c r="A15" s="12">
        <v>41527.004756944443</v>
      </c>
      <c r="B15" s="2" t="s">
        <v>63</v>
      </c>
      <c r="C15" s="41">
        <v>1190</v>
      </c>
      <c r="D15" s="42">
        <v>2</v>
      </c>
      <c r="E15" s="42">
        <v>6</v>
      </c>
      <c r="F15" s="2" t="s">
        <v>33</v>
      </c>
      <c r="G15" s="33" t="s">
        <v>60</v>
      </c>
      <c r="H15" s="2" t="str">
        <f t="shared" si="0"/>
        <v>SFDC.xlsx</v>
      </c>
      <c r="I15" s="56" t="s">
        <v>63</v>
      </c>
      <c r="J15" s="44" t="s">
        <v>64</v>
      </c>
      <c r="K15" s="45" t="s">
        <v>31</v>
      </c>
      <c r="L15" s="40">
        <v>2</v>
      </c>
      <c r="M15" s="40" t="s">
        <v>62</v>
      </c>
      <c r="N15" s="57">
        <v>41526.986111111109</v>
      </c>
      <c r="O15" s="47"/>
      <c r="P15" s="2" t="s">
        <v>184</v>
      </c>
      <c r="Q15" s="47" t="s">
        <v>185</v>
      </c>
      <c r="T15" s="32" t="s">
        <v>183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41527.017210648148</v>
      </c>
      <c r="B16" s="2" t="s">
        <v>65</v>
      </c>
      <c r="C16" s="41">
        <v>3576</v>
      </c>
      <c r="D16" s="42" t="s">
        <v>66</v>
      </c>
      <c r="E16" s="42">
        <v>6</v>
      </c>
      <c r="F16" s="2" t="s">
        <v>67</v>
      </c>
      <c r="G16" s="33" t="s">
        <v>60</v>
      </c>
      <c r="H16" s="2" t="str">
        <f t="shared" si="0"/>
        <v>SFDC.xlsx</v>
      </c>
      <c r="I16" s="56" t="s">
        <v>65</v>
      </c>
      <c r="J16" s="60" t="s">
        <v>68</v>
      </c>
      <c r="K16" s="45" t="s">
        <v>31</v>
      </c>
      <c r="L16" s="40">
        <v>2</v>
      </c>
      <c r="M16" s="40">
        <v>1</v>
      </c>
      <c r="N16" s="57">
        <v>41527.015972222223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41527.006377314814</v>
      </c>
      <c r="B17" s="2" t="s">
        <v>69</v>
      </c>
      <c r="C17" s="41">
        <v>4548</v>
      </c>
      <c r="D17" s="42" t="s">
        <v>66</v>
      </c>
      <c r="E17" s="42">
        <v>6</v>
      </c>
      <c r="F17" s="2" t="s">
        <v>33</v>
      </c>
      <c r="G17" s="33" t="s">
        <v>60</v>
      </c>
      <c r="H17" s="2" t="str">
        <f t="shared" si="0"/>
        <v>SFDC.xlsx</v>
      </c>
      <c r="I17" s="56" t="s">
        <v>69</v>
      </c>
      <c r="J17" s="61" t="s">
        <v>69</v>
      </c>
      <c r="K17" s="45" t="s">
        <v>31</v>
      </c>
      <c r="L17" s="40">
        <v>2</v>
      </c>
      <c r="M17" s="40">
        <v>1</v>
      </c>
      <c r="N17" s="57">
        <v>41526.938888888886</v>
      </c>
      <c r="O17" s="47"/>
      <c r="Q17" s="47"/>
      <c r="T17" s="2" t="s">
        <v>187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41506.961967592593</v>
      </c>
      <c r="B18" s="2" t="s">
        <v>70</v>
      </c>
      <c r="C18" s="41">
        <v>8630</v>
      </c>
      <c r="D18" s="42" t="s">
        <v>66</v>
      </c>
      <c r="E18" s="42">
        <v>6</v>
      </c>
      <c r="F18" s="2" t="s">
        <v>67</v>
      </c>
      <c r="G18" s="33" t="s">
        <v>51</v>
      </c>
      <c r="H18" s="2" t="str">
        <f t="shared" si="0"/>
        <v>SFDC.xlsx</v>
      </c>
      <c r="I18" s="56" t="s">
        <v>70</v>
      </c>
      <c r="J18" s="61" t="s">
        <v>71</v>
      </c>
      <c r="K18" s="45" t="s">
        <v>31</v>
      </c>
      <c r="L18" s="40">
        <v>2</v>
      </c>
      <c r="M18" s="40">
        <v>1</v>
      </c>
      <c r="N18" s="57">
        <v>41506.960416666669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41502.225694444445</v>
      </c>
      <c r="B19" s="2" t="s">
        <v>72</v>
      </c>
      <c r="C19" s="41">
        <v>2200</v>
      </c>
      <c r="D19" s="42" t="s">
        <v>66</v>
      </c>
      <c r="E19" s="42">
        <v>6</v>
      </c>
      <c r="F19" s="2" t="s">
        <v>73</v>
      </c>
      <c r="G19" s="33" t="s">
        <v>51</v>
      </c>
      <c r="H19" s="2" t="str">
        <f t="shared" si="0"/>
        <v>SFDC.xlsx</v>
      </c>
      <c r="I19" s="56" t="s">
        <v>72</v>
      </c>
      <c r="J19" s="62" t="s">
        <v>74</v>
      </c>
      <c r="K19" s="45" t="s">
        <v>31</v>
      </c>
      <c r="L19" s="40">
        <v>2</v>
      </c>
      <c r="M19" s="40">
        <v>1</v>
      </c>
      <c r="N19" s="57">
        <v>41499.544444444444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63">
        <v>41469.565416666665</v>
      </c>
      <c r="B20" s="2" t="s">
        <v>75</v>
      </c>
      <c r="C20" s="41">
        <v>106</v>
      </c>
      <c r="D20" s="42" t="s">
        <v>66</v>
      </c>
      <c r="E20" s="42">
        <v>6</v>
      </c>
      <c r="F20" s="2" t="s">
        <v>67</v>
      </c>
      <c r="G20" s="33" t="s">
        <v>51</v>
      </c>
      <c r="H20" s="2" t="str">
        <f t="shared" si="0"/>
        <v>SFDC.xlsx</v>
      </c>
      <c r="I20" s="56" t="s">
        <v>75</v>
      </c>
      <c r="J20" s="62" t="s">
        <v>76</v>
      </c>
      <c r="K20" s="45" t="s">
        <v>31</v>
      </c>
      <c r="L20" s="40">
        <v>2</v>
      </c>
      <c r="M20" s="40">
        <v>1</v>
      </c>
      <c r="N20" s="57">
        <v>41469.551388888889</v>
      </c>
      <c r="O20" s="47"/>
      <c r="Q20" s="47"/>
      <c r="Y20" s="59"/>
      <c r="Z20" s="59"/>
      <c r="AA20" s="59"/>
    </row>
    <row r="21" spans="1:27" ht="15.75" x14ac:dyDescent="0.3">
      <c r="A21" s="63">
        <v>41469.568298611113</v>
      </c>
      <c r="B21" s="2" t="s">
        <v>77</v>
      </c>
      <c r="C21" s="41">
        <v>191</v>
      </c>
      <c r="D21" s="42" t="s">
        <v>66</v>
      </c>
      <c r="E21" s="42">
        <v>6</v>
      </c>
      <c r="F21" s="2" t="s">
        <v>67</v>
      </c>
      <c r="G21" s="33" t="s">
        <v>78</v>
      </c>
      <c r="H21" s="2" t="str">
        <f t="shared" si="0"/>
        <v>SFDC.xlsx</v>
      </c>
      <c r="I21" s="56" t="s">
        <v>77</v>
      </c>
      <c r="J21" s="64" t="s">
        <v>79</v>
      </c>
      <c r="K21" s="45" t="s">
        <v>31</v>
      </c>
      <c r="L21" s="40">
        <v>2</v>
      </c>
      <c r="M21" s="40">
        <v>1</v>
      </c>
      <c r="N21" s="57">
        <v>41469.549305555556</v>
      </c>
      <c r="O21" s="47"/>
      <c r="Q21" s="47"/>
      <c r="Y21" s="59"/>
      <c r="Z21" s="59"/>
      <c r="AA21" s="59"/>
    </row>
    <row r="22" spans="1:27" ht="15.75" x14ac:dyDescent="0.3">
      <c r="A22" s="63">
        <v>41504.096979166665</v>
      </c>
      <c r="B22" s="2" t="s">
        <v>80</v>
      </c>
      <c r="C22" s="41">
        <v>777</v>
      </c>
      <c r="D22" s="42" t="s">
        <v>66</v>
      </c>
      <c r="E22" s="42">
        <v>6</v>
      </c>
      <c r="F22" s="2" t="s">
        <v>67</v>
      </c>
      <c r="G22" s="33" t="s">
        <v>81</v>
      </c>
      <c r="H22" s="2" t="str">
        <f t="shared" si="0"/>
        <v>SFDC.xlsx</v>
      </c>
      <c r="I22" s="65" t="s">
        <v>80</v>
      </c>
      <c r="J22" s="66" t="s">
        <v>82</v>
      </c>
      <c r="K22" s="67" t="s">
        <v>31</v>
      </c>
      <c r="L22" s="40">
        <v>2</v>
      </c>
      <c r="M22" s="40">
        <v>1</v>
      </c>
      <c r="N22" s="68">
        <v>41504.054166666669</v>
      </c>
      <c r="O22" s="69"/>
      <c r="P22" s="70"/>
      <c r="Q22" s="69"/>
      <c r="R22" s="70"/>
      <c r="S22" s="70"/>
      <c r="Y22" s="59"/>
      <c r="Z22" s="59"/>
      <c r="AA22" s="59"/>
    </row>
    <row r="23" spans="1:27" s="22" customFormat="1" x14ac:dyDescent="0.25">
      <c r="A23" s="71">
        <v>41369.796909722223</v>
      </c>
      <c r="B23" s="22" t="s">
        <v>83</v>
      </c>
      <c r="C23" s="72">
        <v>9955</v>
      </c>
      <c r="D23" s="72" t="s">
        <v>84</v>
      </c>
      <c r="E23" s="72" t="s">
        <v>66</v>
      </c>
      <c r="F23" s="22" t="s">
        <v>85</v>
      </c>
      <c r="G23" s="73">
        <v>10</v>
      </c>
      <c r="H23" s="22" t="s">
        <v>86</v>
      </c>
      <c r="I23" s="74" t="str">
        <f>B23</f>
        <v>Склад</v>
      </c>
      <c r="J23" s="25" t="s">
        <v>52</v>
      </c>
      <c r="K23" s="35" t="s">
        <v>23</v>
      </c>
      <c r="L23" s="27" t="s">
        <v>62</v>
      </c>
      <c r="M23" s="27" t="s">
        <v>87</v>
      </c>
      <c r="N23" s="75">
        <v>41349.908078703702</v>
      </c>
      <c r="O23" s="37" t="s">
        <v>29</v>
      </c>
      <c r="P23" s="39"/>
      <c r="Q23" s="76" t="s">
        <v>88</v>
      </c>
      <c r="R23" s="77"/>
      <c r="S23" s="39"/>
      <c r="T23" s="22" t="s">
        <v>89</v>
      </c>
      <c r="Y23" s="55"/>
      <c r="Z23" s="55"/>
      <c r="AA23" s="55"/>
    </row>
    <row r="24" spans="1:27" s="32" customFormat="1" x14ac:dyDescent="0.25">
      <c r="A24" s="78"/>
      <c r="C24" s="79"/>
      <c r="D24" s="79"/>
      <c r="E24" s="79"/>
      <c r="I24" s="39"/>
      <c r="J24" s="34" t="s">
        <v>90</v>
      </c>
      <c r="K24" s="35" t="s">
        <v>31</v>
      </c>
      <c r="L24" s="17" t="s">
        <v>62</v>
      </c>
      <c r="M24" s="17" t="s">
        <v>91</v>
      </c>
      <c r="N24" s="80"/>
      <c r="O24" s="37" t="s">
        <v>29</v>
      </c>
      <c r="Q24" s="37"/>
      <c r="R24" s="77"/>
    </row>
    <row r="25" spans="1:27" s="32" customFormat="1" x14ac:dyDescent="0.25">
      <c r="A25" s="78"/>
      <c r="C25" s="79"/>
      <c r="D25" s="79"/>
      <c r="E25" s="79"/>
      <c r="I25" s="39"/>
      <c r="J25" s="34" t="s">
        <v>92</v>
      </c>
      <c r="K25" s="35" t="s">
        <v>31</v>
      </c>
      <c r="L25" s="17" t="s">
        <v>62</v>
      </c>
      <c r="M25" s="17" t="s">
        <v>93</v>
      </c>
      <c r="N25" s="80"/>
      <c r="O25" s="37" t="s">
        <v>29</v>
      </c>
      <c r="Q25" s="37"/>
      <c r="R25" s="77"/>
    </row>
    <row r="26" spans="1:27" s="32" customFormat="1" x14ac:dyDescent="0.25">
      <c r="A26" s="78"/>
      <c r="C26" s="79"/>
      <c r="D26" s="79"/>
      <c r="E26" s="79"/>
      <c r="I26" s="39"/>
      <c r="J26" s="34" t="s">
        <v>94</v>
      </c>
      <c r="K26" s="35" t="s">
        <v>31</v>
      </c>
      <c r="L26" s="17" t="s">
        <v>62</v>
      </c>
      <c r="M26" s="17" t="s">
        <v>95</v>
      </c>
      <c r="N26" s="80"/>
      <c r="O26" s="37" t="s">
        <v>29</v>
      </c>
      <c r="Q26" s="37"/>
      <c r="R26" s="77"/>
    </row>
    <row r="27" spans="1:27" s="32" customFormat="1" x14ac:dyDescent="0.25">
      <c r="A27" s="78"/>
      <c r="C27" s="79"/>
      <c r="D27" s="79"/>
      <c r="E27" s="79"/>
      <c r="I27" s="39"/>
      <c r="J27" s="34" t="s">
        <v>96</v>
      </c>
      <c r="K27" s="35" t="s">
        <v>31</v>
      </c>
      <c r="L27" s="17" t="s">
        <v>62</v>
      </c>
      <c r="M27" s="17" t="s">
        <v>97</v>
      </c>
      <c r="N27" s="80"/>
      <c r="O27" s="37" t="s">
        <v>29</v>
      </c>
      <c r="Q27" s="37"/>
      <c r="R27" s="77"/>
    </row>
    <row r="28" spans="1:27" s="82" customFormat="1" x14ac:dyDescent="0.25">
      <c r="A28" s="81"/>
      <c r="C28" s="83"/>
      <c r="D28" s="83"/>
      <c r="E28" s="83"/>
      <c r="I28" s="39"/>
      <c r="J28" s="84" t="s">
        <v>98</v>
      </c>
      <c r="K28" s="85" t="s">
        <v>31</v>
      </c>
      <c r="L28" s="86" t="s">
        <v>62</v>
      </c>
      <c r="M28" s="86" t="s">
        <v>99</v>
      </c>
      <c r="N28" s="87"/>
      <c r="O28" s="88"/>
      <c r="Q28" s="88"/>
      <c r="R28" s="89"/>
    </row>
    <row r="29" spans="1:27" s="90" customFormat="1" x14ac:dyDescent="0.25">
      <c r="A29" s="104">
        <v>41506.983391203707</v>
      </c>
      <c r="B29" s="90" t="s">
        <v>100</v>
      </c>
      <c r="C29" s="91">
        <v>339</v>
      </c>
      <c r="D29" s="92">
        <v>8</v>
      </c>
      <c r="E29" s="92">
        <v>19</v>
      </c>
      <c r="F29" s="90" t="s">
        <v>101</v>
      </c>
      <c r="G29" s="92">
        <v>10</v>
      </c>
      <c r="H29" s="90" t="s">
        <v>86</v>
      </c>
      <c r="I29" s="93" t="str">
        <f>B29</f>
        <v>Заказы</v>
      </c>
      <c r="J29" s="94" t="s">
        <v>102</v>
      </c>
      <c r="K29" s="95" t="s">
        <v>31</v>
      </c>
      <c r="L29" s="96" t="s">
        <v>62</v>
      </c>
      <c r="M29" s="96" t="s">
        <v>103</v>
      </c>
      <c r="N29" s="97">
        <v>41463.504687499997</v>
      </c>
      <c r="O29" s="90" t="s">
        <v>29</v>
      </c>
      <c r="P29" s="98"/>
      <c r="Q29" s="99" t="s">
        <v>104</v>
      </c>
      <c r="R29" s="32"/>
      <c r="S29" s="32"/>
      <c r="T29" s="90" t="s">
        <v>105</v>
      </c>
    </row>
    <row r="30" spans="1:27" s="32" customFormat="1" x14ac:dyDescent="0.25">
      <c r="A30" s="100"/>
      <c r="C30" s="79"/>
      <c r="J30" s="34" t="s">
        <v>106</v>
      </c>
      <c r="K30" s="35" t="s">
        <v>31</v>
      </c>
      <c r="L30" s="17" t="s">
        <v>62</v>
      </c>
      <c r="M30" s="17" t="s">
        <v>107</v>
      </c>
      <c r="N30" s="80"/>
      <c r="O30" s="32" t="s">
        <v>29</v>
      </c>
      <c r="P30" s="101"/>
    </row>
    <row r="31" spans="1:27" x14ac:dyDescent="0.25">
      <c r="A31" s="102"/>
      <c r="C31" s="103"/>
      <c r="H31" s="32"/>
      <c r="I31" s="32"/>
      <c r="J31" s="34" t="s">
        <v>52</v>
      </c>
      <c r="K31" s="35" t="s">
        <v>31</v>
      </c>
      <c r="L31" s="17" t="s">
        <v>62</v>
      </c>
      <c r="M31" s="17" t="s">
        <v>108</v>
      </c>
      <c r="N31" s="80"/>
      <c r="O31" s="2" t="s">
        <v>29</v>
      </c>
      <c r="P31" s="101"/>
    </row>
    <row r="32" spans="1:27" x14ac:dyDescent="0.25">
      <c r="A32" s="102"/>
      <c r="C32" s="103"/>
      <c r="H32" s="32"/>
      <c r="I32" s="32"/>
      <c r="J32" s="34" t="s">
        <v>109</v>
      </c>
      <c r="K32" s="35" t="s">
        <v>31</v>
      </c>
      <c r="L32" s="17" t="s">
        <v>62</v>
      </c>
      <c r="M32" s="17" t="s">
        <v>110</v>
      </c>
      <c r="N32" s="80"/>
      <c r="O32" s="2" t="s">
        <v>29</v>
      </c>
      <c r="P32" s="101"/>
    </row>
    <row r="33" spans="1:20" x14ac:dyDescent="0.25">
      <c r="A33" s="102"/>
      <c r="C33" s="103"/>
      <c r="H33" s="32"/>
      <c r="I33" s="32"/>
      <c r="J33" s="34" t="s">
        <v>111</v>
      </c>
      <c r="K33" s="35" t="s">
        <v>31</v>
      </c>
      <c r="L33" s="17" t="s">
        <v>62</v>
      </c>
      <c r="M33" s="17" t="s">
        <v>112</v>
      </c>
      <c r="N33" s="80"/>
      <c r="P33" s="101"/>
    </row>
    <row r="34" spans="1:20" s="90" customFormat="1" x14ac:dyDescent="0.25">
      <c r="A34" s="104">
        <v>41370.590057870373</v>
      </c>
      <c r="B34" s="90" t="s">
        <v>113</v>
      </c>
      <c r="C34" s="91" t="s">
        <v>114</v>
      </c>
      <c r="F34" s="90" t="s">
        <v>67</v>
      </c>
      <c r="G34" s="92">
        <v>10</v>
      </c>
      <c r="H34" s="90" t="s">
        <v>86</v>
      </c>
      <c r="I34" s="105" t="s">
        <v>113</v>
      </c>
      <c r="J34" s="94" t="s">
        <v>115</v>
      </c>
      <c r="K34" s="95" t="s">
        <v>23</v>
      </c>
      <c r="L34" s="96">
        <v>2</v>
      </c>
      <c r="M34" s="96">
        <v>1</v>
      </c>
      <c r="N34" s="97">
        <v>41370.585509259261</v>
      </c>
      <c r="O34" s="29" t="s">
        <v>29</v>
      </c>
      <c r="P34" s="98"/>
      <c r="T34" s="90" t="s">
        <v>225</v>
      </c>
    </row>
    <row r="35" spans="1:20" s="32" customFormat="1" x14ac:dyDescent="0.25">
      <c r="A35" s="100"/>
      <c r="C35" s="79"/>
      <c r="J35" s="34" t="s">
        <v>116</v>
      </c>
      <c r="K35" s="35" t="s">
        <v>23</v>
      </c>
      <c r="L35" s="17">
        <v>3</v>
      </c>
      <c r="M35" s="17">
        <v>1</v>
      </c>
      <c r="N35" s="80"/>
      <c r="O35" s="2" t="s">
        <v>29</v>
      </c>
      <c r="P35" s="101"/>
    </row>
    <row r="36" spans="1:20" s="32" customFormat="1" x14ac:dyDescent="0.25">
      <c r="A36" s="100"/>
      <c r="C36" s="79"/>
      <c r="J36" s="34" t="s">
        <v>117</v>
      </c>
      <c r="K36" s="35" t="s">
        <v>23</v>
      </c>
      <c r="L36" s="17">
        <v>4</v>
      </c>
      <c r="M36" s="17">
        <v>1</v>
      </c>
      <c r="N36" s="80"/>
      <c r="P36" s="101"/>
    </row>
    <row r="37" spans="1:20" s="22" customFormat="1" x14ac:dyDescent="0.25">
      <c r="A37" s="21"/>
      <c r="B37" s="22" t="s">
        <v>118</v>
      </c>
      <c r="C37" s="72" t="s">
        <v>119</v>
      </c>
      <c r="D37" s="72" t="s">
        <v>120</v>
      </c>
      <c r="E37" s="72"/>
      <c r="F37" s="106"/>
      <c r="H37" s="22" t="s">
        <v>121</v>
      </c>
      <c r="I37" s="107" t="s">
        <v>122</v>
      </c>
      <c r="J37" s="25" t="s">
        <v>123</v>
      </c>
      <c r="K37" s="26" t="s">
        <v>31</v>
      </c>
      <c r="L37" s="27">
        <v>3</v>
      </c>
      <c r="M37" s="27">
        <v>1</v>
      </c>
      <c r="N37" s="75"/>
      <c r="O37" s="29" t="s">
        <v>29</v>
      </c>
      <c r="Q37" s="29"/>
      <c r="R37" s="108"/>
      <c r="T37" s="22" t="s">
        <v>124</v>
      </c>
    </row>
    <row r="38" spans="1:20" x14ac:dyDescent="0.25">
      <c r="A38" s="31"/>
      <c r="I38" s="32"/>
      <c r="J38" s="34" t="s">
        <v>125</v>
      </c>
      <c r="K38" s="35" t="s">
        <v>31</v>
      </c>
      <c r="L38" s="17">
        <v>3</v>
      </c>
      <c r="M38" s="17">
        <v>3</v>
      </c>
      <c r="O38" s="2" t="s">
        <v>29</v>
      </c>
    </row>
    <row r="39" spans="1:20" x14ac:dyDescent="0.25">
      <c r="A39" s="31"/>
      <c r="I39" s="32"/>
      <c r="J39" s="34" t="s">
        <v>126</v>
      </c>
      <c r="K39" s="35" t="s">
        <v>31</v>
      </c>
      <c r="L39" s="17">
        <v>3</v>
      </c>
      <c r="M39" s="17">
        <v>9</v>
      </c>
      <c r="O39" s="2" t="s">
        <v>29</v>
      </c>
    </row>
    <row r="40" spans="1:20" s="70" customFormat="1" x14ac:dyDescent="0.25">
      <c r="A40" s="109"/>
      <c r="C40" s="110"/>
      <c r="J40" s="111" t="s">
        <v>127</v>
      </c>
      <c r="K40" s="67" t="s">
        <v>31</v>
      </c>
      <c r="L40" s="112">
        <v>3</v>
      </c>
      <c r="M40" s="112">
        <v>21</v>
      </c>
    </row>
    <row r="41" spans="1:20" s="114" customFormat="1" x14ac:dyDescent="0.25">
      <c r="A41" s="113">
        <v>0</v>
      </c>
      <c r="B41" s="114" t="s">
        <v>128</v>
      </c>
      <c r="C41" s="115">
        <v>1</v>
      </c>
      <c r="D41" s="115"/>
      <c r="E41" s="115"/>
      <c r="H41" s="114" t="s">
        <v>129</v>
      </c>
      <c r="I41" s="116" t="str">
        <f>B41</f>
        <v>DicAcc</v>
      </c>
      <c r="J41" s="117"/>
      <c r="K41" s="118" t="s">
        <v>130</v>
      </c>
      <c r="L41" s="119"/>
      <c r="M41" s="119"/>
      <c r="N41" s="120">
        <v>41237.062407407408</v>
      </c>
      <c r="O41" s="121"/>
      <c r="P41" s="114" t="s">
        <v>131</v>
      </c>
      <c r="Q41" s="121"/>
      <c r="R41" s="122"/>
    </row>
    <row r="42" spans="1:20" s="124" customFormat="1" x14ac:dyDescent="0.25">
      <c r="A42" s="123">
        <v>0</v>
      </c>
      <c r="B42" s="124" t="s">
        <v>132</v>
      </c>
      <c r="C42" s="125">
        <v>76</v>
      </c>
      <c r="D42" s="125"/>
      <c r="E42" s="125"/>
      <c r="F42" s="124" t="s">
        <v>133</v>
      </c>
      <c r="H42" s="124" t="s">
        <v>129</v>
      </c>
      <c r="I42" s="126" t="s">
        <v>132</v>
      </c>
      <c r="J42" s="127"/>
      <c r="K42" s="128" t="s">
        <v>130</v>
      </c>
      <c r="L42" s="129"/>
      <c r="M42" s="129"/>
      <c r="N42" s="130">
        <v>41410.834999999999</v>
      </c>
      <c r="O42" s="131"/>
      <c r="P42" s="124" t="s">
        <v>134</v>
      </c>
      <c r="Q42" s="131"/>
      <c r="R42" s="132"/>
    </row>
    <row r="43" spans="1:20" s="32" customFormat="1" x14ac:dyDescent="0.25">
      <c r="A43" s="133">
        <v>0</v>
      </c>
      <c r="B43" s="32" t="s">
        <v>135</v>
      </c>
      <c r="C43" s="79">
        <v>13</v>
      </c>
      <c r="D43" s="79"/>
      <c r="E43" s="79"/>
      <c r="H43" s="32" t="s">
        <v>129</v>
      </c>
      <c r="I43" s="134" t="s">
        <v>135</v>
      </c>
      <c r="J43" s="34"/>
      <c r="K43" s="35" t="s">
        <v>130</v>
      </c>
      <c r="L43" s="17"/>
      <c r="M43" s="17"/>
      <c r="N43" s="80">
        <v>41515.959502314814</v>
      </c>
      <c r="O43" s="37"/>
      <c r="P43" s="32" t="s">
        <v>137</v>
      </c>
      <c r="Q43" s="37"/>
      <c r="R43" s="77"/>
    </row>
    <row r="44" spans="1:20" s="32" customFormat="1" x14ac:dyDescent="0.25">
      <c r="A44" s="133">
        <v>41529.049953703703</v>
      </c>
      <c r="B44" s="32" t="s">
        <v>138</v>
      </c>
      <c r="C44" s="79">
        <v>1</v>
      </c>
      <c r="D44" s="79"/>
      <c r="E44" s="79"/>
      <c r="F44" s="32" t="s">
        <v>136</v>
      </c>
      <c r="H44" s="32" t="s">
        <v>129</v>
      </c>
      <c r="I44" s="134" t="s">
        <v>138</v>
      </c>
      <c r="J44" s="34"/>
      <c r="K44" s="35" t="s">
        <v>130</v>
      </c>
      <c r="L44" s="17"/>
      <c r="M44" s="17"/>
      <c r="N44" s="80">
        <v>41507.017245370371</v>
      </c>
      <c r="O44" s="37"/>
      <c r="P44" s="32" t="s">
        <v>139</v>
      </c>
      <c r="Q44" s="37"/>
      <c r="R44" s="77"/>
    </row>
    <row r="45" spans="1:20" s="32" customFormat="1" x14ac:dyDescent="0.25">
      <c r="A45" s="133">
        <v>0</v>
      </c>
      <c r="B45" s="32" t="s">
        <v>140</v>
      </c>
      <c r="C45" s="79">
        <v>8</v>
      </c>
      <c r="D45" s="79"/>
      <c r="E45" s="79"/>
      <c r="H45" s="32" t="s">
        <v>129</v>
      </c>
      <c r="I45" s="134" t="s">
        <v>140</v>
      </c>
      <c r="J45" s="34"/>
      <c r="K45" s="35" t="s">
        <v>130</v>
      </c>
      <c r="L45" s="17"/>
      <c r="M45" s="17"/>
      <c r="N45" s="80">
        <v>41344.97896990741</v>
      </c>
      <c r="O45" s="37"/>
      <c r="P45" s="32" t="s">
        <v>141</v>
      </c>
      <c r="Q45" s="37"/>
      <c r="R45" s="77"/>
    </row>
    <row r="46" spans="1:20" s="32" customFormat="1" x14ac:dyDescent="0.25">
      <c r="A46" s="78">
        <v>0</v>
      </c>
      <c r="B46" s="32" t="s">
        <v>142</v>
      </c>
      <c r="C46" s="79">
        <v>1</v>
      </c>
      <c r="D46" s="79"/>
      <c r="E46" s="79"/>
      <c r="H46" s="32" t="s">
        <v>129</v>
      </c>
      <c r="I46" s="134" t="s">
        <v>142</v>
      </c>
      <c r="J46" s="34"/>
      <c r="K46" s="35" t="s">
        <v>130</v>
      </c>
      <c r="L46" s="17"/>
      <c r="M46" s="17"/>
      <c r="N46" s="80">
        <v>41520.529861111114</v>
      </c>
      <c r="O46" s="37"/>
      <c r="P46" s="893" t="s">
        <v>1229</v>
      </c>
      <c r="Q46" s="37"/>
      <c r="R46" s="77"/>
    </row>
    <row r="47" spans="1:20" s="32" customFormat="1" x14ac:dyDescent="0.25">
      <c r="A47" s="133">
        <v>41430.738321759258</v>
      </c>
      <c r="B47" s="32" t="s">
        <v>143</v>
      </c>
      <c r="C47" s="79">
        <v>1</v>
      </c>
      <c r="D47" s="79"/>
      <c r="E47" s="79"/>
      <c r="F47" s="32" t="s">
        <v>136</v>
      </c>
      <c r="H47" s="32" t="s">
        <v>129</v>
      </c>
      <c r="I47" s="134" t="s">
        <v>143</v>
      </c>
      <c r="J47" s="34"/>
      <c r="K47" s="35" t="s">
        <v>130</v>
      </c>
      <c r="L47" s="17"/>
      <c r="M47" s="17"/>
      <c r="N47" s="80">
        <v>41430.73814814815</v>
      </c>
      <c r="O47" s="138"/>
      <c r="P47" s="39" t="s">
        <v>144</v>
      </c>
      <c r="Q47" s="37"/>
      <c r="R47" s="77"/>
    </row>
    <row r="48" spans="1:20" s="140" customFormat="1" x14ac:dyDescent="0.25">
      <c r="A48" s="139">
        <v>0</v>
      </c>
      <c r="B48" s="140" t="s">
        <v>145</v>
      </c>
      <c r="C48" s="141">
        <v>3</v>
      </c>
      <c r="D48" s="141"/>
      <c r="E48" s="141"/>
      <c r="H48" s="140" t="s">
        <v>129</v>
      </c>
      <c r="I48" s="928" t="s">
        <v>145</v>
      </c>
      <c r="J48" s="142"/>
      <c r="K48" s="143" t="s">
        <v>130</v>
      </c>
      <c r="L48" s="144"/>
      <c r="M48" s="144"/>
      <c r="N48" s="145"/>
      <c r="O48" s="146"/>
      <c r="P48" s="147" t="s">
        <v>147</v>
      </c>
      <c r="Q48" s="148"/>
      <c r="R48" s="149"/>
      <c r="S48" s="147"/>
      <c r="T48" s="147"/>
    </row>
    <row r="49" spans="1:20" s="151" customFormat="1" x14ac:dyDescent="0.25">
      <c r="A49" s="150">
        <v>41499.705324074072</v>
      </c>
      <c r="B49" s="151" t="s">
        <v>148</v>
      </c>
      <c r="C49" s="152">
        <v>804</v>
      </c>
      <c r="D49" s="152"/>
      <c r="E49" s="152"/>
      <c r="F49" s="151" t="s">
        <v>101</v>
      </c>
      <c r="H49" s="151" t="s">
        <v>129</v>
      </c>
      <c r="I49" s="153" t="s">
        <v>148</v>
      </c>
      <c r="J49" s="154"/>
      <c r="K49" s="155" t="s">
        <v>130</v>
      </c>
      <c r="L49" s="156"/>
      <c r="M49" s="156"/>
      <c r="N49" s="157">
        <v>41499.704513888886</v>
      </c>
      <c r="O49" s="158"/>
      <c r="P49" s="159" t="s">
        <v>149</v>
      </c>
      <c r="Q49" s="160"/>
      <c r="R49" s="161"/>
      <c r="S49" s="159"/>
      <c r="T49" s="159"/>
    </row>
    <row r="50" spans="1:20" s="32" customFormat="1" x14ac:dyDescent="0.25">
      <c r="A50" s="133">
        <v>41502.225682870368</v>
      </c>
      <c r="B50" s="32" t="s">
        <v>150</v>
      </c>
      <c r="C50" s="79">
        <v>2</v>
      </c>
      <c r="D50" s="79"/>
      <c r="E50" s="79"/>
      <c r="F50" s="32" t="s">
        <v>151</v>
      </c>
      <c r="H50" s="32" t="s">
        <v>129</v>
      </c>
      <c r="I50" s="162" t="s">
        <v>150</v>
      </c>
      <c r="J50" s="34"/>
      <c r="K50" s="35" t="s">
        <v>130</v>
      </c>
      <c r="L50" s="17"/>
      <c r="M50" s="17"/>
      <c r="N50" s="80">
        <v>41502.225682870368</v>
      </c>
      <c r="O50" s="37"/>
      <c r="P50" s="159" t="s">
        <v>152</v>
      </c>
      <c r="Q50" s="160"/>
      <c r="R50" s="137"/>
      <c r="S50" s="135"/>
      <c r="T50" s="135"/>
    </row>
    <row r="51" spans="1:20" s="140" customFormat="1" x14ac:dyDescent="0.25">
      <c r="A51" s="163">
        <v>41502.225682870368</v>
      </c>
      <c r="B51" s="140" t="s">
        <v>153</v>
      </c>
      <c r="C51" s="141">
        <v>794</v>
      </c>
      <c r="D51" s="141"/>
      <c r="E51" s="141"/>
      <c r="F51" s="140" t="s">
        <v>154</v>
      </c>
      <c r="H51" s="140" t="s">
        <v>129</v>
      </c>
      <c r="I51" s="164" t="s">
        <v>153</v>
      </c>
      <c r="J51" s="142"/>
      <c r="K51" s="143" t="s">
        <v>130</v>
      </c>
      <c r="L51" s="144"/>
      <c r="M51" s="144"/>
      <c r="N51" s="145">
        <v>41502.225682870368</v>
      </c>
      <c r="O51" s="146"/>
      <c r="P51" s="135" t="s">
        <v>155</v>
      </c>
      <c r="Q51" s="136"/>
      <c r="R51" s="149"/>
      <c r="S51" s="147"/>
      <c r="T51" s="147"/>
    </row>
    <row r="52" spans="1:20" s="70" customFormat="1" x14ac:dyDescent="0.25">
      <c r="A52" s="165"/>
      <c r="B52" s="70" t="s">
        <v>156</v>
      </c>
      <c r="C52" s="166" t="s">
        <v>157</v>
      </c>
      <c r="D52" s="166"/>
      <c r="E52" s="166"/>
      <c r="H52" s="70" t="s">
        <v>129</v>
      </c>
      <c r="I52" s="167" t="s">
        <v>156</v>
      </c>
      <c r="J52" s="111"/>
      <c r="K52" s="67" t="s">
        <v>130</v>
      </c>
      <c r="L52" s="112"/>
      <c r="M52" s="112"/>
      <c r="N52" s="168"/>
      <c r="O52" s="69"/>
      <c r="P52" s="70" t="s">
        <v>158</v>
      </c>
      <c r="Q52" s="69"/>
      <c r="R52" s="169"/>
    </row>
    <row r="53" spans="1:20" x14ac:dyDescent="0.25">
      <c r="A53" s="31"/>
    </row>
    <row r="54" spans="1:20" x14ac:dyDescent="0.25">
      <c r="A54" s="31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</sheetData>
  <mergeCells count="10">
    <mergeCell ref="W1:W3"/>
    <mergeCell ref="X1:X3"/>
    <mergeCell ref="Y1:Y3"/>
    <mergeCell ref="Z1:Z3"/>
    <mergeCell ref="V1:V3"/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S161"/>
  <sheetViews>
    <sheetView tabSelected="1" zoomScale="90" zoomScaleNormal="90" workbookViewId="0">
      <pane ySplit="1" topLeftCell="A46" activePane="bottomLeft" state="frozen"/>
      <selection pane="bottomLeft" activeCell="E73" sqref="E73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70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2" style="2" bestFit="1" customWidth="1"/>
    <col min="16" max="16384" width="9.140625" style="2"/>
  </cols>
  <sheetData>
    <row r="1" spans="1:15" ht="19.5" customHeight="1" thickBot="1" x14ac:dyDescent="0.35">
      <c r="A1" s="1">
        <v>41529.070451388892</v>
      </c>
      <c r="C1" s="3" t="s">
        <v>159</v>
      </c>
      <c r="D1" s="3"/>
      <c r="G1" s="171" t="s">
        <v>195</v>
      </c>
      <c r="H1" s="171"/>
      <c r="I1" s="171" t="s">
        <v>1224</v>
      </c>
    </row>
    <row r="2" spans="1:15" ht="15" customHeight="1" thickBot="1" x14ac:dyDescent="0.35">
      <c r="B2" s="3"/>
    </row>
    <row r="3" spans="1:15" ht="15.75" customHeight="1" x14ac:dyDescent="0.25">
      <c r="E3" s="935" t="s">
        <v>160</v>
      </c>
      <c r="F3" s="937" t="s">
        <v>161</v>
      </c>
      <c r="G3" s="938"/>
      <c r="H3" s="938"/>
      <c r="I3" s="938"/>
      <c r="J3" s="939"/>
      <c r="K3" s="937" t="s">
        <v>162</v>
      </c>
      <c r="L3" s="938"/>
      <c r="M3" s="938"/>
      <c r="N3" s="938"/>
      <c r="O3" s="939"/>
    </row>
    <row r="4" spans="1:15" s="8" customFormat="1" ht="15.75" thickBot="1" x14ac:dyDescent="0.3">
      <c r="B4" s="9" t="s">
        <v>163</v>
      </c>
      <c r="C4" s="8" t="s">
        <v>164</v>
      </c>
      <c r="E4" s="936"/>
      <c r="F4" s="172">
        <v>1</v>
      </c>
      <c r="G4" s="173" t="s">
        <v>165</v>
      </c>
      <c r="H4" s="173" t="s">
        <v>166</v>
      </c>
      <c r="I4" s="173" t="s">
        <v>167</v>
      </c>
      <c r="J4" s="174" t="s">
        <v>60</v>
      </c>
      <c r="K4" s="172">
        <v>1</v>
      </c>
      <c r="L4" s="173" t="s">
        <v>165</v>
      </c>
      <c r="M4" s="173" t="s">
        <v>166</v>
      </c>
      <c r="N4" s="173" t="s">
        <v>167</v>
      </c>
      <c r="O4" s="174" t="s">
        <v>60</v>
      </c>
    </row>
    <row r="5" spans="1:15" s="8" customFormat="1" ht="6" customHeight="1" thickBot="1" x14ac:dyDescent="0.3">
      <c r="A5" s="175"/>
      <c r="B5" s="176" t="s">
        <v>67</v>
      </c>
      <c r="C5" s="175"/>
      <c r="D5" s="175"/>
      <c r="E5" s="177"/>
      <c r="F5" s="178"/>
      <c r="G5" s="179"/>
      <c r="H5" s="179"/>
      <c r="I5" s="179"/>
      <c r="J5" s="180"/>
      <c r="K5" s="178"/>
      <c r="L5" s="179"/>
      <c r="M5" s="179"/>
      <c r="N5" s="179"/>
      <c r="O5" s="180"/>
    </row>
    <row r="6" spans="1:15" s="183" customFormat="1" ht="16.5" thickTop="1" thickBot="1" x14ac:dyDescent="0.3">
      <c r="A6" s="257"/>
      <c r="B6" s="894" t="s">
        <v>168</v>
      </c>
      <c r="C6" s="259"/>
      <c r="D6" s="220"/>
      <c r="E6" s="263" t="s">
        <v>66</v>
      </c>
      <c r="F6" s="875" t="s">
        <v>1213</v>
      </c>
      <c r="G6" s="220"/>
      <c r="H6" s="220"/>
      <c r="I6" s="220"/>
      <c r="J6" s="223"/>
      <c r="K6" s="224"/>
      <c r="L6" s="225"/>
      <c r="M6" s="220"/>
      <c r="N6" s="225"/>
      <c r="O6" s="223"/>
    </row>
    <row r="7" spans="1:15" ht="15.75" outlineLevel="1" thickTop="1" x14ac:dyDescent="0.25">
      <c r="A7" s="189">
        <v>41526.127025462964</v>
      </c>
      <c r="B7" s="190" t="s">
        <v>182</v>
      </c>
      <c r="C7" s="191"/>
      <c r="D7" s="204"/>
      <c r="E7" s="873" t="s">
        <v>169</v>
      </c>
      <c r="F7" s="198" t="str">
        <f>F15</f>
        <v>LOAD_1C_P</v>
      </c>
      <c r="G7" s="201"/>
      <c r="H7" s="208"/>
      <c r="I7" s="208"/>
      <c r="J7" s="209"/>
      <c r="K7" s="198" t="str">
        <f>TOCmatch!B8</f>
        <v>Платежи</v>
      </c>
      <c r="L7" s="201"/>
      <c r="M7" s="201"/>
      <c r="N7" s="208"/>
      <c r="O7" s="209"/>
    </row>
    <row r="8" spans="1:15" outlineLevel="1" x14ac:dyDescent="0.25">
      <c r="A8" s="189">
        <v>41526.12703703704</v>
      </c>
      <c r="B8" s="190" t="s">
        <v>182</v>
      </c>
      <c r="C8" s="191"/>
      <c r="D8" s="204"/>
      <c r="E8" s="873" t="s">
        <v>169</v>
      </c>
      <c r="F8" s="198" t="str">
        <f>F23</f>
        <v>LOAD_1C_DOG</v>
      </c>
      <c r="G8" s="201"/>
      <c r="H8" s="208"/>
      <c r="I8" s="208"/>
      <c r="J8" s="209"/>
      <c r="K8" s="198" t="str">
        <f>TOCmatch!B10</f>
        <v>Договоры</v>
      </c>
      <c r="L8" s="201"/>
      <c r="M8" s="201"/>
      <c r="N8" s="208"/>
      <c r="O8" s="209"/>
    </row>
    <row r="9" spans="1:15" outlineLevel="1" x14ac:dyDescent="0.25">
      <c r="A9" s="251">
        <v>41526.12704861111</v>
      </c>
      <c r="B9" s="192" t="s">
        <v>182</v>
      </c>
      <c r="C9" s="252"/>
      <c r="D9" s="204"/>
      <c r="E9" s="873" t="s">
        <v>173</v>
      </c>
      <c r="F9" s="198" t="str">
        <f>F31</f>
        <v>LOAD_1C_ACC</v>
      </c>
      <c r="G9" s="201"/>
      <c r="H9" s="208"/>
      <c r="I9" s="208"/>
      <c r="J9" s="209"/>
      <c r="K9" s="198" t="str">
        <f>TOCmatch!B12</f>
        <v>Список клиентов 1C</v>
      </c>
      <c r="L9" s="201"/>
      <c r="M9" s="201"/>
      <c r="N9" s="208"/>
      <c r="O9" s="209"/>
    </row>
    <row r="10" spans="1:15" outlineLevel="1" x14ac:dyDescent="0.25">
      <c r="A10" s="189">
        <v>41526.145416666666</v>
      </c>
      <c r="B10" s="190" t="s">
        <v>182</v>
      </c>
      <c r="C10" s="191"/>
      <c r="D10" s="204"/>
      <c r="E10" s="873" t="s">
        <v>169</v>
      </c>
      <c r="F10" s="198" t="str">
        <f>F37</f>
        <v>LOAD_SF</v>
      </c>
      <c r="G10" s="201"/>
      <c r="H10" s="208"/>
      <c r="I10" s="208"/>
      <c r="J10" s="209"/>
      <c r="K10" s="198" t="str">
        <f>TOCmatch!B14</f>
        <v>SF</v>
      </c>
      <c r="L10" s="201"/>
      <c r="M10" s="201"/>
      <c r="N10" s="208"/>
      <c r="O10" s="209"/>
    </row>
    <row r="11" spans="1:15" outlineLevel="1" x14ac:dyDescent="0.25">
      <c r="A11" s="251">
        <v>41526.127071759256</v>
      </c>
      <c r="B11" s="192" t="s">
        <v>182</v>
      </c>
      <c r="C11" s="252"/>
      <c r="D11" s="204"/>
      <c r="E11" s="873" t="s">
        <v>173</v>
      </c>
      <c r="F11" s="198" t="str">
        <f>F46</f>
        <v>LOAD_SFD</v>
      </c>
      <c r="G11" s="201"/>
      <c r="H11" s="208"/>
      <c r="I11" s="208"/>
      <c r="J11" s="209"/>
      <c r="K11" s="198" t="str">
        <f>TOCmatch!B15</f>
        <v>SFD</v>
      </c>
      <c r="L11" s="201"/>
      <c r="M11" s="201"/>
      <c r="N11" s="208"/>
      <c r="O11" s="209"/>
    </row>
    <row r="12" spans="1:15" outlineLevel="1" x14ac:dyDescent="0.25">
      <c r="A12" s="251">
        <v>41526.145439814813</v>
      </c>
      <c r="B12" s="192" t="s">
        <v>182</v>
      </c>
      <c r="C12" s="252"/>
      <c r="D12" s="204"/>
      <c r="E12" s="873" t="s">
        <v>173</v>
      </c>
      <c r="F12" s="198" t="str">
        <f>F55</f>
        <v>LOAD_SFacc</v>
      </c>
      <c r="G12" s="201"/>
      <c r="H12" s="208"/>
      <c r="I12" s="208"/>
      <c r="J12" s="209"/>
      <c r="K12" s="198" t="str">
        <f>TOCmatch!B17</f>
        <v>SFacc</v>
      </c>
      <c r="L12" s="201"/>
      <c r="M12" s="201"/>
      <c r="N12" s="208"/>
      <c r="O12" s="209"/>
    </row>
    <row r="13" spans="1:15" outlineLevel="1" x14ac:dyDescent="0.25">
      <c r="A13" s="251"/>
      <c r="B13" s="896" t="s">
        <v>231</v>
      </c>
      <c r="C13" s="252"/>
      <c r="D13" s="204"/>
      <c r="E13" s="873" t="s">
        <v>173</v>
      </c>
      <c r="F13" s="198" t="str">
        <f>F73</f>
        <v>HANDL_Payment</v>
      </c>
      <c r="G13" s="201"/>
      <c r="H13" s="208"/>
      <c r="I13" s="208"/>
      <c r="J13" s="209"/>
      <c r="K13" s="198" t="str">
        <f>TOCmatch!B8</f>
        <v>Платежи</v>
      </c>
      <c r="L13" s="201"/>
      <c r="M13" s="201"/>
      <c r="N13" s="208"/>
      <c r="O13" s="209"/>
    </row>
    <row r="14" spans="1:15" s="239" customFormat="1" ht="15.75" outlineLevel="1" thickBot="1" x14ac:dyDescent="0.3">
      <c r="A14" s="291"/>
      <c r="B14" s="232" t="s">
        <v>33</v>
      </c>
      <c r="C14" s="863"/>
      <c r="D14" s="232"/>
      <c r="E14" s="874" t="s">
        <v>173</v>
      </c>
      <c r="F14" s="234"/>
      <c r="G14" s="235"/>
      <c r="H14" s="235"/>
      <c r="I14" s="235"/>
      <c r="J14" s="236"/>
      <c r="K14" s="237"/>
      <c r="L14" s="238"/>
      <c r="M14" s="235"/>
      <c r="N14" s="238"/>
      <c r="O14" s="236"/>
    </row>
    <row r="15" spans="1:15" s="183" customFormat="1" ht="15.75" thickTop="1" x14ac:dyDescent="0.25">
      <c r="A15" s="181"/>
      <c r="B15" s="868" t="s">
        <v>168</v>
      </c>
      <c r="C15" s="181"/>
      <c r="E15" s="184"/>
      <c r="F15" s="185" t="s">
        <v>38</v>
      </c>
      <c r="G15" s="186"/>
      <c r="H15" s="186"/>
      <c r="I15" s="186"/>
      <c r="J15" s="187"/>
      <c r="K15" s="188" t="str">
        <f>TOCmatch!B8</f>
        <v>Платежи</v>
      </c>
      <c r="L15" s="186"/>
      <c r="M15" s="186"/>
      <c r="N15" s="186"/>
      <c r="O15" s="187"/>
    </row>
    <row r="16" spans="1:15" s="183" customFormat="1" outlineLevel="1" x14ac:dyDescent="0.25">
      <c r="A16" s="189">
        <v>41525.107800925929</v>
      </c>
      <c r="B16" s="190" t="s">
        <v>85</v>
      </c>
      <c r="C16" s="191" t="s">
        <v>67</v>
      </c>
      <c r="D16" s="192"/>
      <c r="E16" s="193" t="s">
        <v>169</v>
      </c>
      <c r="F16" s="194"/>
      <c r="G16" s="195"/>
      <c r="H16" s="196"/>
      <c r="I16" s="196"/>
      <c r="J16" s="197"/>
      <c r="K16" s="198" t="str">
        <f>K15</f>
        <v>Платежи</v>
      </c>
      <c r="O16" s="197"/>
    </row>
    <row r="17" spans="1:15" s="183" customFormat="1" outlineLevel="1" x14ac:dyDescent="0.25">
      <c r="A17" s="189">
        <v>41527.006006944444</v>
      </c>
      <c r="B17" s="190" t="s">
        <v>101</v>
      </c>
      <c r="C17" s="191" t="str">
        <f>B16</f>
        <v>InsMyCol</v>
      </c>
      <c r="D17" s="192"/>
      <c r="E17" s="193" t="s">
        <v>169</v>
      </c>
      <c r="F17" s="194"/>
      <c r="G17" s="195"/>
      <c r="H17" s="196"/>
      <c r="I17" s="196"/>
      <c r="J17" s="197"/>
      <c r="K17" s="198" t="str">
        <f>K15</f>
        <v>Платежи</v>
      </c>
      <c r="L17" s="199" t="str">
        <f>TOCmatch!B17</f>
        <v>SFacc</v>
      </c>
      <c r="M17" s="199" t="str">
        <f>TOCmatch!B14</f>
        <v>SF</v>
      </c>
      <c r="N17" s="199" t="str">
        <f>TOCmatch!B21</f>
        <v>SF_PA</v>
      </c>
      <c r="O17" s="197"/>
    </row>
    <row r="18" spans="1:15" s="183" customFormat="1" outlineLevel="1" x14ac:dyDescent="0.25">
      <c r="A18" s="189">
        <v>41527.006018518521</v>
      </c>
      <c r="B18" s="190" t="s">
        <v>59</v>
      </c>
      <c r="C18" s="191" t="str">
        <f>B17</f>
        <v>Adapt</v>
      </c>
      <c r="D18" s="192"/>
      <c r="E18" s="193" t="s">
        <v>169</v>
      </c>
      <c r="F18" s="851">
        <v>7</v>
      </c>
      <c r="G18" s="200"/>
      <c r="H18" s="196"/>
      <c r="I18" s="196"/>
      <c r="J18" s="197"/>
      <c r="K18" s="198" t="str">
        <f>K15</f>
        <v>Платежи</v>
      </c>
      <c r="L18" s="201"/>
      <c r="M18" s="196"/>
      <c r="N18" s="201"/>
      <c r="O18" s="197"/>
    </row>
    <row r="19" spans="1:15" s="186" customFormat="1" outlineLevel="1" x14ac:dyDescent="0.25">
      <c r="A19" s="202">
        <v>41527.00608796296</v>
      </c>
      <c r="B19" s="203" t="s">
        <v>172</v>
      </c>
      <c r="C19" s="191" t="str">
        <f>B18</f>
        <v>DateSort</v>
      </c>
      <c r="D19" s="204"/>
      <c r="E19" s="205" t="s">
        <v>169</v>
      </c>
      <c r="F19" s="198"/>
      <c r="G19" s="196"/>
      <c r="H19" s="196"/>
      <c r="I19" s="196"/>
      <c r="J19" s="197"/>
      <c r="K19" s="198" t="str">
        <f>K15</f>
        <v>Платежи</v>
      </c>
      <c r="L19" s="201"/>
      <c r="M19" s="196"/>
      <c r="N19" s="201"/>
      <c r="O19" s="197"/>
    </row>
    <row r="20" spans="1:15" outlineLevel="1" x14ac:dyDescent="0.25">
      <c r="A20" s="189">
        <v>41527.006099537037</v>
      </c>
      <c r="B20" s="190" t="s">
        <v>50</v>
      </c>
      <c r="C20" s="206" t="str">
        <f>B19</f>
        <v>PaymentPaint</v>
      </c>
      <c r="D20" s="204"/>
      <c r="E20" s="207" t="s">
        <v>169</v>
      </c>
      <c r="G20" s="201"/>
      <c r="H20" s="208"/>
      <c r="I20" s="208"/>
      <c r="J20" s="209"/>
      <c r="K20" s="198" t="str">
        <f>K15</f>
        <v>Платежи</v>
      </c>
      <c r="L20" s="201"/>
      <c r="M20" s="201"/>
      <c r="N20" s="199" t="str">
        <f>TOCmatch!B17</f>
        <v>SFacc</v>
      </c>
      <c r="O20" s="209"/>
    </row>
    <row r="21" spans="1:15" outlineLevel="1" x14ac:dyDescent="0.25">
      <c r="A21" s="189">
        <v>41527.006111111114</v>
      </c>
      <c r="B21" s="869" t="s">
        <v>1193</v>
      </c>
      <c r="C21" s="206" t="str">
        <f>B20</f>
        <v>AccPaint</v>
      </c>
      <c r="D21" s="204"/>
      <c r="E21" s="207" t="s">
        <v>169</v>
      </c>
      <c r="G21" s="201"/>
      <c r="H21" s="208"/>
      <c r="I21" s="208"/>
      <c r="J21" s="209"/>
      <c r="K21" s="198" t="str">
        <f>K15</f>
        <v>Платежи</v>
      </c>
      <c r="L21" s="201"/>
      <c r="M21" s="201"/>
      <c r="N21" s="201"/>
      <c r="O21" s="209"/>
    </row>
    <row r="22" spans="1:15" s="217" customFormat="1" outlineLevel="1" x14ac:dyDescent="0.25">
      <c r="A22" s="870">
        <v>41509.164409722223</v>
      </c>
      <c r="B22" s="871" t="s">
        <v>33</v>
      </c>
      <c r="C22" s="256"/>
      <c r="D22" s="210"/>
      <c r="E22" s="211"/>
      <c r="F22" s="212"/>
      <c r="G22" s="213"/>
      <c r="H22" s="213"/>
      <c r="I22" s="213"/>
      <c r="J22" s="214"/>
      <c r="K22" s="215"/>
      <c r="L22" s="216"/>
      <c r="M22" s="213"/>
      <c r="N22" s="216"/>
      <c r="O22" s="214"/>
    </row>
    <row r="23" spans="1:15" s="183" customFormat="1" x14ac:dyDescent="0.25">
      <c r="A23" s="218"/>
      <c r="B23" s="872" t="s">
        <v>168</v>
      </c>
      <c r="C23" s="219"/>
      <c r="D23" s="220"/>
      <c r="E23" s="221" t="s">
        <v>173</v>
      </c>
      <c r="F23" s="222" t="s">
        <v>46</v>
      </c>
      <c r="G23" s="220"/>
      <c r="H23" s="220"/>
      <c r="I23" s="220"/>
      <c r="J23" s="223"/>
      <c r="K23" s="224" t="str">
        <f>TOCmatch!B10</f>
        <v>Договоры</v>
      </c>
      <c r="L23" s="225"/>
      <c r="M23" s="220"/>
      <c r="N23" s="225"/>
      <c r="O23" s="223"/>
    </row>
    <row r="24" spans="1:15" s="32" customFormat="1" hidden="1" outlineLevel="1" x14ac:dyDescent="0.25">
      <c r="A24" s="189">
        <v>41525.110162037039</v>
      </c>
      <c r="B24" s="190" t="s">
        <v>85</v>
      </c>
      <c r="C24" s="191" t="s">
        <v>67</v>
      </c>
      <c r="D24" s="192"/>
      <c r="E24" s="193" t="s">
        <v>169</v>
      </c>
      <c r="F24" s="194"/>
      <c r="G24" s="195"/>
      <c r="H24" s="196"/>
      <c r="I24" s="196"/>
      <c r="J24" s="209"/>
      <c r="K24" s="198" t="str">
        <f>K23</f>
        <v>Договоры</v>
      </c>
      <c r="N24" s="208"/>
      <c r="O24" s="209"/>
    </row>
    <row r="25" spans="1:15" s="32" customFormat="1" hidden="1" outlineLevel="1" x14ac:dyDescent="0.25">
      <c r="A25" s="189">
        <v>41527.006226851852</v>
      </c>
      <c r="B25" s="190" t="s">
        <v>101</v>
      </c>
      <c r="C25" s="191" t="str">
        <f>B24</f>
        <v>InsMyCol</v>
      </c>
      <c r="D25" s="192"/>
      <c r="E25" s="193" t="s">
        <v>169</v>
      </c>
      <c r="F25" s="194"/>
      <c r="J25" s="209"/>
      <c r="K25" s="198" t="str">
        <f>K23</f>
        <v>Договоры</v>
      </c>
      <c r="L25" s="199" t="str">
        <f>TOCmatch!B17</f>
        <v>SFacc</v>
      </c>
      <c r="M25" s="199" t="str">
        <f>TOCmatch!B15</f>
        <v>SFD</v>
      </c>
      <c r="N25" s="208"/>
      <c r="O25" s="209"/>
    </row>
    <row r="26" spans="1:15" s="32" customFormat="1" hidden="1" outlineLevel="1" x14ac:dyDescent="0.25">
      <c r="A26" s="202">
        <v>41527.006226851852</v>
      </c>
      <c r="B26" s="190" t="s">
        <v>59</v>
      </c>
      <c r="C26" s="191" t="str">
        <f>B25</f>
        <v>Adapt</v>
      </c>
      <c r="D26" s="192"/>
      <c r="E26" s="193" t="s">
        <v>169</v>
      </c>
      <c r="F26" s="851">
        <v>12</v>
      </c>
      <c r="G26" s="200"/>
      <c r="H26" s="208"/>
      <c r="I26" s="208"/>
      <c r="J26" s="209"/>
      <c r="K26" s="198" t="str">
        <f>K23</f>
        <v>Договоры</v>
      </c>
      <c r="L26" s="208"/>
      <c r="M26" s="208"/>
      <c r="N26" s="208"/>
      <c r="O26" s="209"/>
    </row>
    <row r="27" spans="1:15" s="32" customFormat="1" hidden="1" outlineLevel="1" x14ac:dyDescent="0.25">
      <c r="A27" s="202">
        <v>41527.006238425929</v>
      </c>
      <c r="B27" s="203" t="s">
        <v>177</v>
      </c>
      <c r="C27" s="191" t="str">
        <f>B26</f>
        <v>DateSort</v>
      </c>
      <c r="D27" s="204"/>
      <c r="E27" s="227" t="s">
        <v>169</v>
      </c>
      <c r="F27" s="228"/>
      <c r="G27" s="208"/>
      <c r="H27" s="208"/>
      <c r="I27" s="208"/>
      <c r="J27" s="209"/>
      <c r="K27" s="198" t="str">
        <f>K23</f>
        <v>Договоры</v>
      </c>
      <c r="L27" s="199" t="str">
        <f>TOCmatch!B15</f>
        <v>SFD</v>
      </c>
      <c r="N27" s="208"/>
      <c r="O27" s="209"/>
    </row>
    <row r="28" spans="1:15" hidden="1" outlineLevel="1" x14ac:dyDescent="0.25">
      <c r="A28" s="189">
        <v>41527.006249999999</v>
      </c>
      <c r="B28" s="190" t="s">
        <v>50</v>
      </c>
      <c r="C28" s="191" t="str">
        <f>B27</f>
        <v>ContractPaint</v>
      </c>
      <c r="D28" s="204"/>
      <c r="E28" s="229" t="s">
        <v>169</v>
      </c>
      <c r="F28" s="226"/>
      <c r="G28" s="201"/>
      <c r="H28" s="208"/>
      <c r="I28" s="208"/>
      <c r="J28" s="209"/>
      <c r="K28" s="198" t="str">
        <f>K23</f>
        <v>Договоры</v>
      </c>
      <c r="L28" s="201"/>
      <c r="M28" s="201"/>
      <c r="N28" s="199" t="str">
        <f>TOCmatch!B17</f>
        <v>SFacc</v>
      </c>
      <c r="O28" s="209"/>
    </row>
    <row r="29" spans="1:15" hidden="1" outlineLevel="1" x14ac:dyDescent="0.25">
      <c r="A29" s="189">
        <v>41527.006249999999</v>
      </c>
      <c r="B29" s="869" t="s">
        <v>1193</v>
      </c>
      <c r="C29" s="206" t="str">
        <f>B28</f>
        <v>AccPaint</v>
      </c>
      <c r="D29" s="204"/>
      <c r="E29" s="207" t="s">
        <v>169</v>
      </c>
      <c r="G29" s="201"/>
      <c r="H29" s="208"/>
      <c r="I29" s="208"/>
      <c r="J29" s="209"/>
      <c r="K29" s="198" t="str">
        <f>K23</f>
        <v>Договоры</v>
      </c>
      <c r="L29" s="201"/>
      <c r="M29" s="201"/>
      <c r="N29" s="201"/>
      <c r="O29" s="209"/>
    </row>
    <row r="30" spans="1:15" s="217" customFormat="1" hidden="1" outlineLevel="1" x14ac:dyDescent="0.25">
      <c r="A30" s="870">
        <v>41509.162106481483</v>
      </c>
      <c r="B30" s="871" t="s">
        <v>33</v>
      </c>
      <c r="C30" s="256"/>
      <c r="D30" s="210"/>
      <c r="E30" s="211" t="s">
        <v>173</v>
      </c>
      <c r="F30" s="212"/>
      <c r="G30" s="213"/>
      <c r="H30" s="213"/>
      <c r="I30" s="213"/>
      <c r="J30" s="214"/>
      <c r="K30" s="215"/>
      <c r="L30" s="216"/>
      <c r="M30" s="213"/>
      <c r="N30" s="216"/>
      <c r="O30" s="214"/>
    </row>
    <row r="31" spans="1:15" s="183" customFormat="1" ht="15.75" collapsed="1" thickBot="1" x14ac:dyDescent="0.3">
      <c r="A31" s="218"/>
      <c r="B31" s="872" t="s">
        <v>168</v>
      </c>
      <c r="C31" s="219"/>
      <c r="D31" s="220"/>
      <c r="E31" s="221"/>
      <c r="F31" s="230" t="s">
        <v>55</v>
      </c>
      <c r="G31" s="220"/>
      <c r="H31" s="220"/>
      <c r="I31" s="220"/>
      <c r="J31" s="223"/>
      <c r="K31" s="224" t="s">
        <v>49</v>
      </c>
      <c r="L31" s="225"/>
      <c r="M31" s="220"/>
      <c r="N31" s="225"/>
      <c r="O31" s="223"/>
    </row>
    <row r="32" spans="1:15" s="183" customFormat="1" hidden="1" outlineLevel="1" x14ac:dyDescent="0.25">
      <c r="A32" s="189">
        <v>41526.623483796298</v>
      </c>
      <c r="B32" s="190" t="s">
        <v>178</v>
      </c>
      <c r="C32" s="191" t="s">
        <v>67</v>
      </c>
      <c r="D32" s="204"/>
      <c r="E32" s="193" t="s">
        <v>169</v>
      </c>
      <c r="F32" s="226"/>
      <c r="G32" s="200"/>
      <c r="H32" s="196"/>
      <c r="I32" s="196"/>
      <c r="J32" s="197"/>
      <c r="K32" s="198" t="str">
        <f>K31</f>
        <v>Список клиентов 1C</v>
      </c>
      <c r="L32" s="201"/>
      <c r="M32" s="196"/>
      <c r="N32" s="201"/>
      <c r="O32" s="197"/>
    </row>
    <row r="33" spans="1:19" s="32" customFormat="1" hidden="1" outlineLevel="1" x14ac:dyDescent="0.25">
      <c r="A33" s="189">
        <v>41526.623553240737</v>
      </c>
      <c r="B33" s="190" t="s">
        <v>85</v>
      </c>
      <c r="C33" s="231" t="str">
        <f>B32</f>
        <v>Acc1C_Bottom</v>
      </c>
      <c r="D33" s="192"/>
      <c r="E33" s="193" t="s">
        <v>169</v>
      </c>
      <c r="F33" s="198"/>
      <c r="G33" s="201"/>
      <c r="H33" s="196"/>
      <c r="I33" s="196"/>
      <c r="J33" s="209"/>
      <c r="K33" s="198" t="str">
        <f>K31</f>
        <v>Список клиентов 1C</v>
      </c>
      <c r="L33" s="208"/>
      <c r="M33" s="208"/>
      <c r="O33" s="209"/>
    </row>
    <row r="34" spans="1:19" s="32" customFormat="1" hidden="1" outlineLevel="1" x14ac:dyDescent="0.25">
      <c r="A34" s="189">
        <v>41527.006365740737</v>
      </c>
      <c r="B34" s="190" t="s">
        <v>101</v>
      </c>
      <c r="C34" s="231" t="str">
        <f>B33</f>
        <v>InsMyCol</v>
      </c>
      <c r="D34" s="192"/>
      <c r="E34" s="193" t="s">
        <v>169</v>
      </c>
      <c r="F34" s="198"/>
      <c r="G34" s="201"/>
      <c r="H34" s="196"/>
      <c r="I34" s="196"/>
      <c r="J34" s="209"/>
      <c r="K34" s="198" t="str">
        <f>K31</f>
        <v>Список клиентов 1C</v>
      </c>
      <c r="L34" s="208"/>
      <c r="M34" s="208"/>
      <c r="N34" s="199" t="str">
        <f>TOCmatch!B17</f>
        <v>SFacc</v>
      </c>
      <c r="O34" s="209"/>
    </row>
    <row r="35" spans="1:19" hidden="1" outlineLevel="1" x14ac:dyDescent="0.25">
      <c r="A35" s="189">
        <v>41527.006377314814</v>
      </c>
      <c r="B35" s="190" t="s">
        <v>50</v>
      </c>
      <c r="C35" s="231" t="str">
        <f>B34</f>
        <v>Adapt</v>
      </c>
      <c r="D35" s="204"/>
      <c r="E35" s="229" t="s">
        <v>169</v>
      </c>
      <c r="F35" s="198"/>
      <c r="G35" s="201"/>
      <c r="H35" s="208"/>
      <c r="I35" s="208"/>
      <c r="J35" s="209"/>
      <c r="K35" s="198" t="str">
        <f>K31</f>
        <v>Список клиентов 1C</v>
      </c>
      <c r="L35" s="201"/>
      <c r="M35" s="201"/>
      <c r="N35" s="199" t="str">
        <f>TOCmatch!B17</f>
        <v>SFacc</v>
      </c>
      <c r="O35" s="209"/>
    </row>
    <row r="36" spans="1:19" s="239" customFormat="1" ht="15.75" hidden="1" outlineLevel="1" thickBot="1" x14ac:dyDescent="0.3">
      <c r="A36" s="877">
        <v>41507.01185185185</v>
      </c>
      <c r="B36" s="878" t="s">
        <v>33</v>
      </c>
      <c r="C36" s="863"/>
      <c r="D36" s="232"/>
      <c r="E36" s="233" t="s">
        <v>169</v>
      </c>
      <c r="F36" s="234"/>
      <c r="G36" s="235"/>
      <c r="H36" s="235"/>
      <c r="I36" s="235"/>
      <c r="J36" s="236"/>
      <c r="K36" s="237"/>
      <c r="L36" s="238"/>
      <c r="M36" s="235"/>
      <c r="N36" s="238"/>
      <c r="O36" s="236"/>
    </row>
    <row r="37" spans="1:19" s="183" customFormat="1" ht="15.75" collapsed="1" thickTop="1" x14ac:dyDescent="0.25">
      <c r="A37" s="897"/>
      <c r="B37" s="898" t="s">
        <v>168</v>
      </c>
      <c r="C37" s="899"/>
      <c r="D37" s="243"/>
      <c r="E37" s="244" t="s">
        <v>173</v>
      </c>
      <c r="F37" s="245" t="s">
        <v>179</v>
      </c>
      <c r="G37" s="243"/>
      <c r="H37" s="243"/>
      <c r="I37" s="243"/>
      <c r="J37" s="246"/>
      <c r="K37" s="247" t="str">
        <f>TOCmatch!B14</f>
        <v>SF</v>
      </c>
      <c r="L37" s="248"/>
      <c r="M37" s="243"/>
      <c r="N37" s="248"/>
      <c r="O37" s="246"/>
    </row>
    <row r="38" spans="1:19" s="183" customFormat="1" hidden="1" outlineLevel="1" x14ac:dyDescent="0.25">
      <c r="A38" s="202">
        <v>41526.125590277778</v>
      </c>
      <c r="B38" s="861" t="s">
        <v>1214</v>
      </c>
      <c r="C38" s="860"/>
      <c r="D38" s="196"/>
      <c r="E38" s="205" t="s">
        <v>169</v>
      </c>
      <c r="F38" s="876" t="str">
        <f>TOCmatch!B14</f>
        <v>SF</v>
      </c>
      <c r="G38" s="196"/>
      <c r="H38" s="196"/>
      <c r="I38" s="196"/>
      <c r="J38" s="197"/>
      <c r="K38" s="198" t="str">
        <f>TOCmatch!B8</f>
        <v>Платежи</v>
      </c>
      <c r="L38" s="201"/>
      <c r="M38" s="196"/>
      <c r="N38" s="201"/>
      <c r="O38" s="197"/>
    </row>
    <row r="39" spans="1:19" hidden="1" outlineLevel="1" x14ac:dyDescent="0.25">
      <c r="A39" s="189">
        <v>41526.1330787037</v>
      </c>
      <c r="B39" s="190" t="s">
        <v>85</v>
      </c>
      <c r="C39" s="191" t="str">
        <f>B38</f>
        <v>CheckRepDate</v>
      </c>
      <c r="D39" s="192"/>
      <c r="E39" s="193" t="s">
        <v>169</v>
      </c>
      <c r="F39" s="198"/>
      <c r="G39" s="201"/>
      <c r="H39" s="208"/>
      <c r="I39" s="208"/>
      <c r="J39" s="249"/>
      <c r="K39" s="198" t="str">
        <f>K37</f>
        <v>SF</v>
      </c>
      <c r="L39" s="208"/>
      <c r="M39" s="208"/>
      <c r="N39" s="208"/>
      <c r="O39" s="249"/>
    </row>
    <row r="40" spans="1:19" s="183" customFormat="1" hidden="1" outlineLevel="1" x14ac:dyDescent="0.25">
      <c r="A40" s="202">
        <v>41526.133101851854</v>
      </c>
      <c r="B40" s="861" t="s">
        <v>1210</v>
      </c>
      <c r="C40" s="191" t="str">
        <f>B39</f>
        <v>InsMyCol</v>
      </c>
      <c r="D40" s="196"/>
      <c r="E40" s="205" t="s">
        <v>169</v>
      </c>
      <c r="F40" s="862">
        <v>3</v>
      </c>
      <c r="G40" s="196"/>
      <c r="H40" s="196"/>
      <c r="I40" s="196"/>
      <c r="J40" s="197"/>
      <c r="K40" s="198" t="str">
        <f>K37</f>
        <v>SF</v>
      </c>
      <c r="L40" s="201"/>
      <c r="M40" s="196"/>
      <c r="N40" s="201"/>
      <c r="O40" s="197"/>
    </row>
    <row r="41" spans="1:19" hidden="1" outlineLevel="1" x14ac:dyDescent="0.25">
      <c r="A41" s="189">
        <v>41526.133599537039</v>
      </c>
      <c r="B41" s="203" t="s">
        <v>182</v>
      </c>
      <c r="C41" s="191" t="str">
        <f>B40</f>
        <v>SFaccSplit</v>
      </c>
      <c r="D41" s="204"/>
      <c r="E41" s="229" t="s">
        <v>169</v>
      </c>
      <c r="F41" s="198" t="str">
        <f>F15</f>
        <v>LOAD_1C_P</v>
      </c>
      <c r="G41" s="201"/>
      <c r="H41" s="208"/>
      <c r="I41" s="208"/>
      <c r="J41" s="249"/>
      <c r="K41" s="198" t="str">
        <f>TOCmatch!B8</f>
        <v>Платежи</v>
      </c>
      <c r="L41" s="208" t="str">
        <f>K37</f>
        <v>SF</v>
      </c>
      <c r="M41" s="208"/>
      <c r="N41" s="208"/>
      <c r="O41" s="249"/>
    </row>
    <row r="42" spans="1:19" hidden="1" outlineLevel="1" x14ac:dyDescent="0.25">
      <c r="A42" s="189">
        <v>41526.133912037039</v>
      </c>
      <c r="B42" s="190" t="s">
        <v>101</v>
      </c>
      <c r="C42" s="921" t="str">
        <f>B41</f>
        <v>ProcStart</v>
      </c>
      <c r="D42" s="208"/>
      <c r="E42" s="229" t="s">
        <v>169</v>
      </c>
      <c r="F42" s="198"/>
      <c r="G42" s="201"/>
      <c r="H42" s="208"/>
      <c r="I42" s="208"/>
      <c r="J42" s="249"/>
      <c r="K42" s="198" t="str">
        <f>K37</f>
        <v>SF</v>
      </c>
      <c r="L42" s="208" t="str">
        <f>TOCmatch!B8</f>
        <v>Платежи</v>
      </c>
      <c r="M42" s="208"/>
      <c r="N42" s="208"/>
      <c r="O42" s="249"/>
      <c r="S42" s="2" t="str">
        <f>B39 &amp; ", " &amp; F15 &amp; "/" &amp; B21</f>
        <v>InsMyCol, LOAD_1C_P/MergeReps</v>
      </c>
    </row>
    <row r="43" spans="1:19" hidden="1" outlineLevel="1" x14ac:dyDescent="0.25">
      <c r="A43" s="189">
        <v>41526.133923611109</v>
      </c>
      <c r="B43" s="190" t="s">
        <v>59</v>
      </c>
      <c r="C43" s="191"/>
      <c r="D43" s="192"/>
      <c r="E43" s="193" t="s">
        <v>169</v>
      </c>
      <c r="F43" s="852">
        <v>5</v>
      </c>
      <c r="G43" s="201"/>
      <c r="H43" s="208"/>
      <c r="I43" s="208"/>
      <c r="J43" s="209"/>
      <c r="K43" s="198" t="str">
        <f>K37</f>
        <v>SF</v>
      </c>
      <c r="L43" s="208"/>
      <c r="M43" s="208"/>
      <c r="N43" s="208"/>
      <c r="O43" s="209"/>
    </row>
    <row r="44" spans="1:19" hidden="1" outlineLevel="1" x14ac:dyDescent="0.25">
      <c r="A44" s="189">
        <v>41526.133935185186</v>
      </c>
      <c r="B44" s="869" t="s">
        <v>1202</v>
      </c>
      <c r="C44" s="191"/>
      <c r="D44" s="192"/>
      <c r="E44" s="193" t="s">
        <v>169</v>
      </c>
      <c r="F44" s="253"/>
      <c r="G44" s="201"/>
      <c r="H44" s="208"/>
      <c r="I44" s="208"/>
      <c r="J44" s="209"/>
      <c r="K44" s="198" t="str">
        <f>K37</f>
        <v>SF</v>
      </c>
      <c r="L44" s="208"/>
      <c r="M44" s="208"/>
      <c r="N44" s="208"/>
      <c r="O44" s="209"/>
    </row>
    <row r="45" spans="1:19" s="217" customFormat="1" hidden="1" outlineLevel="1" x14ac:dyDescent="0.25">
      <c r="A45" s="870">
        <v>41509.160416666666</v>
      </c>
      <c r="B45" s="871" t="s">
        <v>33</v>
      </c>
      <c r="C45" s="256"/>
      <c r="D45" s="210"/>
      <c r="E45" s="211" t="s">
        <v>173</v>
      </c>
      <c r="F45" s="212"/>
      <c r="G45" s="213"/>
      <c r="H45" s="213"/>
      <c r="I45" s="213"/>
      <c r="J45" s="214"/>
      <c r="K45" s="215" t="str">
        <f>K37</f>
        <v>SF</v>
      </c>
      <c r="L45" s="216"/>
      <c r="M45" s="213"/>
      <c r="N45" s="216"/>
      <c r="O45" s="214"/>
    </row>
    <row r="46" spans="1:19" s="183" customFormat="1" collapsed="1" x14ac:dyDescent="0.25">
      <c r="A46" s="257"/>
      <c r="B46" s="258" t="s">
        <v>168</v>
      </c>
      <c r="C46" s="259"/>
      <c r="D46" s="220"/>
      <c r="E46" s="221" t="s">
        <v>173</v>
      </c>
      <c r="F46" s="222" t="s">
        <v>183</v>
      </c>
      <c r="G46" s="220"/>
      <c r="H46" s="220"/>
      <c r="I46" s="220"/>
      <c r="J46" s="223"/>
      <c r="K46" s="224" t="s">
        <v>63</v>
      </c>
      <c r="L46" s="225"/>
      <c r="M46" s="220"/>
      <c r="N46" s="225"/>
      <c r="O46" s="223"/>
    </row>
    <row r="47" spans="1:19" s="183" customFormat="1" hidden="1" outlineLevel="1" x14ac:dyDescent="0.25">
      <c r="A47" s="202">
        <v>41526.122083333335</v>
      </c>
      <c r="B47" s="861" t="s">
        <v>1214</v>
      </c>
      <c r="C47" s="860"/>
      <c r="D47" s="196"/>
      <c r="E47" s="205" t="s">
        <v>169</v>
      </c>
      <c r="F47" s="876" t="str">
        <f>TOCmatch!B15</f>
        <v>SFD</v>
      </c>
      <c r="G47" s="196"/>
      <c r="H47" s="196"/>
      <c r="I47" s="196"/>
      <c r="J47" s="197"/>
      <c r="K47" s="198" t="str">
        <f>TOCmatch!B10</f>
        <v>Договоры</v>
      </c>
      <c r="L47" s="2"/>
      <c r="M47" s="196"/>
      <c r="N47" s="201"/>
      <c r="O47" s="197"/>
    </row>
    <row r="48" spans="1:19" s="183" customFormat="1" hidden="1" outlineLevel="1" x14ac:dyDescent="0.25">
      <c r="A48" s="202">
        <v>41527.004143518519</v>
      </c>
      <c r="B48" s="861" t="s">
        <v>1214</v>
      </c>
      <c r="C48" s="860"/>
      <c r="D48" s="196"/>
      <c r="E48" s="205" t="s">
        <v>169</v>
      </c>
      <c r="F48" s="876" t="str">
        <f>TOCmatch!B16</f>
        <v>SFopp</v>
      </c>
      <c r="G48" s="196"/>
      <c r="H48" s="196"/>
      <c r="I48" s="196"/>
      <c r="J48" s="197"/>
      <c r="K48" s="198" t="str">
        <f>K46</f>
        <v>SFD</v>
      </c>
      <c r="L48" s="196"/>
      <c r="M48" s="196"/>
      <c r="N48" s="201"/>
      <c r="O48" s="197"/>
    </row>
    <row r="49" spans="1:15" hidden="1" outlineLevel="1" x14ac:dyDescent="0.25">
      <c r="A49" s="189">
        <v>41527.004224537035</v>
      </c>
      <c r="B49" s="190" t="s">
        <v>85</v>
      </c>
      <c r="C49" s="191" t="str">
        <f>B48</f>
        <v>CheckRepDate</v>
      </c>
      <c r="D49" s="192"/>
      <c r="E49" s="193" t="s">
        <v>169</v>
      </c>
      <c r="F49" s="198"/>
      <c r="G49" s="196"/>
      <c r="H49" s="208"/>
      <c r="I49" s="208"/>
      <c r="J49" s="249"/>
      <c r="K49" s="250" t="s">
        <v>63</v>
      </c>
      <c r="M49" s="208"/>
      <c r="N49" s="208"/>
      <c r="O49" s="249"/>
    </row>
    <row r="50" spans="1:15" s="183" customFormat="1" hidden="1" outlineLevel="1" x14ac:dyDescent="0.25">
      <c r="A50" s="202">
        <v>41527.004652777781</v>
      </c>
      <c r="B50" s="861" t="s">
        <v>1210</v>
      </c>
      <c r="C50" s="191" t="str">
        <f>B49</f>
        <v>InsMyCol</v>
      </c>
      <c r="D50" s="196"/>
      <c r="E50" s="205" t="s">
        <v>169</v>
      </c>
      <c r="F50" s="862">
        <v>6</v>
      </c>
      <c r="G50" s="196"/>
      <c r="H50" s="196"/>
      <c r="I50" s="196"/>
      <c r="J50" s="197"/>
      <c r="K50" s="198" t="str">
        <f>K46</f>
        <v>SFD</v>
      </c>
      <c r="L50" s="201"/>
      <c r="M50" s="196"/>
      <c r="N50" s="201"/>
      <c r="O50" s="197"/>
    </row>
    <row r="51" spans="1:15" hidden="1" outlineLevel="1" x14ac:dyDescent="0.25">
      <c r="A51" s="251">
        <v>41527.004745370374</v>
      </c>
      <c r="B51" s="192" t="s">
        <v>101</v>
      </c>
      <c r="C51" s="252" t="str">
        <f>B50</f>
        <v>SFaccSplit</v>
      </c>
      <c r="D51" s="192"/>
      <c r="E51" s="193" t="s">
        <v>173</v>
      </c>
      <c r="F51" s="198"/>
      <c r="G51" s="201"/>
      <c r="H51" s="208"/>
      <c r="I51" s="208"/>
      <c r="J51" s="249"/>
      <c r="K51" s="250" t="s">
        <v>63</v>
      </c>
      <c r="L51" s="204" t="s">
        <v>41</v>
      </c>
      <c r="M51" s="208"/>
      <c r="N51" s="199" t="s">
        <v>69</v>
      </c>
      <c r="O51" s="249"/>
    </row>
    <row r="52" spans="1:15" hidden="1" outlineLevel="1" x14ac:dyDescent="0.25">
      <c r="A52" s="251">
        <v>41527.004756944443</v>
      </c>
      <c r="B52" s="192" t="s">
        <v>59</v>
      </c>
      <c r="C52" s="252" t="str">
        <f>B51</f>
        <v>Adapt</v>
      </c>
      <c r="D52" s="192"/>
      <c r="E52" s="193" t="s">
        <v>173</v>
      </c>
      <c r="F52" s="862">
        <v>8</v>
      </c>
      <c r="G52" s="201"/>
      <c r="H52" s="208"/>
      <c r="I52" s="208"/>
      <c r="J52" s="209"/>
      <c r="K52" s="250" t="s">
        <v>63</v>
      </c>
      <c r="L52" s="208"/>
      <c r="M52" s="208"/>
      <c r="N52" s="208"/>
      <c r="O52" s="209"/>
    </row>
    <row r="53" spans="1:15" hidden="1" outlineLevel="1" x14ac:dyDescent="0.25">
      <c r="A53" s="251">
        <v>41527.004872685182</v>
      </c>
      <c r="B53" s="254" t="s">
        <v>182</v>
      </c>
      <c r="C53" s="39" t="str">
        <f>B52</f>
        <v>DateSort</v>
      </c>
      <c r="D53" s="204"/>
      <c r="E53" s="229" t="s">
        <v>173</v>
      </c>
      <c r="F53" s="198" t="str">
        <f>F23</f>
        <v>LOAD_1C_DOG</v>
      </c>
      <c r="G53" s="201"/>
      <c r="H53" s="208"/>
      <c r="I53" s="208"/>
      <c r="J53" s="249"/>
      <c r="K53" s="250" t="s">
        <v>41</v>
      </c>
      <c r="L53" s="208"/>
      <c r="M53" s="208"/>
      <c r="N53" s="208"/>
      <c r="O53" s="249"/>
    </row>
    <row r="54" spans="1:15" s="217" customFormat="1" hidden="1" outlineLevel="1" x14ac:dyDescent="0.25">
      <c r="A54" s="255">
        <v>41507.005196759259</v>
      </c>
      <c r="B54" s="210" t="s">
        <v>33</v>
      </c>
      <c r="C54" s="256"/>
      <c r="D54" s="210"/>
      <c r="E54" s="211" t="s">
        <v>169</v>
      </c>
      <c r="F54" s="212"/>
      <c r="G54" s="213"/>
      <c r="H54" s="213"/>
      <c r="I54" s="213"/>
      <c r="J54" s="214"/>
      <c r="K54" s="215"/>
      <c r="L54" s="216"/>
      <c r="M54" s="213"/>
      <c r="N54" s="216"/>
      <c r="O54" s="214"/>
    </row>
    <row r="55" spans="1:15" s="183" customFormat="1" collapsed="1" x14ac:dyDescent="0.25">
      <c r="A55" s="218"/>
      <c r="B55" s="920" t="s">
        <v>168</v>
      </c>
      <c r="C55" s="219"/>
      <c r="D55" s="220"/>
      <c r="E55" s="221" t="s">
        <v>173</v>
      </c>
      <c r="F55" s="222" t="s">
        <v>187</v>
      </c>
      <c r="G55" s="220"/>
      <c r="H55" s="220"/>
      <c r="I55" s="220"/>
      <c r="J55" s="223"/>
      <c r="K55" s="224" t="s">
        <v>69</v>
      </c>
      <c r="L55" s="225"/>
      <c r="M55" s="220"/>
      <c r="N55" s="225"/>
      <c r="O55" s="223"/>
    </row>
    <row r="56" spans="1:15" s="183" customFormat="1" hidden="1" outlineLevel="1" x14ac:dyDescent="0.25">
      <c r="A56" s="202">
        <v>41526.648194444446</v>
      </c>
      <c r="B56" s="861" t="s">
        <v>1214</v>
      </c>
      <c r="C56" s="860"/>
      <c r="D56" s="196"/>
      <c r="E56" s="205" t="s">
        <v>169</v>
      </c>
      <c r="F56" s="876" t="str">
        <f>TOCmatch!B17</f>
        <v>SFacc</v>
      </c>
      <c r="G56" s="196"/>
      <c r="H56" s="196"/>
      <c r="I56" s="196"/>
      <c r="J56" s="197"/>
      <c r="K56" s="198" t="str">
        <f>TOCmatch!B12</f>
        <v>Список клиентов 1C</v>
      </c>
      <c r="L56" s="201"/>
      <c r="M56" s="196"/>
      <c r="N56" s="201"/>
      <c r="O56" s="197"/>
    </row>
    <row r="57" spans="1:15" s="183" customFormat="1" hidden="1" outlineLevel="1" x14ac:dyDescent="0.25">
      <c r="A57" s="202">
        <v>41527.005381944444</v>
      </c>
      <c r="B57" s="861" t="s">
        <v>1210</v>
      </c>
      <c r="C57" s="860"/>
      <c r="D57" s="196"/>
      <c r="E57" s="205" t="s">
        <v>169</v>
      </c>
      <c r="F57" s="862">
        <v>2</v>
      </c>
      <c r="G57" s="196"/>
      <c r="H57" s="196"/>
      <c r="I57" s="196"/>
      <c r="J57" s="197"/>
      <c r="K57" s="198" t="str">
        <f>K55</f>
        <v>SFacc</v>
      </c>
      <c r="L57" s="201"/>
      <c r="M57" s="196"/>
      <c r="N57" s="201"/>
      <c r="O57" s="197"/>
    </row>
    <row r="58" spans="1:15" hidden="1" outlineLevel="1" x14ac:dyDescent="0.25">
      <c r="A58" s="189">
        <v>41527.006122685183</v>
      </c>
      <c r="B58" s="190" t="s">
        <v>182</v>
      </c>
      <c r="C58" s="191"/>
      <c r="D58" s="204"/>
      <c r="E58" s="229" t="s">
        <v>169</v>
      </c>
      <c r="F58" s="198" t="str">
        <f>F15</f>
        <v>LOAD_1C_P</v>
      </c>
      <c r="G58" s="201"/>
      <c r="H58" s="208"/>
      <c r="I58" s="208"/>
      <c r="J58" s="209"/>
      <c r="K58" s="198" t="str">
        <f>K55</f>
        <v>SFacc</v>
      </c>
      <c r="L58" s="201" t="str">
        <f>TOCmatch!B8</f>
        <v>Платежи</v>
      </c>
      <c r="M58" s="201"/>
      <c r="N58" s="208"/>
      <c r="O58" s="209"/>
    </row>
    <row r="59" spans="1:15" hidden="1" outlineLevel="1" x14ac:dyDescent="0.25">
      <c r="A59" s="189">
        <v>41527.006261574075</v>
      </c>
      <c r="B59" s="190" t="s">
        <v>182</v>
      </c>
      <c r="C59" s="191"/>
      <c r="D59" s="204"/>
      <c r="E59" s="229" t="s">
        <v>169</v>
      </c>
      <c r="F59" s="198" t="str">
        <f>F23</f>
        <v>LOAD_1C_DOG</v>
      </c>
      <c r="G59" s="201"/>
      <c r="H59" s="208"/>
      <c r="I59" s="208"/>
      <c r="J59" s="209"/>
      <c r="K59" s="198" t="str">
        <f>K55</f>
        <v>SFacc</v>
      </c>
      <c r="L59" s="201" t="str">
        <f>TOCmatch!B10</f>
        <v>Договоры</v>
      </c>
      <c r="M59" s="201"/>
      <c r="N59" s="208"/>
      <c r="O59" s="209"/>
    </row>
    <row r="60" spans="1:15" hidden="1" outlineLevel="1" x14ac:dyDescent="0.25">
      <c r="A60" s="189">
        <v>41527.006388888891</v>
      </c>
      <c r="B60" s="190" t="s">
        <v>182</v>
      </c>
      <c r="C60" s="191"/>
      <c r="D60" s="204"/>
      <c r="E60" s="229" t="s">
        <v>169</v>
      </c>
      <c r="F60" s="198" t="str">
        <f>F31</f>
        <v>LOAD_1C_ACC</v>
      </c>
      <c r="G60" s="201"/>
      <c r="H60" s="208"/>
      <c r="I60" s="208"/>
      <c r="J60" s="209"/>
      <c r="K60" s="198" t="str">
        <f>K55</f>
        <v>SFacc</v>
      </c>
      <c r="L60" s="201" t="str">
        <f>TOCmatch!B12</f>
        <v>Список клиентов 1C</v>
      </c>
      <c r="M60" s="201"/>
      <c r="N60" s="208"/>
      <c r="O60" s="209"/>
    </row>
    <row r="61" spans="1:15" s="239" customFormat="1" ht="15.75" hidden="1" outlineLevel="1" thickBot="1" x14ac:dyDescent="0.3">
      <c r="A61" s="877">
        <v>41507.01185185185</v>
      </c>
      <c r="B61" s="878" t="s">
        <v>33</v>
      </c>
      <c r="C61" s="863"/>
      <c r="D61" s="232"/>
      <c r="E61" s="233" t="s">
        <v>169</v>
      </c>
      <c r="F61" s="234"/>
      <c r="G61" s="235"/>
      <c r="H61" s="235"/>
      <c r="I61" s="235"/>
      <c r="J61" s="236"/>
      <c r="K61" s="237"/>
      <c r="L61" s="238"/>
      <c r="M61" s="235"/>
      <c r="N61" s="238"/>
      <c r="O61" s="236"/>
    </row>
    <row r="62" spans="1:15" s="183" customFormat="1" ht="15.75" collapsed="1" thickBot="1" x14ac:dyDescent="0.3">
      <c r="A62" s="181"/>
      <c r="B62" s="182" t="s">
        <v>168</v>
      </c>
      <c r="C62" s="181"/>
      <c r="E62" s="184"/>
      <c r="F62" s="185" t="s">
        <v>105</v>
      </c>
      <c r="G62" s="186"/>
      <c r="H62" s="186"/>
      <c r="I62" s="186"/>
      <c r="J62" s="187"/>
      <c r="K62" s="188" t="s">
        <v>100</v>
      </c>
      <c r="L62" s="186"/>
      <c r="M62" s="186"/>
      <c r="N62" s="186"/>
      <c r="O62" s="187"/>
    </row>
    <row r="63" spans="1:15" s="183" customFormat="1" hidden="1" outlineLevel="1" x14ac:dyDescent="0.25">
      <c r="A63" s="189">
        <v>41473.017916666664</v>
      </c>
      <c r="B63" s="190" t="s">
        <v>188</v>
      </c>
      <c r="C63" s="191" t="s">
        <v>67</v>
      </c>
      <c r="D63" s="192"/>
      <c r="E63" s="193" t="s">
        <v>169</v>
      </c>
      <c r="F63" s="260" t="s">
        <v>189</v>
      </c>
      <c r="G63" s="200"/>
      <c r="H63" s="196"/>
      <c r="I63" s="196"/>
      <c r="J63" s="197"/>
      <c r="K63" s="198" t="str">
        <f>K62</f>
        <v>Заказы</v>
      </c>
      <c r="L63" s="201"/>
      <c r="M63" s="196"/>
      <c r="N63" s="201"/>
      <c r="O63" s="197"/>
    </row>
    <row r="64" spans="1:15" s="183" customFormat="1" hidden="1" outlineLevel="1" x14ac:dyDescent="0.25">
      <c r="A64" s="189">
        <v>41473.017928240741</v>
      </c>
      <c r="B64" s="190" t="s">
        <v>85</v>
      </c>
      <c r="C64" s="206" t="str">
        <f>B63</f>
        <v>RowDel</v>
      </c>
      <c r="D64" s="192"/>
      <c r="E64" s="193" t="s">
        <v>169</v>
      </c>
      <c r="F64" s="198" t="s">
        <v>190</v>
      </c>
      <c r="G64" s="195"/>
      <c r="H64" s="196"/>
      <c r="I64" s="196"/>
      <c r="J64" s="197"/>
      <c r="K64" s="198" t="str">
        <f>K62</f>
        <v>Заказы</v>
      </c>
      <c r="L64" s="201"/>
      <c r="M64" s="196"/>
      <c r="N64" s="201"/>
      <c r="O64" s="197"/>
    </row>
    <row r="65" spans="1:16" s="183" customFormat="1" hidden="1" outlineLevel="1" x14ac:dyDescent="0.25">
      <c r="A65" s="251">
        <v>41506.983391203707</v>
      </c>
      <c r="B65" s="192" t="s">
        <v>101</v>
      </c>
      <c r="C65" s="261" t="str">
        <f>B64</f>
        <v>InsMyCol</v>
      </c>
      <c r="D65" s="192"/>
      <c r="E65" s="193" t="s">
        <v>173</v>
      </c>
      <c r="F65" s="185" t="s">
        <v>190</v>
      </c>
      <c r="G65" s="200"/>
      <c r="H65" s="200"/>
      <c r="I65" s="200"/>
      <c r="J65" s="262"/>
      <c r="K65" s="198" t="str">
        <f>K63</f>
        <v>Заказы</v>
      </c>
      <c r="L65" s="201" t="s">
        <v>32</v>
      </c>
      <c r="M65" s="196"/>
      <c r="N65" s="199" t="s">
        <v>80</v>
      </c>
      <c r="O65" s="197"/>
    </row>
    <row r="66" spans="1:16" s="217" customFormat="1" ht="15.75" hidden="1" outlineLevel="1" thickBot="1" x14ac:dyDescent="0.3">
      <c r="A66" s="255">
        <v>41506.983391203707</v>
      </c>
      <c r="B66" s="210" t="s">
        <v>33</v>
      </c>
      <c r="C66" s="256"/>
      <c r="D66" s="210"/>
      <c r="E66" s="211" t="s">
        <v>169</v>
      </c>
      <c r="F66" s="212"/>
      <c r="G66" s="213"/>
      <c r="H66" s="213"/>
      <c r="I66" s="213"/>
      <c r="J66" s="214"/>
      <c r="K66" s="215"/>
      <c r="L66" s="216"/>
      <c r="M66" s="213"/>
      <c r="N66" s="216"/>
      <c r="O66" s="214"/>
    </row>
    <row r="67" spans="1:16" s="183" customFormat="1" ht="16.5" collapsed="1" thickTop="1" thickBot="1" x14ac:dyDescent="0.3">
      <c r="A67" s="181"/>
      <c r="B67" s="182" t="s">
        <v>168</v>
      </c>
      <c r="C67" s="181"/>
      <c r="E67" s="263" t="s">
        <v>66</v>
      </c>
      <c r="F67" s="185" t="s">
        <v>89</v>
      </c>
      <c r="G67" s="186"/>
      <c r="H67" s="186"/>
      <c r="I67" s="186"/>
      <c r="J67" s="187"/>
      <c r="K67" s="188" t="s">
        <v>83</v>
      </c>
      <c r="L67" s="186"/>
      <c r="M67" s="186"/>
      <c r="N67" s="186"/>
      <c r="O67" s="187"/>
    </row>
    <row r="68" spans="1:16" s="183" customFormat="1" ht="15.75" hidden="1" outlineLevel="1" thickTop="1" x14ac:dyDescent="0.25">
      <c r="A68" s="251"/>
      <c r="B68" s="192" t="s">
        <v>188</v>
      </c>
      <c r="C68" s="252" t="s">
        <v>67</v>
      </c>
      <c r="D68" s="192"/>
      <c r="E68" s="193" t="s">
        <v>173</v>
      </c>
      <c r="F68" s="260" t="s">
        <v>191</v>
      </c>
      <c r="G68" s="200"/>
      <c r="H68" s="196"/>
      <c r="I68" s="196"/>
      <c r="J68" s="197"/>
      <c r="K68" s="264" t="str">
        <f>K67</f>
        <v>Склад</v>
      </c>
      <c r="L68" s="201"/>
      <c r="M68" s="196"/>
      <c r="N68" s="201"/>
      <c r="O68" s="197"/>
    </row>
    <row r="69" spans="1:16" s="183" customFormat="1" hidden="1" outlineLevel="1" x14ac:dyDescent="0.25">
      <c r="A69" s="251"/>
      <c r="B69" s="192" t="s">
        <v>85</v>
      </c>
      <c r="C69" s="261" t="str">
        <f>B68</f>
        <v>RowDel</v>
      </c>
      <c r="D69" s="192"/>
      <c r="E69" s="193" t="s">
        <v>173</v>
      </c>
      <c r="F69" s="198" t="s">
        <v>192</v>
      </c>
      <c r="G69" s="200"/>
      <c r="H69" s="196"/>
      <c r="I69" s="196"/>
      <c r="J69" s="197"/>
      <c r="K69" s="198" t="str">
        <f>K67</f>
        <v>Склад</v>
      </c>
      <c r="L69" s="201"/>
      <c r="M69" s="196"/>
      <c r="N69" s="201"/>
      <c r="O69" s="197"/>
    </row>
    <row r="70" spans="1:16" s="183" customFormat="1" hidden="1" outlineLevel="1" x14ac:dyDescent="0.25">
      <c r="A70" s="251"/>
      <c r="B70" s="192" t="s">
        <v>193</v>
      </c>
      <c r="C70" s="265"/>
      <c r="D70" s="192"/>
      <c r="E70" s="193" t="s">
        <v>173</v>
      </c>
      <c r="F70" s="260" t="s">
        <v>169</v>
      </c>
      <c r="G70" s="200" t="s">
        <v>194</v>
      </c>
      <c r="H70" s="196"/>
      <c r="I70" s="196"/>
      <c r="J70" s="197"/>
      <c r="K70" s="198"/>
      <c r="L70" s="201"/>
      <c r="M70" s="196"/>
      <c r="N70" s="201"/>
      <c r="O70" s="197"/>
    </row>
    <row r="71" spans="1:16" s="183" customFormat="1" hidden="1" outlineLevel="1" x14ac:dyDescent="0.25">
      <c r="A71" s="251"/>
      <c r="B71" s="192" t="s">
        <v>101</v>
      </c>
      <c r="C71" s="261" t="str">
        <f>B69</f>
        <v>InsMyCol</v>
      </c>
      <c r="D71" s="192"/>
      <c r="E71" s="193" t="s">
        <v>173</v>
      </c>
      <c r="F71" s="185" t="str">
        <f>F69</f>
        <v>Stock_MyCol</v>
      </c>
      <c r="G71" s="200"/>
      <c r="H71" s="196"/>
      <c r="I71" s="196"/>
      <c r="J71" s="197"/>
      <c r="K71" s="198" t="str">
        <f>K67</f>
        <v>Склад</v>
      </c>
      <c r="L71" s="201" t="str">
        <f>L161</f>
        <v>Платежи</v>
      </c>
      <c r="M71" s="196"/>
      <c r="N71" s="199" t="s">
        <v>58</v>
      </c>
      <c r="O71" s="197"/>
    </row>
    <row r="72" spans="1:16" s="217" customFormat="1" ht="15.75" hidden="1" outlineLevel="1" thickBot="1" x14ac:dyDescent="0.3">
      <c r="A72" s="255"/>
      <c r="B72" s="210" t="s">
        <v>33</v>
      </c>
      <c r="C72" s="256"/>
      <c r="D72" s="210"/>
      <c r="E72" s="211" t="s">
        <v>173</v>
      </c>
      <c r="F72" s="212"/>
      <c r="G72" s="213"/>
      <c r="H72" s="213"/>
      <c r="I72" s="213"/>
      <c r="J72" s="214"/>
      <c r="K72" s="215"/>
      <c r="L72" s="216"/>
      <c r="M72" s="213"/>
      <c r="N72" s="216"/>
      <c r="O72" s="214"/>
    </row>
    <row r="73" spans="1:16" s="183" customFormat="1" ht="16.5" collapsed="1" thickTop="1" thickBot="1" x14ac:dyDescent="0.3">
      <c r="A73" s="897"/>
      <c r="B73" s="898" t="s">
        <v>168</v>
      </c>
      <c r="C73" s="899"/>
      <c r="D73" s="243"/>
      <c r="E73" s="263" t="s">
        <v>66</v>
      </c>
      <c r="F73" s="245" t="s">
        <v>195</v>
      </c>
      <c r="G73" s="243"/>
      <c r="H73" s="243"/>
      <c r="I73" s="243"/>
      <c r="J73" s="246"/>
      <c r="K73" s="266" t="s">
        <v>32</v>
      </c>
      <c r="L73" s="248"/>
      <c r="M73" s="243"/>
      <c r="N73" s="248"/>
      <c r="O73" s="246"/>
      <c r="P73" s="885"/>
    </row>
    <row r="74" spans="1:16" ht="15.75" thickTop="1" x14ac:dyDescent="0.25">
      <c r="A74" s="189">
        <v>41529.070034722223</v>
      </c>
      <c r="B74" s="190" t="s">
        <v>182</v>
      </c>
      <c r="C74" s="191"/>
      <c r="D74" s="204"/>
      <c r="E74" s="193" t="s">
        <v>169</v>
      </c>
      <c r="F74" s="198" t="str">
        <f>F15</f>
        <v>LOAD_1C_P</v>
      </c>
      <c r="G74" s="201"/>
      <c r="H74" s="208"/>
      <c r="I74" s="208"/>
      <c r="J74" s="209"/>
      <c r="K74" s="198" t="str">
        <f>K73</f>
        <v>Платежи</v>
      </c>
      <c r="L74" s="199" t="str">
        <f>TOCmatch!B14</f>
        <v>SF</v>
      </c>
      <c r="O74" s="209"/>
      <c r="P74" s="886"/>
    </row>
    <row r="75" spans="1:16" x14ac:dyDescent="0.25">
      <c r="A75" s="189">
        <v>41529.070439814815</v>
      </c>
      <c r="B75" s="869" t="s">
        <v>101</v>
      </c>
      <c r="C75" s="206" t="str">
        <f>B74</f>
        <v>ProcStart</v>
      </c>
      <c r="D75" s="204"/>
      <c r="E75" s="193" t="s">
        <v>169</v>
      </c>
      <c r="F75" s="198"/>
      <c r="G75" s="201"/>
      <c r="H75" s="208"/>
      <c r="I75" s="208"/>
      <c r="J75" s="209"/>
      <c r="K75" s="198" t="str">
        <f>K73</f>
        <v>Платежи</v>
      </c>
      <c r="L75" s="199" t="str">
        <f>TOCmatch!B16</f>
        <v>SFopp</v>
      </c>
      <c r="M75" s="199" t="str">
        <f>TOCmatch!B14</f>
        <v>SF</v>
      </c>
      <c r="N75" s="199" t="str">
        <f>TOCmatch!B17</f>
        <v>SFacc</v>
      </c>
      <c r="O75" s="209"/>
      <c r="P75" s="886"/>
    </row>
    <row r="76" spans="1:16" x14ac:dyDescent="0.25">
      <c r="A76" s="189">
        <v>41529.070451388892</v>
      </c>
      <c r="B76" s="869" t="s">
        <v>1225</v>
      </c>
      <c r="C76" s="283" t="str">
        <f>B75</f>
        <v>Adapt</v>
      </c>
      <c r="D76" s="204"/>
      <c r="E76" s="193" t="s">
        <v>169</v>
      </c>
      <c r="F76" s="888" t="str">
        <f>K76</f>
        <v>Платежи</v>
      </c>
      <c r="G76" s="889">
        <v>18</v>
      </c>
      <c r="H76" s="201" t="s">
        <v>1226</v>
      </c>
      <c r="I76" s="208"/>
      <c r="J76" s="209"/>
      <c r="K76" s="198" t="str">
        <f>K73</f>
        <v>Платежи</v>
      </c>
      <c r="L76" s="201"/>
      <c r="M76" s="196"/>
      <c r="N76" s="208"/>
      <c r="O76" s="209"/>
      <c r="P76" s="886"/>
    </row>
    <row r="77" spans="1:16" x14ac:dyDescent="0.25">
      <c r="A77" s="189">
        <v>41529.070451388892</v>
      </c>
      <c r="B77" s="869" t="s">
        <v>1225</v>
      </c>
      <c r="C77" s="283" t="str">
        <f>B75</f>
        <v>Adapt</v>
      </c>
      <c r="D77" s="204"/>
      <c r="E77" s="193" t="s">
        <v>169</v>
      </c>
      <c r="F77" s="888" t="str">
        <f>K77</f>
        <v>Платежи</v>
      </c>
      <c r="G77" s="889">
        <v>2</v>
      </c>
      <c r="H77" s="201" t="s">
        <v>1226</v>
      </c>
      <c r="I77" s="208"/>
      <c r="J77" s="209"/>
      <c r="K77" s="198" t="str">
        <f>K74</f>
        <v>Платежи</v>
      </c>
      <c r="L77" s="201"/>
      <c r="M77" s="196"/>
      <c r="N77" s="208"/>
      <c r="O77" s="209"/>
      <c r="P77" s="886"/>
    </row>
    <row r="78" spans="1:16" x14ac:dyDescent="0.25">
      <c r="A78" s="251"/>
      <c r="B78" s="922" t="s">
        <v>1224</v>
      </c>
      <c r="C78" s="261" t="str">
        <f>B75</f>
        <v>Adapt</v>
      </c>
      <c r="D78" s="204"/>
      <c r="E78" s="193" t="s">
        <v>173</v>
      </c>
      <c r="F78" s="198"/>
      <c r="G78" s="201"/>
      <c r="H78" s="208"/>
      <c r="I78" s="208"/>
      <c r="J78" s="249"/>
      <c r="K78" s="250" t="s">
        <v>32</v>
      </c>
      <c r="L78" s="199" t="str">
        <f>TOCmatch!B15</f>
        <v>SFD</v>
      </c>
      <c r="M78" s="199" t="str">
        <f>TOCmatch!B16</f>
        <v>SFopp</v>
      </c>
      <c r="N78" s="208" t="str">
        <f>TOCmatch!B10</f>
        <v>Договоры</v>
      </c>
      <c r="O78" s="249"/>
      <c r="P78" s="892"/>
    </row>
    <row r="79" spans="1:16" s="183" customFormat="1" x14ac:dyDescent="0.25">
      <c r="A79" s="251"/>
      <c r="B79" s="254" t="s">
        <v>136</v>
      </c>
      <c r="C79" s="274" t="str">
        <f>B78</f>
        <v>Paid1C</v>
      </c>
      <c r="D79" s="192"/>
      <c r="E79" s="193" t="s">
        <v>173</v>
      </c>
      <c r="F79" s="281" t="str">
        <f>TOCmatch!B44</f>
        <v>NewContract</v>
      </c>
      <c r="G79" s="201" t="s">
        <v>203</v>
      </c>
      <c r="H79" s="208" t="s">
        <v>211</v>
      </c>
      <c r="I79" s="208" t="s">
        <v>212</v>
      </c>
      <c r="J79" s="197"/>
      <c r="K79" s="273" t="str">
        <f>F79</f>
        <v>NewContract</v>
      </c>
      <c r="M79" s="196"/>
      <c r="N79" s="201"/>
      <c r="O79" s="197"/>
      <c r="P79" s="886"/>
    </row>
    <row r="80" spans="1:16" x14ac:dyDescent="0.25">
      <c r="A80" s="251"/>
      <c r="B80" s="254" t="s">
        <v>136</v>
      </c>
      <c r="C80" s="261" t="str">
        <f>B78</f>
        <v>Paid1C</v>
      </c>
      <c r="D80" s="204"/>
      <c r="E80" s="229" t="s">
        <v>173</v>
      </c>
      <c r="F80" s="281" t="str">
        <f>TOCmatch!B43</f>
        <v>NewPayment</v>
      </c>
      <c r="G80" s="201" t="s">
        <v>203</v>
      </c>
      <c r="H80" s="208" t="s">
        <v>204</v>
      </c>
      <c r="I80" s="208" t="s">
        <v>205</v>
      </c>
      <c r="J80" s="197"/>
      <c r="K80" s="273" t="str">
        <f>F80</f>
        <v>NewPayment</v>
      </c>
      <c r="L80" s="208"/>
      <c r="M80" s="208"/>
      <c r="N80" s="208"/>
      <c r="O80" s="249"/>
      <c r="P80" s="886"/>
    </row>
    <row r="81" spans="1:16" x14ac:dyDescent="0.25">
      <c r="A81" s="251"/>
      <c r="B81" s="254" t="s">
        <v>136</v>
      </c>
      <c r="C81" s="261" t="str">
        <f>B78</f>
        <v>Paid1C</v>
      </c>
      <c r="D81" s="204"/>
      <c r="E81" s="229" t="s">
        <v>173</v>
      </c>
      <c r="F81" s="281" t="str">
        <f>TOCmatch!B45</f>
        <v>NewOpp</v>
      </c>
      <c r="G81" s="201" t="s">
        <v>203</v>
      </c>
      <c r="H81" s="919" t="s">
        <v>218</v>
      </c>
      <c r="I81" s="919" t="s">
        <v>219</v>
      </c>
      <c r="J81" s="197"/>
      <c r="K81" s="273" t="str">
        <f>F81</f>
        <v>NewOpp</v>
      </c>
      <c r="L81" s="208"/>
      <c r="M81" s="208"/>
      <c r="N81" s="208"/>
      <c r="O81" s="249"/>
      <c r="P81" s="886"/>
    </row>
    <row r="82" spans="1:16" x14ac:dyDescent="0.25">
      <c r="A82" s="251"/>
      <c r="B82" s="254" t="s">
        <v>136</v>
      </c>
      <c r="C82" s="261" t="str">
        <f>B78</f>
        <v>Paid1C</v>
      </c>
      <c r="D82" s="204"/>
      <c r="E82" s="229" t="s">
        <v>173</v>
      </c>
      <c r="F82" s="281" t="str">
        <f>TOCmatch!B48</f>
        <v>ContractUpdate</v>
      </c>
      <c r="G82" s="201" t="s">
        <v>203</v>
      </c>
      <c r="H82" s="919" t="s">
        <v>1449</v>
      </c>
      <c r="I82" s="919" t="s">
        <v>1450</v>
      </c>
      <c r="J82" s="197"/>
      <c r="K82" s="273" t="str">
        <f>F82</f>
        <v>ContractUpdate</v>
      </c>
      <c r="L82" s="208"/>
      <c r="M82" s="208"/>
      <c r="N82" s="208"/>
      <c r="O82" s="249"/>
      <c r="P82" s="886"/>
    </row>
    <row r="83" spans="1:16" s="217" customFormat="1" ht="15.75" thickBot="1" x14ac:dyDescent="0.3">
      <c r="A83" s="255"/>
      <c r="B83" s="210" t="s">
        <v>33</v>
      </c>
      <c r="C83" s="256">
        <v>1</v>
      </c>
      <c r="D83" s="210"/>
      <c r="E83" s="211" t="s">
        <v>173</v>
      </c>
      <c r="F83" s="212"/>
      <c r="G83" s="213"/>
      <c r="H83" s="213"/>
      <c r="I83" s="213"/>
      <c r="J83" s="214"/>
      <c r="K83" s="215"/>
      <c r="L83" s="216"/>
      <c r="M83" s="213"/>
      <c r="N83" s="216"/>
      <c r="O83" s="214"/>
      <c r="P83" s="887"/>
    </row>
    <row r="84" spans="1:16" s="183" customFormat="1" ht="16.5" thickTop="1" thickBot="1" x14ac:dyDescent="0.3">
      <c r="A84" s="251"/>
      <c r="B84" s="192" t="s">
        <v>168</v>
      </c>
      <c r="C84" s="269"/>
      <c r="D84" s="270"/>
      <c r="E84" s="263" t="s">
        <v>66</v>
      </c>
      <c r="F84" s="271" t="s">
        <v>200</v>
      </c>
      <c r="G84" s="196"/>
      <c r="H84" s="196"/>
      <c r="I84" s="196"/>
      <c r="J84" s="197"/>
      <c r="K84" s="188" t="s">
        <v>32</v>
      </c>
      <c r="L84" s="201"/>
      <c r="M84" s="196"/>
      <c r="N84" s="201"/>
      <c r="O84" s="197"/>
    </row>
    <row r="85" spans="1:16" s="183" customFormat="1" ht="15.75" thickTop="1" x14ac:dyDescent="0.25">
      <c r="A85" s="251"/>
      <c r="B85" s="192" t="s">
        <v>193</v>
      </c>
      <c r="C85" s="265"/>
      <c r="D85" s="192"/>
      <c r="E85" s="193" t="s">
        <v>173</v>
      </c>
      <c r="F85" s="260" t="s">
        <v>169</v>
      </c>
      <c r="G85" s="200"/>
      <c r="H85" s="196"/>
      <c r="I85" s="196"/>
      <c r="J85" s="197"/>
      <c r="K85" s="198"/>
      <c r="L85" s="201"/>
      <c r="M85" s="196"/>
      <c r="N85" s="201"/>
      <c r="O85" s="197"/>
    </row>
    <row r="86" spans="1:16" s="183" customFormat="1" x14ac:dyDescent="0.25">
      <c r="A86" s="251"/>
      <c r="B86" s="192" t="s">
        <v>201</v>
      </c>
      <c r="C86" s="269"/>
      <c r="D86" s="270"/>
      <c r="E86" s="193" t="s">
        <v>173</v>
      </c>
      <c r="F86" s="273" t="s">
        <v>135</v>
      </c>
      <c r="G86" s="196"/>
      <c r="H86" s="196"/>
      <c r="I86" s="196"/>
      <c r="J86" s="197"/>
      <c r="K86" s="273" t="str">
        <f>F86</f>
        <v>NewPayment</v>
      </c>
      <c r="L86" s="201"/>
      <c r="M86" s="196"/>
      <c r="N86" s="201"/>
      <c r="O86" s="197"/>
    </row>
    <row r="87" spans="1:16" s="183" customFormat="1" x14ac:dyDescent="0.25">
      <c r="A87" s="251"/>
      <c r="B87" s="192" t="s">
        <v>202</v>
      </c>
      <c r="C87" s="274" t="str">
        <f>B86</f>
        <v>NewSheet</v>
      </c>
      <c r="D87" s="192"/>
      <c r="E87" s="193" t="s">
        <v>173</v>
      </c>
      <c r="F87" s="260"/>
      <c r="G87" s="200"/>
      <c r="H87" s="196"/>
      <c r="I87" s="196"/>
      <c r="J87" s="197"/>
      <c r="K87" s="198" t="str">
        <f>K84</f>
        <v>Платежи</v>
      </c>
      <c r="L87" s="199" t="s">
        <v>65</v>
      </c>
      <c r="M87" s="196"/>
      <c r="N87" s="201"/>
      <c r="O87" s="197"/>
    </row>
    <row r="88" spans="1:16" s="183" customFormat="1" x14ac:dyDescent="0.25">
      <c r="A88" s="251"/>
      <c r="B88" s="254" t="s">
        <v>136</v>
      </c>
      <c r="C88" s="274" t="str">
        <f>B87</f>
        <v>NewPaidOpp</v>
      </c>
      <c r="D88" s="192"/>
      <c r="E88" s="193" t="s">
        <v>173</v>
      </c>
      <c r="F88" s="273" t="s">
        <v>135</v>
      </c>
      <c r="G88" s="201" t="s">
        <v>203</v>
      </c>
      <c r="H88" s="208" t="s">
        <v>204</v>
      </c>
      <c r="I88" s="208" t="s">
        <v>205</v>
      </c>
      <c r="J88" s="197"/>
      <c r="K88" s="198"/>
      <c r="L88" s="201"/>
      <c r="M88" s="196"/>
      <c r="N88" s="201"/>
      <c r="O88" s="197"/>
    </row>
    <row r="89" spans="1:16" s="217" customFormat="1" ht="15.75" thickBot="1" x14ac:dyDescent="0.3">
      <c r="A89" s="255"/>
      <c r="B89" s="210" t="s">
        <v>33</v>
      </c>
      <c r="C89" s="256">
        <v>224</v>
      </c>
      <c r="D89" s="210"/>
      <c r="E89" s="211" t="s">
        <v>173</v>
      </c>
      <c r="F89" s="212"/>
      <c r="G89" s="213"/>
      <c r="H89" s="213"/>
      <c r="I89" s="213"/>
      <c r="J89" s="214"/>
      <c r="K89" s="215"/>
      <c r="L89" s="216"/>
      <c r="M89" s="213"/>
      <c r="N89" s="216"/>
      <c r="O89" s="214"/>
    </row>
    <row r="90" spans="1:16" s="183" customFormat="1" ht="16.5" thickTop="1" thickBot="1" x14ac:dyDescent="0.3">
      <c r="A90" s="251"/>
      <c r="B90" s="192" t="s">
        <v>168</v>
      </c>
      <c r="C90" s="269"/>
      <c r="D90" s="270"/>
      <c r="E90" s="263" t="s">
        <v>66</v>
      </c>
      <c r="F90" s="271" t="s">
        <v>206</v>
      </c>
      <c r="G90" s="196"/>
      <c r="H90" s="196"/>
      <c r="I90" s="196"/>
      <c r="J90" s="197"/>
      <c r="K90" s="188" t="s">
        <v>32</v>
      </c>
      <c r="L90" s="201"/>
      <c r="M90" s="196"/>
      <c r="N90" s="201"/>
      <c r="O90" s="197"/>
      <c r="P90" s="275"/>
    </row>
    <row r="91" spans="1:16" s="183" customFormat="1" ht="15.75" thickTop="1" x14ac:dyDescent="0.25">
      <c r="A91" s="251">
        <v>41506.038622685184</v>
      </c>
      <c r="B91" s="192" t="s">
        <v>101</v>
      </c>
      <c r="C91" s="276" t="str">
        <f>F15&amp;"/"&amp;B19</f>
        <v>LOAD_1C_P/PaymentPaint</v>
      </c>
      <c r="D91" s="192"/>
      <c r="E91" s="193" t="s">
        <v>173</v>
      </c>
      <c r="F91" s="879" t="s">
        <v>207</v>
      </c>
      <c r="G91" s="277" t="str">
        <f>K91</f>
        <v>Платежи</v>
      </c>
      <c r="H91" s="278" t="str">
        <f>F92</f>
        <v>NewPayment</v>
      </c>
      <c r="I91" s="196"/>
      <c r="J91" s="197"/>
      <c r="K91" s="198" t="str">
        <f>K90</f>
        <v>Платежи</v>
      </c>
      <c r="L91" s="199" t="s">
        <v>65</v>
      </c>
      <c r="N91" s="201"/>
      <c r="O91" s="197"/>
      <c r="P91" s="275"/>
    </row>
    <row r="92" spans="1:16" s="183" customFormat="1" x14ac:dyDescent="0.25">
      <c r="A92" s="251">
        <v>41506.038622685184</v>
      </c>
      <c r="B92" s="254" t="s">
        <v>136</v>
      </c>
      <c r="C92" s="274" t="str">
        <f>B91</f>
        <v>Adapt</v>
      </c>
      <c r="D92" s="192"/>
      <c r="E92" s="193" t="s">
        <v>173</v>
      </c>
      <c r="F92" s="273" t="s">
        <v>135</v>
      </c>
      <c r="G92" s="201" t="s">
        <v>203</v>
      </c>
      <c r="H92" s="208" t="s">
        <v>204</v>
      </c>
      <c r="I92" s="208" t="s">
        <v>205</v>
      </c>
      <c r="J92" s="197"/>
      <c r="K92" s="273" t="str">
        <f>F92</f>
        <v>NewPayment</v>
      </c>
      <c r="M92" s="196"/>
      <c r="N92" s="201"/>
      <c r="O92" s="197"/>
      <c r="P92" s="275"/>
    </row>
    <row r="93" spans="1:16" s="217" customFormat="1" ht="15.75" thickBot="1" x14ac:dyDescent="0.3">
      <c r="A93" s="255">
        <v>41506.038634259261</v>
      </c>
      <c r="B93" s="210" t="s">
        <v>33</v>
      </c>
      <c r="C93" s="279">
        <v>67</v>
      </c>
      <c r="D93" s="210"/>
      <c r="E93" s="205" t="s">
        <v>169</v>
      </c>
      <c r="F93" s="212"/>
      <c r="G93" s="213"/>
      <c r="H93" s="213"/>
      <c r="I93" s="213"/>
      <c r="J93" s="214"/>
      <c r="K93" s="215"/>
      <c r="L93" s="216"/>
      <c r="M93" s="213"/>
      <c r="N93" s="216"/>
      <c r="O93" s="214"/>
      <c r="P93" s="280"/>
    </row>
    <row r="94" spans="1:16" s="183" customFormat="1" ht="16.5" thickTop="1" thickBot="1" x14ac:dyDescent="0.3">
      <c r="A94" s="251"/>
      <c r="B94" s="192" t="s">
        <v>168</v>
      </c>
      <c r="C94" s="269"/>
      <c r="D94" s="270"/>
      <c r="E94" s="263" t="s">
        <v>66</v>
      </c>
      <c r="F94" s="271" t="s">
        <v>208</v>
      </c>
      <c r="G94" s="196"/>
      <c r="H94" s="196"/>
      <c r="I94" s="196"/>
      <c r="J94" s="197"/>
      <c r="K94" s="188" t="s">
        <v>32</v>
      </c>
      <c r="L94" s="201"/>
      <c r="M94" s="196"/>
      <c r="N94" s="201"/>
      <c r="O94" s="197"/>
    </row>
    <row r="95" spans="1:16" s="183" customFormat="1" ht="15.75" thickTop="1" x14ac:dyDescent="0.25">
      <c r="A95" s="251">
        <v>41522.105624999997</v>
      </c>
      <c r="B95" s="896" t="s">
        <v>209</v>
      </c>
      <c r="C95" s="276" t="str">
        <f>F15&amp;"/"&amp;B19</f>
        <v>LOAD_1C_P/PaymentPaint</v>
      </c>
      <c r="D95" s="192"/>
      <c r="E95" s="193" t="s">
        <v>173</v>
      </c>
      <c r="F95" s="273" t="s">
        <v>135</v>
      </c>
      <c r="G95" s="200"/>
      <c r="H95" s="196"/>
      <c r="I95" s="196"/>
      <c r="J95" s="197"/>
      <c r="K95" s="198" t="str">
        <f>K94</f>
        <v>Платежи</v>
      </c>
      <c r="L95" s="199" t="s">
        <v>63</v>
      </c>
      <c r="M95" s="199" t="s">
        <v>65</v>
      </c>
      <c r="N95" s="201"/>
      <c r="O95" s="197"/>
    </row>
    <row r="96" spans="1:16" s="183" customFormat="1" x14ac:dyDescent="0.25">
      <c r="A96" s="251">
        <v>41522.105636574073</v>
      </c>
      <c r="B96" s="254" t="s">
        <v>136</v>
      </c>
      <c r="C96" s="274" t="str">
        <f>B95</f>
        <v>PaidContr</v>
      </c>
      <c r="D96" s="192"/>
      <c r="E96" s="193" t="s">
        <v>173</v>
      </c>
      <c r="F96" s="281" t="str">
        <f>F95</f>
        <v>NewPayment</v>
      </c>
      <c r="G96" s="201" t="s">
        <v>203</v>
      </c>
      <c r="H96" s="208" t="s">
        <v>204</v>
      </c>
      <c r="I96" s="208" t="s">
        <v>205</v>
      </c>
      <c r="J96" s="197"/>
      <c r="K96" s="273" t="str">
        <f>F96</f>
        <v>NewPayment</v>
      </c>
      <c r="M96" s="196"/>
      <c r="N96" s="201"/>
      <c r="O96" s="197"/>
    </row>
    <row r="97" spans="1:16" s="217" customFormat="1" ht="15.75" thickBot="1" x14ac:dyDescent="0.3">
      <c r="A97" s="255"/>
      <c r="B97" s="210" t="s">
        <v>33</v>
      </c>
      <c r="C97" s="279">
        <v>0</v>
      </c>
      <c r="D97" s="210"/>
      <c r="E97" s="205" t="s">
        <v>173</v>
      </c>
      <c r="F97" s="212"/>
      <c r="G97" s="213"/>
      <c r="H97" s="213"/>
      <c r="I97" s="213"/>
      <c r="J97" s="214"/>
      <c r="K97" s="215"/>
      <c r="L97" s="216"/>
      <c r="M97" s="213"/>
      <c r="N97" s="216"/>
      <c r="O97" s="214"/>
    </row>
    <row r="98" spans="1:16" s="183" customFormat="1" ht="16.5" thickTop="1" thickBot="1" x14ac:dyDescent="0.3">
      <c r="A98" s="189"/>
      <c r="B98" s="190" t="s">
        <v>168</v>
      </c>
      <c r="C98" s="272"/>
      <c r="D98" s="270"/>
      <c r="E98" s="263" t="s">
        <v>66</v>
      </c>
      <c r="F98" s="282" t="s">
        <v>210</v>
      </c>
      <c r="G98" s="196"/>
      <c r="H98" s="196"/>
      <c r="I98" s="196"/>
      <c r="J98" s="197"/>
      <c r="K98" s="188" t="str">
        <f>K23</f>
        <v>Договоры</v>
      </c>
      <c r="L98" s="201"/>
      <c r="M98" s="196"/>
      <c r="N98" s="201"/>
      <c r="O98" s="197"/>
    </row>
    <row r="99" spans="1:16" s="183" customFormat="1" ht="15.75" thickTop="1" x14ac:dyDescent="0.25">
      <c r="A99" s="251">
        <v>41521.6721875</v>
      </c>
      <c r="B99" s="192" t="s">
        <v>43</v>
      </c>
      <c r="C99" s="276" t="str">
        <f>F23&amp;"/"&amp;B24</f>
        <v>LOAD_1C_DOG/InsMyCol</v>
      </c>
      <c r="D99" s="192"/>
      <c r="E99" s="193" t="s">
        <v>173</v>
      </c>
      <c r="F99" s="273" t="s">
        <v>138</v>
      </c>
      <c r="G99" s="200"/>
      <c r="H99" s="196"/>
      <c r="I99" s="196"/>
      <c r="J99" s="197"/>
      <c r="K99" s="198" t="str">
        <f>K98</f>
        <v>Договоры</v>
      </c>
      <c r="L99" s="199" t="s">
        <v>63</v>
      </c>
      <c r="M99" s="199" t="s">
        <v>69</v>
      </c>
      <c r="N99" s="201"/>
      <c r="O99" s="197"/>
    </row>
    <row r="100" spans="1:16" s="183" customFormat="1" x14ac:dyDescent="0.25">
      <c r="A100" s="251">
        <v>41521.6721875</v>
      </c>
      <c r="B100" s="254" t="s">
        <v>136</v>
      </c>
      <c r="C100" s="274" t="str">
        <f>B99</f>
        <v>NewContr</v>
      </c>
      <c r="D100" s="192"/>
      <c r="E100" s="193" t="s">
        <v>173</v>
      </c>
      <c r="F100" s="281" t="str">
        <f>F99</f>
        <v>NewContract</v>
      </c>
      <c r="G100" s="201" t="s">
        <v>203</v>
      </c>
      <c r="H100" s="208" t="s">
        <v>211</v>
      </c>
      <c r="I100" s="208" t="s">
        <v>212</v>
      </c>
      <c r="J100" s="197"/>
      <c r="K100" s="273" t="str">
        <f>F100</f>
        <v>NewContract</v>
      </c>
      <c r="M100" s="196"/>
      <c r="N100" s="201"/>
      <c r="O100" s="197"/>
    </row>
    <row r="101" spans="1:16" s="217" customFormat="1" ht="15.75" thickBot="1" x14ac:dyDescent="0.3">
      <c r="A101" s="255"/>
      <c r="B101" s="210" t="s">
        <v>33</v>
      </c>
      <c r="C101" s="279">
        <v>13</v>
      </c>
      <c r="D101" s="210"/>
      <c r="E101" s="211" t="s">
        <v>173</v>
      </c>
      <c r="F101" s="212"/>
      <c r="G101" s="213"/>
      <c r="H101" s="213"/>
      <c r="I101" s="213"/>
      <c r="J101" s="214"/>
      <c r="K101" s="215"/>
      <c r="L101" s="216"/>
      <c r="M101" s="213"/>
      <c r="N101" s="216"/>
      <c r="O101" s="214"/>
    </row>
    <row r="102" spans="1:16" s="183" customFormat="1" ht="16.5" thickTop="1" thickBot="1" x14ac:dyDescent="0.3">
      <c r="A102" s="251"/>
      <c r="B102" s="192" t="s">
        <v>168</v>
      </c>
      <c r="C102" s="269"/>
      <c r="D102" s="270"/>
      <c r="E102" s="263" t="s">
        <v>66</v>
      </c>
      <c r="F102" s="282" t="s">
        <v>213</v>
      </c>
      <c r="G102" s="196"/>
      <c r="H102" s="196"/>
      <c r="I102" s="196"/>
      <c r="J102" s="197"/>
      <c r="K102" s="188" t="s">
        <v>100</v>
      </c>
      <c r="L102" s="201"/>
      <c r="M102" s="196"/>
      <c r="N102" s="201"/>
      <c r="O102" s="197"/>
      <c r="P102" s="284"/>
    </row>
    <row r="103" spans="1:16" s="183" customFormat="1" ht="15.75" thickTop="1" x14ac:dyDescent="0.25">
      <c r="A103" s="251">
        <v>41430.738321759258</v>
      </c>
      <c r="B103" s="192" t="s">
        <v>143</v>
      </c>
      <c r="C103" s="276" t="str">
        <f>F62&amp;"/"&amp;B65</f>
        <v>LOAD_Order/Adapt</v>
      </c>
      <c r="D103" s="192"/>
      <c r="E103" s="193" t="s">
        <v>173</v>
      </c>
      <c r="F103" s="273" t="s">
        <v>143</v>
      </c>
      <c r="G103" s="200"/>
      <c r="H103" s="196"/>
      <c r="I103" s="196"/>
      <c r="J103" s="197"/>
      <c r="K103" s="198" t="str">
        <f>K102</f>
        <v>Заказы</v>
      </c>
      <c r="L103" s="24" t="s">
        <v>32</v>
      </c>
      <c r="M103" s="199" t="s">
        <v>80</v>
      </c>
      <c r="N103" s="199" t="s">
        <v>58</v>
      </c>
      <c r="O103" s="197"/>
      <c r="P103" s="284"/>
    </row>
    <row r="104" spans="1:16" s="183" customFormat="1" x14ac:dyDescent="0.25">
      <c r="A104" s="251">
        <v>41430.738321759258</v>
      </c>
      <c r="B104" s="254" t="s">
        <v>136</v>
      </c>
      <c r="C104" s="274" t="str">
        <f>B103</f>
        <v>NewOrder</v>
      </c>
      <c r="D104" s="192"/>
      <c r="E104" s="193" t="s">
        <v>173</v>
      </c>
      <c r="F104" s="281" t="str">
        <f>F103</f>
        <v>NewOrder</v>
      </c>
      <c r="G104" s="201" t="s">
        <v>203</v>
      </c>
      <c r="H104" s="208" t="s">
        <v>214</v>
      </c>
      <c r="I104" s="208" t="s">
        <v>215</v>
      </c>
      <c r="J104" s="197"/>
      <c r="K104" s="273" t="str">
        <f>F104</f>
        <v>NewOrder</v>
      </c>
      <c r="M104" s="196"/>
      <c r="N104" s="201"/>
      <c r="O104" s="197"/>
      <c r="P104" s="284"/>
    </row>
    <row r="105" spans="1:16" s="217" customFormat="1" ht="15.75" thickBot="1" x14ac:dyDescent="0.3">
      <c r="A105" s="255"/>
      <c r="B105" s="210" t="s">
        <v>33</v>
      </c>
      <c r="C105" s="279">
        <v>0</v>
      </c>
      <c r="D105" s="210"/>
      <c r="E105" s="211" t="s">
        <v>173</v>
      </c>
      <c r="F105" s="212"/>
      <c r="G105" s="213"/>
      <c r="H105" s="213"/>
      <c r="I105" s="213"/>
      <c r="J105" s="214"/>
      <c r="K105" s="215"/>
      <c r="L105" s="216"/>
      <c r="M105" s="213"/>
      <c r="N105" s="216"/>
      <c r="O105" s="214"/>
      <c r="P105" s="285"/>
    </row>
    <row r="106" spans="1:16" s="183" customFormat="1" ht="16.5" thickTop="1" thickBot="1" x14ac:dyDescent="0.3">
      <c r="A106" s="251"/>
      <c r="B106" s="192" t="s">
        <v>168</v>
      </c>
      <c r="C106" s="269"/>
      <c r="D106" s="270"/>
      <c r="E106" s="263" t="s">
        <v>66</v>
      </c>
      <c r="F106" s="282" t="s">
        <v>216</v>
      </c>
      <c r="G106" s="196"/>
      <c r="H106" s="196"/>
      <c r="I106" s="196"/>
      <c r="J106" s="197"/>
      <c r="K106" s="188" t="s">
        <v>32</v>
      </c>
      <c r="L106" s="201"/>
      <c r="M106" s="196"/>
      <c r="N106" s="201"/>
      <c r="O106" s="197"/>
      <c r="P106" s="286"/>
    </row>
    <row r="107" spans="1:16" s="183" customFormat="1" ht="30.75" thickTop="1" x14ac:dyDescent="0.25">
      <c r="A107" s="251">
        <v>41344.979027777779</v>
      </c>
      <c r="B107" s="192" t="s">
        <v>101</v>
      </c>
      <c r="C107" s="287" t="str">
        <f>F98&amp;"/"&amp;B100</f>
        <v>HANDL_NewContract/WrCSV</v>
      </c>
      <c r="D107" s="192"/>
      <c r="E107" s="193" t="s">
        <v>173</v>
      </c>
      <c r="F107" s="288" t="s">
        <v>217</v>
      </c>
      <c r="G107" s="274" t="s">
        <v>32</v>
      </c>
      <c r="H107" s="289" t="str">
        <f>F108</f>
        <v>NewOpp</v>
      </c>
      <c r="I107" s="196"/>
      <c r="J107" s="197"/>
      <c r="K107" s="273" t="s">
        <v>140</v>
      </c>
      <c r="L107" s="201" t="s">
        <v>32</v>
      </c>
      <c r="M107" s="199" t="s">
        <v>63</v>
      </c>
      <c r="N107" s="199" t="s">
        <v>65</v>
      </c>
      <c r="O107" s="197"/>
      <c r="P107" s="286"/>
    </row>
    <row r="108" spans="1:16" s="183" customFormat="1" x14ac:dyDescent="0.25">
      <c r="A108" s="251">
        <v>41344.938113425924</v>
      </c>
      <c r="B108" s="254" t="s">
        <v>136</v>
      </c>
      <c r="C108" s="274" t="str">
        <f>B107</f>
        <v>Adapt</v>
      </c>
      <c r="D108" s="192"/>
      <c r="E108" s="193" t="s">
        <v>173</v>
      </c>
      <c r="F108" s="281" t="str">
        <f>K107</f>
        <v>NewOpp</v>
      </c>
      <c r="G108" s="201" t="s">
        <v>203</v>
      </c>
      <c r="H108" s="208" t="s">
        <v>218</v>
      </c>
      <c r="I108" s="208" t="s">
        <v>219</v>
      </c>
      <c r="J108" s="197"/>
      <c r="K108" s="273" t="str">
        <f>F108</f>
        <v>NewOpp</v>
      </c>
      <c r="M108" s="196"/>
      <c r="N108" s="201"/>
      <c r="O108" s="197"/>
      <c r="P108" s="286"/>
    </row>
    <row r="109" spans="1:16" s="217" customFormat="1" x14ac:dyDescent="0.25">
      <c r="A109" s="255"/>
      <c r="B109" s="210" t="s">
        <v>33</v>
      </c>
      <c r="C109" s="279">
        <v>217</v>
      </c>
      <c r="D109" s="210"/>
      <c r="E109" s="211" t="s">
        <v>173</v>
      </c>
      <c r="F109" s="212"/>
      <c r="G109" s="213"/>
      <c r="H109" s="213"/>
      <c r="I109" s="213"/>
      <c r="J109" s="214"/>
      <c r="K109" s="215"/>
      <c r="L109" s="216"/>
      <c r="M109" s="213"/>
      <c r="N109" s="216"/>
      <c r="O109" s="214"/>
      <c r="P109" s="290"/>
    </row>
    <row r="110" spans="1:16" s="183" customFormat="1" x14ac:dyDescent="0.25">
      <c r="A110" s="189"/>
      <c r="B110" s="190" t="s">
        <v>168</v>
      </c>
      <c r="C110" s="272"/>
      <c r="D110" s="270"/>
      <c r="E110" s="193" t="s">
        <v>173</v>
      </c>
      <c r="F110" s="271" t="s">
        <v>220</v>
      </c>
      <c r="G110" s="196"/>
      <c r="H110" s="196"/>
      <c r="I110" s="196"/>
      <c r="J110" s="197"/>
      <c r="K110" s="188" t="s">
        <v>41</v>
      </c>
      <c r="L110" s="201"/>
      <c r="M110" s="196"/>
      <c r="N110" s="201"/>
      <c r="O110" s="197"/>
    </row>
    <row r="111" spans="1:16" x14ac:dyDescent="0.25">
      <c r="A111" s="267"/>
      <c r="B111" s="254" t="s">
        <v>221</v>
      </c>
      <c r="C111" s="252" t="s">
        <v>43</v>
      </c>
      <c r="D111" s="204"/>
      <c r="E111" s="229" t="s">
        <v>173</v>
      </c>
      <c r="F111" s="198"/>
      <c r="G111" s="201"/>
      <c r="H111" s="208"/>
      <c r="I111" s="208"/>
      <c r="J111" s="249"/>
      <c r="K111" s="250" t="s">
        <v>41</v>
      </c>
      <c r="L111" s="208"/>
      <c r="M111" s="208"/>
      <c r="N111" s="208"/>
      <c r="O111" s="249"/>
    </row>
    <row r="112" spans="1:16" x14ac:dyDescent="0.25">
      <c r="A112" s="267"/>
      <c r="B112" s="254" t="s">
        <v>136</v>
      </c>
      <c r="C112" s="268" t="s">
        <v>221</v>
      </c>
      <c r="D112" s="204"/>
      <c r="E112" s="229"/>
      <c r="F112" s="198" t="s">
        <v>222</v>
      </c>
      <c r="G112" s="201" t="s">
        <v>197</v>
      </c>
      <c r="H112" s="208" t="s">
        <v>198</v>
      </c>
      <c r="I112" s="208" t="s">
        <v>199</v>
      </c>
      <c r="J112" s="249"/>
      <c r="K112" s="250"/>
      <c r="L112" s="208"/>
      <c r="M112" s="208"/>
      <c r="N112" s="208"/>
      <c r="O112" s="249"/>
    </row>
    <row r="113" spans="1:16" s="239" customFormat="1" ht="15.75" thickBot="1" x14ac:dyDescent="0.3">
      <c r="A113" s="291"/>
      <c r="B113" s="232" t="s">
        <v>33</v>
      </c>
      <c r="C113" s="291"/>
      <c r="D113" s="232"/>
      <c r="E113" s="233" t="s">
        <v>173</v>
      </c>
      <c r="F113" s="234"/>
      <c r="G113" s="235"/>
      <c r="H113" s="235"/>
      <c r="I113" s="235"/>
      <c r="J113" s="236"/>
      <c r="K113" s="237"/>
      <c r="L113" s="238"/>
      <c r="M113" s="235"/>
      <c r="N113" s="238"/>
      <c r="O113" s="236"/>
    </row>
    <row r="114" spans="1:16" s="183" customFormat="1" ht="16.5" thickTop="1" thickBot="1" x14ac:dyDescent="0.3">
      <c r="A114" s="251"/>
      <c r="B114" s="192" t="s">
        <v>168</v>
      </c>
      <c r="C114" s="269"/>
      <c r="D114" s="270"/>
      <c r="E114" s="263" t="s">
        <v>66</v>
      </c>
      <c r="F114" s="271" t="s">
        <v>223</v>
      </c>
      <c r="G114" s="196"/>
      <c r="H114" s="196"/>
      <c r="I114" s="196"/>
      <c r="J114" s="197"/>
      <c r="K114" s="188" t="s">
        <v>49</v>
      </c>
      <c r="L114" s="201"/>
      <c r="M114" s="196"/>
      <c r="N114" s="201"/>
      <c r="O114" s="197"/>
    </row>
    <row r="115" spans="1:16" ht="15.75" thickTop="1" x14ac:dyDescent="0.25">
      <c r="A115" s="251">
        <v>41237.062696759262</v>
      </c>
      <c r="B115" s="254" t="s">
        <v>224</v>
      </c>
      <c r="C115" s="39" t="str">
        <f>F31&amp;"/"&amp;B33</f>
        <v>LOAD_1C_ACC/InsMyCol</v>
      </c>
      <c r="D115" s="204"/>
      <c r="E115" s="229" t="s">
        <v>173</v>
      </c>
      <c r="F115" s="198" t="s">
        <v>128</v>
      </c>
      <c r="G115" s="201"/>
      <c r="H115" s="208"/>
      <c r="I115" s="208"/>
      <c r="J115" s="249"/>
      <c r="K115" s="2" t="str">
        <f>K114</f>
        <v>Список клиентов 1C</v>
      </c>
      <c r="L115" s="208"/>
      <c r="M115" s="208"/>
      <c r="N115" s="199" t="s">
        <v>69</v>
      </c>
      <c r="O115" s="249"/>
    </row>
    <row r="116" spans="1:16" s="217" customFormat="1" ht="15.75" thickBot="1" x14ac:dyDescent="0.3">
      <c r="A116" s="255"/>
      <c r="B116" s="210" t="s">
        <v>33</v>
      </c>
      <c r="C116" s="256"/>
      <c r="D116" s="210"/>
      <c r="E116" s="211" t="s">
        <v>173</v>
      </c>
      <c r="F116" s="212"/>
      <c r="G116" s="213"/>
      <c r="H116" s="213"/>
      <c r="I116" s="213"/>
      <c r="J116" s="214"/>
      <c r="K116" s="215"/>
      <c r="L116" s="216"/>
      <c r="M116" s="213"/>
      <c r="N116" s="216"/>
      <c r="O116" s="214"/>
    </row>
    <row r="117" spans="1:16" s="183" customFormat="1" ht="16.5" thickTop="1" thickBot="1" x14ac:dyDescent="0.3">
      <c r="A117" s="251"/>
      <c r="B117" s="192" t="s">
        <v>168</v>
      </c>
      <c r="C117" s="269"/>
      <c r="D117" s="270"/>
      <c r="E117" s="263" t="s">
        <v>66</v>
      </c>
      <c r="F117" s="271" t="s">
        <v>225</v>
      </c>
      <c r="G117" s="196"/>
      <c r="H117" s="196"/>
      <c r="I117" s="196"/>
      <c r="J117" s="197"/>
      <c r="K117" s="188" t="s">
        <v>113</v>
      </c>
      <c r="L117" s="201"/>
      <c r="M117" s="196"/>
      <c r="N117" s="201"/>
      <c r="O117" s="197"/>
      <c r="P117" s="292"/>
    </row>
    <row r="118" spans="1:16" ht="15.75" thickTop="1" x14ac:dyDescent="0.25">
      <c r="A118" s="251">
        <v>41410.835046296299</v>
      </c>
      <c r="B118" s="254" t="s">
        <v>226</v>
      </c>
      <c r="C118" s="39" t="s">
        <v>67</v>
      </c>
      <c r="D118" s="204"/>
      <c r="E118" s="229" t="s">
        <v>173</v>
      </c>
      <c r="F118" s="293" t="s">
        <v>132</v>
      </c>
      <c r="G118" s="201"/>
      <c r="H118" s="208"/>
      <c r="I118" s="208"/>
      <c r="J118" s="249"/>
      <c r="K118" s="93" t="s">
        <v>100</v>
      </c>
      <c r="L118" s="294" t="s">
        <v>113</v>
      </c>
      <c r="M118" s="199" t="s">
        <v>80</v>
      </c>
      <c r="N118" s="199" t="s">
        <v>72</v>
      </c>
      <c r="O118" s="249"/>
      <c r="P118" s="295"/>
    </row>
    <row r="119" spans="1:16" s="183" customFormat="1" x14ac:dyDescent="0.25">
      <c r="A119" s="251"/>
      <c r="B119" s="254" t="s">
        <v>136</v>
      </c>
      <c r="C119" s="274" t="str">
        <f>B118</f>
        <v>BTO_Mail_track</v>
      </c>
      <c r="D119" s="192"/>
      <c r="E119" s="193" t="s">
        <v>173</v>
      </c>
      <c r="F119" s="293" t="str">
        <f>F118</f>
        <v>BTOlog</v>
      </c>
      <c r="G119" s="201" t="s">
        <v>203</v>
      </c>
      <c r="H119" s="208" t="s">
        <v>227</v>
      </c>
      <c r="I119" s="208" t="s">
        <v>228</v>
      </c>
      <c r="J119" s="197"/>
      <c r="K119" s="293" t="str">
        <f>F119</f>
        <v>BTOlog</v>
      </c>
      <c r="M119" s="196"/>
      <c r="N119" s="201"/>
      <c r="O119" s="197"/>
      <c r="P119" s="295"/>
    </row>
    <row r="120" spans="1:16" s="217" customFormat="1" ht="15.75" thickBot="1" x14ac:dyDescent="0.3">
      <c r="A120" s="255"/>
      <c r="B120" s="210" t="s">
        <v>33</v>
      </c>
      <c r="C120" s="256"/>
      <c r="D120" s="210"/>
      <c r="E120" s="211" t="s">
        <v>173</v>
      </c>
      <c r="F120" s="212"/>
      <c r="G120" s="213"/>
      <c r="H120" s="213"/>
      <c r="I120" s="213"/>
      <c r="J120" s="214"/>
      <c r="K120" s="215"/>
      <c r="L120" s="216"/>
      <c r="M120" s="213"/>
      <c r="N120" s="216"/>
      <c r="O120" s="214"/>
      <c r="P120" s="296"/>
    </row>
    <row r="121" spans="1:16" s="183" customFormat="1" ht="16.5" thickTop="1" thickBot="1" x14ac:dyDescent="0.3">
      <c r="A121" s="189"/>
      <c r="B121" s="190" t="s">
        <v>168</v>
      </c>
      <c r="C121" s="272"/>
      <c r="D121" s="270"/>
      <c r="E121" s="263" t="s">
        <v>66</v>
      </c>
      <c r="F121" s="271" t="s">
        <v>229</v>
      </c>
      <c r="G121" s="196"/>
      <c r="H121" s="196"/>
      <c r="I121" s="196"/>
      <c r="J121" s="197"/>
      <c r="K121" s="188" t="s">
        <v>72</v>
      </c>
      <c r="L121" s="201"/>
      <c r="M121" s="196"/>
      <c r="N121" s="201"/>
      <c r="O121" s="197"/>
      <c r="P121" s="297"/>
    </row>
    <row r="122" spans="1:16" ht="15.75" thickTop="1" x14ac:dyDescent="0.25">
      <c r="A122" s="189">
        <v>41499.705324074072</v>
      </c>
      <c r="B122" s="203" t="s">
        <v>101</v>
      </c>
      <c r="C122" s="231"/>
      <c r="D122" s="204"/>
      <c r="E122" s="229" t="s">
        <v>169</v>
      </c>
      <c r="F122" s="298" t="s">
        <v>149</v>
      </c>
      <c r="G122" s="299" t="str">
        <f>K121</f>
        <v>ADSKfrSF</v>
      </c>
      <c r="H122" s="300" t="s">
        <v>148</v>
      </c>
      <c r="J122" s="249"/>
      <c r="K122" s="300" t="str">
        <f>H122</f>
        <v>A_SN_1</v>
      </c>
      <c r="L122" s="56" t="str">
        <f>K121</f>
        <v>ADSKfrSF</v>
      </c>
      <c r="N122" s="201"/>
      <c r="O122" s="249"/>
      <c r="P122" s="301"/>
    </row>
    <row r="123" spans="1:16" x14ac:dyDescent="0.25">
      <c r="A123" s="189">
        <v>41502.225694444445</v>
      </c>
      <c r="B123" s="203" t="s">
        <v>73</v>
      </c>
      <c r="C123" s="231" t="str">
        <f>B122</f>
        <v>Adapt</v>
      </c>
      <c r="D123" s="204"/>
      <c r="E123" s="229" t="s">
        <v>169</v>
      </c>
      <c r="F123" s="302"/>
      <c r="G123" s="201"/>
      <c r="H123" s="208"/>
      <c r="I123" s="208"/>
      <c r="J123" s="249"/>
      <c r="K123" s="56" t="str">
        <f>L122</f>
        <v>ADSKfrSF</v>
      </c>
      <c r="L123" s="300" t="s">
        <v>150</v>
      </c>
      <c r="M123" s="300" t="s">
        <v>153</v>
      </c>
      <c r="N123" s="201"/>
      <c r="O123" s="249"/>
      <c r="P123" s="301"/>
    </row>
    <row r="124" spans="1:16" s="183" customFormat="1" x14ac:dyDescent="0.25">
      <c r="A124" s="251"/>
      <c r="B124" s="192" t="s">
        <v>193</v>
      </c>
      <c r="C124" s="265"/>
      <c r="D124" s="192"/>
      <c r="E124" s="193" t="s">
        <v>173</v>
      </c>
      <c r="F124" s="260" t="s">
        <v>169</v>
      </c>
      <c r="G124" s="200"/>
      <c r="H124" s="196"/>
      <c r="I124" s="196"/>
      <c r="J124" s="197"/>
      <c r="K124" s="198"/>
      <c r="L124" s="201"/>
      <c r="M124" s="196"/>
      <c r="N124" s="201"/>
      <c r="O124" s="197"/>
      <c r="P124" s="297"/>
    </row>
    <row r="125" spans="1:16" s="183" customFormat="1" x14ac:dyDescent="0.25">
      <c r="A125" s="251"/>
      <c r="B125" s="254" t="s">
        <v>136</v>
      </c>
      <c r="C125" s="274" t="str">
        <f>B122</f>
        <v>Adapt</v>
      </c>
      <c r="D125" s="192"/>
      <c r="E125" s="193" t="s">
        <v>173</v>
      </c>
      <c r="F125" s="302" t="str">
        <f>M123</f>
        <v>A_SN_3</v>
      </c>
      <c r="G125" s="201" t="s">
        <v>203</v>
      </c>
      <c r="H125" s="303" t="s">
        <v>227</v>
      </c>
      <c r="I125" s="303" t="s">
        <v>228</v>
      </c>
      <c r="J125" s="197"/>
      <c r="K125" s="302" t="str">
        <f>F125</f>
        <v>A_SN_3</v>
      </c>
      <c r="M125" s="196"/>
      <c r="N125" s="201"/>
      <c r="O125" s="197"/>
      <c r="P125" s="301"/>
    </row>
    <row r="126" spans="1:16" s="217" customFormat="1" ht="15.75" thickBot="1" x14ac:dyDescent="0.3">
      <c r="A126" s="255"/>
      <c r="B126" s="210" t="s">
        <v>33</v>
      </c>
      <c r="C126" s="256"/>
      <c r="D126" s="210"/>
      <c r="E126" s="211" t="s">
        <v>173</v>
      </c>
      <c r="F126" s="212"/>
      <c r="G126" s="213"/>
      <c r="H126" s="213"/>
      <c r="I126" s="213"/>
      <c r="J126" s="214"/>
      <c r="K126" s="215"/>
      <c r="L126" s="216"/>
      <c r="M126" s="213"/>
      <c r="N126" s="216"/>
      <c r="O126" s="214"/>
      <c r="P126" s="304"/>
    </row>
    <row r="127" spans="1:16" s="307" customFormat="1" ht="16.5" thickTop="1" thickBot="1" x14ac:dyDescent="0.3">
      <c r="A127" s="240">
        <v>41201.045671296299</v>
      </c>
      <c r="B127" s="241" t="s">
        <v>168</v>
      </c>
      <c r="C127" s="242"/>
      <c r="D127" s="243"/>
      <c r="E127" s="305" t="s">
        <v>66</v>
      </c>
      <c r="F127" s="306" t="s">
        <v>230</v>
      </c>
      <c r="G127" s="243"/>
      <c r="H127" s="243"/>
      <c r="I127" s="243"/>
      <c r="J127" s="246"/>
      <c r="K127" s="266" t="str">
        <f>K15</f>
        <v>Платежи</v>
      </c>
      <c r="L127" s="248"/>
      <c r="M127" s="243"/>
      <c r="N127" s="248"/>
      <c r="O127" s="246"/>
    </row>
    <row r="128" spans="1:16" s="183" customFormat="1" ht="16.5" thickTop="1" thickBot="1" x14ac:dyDescent="0.3">
      <c r="A128" s="189">
        <v>41289.96565972222</v>
      </c>
      <c r="B128" s="203" t="s">
        <v>231</v>
      </c>
      <c r="C128" s="308"/>
      <c r="D128" s="192"/>
      <c r="E128" s="207" t="s">
        <v>169</v>
      </c>
      <c r="F128" s="198" t="str">
        <f>F98</f>
        <v>HANDL_NewContract</v>
      </c>
      <c r="G128" s="309" t="str">
        <f>F127</f>
        <v>WP_PaidOpp</v>
      </c>
      <c r="H128" s="309" t="str">
        <f>B134</f>
        <v>WP_Paid</v>
      </c>
      <c r="I128" s="310">
        <v>7</v>
      </c>
      <c r="J128" s="197"/>
      <c r="K128" s="198"/>
      <c r="L128" s="201"/>
      <c r="M128" s="196"/>
      <c r="N128" s="201"/>
      <c r="O128" s="197"/>
    </row>
    <row r="129" spans="1:15" s="183" customFormat="1" x14ac:dyDescent="0.25">
      <c r="A129" s="189">
        <v>41289.96565972222</v>
      </c>
      <c r="B129" s="190" t="s">
        <v>232</v>
      </c>
      <c r="C129" s="283" t="str">
        <f>B128</f>
        <v>ProcReset</v>
      </c>
      <c r="D129" s="192"/>
      <c r="E129" s="193" t="s">
        <v>169</v>
      </c>
      <c r="F129" s="311">
        <f>C101</f>
        <v>13</v>
      </c>
      <c r="G129" s="200"/>
      <c r="H129" s="196"/>
      <c r="I129" s="196"/>
      <c r="J129" s="197"/>
      <c r="K129" s="198"/>
      <c r="L129" s="201"/>
      <c r="M129" s="196"/>
      <c r="N129" s="201"/>
      <c r="O129" s="197"/>
    </row>
    <row r="130" spans="1:15" s="183" customFormat="1" x14ac:dyDescent="0.25">
      <c r="A130" s="189">
        <v>41289.965682870374</v>
      </c>
      <c r="B130" s="203" t="s">
        <v>231</v>
      </c>
      <c r="C130" s="308"/>
      <c r="D130" s="192"/>
      <c r="E130" s="207" t="s">
        <v>169</v>
      </c>
      <c r="F130" s="198" t="str">
        <f>F94</f>
        <v>HANDL_PaidContr</v>
      </c>
      <c r="G130" s="200"/>
      <c r="H130" s="196"/>
      <c r="I130" s="196"/>
      <c r="J130" s="197"/>
      <c r="K130" s="198"/>
      <c r="L130" s="201"/>
      <c r="M130" s="196"/>
      <c r="N130" s="201"/>
      <c r="O130" s="197"/>
    </row>
    <row r="131" spans="1:15" s="183" customFormat="1" x14ac:dyDescent="0.25">
      <c r="A131" s="251"/>
      <c r="B131" s="192" t="s">
        <v>232</v>
      </c>
      <c r="C131" s="274" t="str">
        <f>B129</f>
        <v>CheckProc0</v>
      </c>
      <c r="D131" s="192"/>
      <c r="E131" s="193" t="s">
        <v>173</v>
      </c>
      <c r="F131" s="312">
        <f>C97</f>
        <v>0</v>
      </c>
      <c r="G131" s="200"/>
      <c r="H131" s="196"/>
      <c r="I131" s="196"/>
      <c r="J131" s="197"/>
      <c r="K131" s="198"/>
      <c r="L131" s="201"/>
      <c r="M131" s="196"/>
      <c r="N131" s="201"/>
      <c r="O131" s="197"/>
    </row>
    <row r="132" spans="1:15" s="183" customFormat="1" x14ac:dyDescent="0.25">
      <c r="A132" s="251"/>
      <c r="B132" s="192" t="s">
        <v>201</v>
      </c>
      <c r="C132" s="269"/>
      <c r="D132" s="270"/>
      <c r="E132" s="193" t="s">
        <v>173</v>
      </c>
      <c r="F132" s="273" t="s">
        <v>140</v>
      </c>
      <c r="G132" s="196"/>
      <c r="H132" s="196"/>
      <c r="I132" s="196"/>
      <c r="J132" s="197"/>
      <c r="K132" s="273" t="str">
        <f>F132</f>
        <v>NewOpp</v>
      </c>
      <c r="L132" s="201"/>
      <c r="M132" s="196"/>
      <c r="N132" s="201"/>
      <c r="O132" s="197"/>
    </row>
    <row r="133" spans="1:15" s="183" customFormat="1" x14ac:dyDescent="0.25">
      <c r="A133" s="251"/>
      <c r="B133" s="192" t="s">
        <v>201</v>
      </c>
      <c r="C133" s="269"/>
      <c r="D133" s="270"/>
      <c r="E133" s="193" t="s">
        <v>173</v>
      </c>
      <c r="F133" s="273" t="s">
        <v>135</v>
      </c>
      <c r="G133" s="196"/>
      <c r="H133" s="196"/>
      <c r="I133" s="196"/>
      <c r="J133" s="197"/>
      <c r="K133" s="273" t="str">
        <f>F133</f>
        <v>NewPayment</v>
      </c>
      <c r="L133" s="201"/>
      <c r="M133" s="196"/>
      <c r="N133" s="201"/>
      <c r="O133" s="197"/>
    </row>
    <row r="134" spans="1:15" s="183" customFormat="1" ht="15.75" thickBot="1" x14ac:dyDescent="0.3">
      <c r="A134" s="313"/>
      <c r="B134" s="314" t="s">
        <v>233</v>
      </c>
      <c r="C134" s="315" t="str">
        <f>B129</f>
        <v>CheckProc0</v>
      </c>
      <c r="D134" s="314"/>
      <c r="E134" s="316" t="s">
        <v>173</v>
      </c>
      <c r="F134" s="317" t="s">
        <v>234</v>
      </c>
      <c r="G134" s="318" t="s">
        <v>173</v>
      </c>
      <c r="H134" s="319"/>
      <c r="I134" s="319"/>
      <c r="J134" s="320"/>
      <c r="K134" s="321" t="str">
        <f>K127</f>
        <v>Платежи</v>
      </c>
      <c r="L134" s="322" t="s">
        <v>69</v>
      </c>
      <c r="M134" s="322" t="s">
        <v>65</v>
      </c>
      <c r="N134" s="322" t="s">
        <v>63</v>
      </c>
      <c r="O134" s="320"/>
    </row>
    <row r="135" spans="1:15" s="183" customFormat="1" ht="15.75" thickTop="1" x14ac:dyDescent="0.25">
      <c r="A135" s="251"/>
      <c r="B135" s="254" t="s">
        <v>136</v>
      </c>
      <c r="C135" s="274" t="str">
        <f>B134</f>
        <v>WP_Paid</v>
      </c>
      <c r="D135" s="192"/>
      <c r="E135" s="193" t="s">
        <v>173</v>
      </c>
      <c r="F135" s="273" t="s">
        <v>140</v>
      </c>
      <c r="G135" s="201" t="s">
        <v>203</v>
      </c>
      <c r="H135" s="208" t="s">
        <v>218</v>
      </c>
      <c r="I135" s="208" t="s">
        <v>219</v>
      </c>
      <c r="J135" s="197"/>
      <c r="K135" s="273" t="str">
        <f>F135</f>
        <v>NewOpp</v>
      </c>
      <c r="L135" s="201"/>
      <c r="M135" s="196"/>
      <c r="N135" s="201"/>
      <c r="O135" s="197"/>
    </row>
    <row r="136" spans="1:15" s="183" customFormat="1" x14ac:dyDescent="0.25">
      <c r="A136" s="251"/>
      <c r="B136" s="254" t="s">
        <v>136</v>
      </c>
      <c r="C136" s="274" t="str">
        <f>B134</f>
        <v>WP_Paid</v>
      </c>
      <c r="D136" s="192"/>
      <c r="E136" s="193" t="s">
        <v>173</v>
      </c>
      <c r="F136" s="273" t="s">
        <v>135</v>
      </c>
      <c r="G136" s="201" t="s">
        <v>203</v>
      </c>
      <c r="H136" s="208" t="s">
        <v>204</v>
      </c>
      <c r="I136" s="208" t="s">
        <v>205</v>
      </c>
      <c r="J136" s="197"/>
      <c r="K136" s="273" t="str">
        <f>F136</f>
        <v>NewPayment</v>
      </c>
      <c r="L136" s="201"/>
      <c r="M136" s="196"/>
      <c r="N136" s="201"/>
      <c r="O136" s="197"/>
    </row>
    <row r="137" spans="1:15" s="186" customFormat="1" x14ac:dyDescent="0.25">
      <c r="A137" s="323"/>
      <c r="B137" s="254" t="s">
        <v>33</v>
      </c>
      <c r="C137" s="324">
        <v>0</v>
      </c>
      <c r="D137" s="254"/>
      <c r="E137" s="205" t="s">
        <v>173</v>
      </c>
      <c r="F137" s="325"/>
      <c r="G137" s="196"/>
      <c r="H137" s="196"/>
      <c r="I137" s="196"/>
      <c r="J137" s="197"/>
      <c r="K137" s="198"/>
      <c r="L137" s="201"/>
      <c r="M137" s="196"/>
      <c r="N137" s="201"/>
      <c r="O137" s="197"/>
    </row>
    <row r="138" spans="1:15" s="329" customFormat="1" ht="15.75" thickBot="1" x14ac:dyDescent="0.3">
      <c r="A138" s="257">
        <v>41201.045671296299</v>
      </c>
      <c r="B138" s="258" t="s">
        <v>168</v>
      </c>
      <c r="C138" s="259"/>
      <c r="D138" s="220"/>
      <c r="E138" s="326" t="s">
        <v>66</v>
      </c>
      <c r="F138" s="327" t="s">
        <v>235</v>
      </c>
      <c r="G138" s="220"/>
      <c r="H138" s="220"/>
      <c r="I138" s="220"/>
      <c r="J138" s="223"/>
      <c r="K138" s="328" t="s">
        <v>32</v>
      </c>
      <c r="L138" s="225"/>
      <c r="M138" s="220"/>
      <c r="N138" s="225"/>
      <c r="O138" s="223"/>
    </row>
    <row r="139" spans="1:15" s="183" customFormat="1" ht="15.75" thickTop="1" x14ac:dyDescent="0.25">
      <c r="A139" s="189">
        <v>41218.822870370372</v>
      </c>
      <c r="B139" s="190" t="s">
        <v>201</v>
      </c>
      <c r="C139" s="272"/>
      <c r="D139" s="270"/>
      <c r="E139" s="193"/>
      <c r="F139" s="273" t="s">
        <v>142</v>
      </c>
      <c r="G139" s="196"/>
      <c r="H139" s="196"/>
      <c r="I139" s="196"/>
      <c r="J139" s="197"/>
      <c r="K139" s="273" t="str">
        <f>F139</f>
        <v>NewAcc</v>
      </c>
      <c r="L139" s="201"/>
      <c r="M139" s="196"/>
      <c r="N139" s="201"/>
      <c r="O139" s="197"/>
    </row>
    <row r="140" spans="1:15" s="183" customFormat="1" x14ac:dyDescent="0.25">
      <c r="A140" s="189"/>
      <c r="B140" s="190" t="s">
        <v>236</v>
      </c>
      <c r="C140" s="274" t="str">
        <f>B139</f>
        <v>NewSheet</v>
      </c>
      <c r="D140" s="270"/>
      <c r="E140" s="193"/>
      <c r="F140" s="330"/>
      <c r="G140" s="196"/>
      <c r="H140" s="196"/>
      <c r="I140" s="196"/>
      <c r="J140" s="197"/>
      <c r="K140" s="273"/>
      <c r="L140" s="201"/>
      <c r="M140" s="196"/>
      <c r="N140" s="201"/>
      <c r="O140" s="197"/>
    </row>
    <row r="141" spans="1:15" s="183" customFormat="1" x14ac:dyDescent="0.25">
      <c r="A141" s="251"/>
      <c r="B141" s="192" t="s">
        <v>193</v>
      </c>
      <c r="C141" s="265"/>
      <c r="D141" s="192"/>
      <c r="E141" s="193" t="s">
        <v>173</v>
      </c>
      <c r="F141" s="260" t="s">
        <v>66</v>
      </c>
      <c r="G141" s="200" t="s">
        <v>194</v>
      </c>
      <c r="H141" s="196"/>
      <c r="I141" s="196"/>
      <c r="J141" s="197"/>
      <c r="K141" s="198"/>
      <c r="L141" s="201"/>
      <c r="M141" s="196"/>
      <c r="N141" s="201"/>
      <c r="O141" s="197"/>
    </row>
    <row r="142" spans="1:15" s="183" customFormat="1" ht="15.75" thickBot="1" x14ac:dyDescent="0.3">
      <c r="A142" s="313">
        <v>41218.824293981481</v>
      </c>
      <c r="B142" s="314" t="s">
        <v>233</v>
      </c>
      <c r="C142" s="315" t="str">
        <f>B140</f>
        <v>SFaccDicBuild</v>
      </c>
      <c r="D142" s="314"/>
      <c r="E142" s="316" t="s">
        <v>173</v>
      </c>
      <c r="F142" s="317" t="s">
        <v>237</v>
      </c>
      <c r="G142" s="331"/>
      <c r="H142" s="319"/>
      <c r="I142" s="319"/>
      <c r="J142" s="320"/>
      <c r="K142" s="321" t="str">
        <f>K138</f>
        <v>Платежи</v>
      </c>
      <c r="L142" s="322">
        <v>0</v>
      </c>
      <c r="M142" s="322">
        <v>0</v>
      </c>
      <c r="N142" s="322">
        <v>0</v>
      </c>
      <c r="O142" s="320"/>
    </row>
    <row r="143" spans="1:15" s="183" customFormat="1" ht="15.75" thickTop="1" x14ac:dyDescent="0.25">
      <c r="A143" s="251">
        <v>41218.824293981481</v>
      </c>
      <c r="B143" s="254" t="s">
        <v>136</v>
      </c>
      <c r="C143" s="274" t="str">
        <f>B142</f>
        <v>WP_Paid</v>
      </c>
      <c r="D143" s="192"/>
      <c r="E143" s="193" t="s">
        <v>173</v>
      </c>
      <c r="F143" s="273" t="str">
        <f>F139</f>
        <v>NewAcc</v>
      </c>
      <c r="G143" s="201" t="s">
        <v>203</v>
      </c>
      <c r="H143" s="208" t="s">
        <v>218</v>
      </c>
      <c r="I143" s="208" t="s">
        <v>219</v>
      </c>
      <c r="J143" s="197"/>
      <c r="K143" s="273" t="str">
        <f>F143</f>
        <v>NewAcc</v>
      </c>
      <c r="L143" s="201"/>
      <c r="M143" s="196"/>
      <c r="N143" s="201"/>
      <c r="O143" s="197"/>
    </row>
    <row r="144" spans="1:15" s="217" customFormat="1" x14ac:dyDescent="0.25">
      <c r="A144" s="255"/>
      <c r="B144" s="210" t="s">
        <v>33</v>
      </c>
      <c r="C144" s="256">
        <v>5</v>
      </c>
      <c r="D144" s="210"/>
      <c r="E144" s="211" t="s">
        <v>173</v>
      </c>
      <c r="F144" s="212"/>
      <c r="G144" s="213"/>
      <c r="H144" s="213"/>
      <c r="I144" s="213"/>
      <c r="J144" s="214"/>
      <c r="K144" s="215"/>
      <c r="L144" s="216"/>
      <c r="M144" s="213"/>
      <c r="N144" s="216"/>
      <c r="O144" s="214"/>
    </row>
    <row r="145" spans="1:15" s="183" customFormat="1" x14ac:dyDescent="0.25">
      <c r="A145" s="251"/>
      <c r="B145" s="192" t="s">
        <v>168</v>
      </c>
      <c r="C145" s="269"/>
      <c r="D145" s="270"/>
      <c r="E145" s="193" t="s">
        <v>173</v>
      </c>
      <c r="F145" s="271" t="s">
        <v>238</v>
      </c>
      <c r="G145" s="196"/>
      <c r="H145" s="196"/>
      <c r="I145" s="196"/>
      <c r="J145" s="197"/>
      <c r="K145" s="188" t="s">
        <v>32</v>
      </c>
      <c r="L145" s="201"/>
      <c r="M145" s="196"/>
      <c r="N145" s="201"/>
      <c r="O145" s="197"/>
    </row>
    <row r="146" spans="1:15" s="183" customFormat="1" x14ac:dyDescent="0.25">
      <c r="A146" s="267"/>
      <c r="B146" s="192" t="s">
        <v>193</v>
      </c>
      <c r="C146" s="265"/>
      <c r="D146" s="192"/>
      <c r="E146" s="193"/>
      <c r="F146" s="260" t="s">
        <v>169</v>
      </c>
      <c r="G146" s="200"/>
      <c r="H146" s="196"/>
      <c r="I146" s="196"/>
      <c r="J146" s="197"/>
      <c r="K146" s="198"/>
      <c r="L146" s="201"/>
      <c r="M146" s="196"/>
      <c r="N146" s="201"/>
      <c r="O146" s="197"/>
    </row>
    <row r="147" spans="1:15" ht="30" x14ac:dyDescent="0.25">
      <c r="A147" s="267"/>
      <c r="B147" s="254" t="s">
        <v>239</v>
      </c>
      <c r="C147" s="252" t="s">
        <v>196</v>
      </c>
      <c r="D147" s="204"/>
      <c r="E147" s="229" t="s">
        <v>173</v>
      </c>
      <c r="F147" s="198"/>
      <c r="G147" s="201"/>
      <c r="H147" s="208"/>
      <c r="I147" s="208"/>
      <c r="J147" s="249"/>
      <c r="K147" s="250" t="s">
        <v>32</v>
      </c>
      <c r="L147" s="208" t="s">
        <v>65</v>
      </c>
      <c r="M147" s="208"/>
      <c r="N147" s="208"/>
      <c r="O147" s="249"/>
    </row>
    <row r="148" spans="1:15" s="217" customFormat="1" x14ac:dyDescent="0.25">
      <c r="A148" s="255"/>
      <c r="B148" s="210" t="s">
        <v>33</v>
      </c>
      <c r="C148" s="256"/>
      <c r="D148" s="210"/>
      <c r="E148" s="211" t="s">
        <v>173</v>
      </c>
      <c r="F148" s="212"/>
      <c r="G148" s="213"/>
      <c r="H148" s="213"/>
      <c r="I148" s="213"/>
      <c r="J148" s="214"/>
      <c r="K148" s="215"/>
      <c r="L148" s="216"/>
      <c r="M148" s="213"/>
      <c r="N148" s="216"/>
      <c r="O148" s="214"/>
    </row>
    <row r="149" spans="1:15" s="22" customFormat="1" x14ac:dyDescent="0.25">
      <c r="A149" s="332"/>
      <c r="B149" s="333" t="s">
        <v>119</v>
      </c>
      <c r="C149" s="334" t="s">
        <v>120</v>
      </c>
      <c r="D149" s="258"/>
      <c r="E149" s="335"/>
      <c r="F149" s="336"/>
      <c r="G149" s="337"/>
      <c r="H149" s="337"/>
      <c r="I149" s="337"/>
      <c r="J149" s="338"/>
      <c r="K149" s="336" t="s">
        <v>240</v>
      </c>
      <c r="L149" s="337"/>
      <c r="M149" s="337"/>
      <c r="N149" s="337"/>
      <c r="O149" s="338"/>
    </row>
    <row r="150" spans="1:15" x14ac:dyDescent="0.25">
      <c r="A150" s="339"/>
      <c r="B150" s="340">
        <v>1043</v>
      </c>
      <c r="C150" s="341"/>
      <c r="D150" s="204"/>
      <c r="E150" s="193"/>
      <c r="F150" s="253"/>
      <c r="G150" s="208"/>
      <c r="H150" s="208"/>
      <c r="I150" s="208"/>
      <c r="J150" s="209"/>
      <c r="K150" s="253" t="s">
        <v>240</v>
      </c>
      <c r="L150" s="208"/>
      <c r="M150" s="208"/>
      <c r="N150" s="208"/>
      <c r="O150" s="209"/>
    </row>
    <row r="151" spans="1:15" s="22" customFormat="1" ht="15.75" thickBot="1" x14ac:dyDescent="0.3">
      <c r="A151" s="75"/>
      <c r="B151" s="342" t="s">
        <v>119</v>
      </c>
      <c r="C151" s="343" t="s">
        <v>120</v>
      </c>
      <c r="D151" s="72"/>
      <c r="E151" s="344"/>
      <c r="F151" s="345"/>
      <c r="G151" s="346"/>
      <c r="H151" s="346"/>
      <c r="I151" s="346"/>
      <c r="J151" s="347"/>
      <c r="K151" s="345" t="s">
        <v>121</v>
      </c>
      <c r="L151" s="346"/>
      <c r="M151" s="346"/>
      <c r="N151" s="346"/>
      <c r="O151" s="347"/>
    </row>
    <row r="152" spans="1:15" x14ac:dyDescent="0.25">
      <c r="A152" s="41"/>
    </row>
    <row r="153" spans="1:15" s="183" customFormat="1" x14ac:dyDescent="0.25">
      <c r="A153" s="251"/>
      <c r="B153" s="192" t="s">
        <v>193</v>
      </c>
      <c r="C153" s="265"/>
      <c r="D153" s="192"/>
      <c r="E153" s="193" t="s">
        <v>173</v>
      </c>
      <c r="F153" s="260" t="s">
        <v>66</v>
      </c>
      <c r="G153" s="200" t="s">
        <v>194</v>
      </c>
      <c r="H153" s="196"/>
      <c r="I153" s="196"/>
      <c r="J153" s="197"/>
      <c r="K153" s="198"/>
      <c r="L153" s="201"/>
      <c r="M153" s="196"/>
      <c r="N153" s="201"/>
      <c r="O153" s="197"/>
    </row>
    <row r="155" spans="1:15" ht="45" outlineLevel="1" x14ac:dyDescent="0.25">
      <c r="A155" s="251">
        <v>41217.705717592595</v>
      </c>
      <c r="B155" s="192" t="s">
        <v>241</v>
      </c>
      <c r="C155" s="252" t="s">
        <v>242</v>
      </c>
      <c r="D155" s="208"/>
      <c r="E155" s="229" t="s">
        <v>173</v>
      </c>
      <c r="F155" s="260" t="s">
        <v>63</v>
      </c>
      <c r="G155" s="201" t="s">
        <v>41</v>
      </c>
      <c r="H155" s="200" t="s">
        <v>165</v>
      </c>
      <c r="I155" s="200" t="s">
        <v>186</v>
      </c>
      <c r="J155" s="249"/>
      <c r="L155" s="199" t="s">
        <v>63</v>
      </c>
      <c r="M155" s="208"/>
      <c r="N155" s="208"/>
      <c r="O155" s="249"/>
    </row>
    <row r="158" spans="1:15" s="32" customFormat="1" outlineLevel="1" x14ac:dyDescent="0.25">
      <c r="A158" s="251">
        <v>41217.684374999997</v>
      </c>
      <c r="B158" s="192" t="s">
        <v>85</v>
      </c>
      <c r="C158" s="252" t="s">
        <v>67</v>
      </c>
      <c r="D158" s="192"/>
      <c r="E158" s="193" t="s">
        <v>173</v>
      </c>
      <c r="F158" s="194" t="s">
        <v>174</v>
      </c>
      <c r="G158" s="195" t="s">
        <v>175</v>
      </c>
      <c r="H158" s="196"/>
      <c r="I158" s="196"/>
      <c r="J158" s="209"/>
      <c r="K158" s="198">
        <v>0</v>
      </c>
      <c r="L158" s="199" t="s">
        <v>69</v>
      </c>
      <c r="M158" s="199" t="s">
        <v>63</v>
      </c>
      <c r="N158" s="208"/>
      <c r="O158" s="209"/>
    </row>
    <row r="161" spans="1:15" s="32" customFormat="1" outlineLevel="1" x14ac:dyDescent="0.25">
      <c r="A161" s="251">
        <v>41227.065937500003</v>
      </c>
      <c r="B161" s="192" t="s">
        <v>243</v>
      </c>
      <c r="C161" s="261" t="str">
        <f>B69</f>
        <v>InsMyCol</v>
      </c>
      <c r="D161" s="192"/>
      <c r="E161" s="193" t="s">
        <v>173</v>
      </c>
      <c r="F161" s="260" t="s">
        <v>186</v>
      </c>
      <c r="G161" s="200" t="s">
        <v>60</v>
      </c>
      <c r="H161" s="200" t="s">
        <v>244</v>
      </c>
      <c r="I161" s="200" t="s">
        <v>245</v>
      </c>
      <c r="J161" s="262"/>
      <c r="K161" s="264" t="str">
        <f>K67</f>
        <v>Склад</v>
      </c>
      <c r="L161" s="201" t="s">
        <v>32</v>
      </c>
      <c r="M161" s="208"/>
      <c r="N161" s="183"/>
      <c r="O161" s="197"/>
    </row>
  </sheetData>
  <autoFilter ref="A4:O151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16" workbookViewId="0">
      <selection activeCell="I31" sqref="I31"/>
    </sheetView>
  </sheetViews>
  <sheetFormatPr defaultColWidth="9.140625" defaultRowHeight="15" x14ac:dyDescent="0.25"/>
  <cols>
    <col min="1" max="1" width="19.28515625" style="350" customWidth="1"/>
    <col min="2" max="2" width="20.85546875" style="354" customWidth="1"/>
    <col min="3" max="3" width="30.28515625" style="350" customWidth="1"/>
    <col min="4" max="4" width="17.5703125" style="350" customWidth="1"/>
    <col min="5" max="5" width="32.7109375" style="350" customWidth="1"/>
    <col min="6" max="6" width="22.85546875" style="351" customWidth="1"/>
    <col min="7" max="7" width="16.28515625" style="352" customWidth="1"/>
    <col min="8" max="10" width="9.140625" style="350" customWidth="1"/>
    <col min="11" max="11" width="13" style="350" customWidth="1"/>
    <col min="12" max="12" width="9.140625" style="350" customWidth="1"/>
    <col min="13" max="13" width="19.42578125" style="350" customWidth="1"/>
    <col min="14" max="15" width="18.42578125" style="350" customWidth="1"/>
    <col min="16" max="16" width="19.140625" style="350" customWidth="1"/>
    <col min="17" max="16384" width="9.140625" style="350"/>
  </cols>
  <sheetData>
    <row r="1" spans="1:3" x14ac:dyDescent="0.25">
      <c r="A1" s="348" t="s">
        <v>246</v>
      </c>
      <c r="B1" s="349" t="s">
        <v>247</v>
      </c>
    </row>
    <row r="2" spans="1:3" x14ac:dyDescent="0.25">
      <c r="A2" s="353" t="s">
        <v>248</v>
      </c>
      <c r="B2" s="354" t="s">
        <v>249</v>
      </c>
    </row>
    <row r="3" spans="1:3" x14ac:dyDescent="0.25">
      <c r="A3" s="353" t="s">
        <v>250</v>
      </c>
      <c r="B3" s="355" t="s">
        <v>251</v>
      </c>
      <c r="C3" s="356" t="s">
        <v>252</v>
      </c>
    </row>
    <row r="4" spans="1:3" x14ac:dyDescent="0.25">
      <c r="A4" s="353" t="s">
        <v>253</v>
      </c>
      <c r="B4" s="354" t="s">
        <v>254</v>
      </c>
    </row>
    <row r="5" spans="1:3" x14ac:dyDescent="0.25">
      <c r="A5" s="356" t="s">
        <v>255</v>
      </c>
      <c r="B5" s="355" t="s">
        <v>256</v>
      </c>
    </row>
    <row r="6" spans="1:3" x14ac:dyDescent="0.25">
      <c r="A6" s="356" t="s">
        <v>1249</v>
      </c>
      <c r="B6" s="355" t="s">
        <v>1248</v>
      </c>
    </row>
    <row r="7" spans="1:3" x14ac:dyDescent="0.25">
      <c r="A7" s="356" t="s">
        <v>257</v>
      </c>
      <c r="B7" s="355" t="s">
        <v>258</v>
      </c>
    </row>
    <row r="8" spans="1:3" x14ac:dyDescent="0.25">
      <c r="A8" s="356"/>
      <c r="B8" s="357"/>
    </row>
    <row r="9" spans="1:3" x14ac:dyDescent="0.25">
      <c r="A9" s="356" t="s">
        <v>259</v>
      </c>
      <c r="B9" s="357"/>
    </row>
    <row r="10" spans="1:3" x14ac:dyDescent="0.25">
      <c r="A10" s="348" t="s">
        <v>260</v>
      </c>
      <c r="B10" s="349" t="s">
        <v>261</v>
      </c>
    </row>
    <row r="11" spans="1:3" x14ac:dyDescent="0.25">
      <c r="A11" s="353" t="s">
        <v>262</v>
      </c>
      <c r="B11" s="354" t="s">
        <v>263</v>
      </c>
    </row>
    <row r="12" spans="1:3" x14ac:dyDescent="0.25">
      <c r="A12" s="353" t="s">
        <v>264</v>
      </c>
      <c r="B12" s="354" t="s">
        <v>265</v>
      </c>
    </row>
    <row r="13" spans="1:3" x14ac:dyDescent="0.25">
      <c r="A13" s="353" t="s">
        <v>266</v>
      </c>
      <c r="B13" s="354" t="s">
        <v>263</v>
      </c>
    </row>
    <row r="14" spans="1:3" x14ac:dyDescent="0.25">
      <c r="A14" s="356" t="s">
        <v>267</v>
      </c>
      <c r="B14" s="355" t="s">
        <v>268</v>
      </c>
    </row>
    <row r="15" spans="1:3" x14ac:dyDescent="0.25">
      <c r="A15" s="356" t="s">
        <v>269</v>
      </c>
      <c r="B15" s="355" t="s">
        <v>270</v>
      </c>
    </row>
    <row r="16" spans="1:3" x14ac:dyDescent="0.25">
      <c r="A16" s="356"/>
      <c r="B16" s="357"/>
    </row>
    <row r="17" spans="1:7" x14ac:dyDescent="0.25">
      <c r="A17" s="358" t="s">
        <v>271</v>
      </c>
      <c r="B17" s="349" t="s">
        <v>272</v>
      </c>
      <c r="C17" s="358" t="s">
        <v>273</v>
      </c>
      <c r="D17" s="358" t="s">
        <v>274</v>
      </c>
      <c r="E17" s="358" t="s">
        <v>275</v>
      </c>
      <c r="F17" s="359" t="s">
        <v>276</v>
      </c>
      <c r="G17" s="360" t="s">
        <v>277</v>
      </c>
    </row>
    <row r="18" spans="1:7" x14ac:dyDescent="0.25">
      <c r="A18" s="361" t="s">
        <v>278</v>
      </c>
      <c r="B18" s="362" t="s">
        <v>279</v>
      </c>
      <c r="C18" s="363" t="s">
        <v>280</v>
      </c>
      <c r="D18" s="364" t="s">
        <v>281</v>
      </c>
      <c r="E18" s="365" t="s">
        <v>282</v>
      </c>
      <c r="F18" s="366" t="s">
        <v>283</v>
      </c>
      <c r="G18" s="352">
        <v>0</v>
      </c>
    </row>
    <row r="19" spans="1:7" x14ac:dyDescent="0.25">
      <c r="A19" s="361"/>
      <c r="B19" s="362" t="s">
        <v>1240</v>
      </c>
      <c r="C19" s="363"/>
      <c r="D19" s="364"/>
      <c r="E19" s="365"/>
      <c r="F19" s="366"/>
    </row>
    <row r="20" spans="1:7" ht="50.25" customHeight="1" x14ac:dyDescent="0.25">
      <c r="A20" s="367" t="s">
        <v>284</v>
      </c>
      <c r="B20" s="368" t="s">
        <v>285</v>
      </c>
      <c r="C20" s="369" t="s">
        <v>286</v>
      </c>
      <c r="D20" s="364" t="s">
        <v>287</v>
      </c>
      <c r="E20" s="370" t="s">
        <v>288</v>
      </c>
      <c r="F20" s="371" t="s">
        <v>289</v>
      </c>
      <c r="G20" s="372">
        <v>0</v>
      </c>
    </row>
    <row r="21" spans="1:7" x14ac:dyDescent="0.25">
      <c r="A21" s="361" t="s">
        <v>290</v>
      </c>
      <c r="B21" s="362"/>
      <c r="C21" s="363" t="s">
        <v>280</v>
      </c>
      <c r="D21" s="364" t="s">
        <v>281</v>
      </c>
      <c r="E21" s="370"/>
      <c r="F21" s="373" t="s">
        <v>291</v>
      </c>
      <c r="G21" s="372">
        <v>1</v>
      </c>
    </row>
    <row r="22" spans="1:7" x14ac:dyDescent="0.25">
      <c r="A22" s="361" t="s">
        <v>292</v>
      </c>
      <c r="B22" s="362" t="s">
        <v>293</v>
      </c>
      <c r="C22" s="363" t="s">
        <v>294</v>
      </c>
      <c r="D22" s="350" t="s">
        <v>295</v>
      </c>
      <c r="E22" s="363"/>
      <c r="F22" s="366" t="s">
        <v>296</v>
      </c>
      <c r="G22" s="352">
        <v>0</v>
      </c>
    </row>
    <row r="23" spans="1:7" x14ac:dyDescent="0.25">
      <c r="A23" s="361" t="s">
        <v>297</v>
      </c>
      <c r="B23" s="362" t="s">
        <v>298</v>
      </c>
      <c r="C23" s="363" t="s">
        <v>299</v>
      </c>
      <c r="D23" s="350" t="s">
        <v>300</v>
      </c>
      <c r="E23" s="363"/>
      <c r="F23" s="374" t="s">
        <v>301</v>
      </c>
      <c r="G23" s="352">
        <v>0</v>
      </c>
    </row>
    <row r="24" spans="1:7" x14ac:dyDescent="0.25">
      <c r="A24" s="361" t="s">
        <v>1242</v>
      </c>
      <c r="B24" s="362" t="s">
        <v>1241</v>
      </c>
      <c r="C24" s="363"/>
      <c r="E24" s="363"/>
      <c r="F24" s="374" t="s">
        <v>1243</v>
      </c>
    </row>
    <row r="25" spans="1:7" x14ac:dyDescent="0.25">
      <c r="A25" s="361" t="s">
        <v>302</v>
      </c>
      <c r="B25" s="362" t="s">
        <v>303</v>
      </c>
      <c r="C25" s="363" t="s">
        <v>304</v>
      </c>
      <c r="D25" s="350" t="s">
        <v>305</v>
      </c>
      <c r="E25" s="363" t="s">
        <v>306</v>
      </c>
      <c r="F25" s="374" t="s">
        <v>307</v>
      </c>
      <c r="G25" s="352">
        <v>0</v>
      </c>
    </row>
    <row r="26" spans="1:7" x14ac:dyDescent="0.25">
      <c r="A26" s="361" t="s">
        <v>308</v>
      </c>
      <c r="B26" s="362" t="s">
        <v>309</v>
      </c>
      <c r="C26" s="363" t="s">
        <v>310</v>
      </c>
      <c r="D26" s="350" t="s">
        <v>311</v>
      </c>
      <c r="E26" s="363" t="s">
        <v>312</v>
      </c>
      <c r="F26" s="374" t="s">
        <v>313</v>
      </c>
      <c r="G26" s="352">
        <v>0</v>
      </c>
    </row>
    <row r="27" spans="1:7" x14ac:dyDescent="0.25">
      <c r="A27" s="361" t="s">
        <v>314</v>
      </c>
      <c r="B27" s="368" t="s">
        <v>315</v>
      </c>
      <c r="C27" s="375" t="s">
        <v>316</v>
      </c>
      <c r="D27" s="365" t="s">
        <v>317</v>
      </c>
      <c r="E27" s="365"/>
      <c r="F27" s="374" t="s">
        <v>318</v>
      </c>
      <c r="G27" s="352">
        <v>0</v>
      </c>
    </row>
    <row r="28" spans="1:7" x14ac:dyDescent="0.25">
      <c r="A28" s="361" t="s">
        <v>319</v>
      </c>
      <c r="B28" s="362" t="s">
        <v>320</v>
      </c>
      <c r="C28" s="363" t="s">
        <v>321</v>
      </c>
      <c r="D28" s="350" t="s">
        <v>322</v>
      </c>
      <c r="E28" s="363" t="s">
        <v>312</v>
      </c>
      <c r="F28" s="374" t="s">
        <v>323</v>
      </c>
      <c r="G28" s="352">
        <v>0</v>
      </c>
    </row>
    <row r="29" spans="1:7" x14ac:dyDescent="0.25">
      <c r="A29" s="361" t="s">
        <v>324</v>
      </c>
      <c r="B29" s="376"/>
      <c r="C29" s="363" t="s">
        <v>325</v>
      </c>
      <c r="D29" s="350" t="s">
        <v>326</v>
      </c>
      <c r="E29" s="363"/>
      <c r="F29" s="374" t="s">
        <v>327</v>
      </c>
      <c r="G29" s="352">
        <v>0</v>
      </c>
    </row>
    <row r="30" spans="1:7" x14ac:dyDescent="0.25">
      <c r="A30" s="361" t="s">
        <v>328</v>
      </c>
      <c r="B30" s="362" t="s">
        <v>329</v>
      </c>
      <c r="C30" s="363" t="s">
        <v>330</v>
      </c>
      <c r="D30" s="350" t="s">
        <v>331</v>
      </c>
      <c r="E30" s="363" t="s">
        <v>332</v>
      </c>
      <c r="F30" s="374" t="s">
        <v>333</v>
      </c>
      <c r="G30" s="352">
        <v>0</v>
      </c>
    </row>
    <row r="31" spans="1:7" x14ac:dyDescent="0.25">
      <c r="A31" s="361" t="s">
        <v>334</v>
      </c>
      <c r="B31" s="376"/>
      <c r="C31" s="363" t="s">
        <v>335</v>
      </c>
      <c r="D31" s="350" t="s">
        <v>336</v>
      </c>
      <c r="E31" s="377" t="s">
        <v>332</v>
      </c>
      <c r="F31" s="374" t="s">
        <v>337</v>
      </c>
      <c r="G31" s="352">
        <v>0</v>
      </c>
    </row>
    <row r="32" spans="1:7" x14ac:dyDescent="0.25">
      <c r="A32" s="361" t="s">
        <v>338</v>
      </c>
      <c r="B32" s="362" t="s">
        <v>339</v>
      </c>
      <c r="C32" s="363" t="s">
        <v>340</v>
      </c>
      <c r="D32" s="365" t="s">
        <v>341</v>
      </c>
      <c r="E32" s="365" t="s">
        <v>342</v>
      </c>
      <c r="F32" s="374" t="s">
        <v>343</v>
      </c>
      <c r="G32" s="352">
        <v>0</v>
      </c>
    </row>
    <row r="33" spans="1:7" x14ac:dyDescent="0.25">
      <c r="A33" s="361" t="s">
        <v>344</v>
      </c>
      <c r="B33" s="362" t="s">
        <v>345</v>
      </c>
      <c r="C33" s="363" t="s">
        <v>312</v>
      </c>
      <c r="D33" s="350" t="s">
        <v>346</v>
      </c>
      <c r="E33" s="363" t="s">
        <v>312</v>
      </c>
      <c r="F33" s="374" t="s">
        <v>347</v>
      </c>
      <c r="G33" s="352">
        <v>0</v>
      </c>
    </row>
    <row r="34" spans="1:7" ht="30" x14ac:dyDescent="0.25">
      <c r="A34" s="367" t="s">
        <v>348</v>
      </c>
      <c r="B34" s="368" t="s">
        <v>349</v>
      </c>
      <c r="C34" s="369" t="s">
        <v>350</v>
      </c>
      <c r="D34" s="364" t="s">
        <v>351</v>
      </c>
      <c r="E34" s="370" t="s">
        <v>352</v>
      </c>
      <c r="F34" s="371" t="s">
        <v>353</v>
      </c>
      <c r="G34" s="352">
        <v>0</v>
      </c>
    </row>
    <row r="35" spans="1:7" x14ac:dyDescent="0.25">
      <c r="A35" s="361" t="s">
        <v>306</v>
      </c>
      <c r="B35" s="362" t="s">
        <v>354</v>
      </c>
      <c r="C35" s="363" t="s">
        <v>286</v>
      </c>
      <c r="D35" s="350" t="s">
        <v>287</v>
      </c>
      <c r="E35" s="363" t="s">
        <v>355</v>
      </c>
      <c r="F35" s="374" t="s">
        <v>356</v>
      </c>
      <c r="G35" s="352">
        <v>0</v>
      </c>
    </row>
    <row r="36" spans="1:7" x14ac:dyDescent="0.25">
      <c r="A36" s="361" t="s">
        <v>357</v>
      </c>
      <c r="B36" s="362" t="s">
        <v>354</v>
      </c>
      <c r="C36" s="363" t="s">
        <v>286</v>
      </c>
      <c r="D36" s="350" t="s">
        <v>287</v>
      </c>
      <c r="E36" s="365"/>
      <c r="F36" s="374" t="s">
        <v>358</v>
      </c>
      <c r="G36" s="352">
        <v>0</v>
      </c>
    </row>
    <row r="37" spans="1:7" x14ac:dyDescent="0.25">
      <c r="A37" s="361" t="s">
        <v>359</v>
      </c>
      <c r="B37" s="368" t="s">
        <v>360</v>
      </c>
      <c r="C37" s="363" t="s">
        <v>361</v>
      </c>
      <c r="D37" s="350" t="s">
        <v>362</v>
      </c>
      <c r="E37" s="365"/>
      <c r="F37" s="374" t="s">
        <v>318</v>
      </c>
      <c r="G37" s="352">
        <v>0</v>
      </c>
    </row>
    <row r="38" spans="1:7" x14ac:dyDescent="0.25">
      <c r="A38" s="361" t="s">
        <v>363</v>
      </c>
      <c r="B38" s="368" t="s">
        <v>364</v>
      </c>
      <c r="C38" s="375" t="s">
        <v>316</v>
      </c>
      <c r="D38" s="365" t="s">
        <v>317</v>
      </c>
      <c r="E38" s="365"/>
      <c r="F38" s="374" t="s">
        <v>318</v>
      </c>
      <c r="G38" s="352">
        <v>0</v>
      </c>
    </row>
    <row r="39" spans="1:7" x14ac:dyDescent="0.25">
      <c r="A39" s="361" t="s">
        <v>365</v>
      </c>
      <c r="B39" s="362" t="s">
        <v>366</v>
      </c>
      <c r="C39" s="363" t="s">
        <v>367</v>
      </c>
      <c r="D39" s="365" t="s">
        <v>368</v>
      </c>
      <c r="E39" s="365"/>
      <c r="F39" s="374" t="s">
        <v>369</v>
      </c>
      <c r="G39" s="352">
        <v>0</v>
      </c>
    </row>
    <row r="40" spans="1:7" x14ac:dyDescent="0.25">
      <c r="A40" s="361" t="s">
        <v>370</v>
      </c>
      <c r="B40" s="362" t="s">
        <v>371</v>
      </c>
      <c r="C40" s="363" t="s">
        <v>280</v>
      </c>
      <c r="D40" s="350" t="s">
        <v>281</v>
      </c>
      <c r="E40" s="365"/>
      <c r="F40" s="374" t="s">
        <v>372</v>
      </c>
      <c r="G40" s="352">
        <v>1</v>
      </c>
    </row>
    <row r="41" spans="1:7" x14ac:dyDescent="0.25">
      <c r="A41" s="361" t="s">
        <v>373</v>
      </c>
      <c r="B41" s="362" t="s">
        <v>374</v>
      </c>
      <c r="C41" s="363" t="s">
        <v>280</v>
      </c>
      <c r="D41" s="364" t="s">
        <v>281</v>
      </c>
      <c r="E41" s="365"/>
      <c r="F41" s="374" t="s">
        <v>358</v>
      </c>
      <c r="G41" s="352">
        <v>0</v>
      </c>
    </row>
    <row r="42" spans="1:7" x14ac:dyDescent="0.25">
      <c r="A42" s="361" t="s">
        <v>332</v>
      </c>
      <c r="B42" s="362" t="s">
        <v>375</v>
      </c>
      <c r="C42" s="363" t="s">
        <v>335</v>
      </c>
      <c r="D42" s="350" t="s">
        <v>336</v>
      </c>
      <c r="E42" s="365"/>
      <c r="F42" s="374" t="s">
        <v>376</v>
      </c>
      <c r="G42" s="352">
        <v>0</v>
      </c>
    </row>
    <row r="43" spans="1:7" x14ac:dyDescent="0.25">
      <c r="A43" s="361" t="s">
        <v>1252</v>
      </c>
      <c r="B43" s="362" t="s">
        <v>1251</v>
      </c>
      <c r="C43" s="363"/>
      <c r="E43" s="365"/>
      <c r="F43" s="374"/>
    </row>
    <row r="44" spans="1:7" x14ac:dyDescent="0.25">
      <c r="A44" s="361" t="s">
        <v>377</v>
      </c>
      <c r="B44" s="362" t="s">
        <v>378</v>
      </c>
      <c r="C44" s="363" t="s">
        <v>379</v>
      </c>
      <c r="D44" s="350" t="s">
        <v>380</v>
      </c>
      <c r="E44" s="363"/>
      <c r="F44" s="374" t="s">
        <v>381</v>
      </c>
      <c r="G44" s="352">
        <v>0</v>
      </c>
    </row>
    <row r="45" spans="1:7" x14ac:dyDescent="0.25">
      <c r="A45" s="361" t="s">
        <v>382</v>
      </c>
      <c r="B45" s="362" t="s">
        <v>383</v>
      </c>
      <c r="C45" s="363" t="s">
        <v>312</v>
      </c>
      <c r="D45" s="350" t="s">
        <v>346</v>
      </c>
      <c r="E45" s="365"/>
      <c r="F45" s="374" t="s">
        <v>384</v>
      </c>
      <c r="G45" s="352">
        <v>0</v>
      </c>
    </row>
    <row r="46" spans="1:7" x14ac:dyDescent="0.25">
      <c r="A46" s="361" t="s">
        <v>385</v>
      </c>
      <c r="B46" s="362" t="s">
        <v>386</v>
      </c>
      <c r="C46" s="363" t="s">
        <v>387</v>
      </c>
      <c r="D46" s="350" t="s">
        <v>388</v>
      </c>
      <c r="E46" s="365"/>
      <c r="F46" s="374" t="s">
        <v>389</v>
      </c>
      <c r="G46" s="352">
        <v>0</v>
      </c>
    </row>
    <row r="47" spans="1:7" x14ac:dyDescent="0.25">
      <c r="A47" s="361" t="s">
        <v>340</v>
      </c>
      <c r="B47" s="362"/>
      <c r="C47" s="363" t="s">
        <v>340</v>
      </c>
      <c r="D47" s="365" t="s">
        <v>341</v>
      </c>
      <c r="E47" s="365"/>
      <c r="F47" s="366"/>
      <c r="G47" s="352">
        <v>0</v>
      </c>
    </row>
    <row r="49" spans="1:17" x14ac:dyDescent="0.25">
      <c r="A49" s="358" t="s">
        <v>390</v>
      </c>
      <c r="B49" s="349" t="s">
        <v>391</v>
      </c>
      <c r="C49" s="358" t="s">
        <v>392</v>
      </c>
    </row>
    <row r="50" spans="1:17" ht="15" customHeight="1" x14ac:dyDescent="0.25">
      <c r="A50" s="378" t="s">
        <v>393</v>
      </c>
      <c r="B50" s="354" t="s">
        <v>394</v>
      </c>
      <c r="C50" s="354">
        <v>1</v>
      </c>
      <c r="Q50" s="365"/>
    </row>
    <row r="51" spans="1:17" x14ac:dyDescent="0.25">
      <c r="A51" s="378" t="s">
        <v>395</v>
      </c>
      <c r="B51" s="354" t="s">
        <v>396</v>
      </c>
      <c r="C51" s="355" t="s">
        <v>397</v>
      </c>
      <c r="M51" s="354"/>
      <c r="N51" s="355"/>
      <c r="O51" s="354"/>
      <c r="P51" s="354"/>
      <c r="Q51" s="355"/>
    </row>
    <row r="52" spans="1:17" x14ac:dyDescent="0.25">
      <c r="A52" s="378" t="s">
        <v>398</v>
      </c>
      <c r="B52" s="354" t="s">
        <v>399</v>
      </c>
      <c r="C52" s="355" t="s">
        <v>400</v>
      </c>
    </row>
    <row r="53" spans="1:17" x14ac:dyDescent="0.25">
      <c r="H53" s="940" t="s">
        <v>401</v>
      </c>
      <c r="I53" s="941"/>
      <c r="J53" s="941"/>
      <c r="K53" s="942"/>
      <c r="L53" s="365"/>
    </row>
    <row r="54" spans="1:17" ht="15.75" x14ac:dyDescent="0.25">
      <c r="A54" s="365" t="s">
        <v>402</v>
      </c>
      <c r="H54" s="379"/>
      <c r="I54" s="380"/>
      <c r="J54" s="380"/>
      <c r="K54" s="381"/>
      <c r="L54" s="365"/>
      <c r="M54" s="943" t="s">
        <v>401</v>
      </c>
      <c r="N54" s="944"/>
      <c r="O54" s="944"/>
      <c r="P54" s="944"/>
      <c r="Q54" s="945"/>
    </row>
    <row r="55" spans="1:17" ht="30" x14ac:dyDescent="0.25">
      <c r="A55" s="365" t="s">
        <v>403</v>
      </c>
      <c r="B55" s="355" t="s">
        <v>404</v>
      </c>
      <c r="C55" s="382" t="s">
        <v>405</v>
      </c>
      <c r="D55" s="382" t="s">
        <v>406</v>
      </c>
      <c r="E55" s="383" t="s">
        <v>407</v>
      </c>
      <c r="F55" s="384" t="s">
        <v>408</v>
      </c>
      <c r="G55" s="385" t="s">
        <v>409</v>
      </c>
      <c r="H55" s="386" t="s">
        <v>410</v>
      </c>
      <c r="I55" s="386" t="s">
        <v>411</v>
      </c>
      <c r="J55" s="386" t="s">
        <v>412</v>
      </c>
      <c r="K55" s="387" t="s">
        <v>413</v>
      </c>
      <c r="M55" s="388" t="s">
        <v>414</v>
      </c>
      <c r="N55" s="389" t="s">
        <v>409</v>
      </c>
      <c r="O55" s="389" t="s">
        <v>415</v>
      </c>
      <c r="P55" s="389" t="s">
        <v>412</v>
      </c>
      <c r="Q55" s="390" t="s">
        <v>413</v>
      </c>
    </row>
    <row r="56" spans="1:17" ht="15.75" x14ac:dyDescent="0.3">
      <c r="A56" s="365" t="s">
        <v>416</v>
      </c>
      <c r="B56" s="391" t="s">
        <v>417</v>
      </c>
      <c r="C56" s="377" t="s">
        <v>418</v>
      </c>
      <c r="D56" s="392" t="s">
        <v>416</v>
      </c>
      <c r="E56" s="393" t="s">
        <v>416</v>
      </c>
      <c r="F56" s="366" t="s">
        <v>419</v>
      </c>
      <c r="G56" s="385" t="s">
        <v>420</v>
      </c>
      <c r="H56" s="365" t="s">
        <v>409</v>
      </c>
      <c r="I56" s="365" t="s">
        <v>421</v>
      </c>
      <c r="J56" s="365"/>
      <c r="M56" s="365" t="s">
        <v>422</v>
      </c>
      <c r="N56" s="365" t="s">
        <v>420</v>
      </c>
      <c r="O56" s="365" t="s">
        <v>415</v>
      </c>
      <c r="P56" s="365" t="s">
        <v>423</v>
      </c>
    </row>
    <row r="57" spans="1:17" ht="45" x14ac:dyDescent="0.3">
      <c r="A57" s="365" t="s">
        <v>358</v>
      </c>
      <c r="B57" s="391" t="s">
        <v>424</v>
      </c>
      <c r="C57" s="377" t="s">
        <v>418</v>
      </c>
      <c r="D57" s="392" t="s">
        <v>358</v>
      </c>
      <c r="E57" s="393" t="s">
        <v>425</v>
      </c>
      <c r="F57" s="366" t="s">
        <v>426</v>
      </c>
      <c r="G57" s="385" t="s">
        <v>427</v>
      </c>
      <c r="H57" s="365" t="s">
        <v>409</v>
      </c>
      <c r="I57" s="365" t="s">
        <v>421</v>
      </c>
      <c r="J57" s="365"/>
      <c r="M57" s="394" t="s">
        <v>428</v>
      </c>
      <c r="N57" s="394" t="s">
        <v>429</v>
      </c>
      <c r="O57" s="394"/>
      <c r="P57" s="394" t="s">
        <v>430</v>
      </c>
    </row>
    <row r="58" spans="1:17" ht="15.75" x14ac:dyDescent="0.3">
      <c r="A58" s="365" t="s">
        <v>431</v>
      </c>
      <c r="B58" s="391" t="s">
        <v>432</v>
      </c>
      <c r="C58" s="377" t="s">
        <v>418</v>
      </c>
      <c r="D58" s="392" t="s">
        <v>431</v>
      </c>
      <c r="E58" s="393" t="s">
        <v>433</v>
      </c>
      <c r="F58" s="366" t="s">
        <v>419</v>
      </c>
      <c r="G58" s="352" t="b">
        <v>1</v>
      </c>
      <c r="M58" s="395"/>
      <c r="N58" s="394" t="s">
        <v>434</v>
      </c>
      <c r="O58" s="395"/>
      <c r="P58" s="395"/>
    </row>
    <row r="59" spans="1:17" ht="15.75" x14ac:dyDescent="0.3">
      <c r="A59" s="365" t="s">
        <v>435</v>
      </c>
      <c r="B59" s="391" t="s">
        <v>436</v>
      </c>
      <c r="C59" s="377" t="s">
        <v>418</v>
      </c>
      <c r="D59" s="392" t="s">
        <v>435</v>
      </c>
      <c r="E59" s="393" t="s">
        <v>437</v>
      </c>
      <c r="F59" s="366" t="s">
        <v>438</v>
      </c>
      <c r="H59" s="365" t="s">
        <v>409</v>
      </c>
      <c r="I59" s="365" t="s">
        <v>421</v>
      </c>
      <c r="J59" s="365"/>
      <c r="M59" s="395"/>
      <c r="N59" s="395"/>
      <c r="O59" s="395"/>
      <c r="P59" s="394" t="s">
        <v>439</v>
      </c>
    </row>
    <row r="60" spans="1:17" ht="15.75" x14ac:dyDescent="0.3">
      <c r="A60" s="365" t="s">
        <v>440</v>
      </c>
      <c r="B60" s="391" t="s">
        <v>441</v>
      </c>
      <c r="C60" s="377" t="s">
        <v>418</v>
      </c>
      <c r="D60" s="392" t="s">
        <v>440</v>
      </c>
      <c r="E60" s="393" t="s">
        <v>437</v>
      </c>
      <c r="F60" s="366" t="s">
        <v>438</v>
      </c>
      <c r="G60" s="385" t="s">
        <v>442</v>
      </c>
      <c r="H60" s="365" t="s">
        <v>409</v>
      </c>
      <c r="I60" s="365" t="s">
        <v>421</v>
      </c>
      <c r="J60" s="365"/>
      <c r="M60" s="395" t="str">
        <f>N58</f>
        <v>$.*</v>
      </c>
      <c r="N60" s="395"/>
      <c r="O60" s="395"/>
      <c r="P60" s="394" t="s">
        <v>1329</v>
      </c>
    </row>
    <row r="61" spans="1:17" ht="15.75" x14ac:dyDescent="0.3">
      <c r="A61" s="365" t="s">
        <v>443</v>
      </c>
      <c r="B61" s="391" t="s">
        <v>444</v>
      </c>
      <c r="C61" s="392" t="s">
        <v>443</v>
      </c>
      <c r="D61" s="392" t="s">
        <v>445</v>
      </c>
      <c r="E61" s="393" t="s">
        <v>446</v>
      </c>
      <c r="F61" s="366" t="s">
        <v>438</v>
      </c>
      <c r="K61" s="365" t="s">
        <v>447</v>
      </c>
      <c r="M61" s="395"/>
      <c r="N61" s="395"/>
      <c r="O61" s="395"/>
      <c r="P61" s="394" t="str">
        <f>N58</f>
        <v>$.*</v>
      </c>
    </row>
    <row r="62" spans="1:17" x14ac:dyDescent="0.25">
      <c r="A62" s="365" t="s">
        <v>448</v>
      </c>
      <c r="B62" s="391" t="s">
        <v>449</v>
      </c>
      <c r="C62" s="377" t="s">
        <v>418</v>
      </c>
      <c r="D62" s="396" t="s">
        <v>450</v>
      </c>
      <c r="E62" s="393" t="s">
        <v>451</v>
      </c>
      <c r="F62" s="366" t="s">
        <v>426</v>
      </c>
      <c r="G62" s="385" t="s">
        <v>442</v>
      </c>
      <c r="H62" s="365" t="s">
        <v>409</v>
      </c>
      <c r="I62" s="365" t="s">
        <v>421</v>
      </c>
      <c r="J62" s="365"/>
      <c r="M62" s="395" t="str">
        <f>N58</f>
        <v>$.*</v>
      </c>
      <c r="N62" s="395"/>
      <c r="O62" s="395"/>
      <c r="P62" s="395"/>
    </row>
    <row r="63" spans="1:17" ht="15.75" x14ac:dyDescent="0.3">
      <c r="A63" s="365" t="s">
        <v>327</v>
      </c>
      <c r="B63" s="391" t="s">
        <v>452</v>
      </c>
      <c r="C63" s="377" t="s">
        <v>418</v>
      </c>
      <c r="D63" s="392" t="s">
        <v>327</v>
      </c>
      <c r="E63" s="393" t="s">
        <v>446</v>
      </c>
      <c r="F63" s="366" t="s">
        <v>438</v>
      </c>
      <c r="G63" s="385" t="s">
        <v>442</v>
      </c>
      <c r="H63" s="365" t="s">
        <v>409</v>
      </c>
      <c r="I63" s="365" t="s">
        <v>421</v>
      </c>
      <c r="J63" s="365"/>
      <c r="M63" s="395" t="str">
        <f>M62</f>
        <v>$.*</v>
      </c>
      <c r="N63" s="395"/>
      <c r="O63" s="395"/>
      <c r="P63" s="395"/>
    </row>
    <row r="64" spans="1:17" ht="191.25" x14ac:dyDescent="0.3">
      <c r="A64" s="365" t="s">
        <v>453</v>
      </c>
      <c r="B64" s="397" t="s">
        <v>454</v>
      </c>
      <c r="C64" s="392" t="s">
        <v>453</v>
      </c>
      <c r="D64" s="392" t="s">
        <v>455</v>
      </c>
      <c r="E64" s="393" t="s">
        <v>446</v>
      </c>
      <c r="F64" s="366" t="s">
        <v>438</v>
      </c>
      <c r="K64" s="365" t="s">
        <v>456</v>
      </c>
      <c r="M64" s="394" t="s">
        <v>457</v>
      </c>
      <c r="N64" s="395"/>
      <c r="O64" s="395"/>
      <c r="P64" s="394" t="s">
        <v>458</v>
      </c>
    </row>
    <row r="65" spans="1:17" x14ac:dyDescent="0.25">
      <c r="A65" s="365" t="s">
        <v>412</v>
      </c>
      <c r="B65" s="391" t="s">
        <v>459</v>
      </c>
      <c r="C65" s="377" t="s">
        <v>460</v>
      </c>
      <c r="D65" s="917" t="s">
        <v>474</v>
      </c>
      <c r="E65" s="393"/>
      <c r="F65" s="366"/>
      <c r="G65" s="385"/>
      <c r="H65" s="365"/>
      <c r="I65" s="365"/>
      <c r="J65" s="365"/>
      <c r="K65" s="365" t="s">
        <v>447</v>
      </c>
      <c r="M65" s="395"/>
      <c r="N65" s="395"/>
      <c r="O65" s="395"/>
      <c r="P65" s="395" t="str">
        <f>P61</f>
        <v>$.*</v>
      </c>
    </row>
    <row r="66" spans="1:17" ht="15.75" x14ac:dyDescent="0.3">
      <c r="A66" s="365" t="s">
        <v>337</v>
      </c>
      <c r="B66" s="391" t="s">
        <v>461</v>
      </c>
      <c r="C66" s="392" t="s">
        <v>462</v>
      </c>
      <c r="D66" s="377" t="s">
        <v>463</v>
      </c>
      <c r="E66" s="393" t="s">
        <v>446</v>
      </c>
      <c r="F66" s="366" t="s">
        <v>438</v>
      </c>
      <c r="I66" s="365"/>
      <c r="J66" s="365"/>
      <c r="K66" s="350" t="s">
        <v>337</v>
      </c>
      <c r="L66" s="365"/>
      <c r="M66" s="398" t="str">
        <f>N58</f>
        <v>$.*</v>
      </c>
      <c r="N66" s="394" t="s">
        <v>464</v>
      </c>
      <c r="O66" s="395"/>
      <c r="P66" s="395"/>
    </row>
    <row r="67" spans="1:17" ht="15.75" x14ac:dyDescent="0.3">
      <c r="A67" s="365" t="s">
        <v>296</v>
      </c>
      <c r="B67" s="391" t="s">
        <v>465</v>
      </c>
      <c r="C67" s="377" t="s">
        <v>418</v>
      </c>
      <c r="D67" s="392" t="s">
        <v>296</v>
      </c>
      <c r="E67" s="393" t="s">
        <v>296</v>
      </c>
      <c r="F67" s="366" t="s">
        <v>419</v>
      </c>
      <c r="G67" s="385" t="s">
        <v>442</v>
      </c>
      <c r="H67" s="365" t="s">
        <v>409</v>
      </c>
      <c r="I67" s="365" t="s">
        <v>421</v>
      </c>
      <c r="J67" s="365"/>
      <c r="M67" s="395" t="str">
        <f>M66</f>
        <v>$.*</v>
      </c>
      <c r="N67" s="395"/>
      <c r="O67" s="395"/>
      <c r="P67" s="395"/>
    </row>
    <row r="68" spans="1:17" ht="15.75" x14ac:dyDescent="0.3">
      <c r="A68" s="365" t="s">
        <v>381</v>
      </c>
      <c r="B68" s="391" t="s">
        <v>381</v>
      </c>
      <c r="C68" s="377" t="s">
        <v>418</v>
      </c>
      <c r="D68" s="392" t="s">
        <v>381</v>
      </c>
      <c r="E68" s="393" t="s">
        <v>446</v>
      </c>
      <c r="F68" s="366" t="s">
        <v>438</v>
      </c>
      <c r="G68" s="385" t="s">
        <v>442</v>
      </c>
      <c r="H68" s="365" t="s">
        <v>409</v>
      </c>
      <c r="I68" s="365" t="s">
        <v>421</v>
      </c>
      <c r="J68" s="365"/>
      <c r="M68" s="394" t="s">
        <v>466</v>
      </c>
      <c r="N68" s="394" t="s">
        <v>467</v>
      </c>
      <c r="O68" s="395"/>
      <c r="P68" s="395"/>
    </row>
    <row r="69" spans="1:17" ht="15.75" x14ac:dyDescent="0.3">
      <c r="A69" s="365" t="s">
        <v>1244</v>
      </c>
      <c r="B69" s="391" t="s">
        <v>1244</v>
      </c>
      <c r="C69" s="377" t="s">
        <v>418</v>
      </c>
      <c r="D69" s="392" t="s">
        <v>1244</v>
      </c>
      <c r="E69" s="393" t="s">
        <v>446</v>
      </c>
      <c r="F69" s="366" t="s">
        <v>438</v>
      </c>
      <c r="G69" s="385"/>
      <c r="H69" s="365"/>
      <c r="I69" s="365"/>
      <c r="J69" s="365"/>
      <c r="M69" s="394" t="s">
        <v>466</v>
      </c>
      <c r="N69" s="394"/>
      <c r="O69" s="395"/>
      <c r="P69" s="395"/>
    </row>
    <row r="70" spans="1:17" x14ac:dyDescent="0.25">
      <c r="A70" s="399" t="s">
        <v>283</v>
      </c>
      <c r="B70" s="391" t="s">
        <v>468</v>
      </c>
      <c r="C70" s="377"/>
      <c r="D70" s="396"/>
      <c r="E70" s="393"/>
      <c r="F70" s="366"/>
      <c r="M70" s="394" t="s">
        <v>469</v>
      </c>
      <c r="N70" s="394" t="s">
        <v>469</v>
      </c>
      <c r="O70" s="395"/>
      <c r="P70" s="394" t="s">
        <v>469</v>
      </c>
    </row>
    <row r="71" spans="1:17" x14ac:dyDescent="0.25">
      <c r="C71" s="377"/>
      <c r="D71" s="377" t="s">
        <v>470</v>
      </c>
      <c r="E71" s="393" t="s">
        <v>446</v>
      </c>
      <c r="F71" s="366" t="s">
        <v>438</v>
      </c>
      <c r="M71" s="395"/>
      <c r="N71" s="395"/>
      <c r="O71" s="395"/>
      <c r="P71" s="395"/>
    </row>
    <row r="72" spans="1:17" x14ac:dyDescent="0.25">
      <c r="C72" s="377"/>
      <c r="D72" s="377" t="s">
        <v>471</v>
      </c>
      <c r="E72" s="393" t="s">
        <v>446</v>
      </c>
      <c r="F72" s="366" t="s">
        <v>438</v>
      </c>
      <c r="M72" s="395"/>
      <c r="N72" s="395"/>
      <c r="O72" s="395"/>
      <c r="P72" s="395"/>
    </row>
    <row r="73" spans="1:17" x14ac:dyDescent="0.25">
      <c r="C73" s="377"/>
      <c r="D73" s="377" t="s">
        <v>472</v>
      </c>
      <c r="E73" s="393"/>
      <c r="F73" s="366"/>
      <c r="M73" s="395"/>
      <c r="N73" s="395"/>
      <c r="O73" s="395"/>
      <c r="P73" s="395"/>
    </row>
    <row r="74" spans="1:17" x14ac:dyDescent="0.25">
      <c r="A74" s="365"/>
      <c r="C74" s="377"/>
      <c r="D74" s="377" t="s">
        <v>473</v>
      </c>
      <c r="E74" s="393" t="s">
        <v>446</v>
      </c>
      <c r="F74" s="366" t="s">
        <v>438</v>
      </c>
      <c r="M74" s="395"/>
      <c r="N74" s="395"/>
      <c r="O74" s="395"/>
      <c r="P74" s="395"/>
    </row>
    <row r="75" spans="1:17" x14ac:dyDescent="0.25">
      <c r="C75" s="396"/>
      <c r="D75" s="377" t="s">
        <v>474</v>
      </c>
      <c r="E75" s="393" t="s">
        <v>446</v>
      </c>
      <c r="F75" s="366" t="s">
        <v>438</v>
      </c>
      <c r="M75" s="395"/>
      <c r="N75" s="395"/>
      <c r="O75" s="395"/>
      <c r="P75" s="395"/>
    </row>
    <row r="76" spans="1:17" x14ac:dyDescent="0.25">
      <c r="A76" s="365" t="s">
        <v>475</v>
      </c>
      <c r="C76" s="396"/>
      <c r="D76" s="377"/>
      <c r="F76" s="366"/>
      <c r="Q76" s="365" t="s">
        <v>476</v>
      </c>
    </row>
    <row r="77" spans="1:17" x14ac:dyDescent="0.25">
      <c r="A77" s="365" t="s">
        <v>447</v>
      </c>
      <c r="B77" s="362" t="s">
        <v>477</v>
      </c>
      <c r="C77" s="396"/>
      <c r="D77" s="377"/>
      <c r="F77" s="366"/>
      <c r="Q77" s="400" t="s">
        <v>421</v>
      </c>
    </row>
    <row r="78" spans="1:17" x14ac:dyDescent="0.25">
      <c r="A78" s="365" t="s">
        <v>409</v>
      </c>
      <c r="B78" s="362" t="s">
        <v>478</v>
      </c>
      <c r="C78" s="396"/>
      <c r="D78" s="377"/>
      <c r="F78" s="366"/>
      <c r="Q78" s="400" t="s">
        <v>409</v>
      </c>
    </row>
    <row r="79" spans="1:17" x14ac:dyDescent="0.25">
      <c r="A79" s="365"/>
      <c r="B79" s="362"/>
      <c r="C79" s="396"/>
      <c r="D79" s="377"/>
      <c r="F79" s="366"/>
      <c r="Q79" s="400" t="s">
        <v>412</v>
      </c>
    </row>
    <row r="80" spans="1:17" x14ac:dyDescent="0.25">
      <c r="A80" s="365"/>
      <c r="B80" s="396"/>
      <c r="C80" s="396"/>
      <c r="D80" s="377"/>
      <c r="F80" s="366"/>
      <c r="Q80" s="400" t="s">
        <v>337</v>
      </c>
    </row>
    <row r="81" spans="1:17" x14ac:dyDescent="0.25">
      <c r="A81" s="365"/>
      <c r="B81" s="396"/>
      <c r="C81" s="396"/>
      <c r="D81" s="377"/>
      <c r="F81" s="366"/>
      <c r="Q81" s="400" t="s">
        <v>456</v>
      </c>
    </row>
    <row r="82" spans="1:17" x14ac:dyDescent="0.25">
      <c r="A82" s="365"/>
      <c r="B82" s="396"/>
      <c r="C82" s="396"/>
      <c r="D82" s="377"/>
      <c r="F82" s="366"/>
    </row>
    <row r="83" spans="1:17" x14ac:dyDescent="0.25">
      <c r="C83" s="396"/>
      <c r="D83" s="377"/>
      <c r="F83" s="366"/>
    </row>
    <row r="84" spans="1:17" x14ac:dyDescent="0.25">
      <c r="A84" s="401" t="s">
        <v>479</v>
      </c>
    </row>
    <row r="85" spans="1:17" x14ac:dyDescent="0.25">
      <c r="A85" s="365" t="s">
        <v>480</v>
      </c>
    </row>
    <row r="86" spans="1:17" x14ac:dyDescent="0.25">
      <c r="A86" s="365" t="s">
        <v>481</v>
      </c>
    </row>
    <row r="87" spans="1:17" x14ac:dyDescent="0.25">
      <c r="A87" s="365" t="s">
        <v>482</v>
      </c>
      <c r="B87" s="355" t="s">
        <v>169</v>
      </c>
    </row>
    <row r="88" spans="1:17" x14ac:dyDescent="0.25">
      <c r="A88" s="365" t="s">
        <v>483</v>
      </c>
      <c r="B88" s="354">
        <v>1</v>
      </c>
    </row>
    <row r="89" spans="1:17" x14ac:dyDescent="0.25">
      <c r="A89" s="365" t="s">
        <v>484</v>
      </c>
      <c r="B89" s="354">
        <v>1</v>
      </c>
    </row>
    <row r="90" spans="1:17" x14ac:dyDescent="0.25">
      <c r="A90" s="365" t="s">
        <v>485</v>
      </c>
      <c r="B90" s="354">
        <v>1</v>
      </c>
    </row>
    <row r="91" spans="1:17" x14ac:dyDescent="0.25">
      <c r="A91" s="365" t="s">
        <v>486</v>
      </c>
    </row>
    <row r="92" spans="1:17" x14ac:dyDescent="0.25">
      <c r="A92" s="365" t="s">
        <v>487</v>
      </c>
    </row>
    <row r="93" spans="1:17" x14ac:dyDescent="0.25">
      <c r="A93" s="365" t="s">
        <v>488</v>
      </c>
      <c r="B93" s="355" t="s">
        <v>169</v>
      </c>
    </row>
    <row r="94" spans="1:17" x14ac:dyDescent="0.25">
      <c r="A94" s="365" t="s">
        <v>489</v>
      </c>
      <c r="F94" s="350"/>
      <c r="G94" s="350"/>
    </row>
    <row r="95" spans="1:17" x14ac:dyDescent="0.25">
      <c r="A95" s="365" t="s">
        <v>490</v>
      </c>
      <c r="F95" s="350"/>
      <c r="G95" s="350"/>
    </row>
    <row r="96" spans="1:17" x14ac:dyDescent="0.25">
      <c r="A96" s="365" t="s">
        <v>491</v>
      </c>
      <c r="F96" s="350"/>
      <c r="G96" s="350"/>
    </row>
    <row r="97" spans="1:7" x14ac:dyDescent="0.25">
      <c r="A97" s="365" t="s">
        <v>492</v>
      </c>
      <c r="F97" s="350"/>
      <c r="G97" s="350"/>
    </row>
    <row r="98" spans="1:7" x14ac:dyDescent="0.25">
      <c r="A98" s="365" t="s">
        <v>493</v>
      </c>
      <c r="B98" s="354">
        <v>1</v>
      </c>
      <c r="F98" s="350"/>
      <c r="G98" s="350"/>
    </row>
    <row r="99" spans="1:7" x14ac:dyDescent="0.25">
      <c r="A99" s="365" t="s">
        <v>494</v>
      </c>
      <c r="B99" s="354">
        <v>1</v>
      </c>
      <c r="F99" s="350"/>
      <c r="G99" s="350"/>
    </row>
    <row r="100" spans="1:7" x14ac:dyDescent="0.25">
      <c r="A100" s="365" t="s">
        <v>495</v>
      </c>
      <c r="F100" s="350"/>
      <c r="G100" s="350"/>
    </row>
    <row r="101" spans="1:7" x14ac:dyDescent="0.25">
      <c r="A101" s="365" t="s">
        <v>496</v>
      </c>
      <c r="F101" s="350"/>
      <c r="G101" s="350"/>
    </row>
    <row r="102" spans="1:7" x14ac:dyDescent="0.25">
      <c r="A102" s="365" t="s">
        <v>497</v>
      </c>
      <c r="F102" s="350"/>
      <c r="G102" s="350"/>
    </row>
    <row r="103" spans="1:7" x14ac:dyDescent="0.25">
      <c r="A103" s="365" t="s">
        <v>498</v>
      </c>
      <c r="F103" s="350"/>
      <c r="G103" s="350"/>
    </row>
    <row r="104" spans="1:7" x14ac:dyDescent="0.25">
      <c r="A104" s="365" t="s">
        <v>499</v>
      </c>
      <c r="B104" s="354">
        <v>1</v>
      </c>
      <c r="F104" s="350"/>
      <c r="G104" s="350"/>
    </row>
    <row r="105" spans="1:7" x14ac:dyDescent="0.25">
      <c r="A105" s="365" t="s">
        <v>500</v>
      </c>
      <c r="B105" s="354">
        <v>1</v>
      </c>
      <c r="F105" s="350"/>
      <c r="G105" s="350"/>
    </row>
    <row r="106" spans="1:7" x14ac:dyDescent="0.25">
      <c r="A106" s="365" t="s">
        <v>501</v>
      </c>
      <c r="F106" s="350"/>
      <c r="G106" s="350"/>
    </row>
    <row r="107" spans="1:7" x14ac:dyDescent="0.25">
      <c r="A107" s="365" t="s">
        <v>502</v>
      </c>
      <c r="B107" s="354">
        <v>1</v>
      </c>
      <c r="F107" s="350"/>
      <c r="G107" s="350"/>
    </row>
    <row r="108" spans="1:7" x14ac:dyDescent="0.25">
      <c r="A108" s="365" t="s">
        <v>503</v>
      </c>
      <c r="F108" s="350"/>
      <c r="G108" s="350"/>
    </row>
    <row r="109" spans="1:7" x14ac:dyDescent="0.25">
      <c r="A109" s="365" t="s">
        <v>504</v>
      </c>
      <c r="B109" s="354">
        <v>1</v>
      </c>
      <c r="F109" s="350"/>
      <c r="G109" s="350"/>
    </row>
    <row r="110" spans="1:7" x14ac:dyDescent="0.25">
      <c r="A110" s="365" t="s">
        <v>505</v>
      </c>
      <c r="B110" s="354">
        <v>1</v>
      </c>
      <c r="F110" s="350"/>
      <c r="G110" s="350"/>
    </row>
    <row r="111" spans="1:7" x14ac:dyDescent="0.25">
      <c r="A111" s="365" t="s">
        <v>506</v>
      </c>
      <c r="F111" s="350"/>
      <c r="G111" s="350"/>
    </row>
    <row r="112" spans="1:7" x14ac:dyDescent="0.25">
      <c r="A112" s="365" t="s">
        <v>507</v>
      </c>
      <c r="F112" s="350"/>
      <c r="G112" s="350"/>
    </row>
    <row r="113" spans="1:7" x14ac:dyDescent="0.25">
      <c r="A113" s="365" t="s">
        <v>508</v>
      </c>
      <c r="F113" s="350"/>
      <c r="G113" s="350"/>
    </row>
    <row r="114" spans="1:7" x14ac:dyDescent="0.25">
      <c r="A114" s="365" t="s">
        <v>509</v>
      </c>
      <c r="F114" s="350"/>
      <c r="G114" s="350"/>
    </row>
    <row r="115" spans="1:7" x14ac:dyDescent="0.25">
      <c r="A115" s="365" t="s">
        <v>510</v>
      </c>
      <c r="F115" s="350"/>
      <c r="G115" s="350"/>
    </row>
    <row r="116" spans="1:7" x14ac:dyDescent="0.25">
      <c r="A116" s="365" t="s">
        <v>511</v>
      </c>
      <c r="F116" s="350"/>
      <c r="G116" s="350"/>
    </row>
    <row r="117" spans="1:7" x14ac:dyDescent="0.25">
      <c r="A117" s="365" t="s">
        <v>512</v>
      </c>
      <c r="B117" s="354">
        <v>1</v>
      </c>
      <c r="F117" s="350"/>
      <c r="G117" s="350"/>
    </row>
    <row r="118" spans="1:7" x14ac:dyDescent="0.25">
      <c r="A118" s="365" t="s">
        <v>513</v>
      </c>
      <c r="F118" s="350"/>
      <c r="G118" s="350"/>
    </row>
    <row r="119" spans="1:7" x14ac:dyDescent="0.25">
      <c r="A119" s="365" t="s">
        <v>514</v>
      </c>
      <c r="F119" s="350"/>
      <c r="G119" s="350"/>
    </row>
    <row r="120" spans="1:7" x14ac:dyDescent="0.25">
      <c r="A120" s="365" t="s">
        <v>515</v>
      </c>
      <c r="F120" s="350"/>
      <c r="G120" s="350"/>
    </row>
    <row r="121" spans="1:7" x14ac:dyDescent="0.25">
      <c r="A121" s="365" t="s">
        <v>516</v>
      </c>
      <c r="B121" s="354">
        <v>1</v>
      </c>
      <c r="F121" s="350"/>
      <c r="G121" s="350"/>
    </row>
    <row r="122" spans="1:7" x14ac:dyDescent="0.25">
      <c r="A122" s="365" t="s">
        <v>517</v>
      </c>
      <c r="F122" s="350"/>
      <c r="G122" s="350"/>
    </row>
    <row r="123" spans="1:7" x14ac:dyDescent="0.25">
      <c r="A123" s="365" t="s">
        <v>518</v>
      </c>
      <c r="F123" s="350"/>
      <c r="G123" s="350"/>
    </row>
    <row r="124" spans="1:7" x14ac:dyDescent="0.25">
      <c r="A124" s="365" t="s">
        <v>519</v>
      </c>
      <c r="F124" s="350"/>
      <c r="G124" s="350"/>
    </row>
    <row r="125" spans="1:7" x14ac:dyDescent="0.25">
      <c r="A125" s="365" t="s">
        <v>520</v>
      </c>
      <c r="F125" s="350"/>
      <c r="G125" s="350"/>
    </row>
    <row r="126" spans="1:7" x14ac:dyDescent="0.25">
      <c r="A126" s="365" t="s">
        <v>521</v>
      </c>
      <c r="B126" s="354">
        <v>1</v>
      </c>
      <c r="F126" s="350"/>
      <c r="G126" s="350"/>
    </row>
    <row r="127" spans="1:7" x14ac:dyDescent="0.25">
      <c r="A127" s="365" t="s">
        <v>522</v>
      </c>
      <c r="B127" s="354">
        <v>1</v>
      </c>
      <c r="F127" s="350"/>
      <c r="G127" s="350"/>
    </row>
    <row r="128" spans="1:7" x14ac:dyDescent="0.25">
      <c r="A128" s="365" t="s">
        <v>523</v>
      </c>
      <c r="F128" s="350"/>
      <c r="G128" s="350"/>
    </row>
    <row r="129" spans="1:7" x14ac:dyDescent="0.25">
      <c r="A129" s="365" t="s">
        <v>524</v>
      </c>
      <c r="F129" s="350"/>
      <c r="G129" s="350"/>
    </row>
    <row r="130" spans="1:7" x14ac:dyDescent="0.25">
      <c r="A130" s="365" t="s">
        <v>525</v>
      </c>
      <c r="F130" s="350"/>
      <c r="G130" s="350"/>
    </row>
    <row r="131" spans="1:7" x14ac:dyDescent="0.25">
      <c r="A131" s="365" t="s">
        <v>526</v>
      </c>
      <c r="B131" s="354">
        <v>1</v>
      </c>
      <c r="F131" s="350"/>
      <c r="G131" s="350"/>
    </row>
    <row r="132" spans="1:7" x14ac:dyDescent="0.25">
      <c r="A132" s="365" t="s">
        <v>527</v>
      </c>
      <c r="F132" s="350"/>
      <c r="G132" s="350"/>
    </row>
    <row r="133" spans="1:7" x14ac:dyDescent="0.25">
      <c r="A133" s="365" t="s">
        <v>528</v>
      </c>
      <c r="F133" s="350"/>
      <c r="G133" s="350"/>
    </row>
    <row r="134" spans="1:7" x14ac:dyDescent="0.25">
      <c r="A134" s="365" t="s">
        <v>529</v>
      </c>
      <c r="B134" s="354">
        <v>1</v>
      </c>
      <c r="F134" s="350"/>
      <c r="G134" s="350"/>
    </row>
    <row r="135" spans="1:7" x14ac:dyDescent="0.25">
      <c r="A135" s="365" t="s">
        <v>530</v>
      </c>
      <c r="F135" s="350"/>
      <c r="G135" s="350"/>
    </row>
    <row r="136" spans="1:7" x14ac:dyDescent="0.25">
      <c r="A136" s="365" t="s">
        <v>531</v>
      </c>
      <c r="F136" s="350"/>
      <c r="G136" s="350"/>
    </row>
    <row r="137" spans="1:7" x14ac:dyDescent="0.25">
      <c r="A137" s="365" t="s">
        <v>532</v>
      </c>
      <c r="F137" s="350"/>
      <c r="G137" s="350"/>
    </row>
    <row r="138" spans="1:7" x14ac:dyDescent="0.25">
      <c r="A138" s="365" t="s">
        <v>533</v>
      </c>
      <c r="F138" s="350"/>
      <c r="G138" s="350"/>
    </row>
    <row r="139" spans="1:7" x14ac:dyDescent="0.25">
      <c r="A139" s="365" t="s">
        <v>534</v>
      </c>
      <c r="B139" s="354">
        <v>1</v>
      </c>
      <c r="F139" s="350"/>
      <c r="G139" s="350"/>
    </row>
    <row r="140" spans="1:7" x14ac:dyDescent="0.25">
      <c r="A140" s="365" t="s">
        <v>535</v>
      </c>
      <c r="B140" s="354">
        <v>1</v>
      </c>
      <c r="F140" s="350"/>
      <c r="G140" s="350"/>
    </row>
    <row r="141" spans="1:7" x14ac:dyDescent="0.25">
      <c r="A141" s="365" t="s">
        <v>536</v>
      </c>
      <c r="F141" s="350"/>
      <c r="G141" s="350"/>
    </row>
    <row r="142" spans="1:7" x14ac:dyDescent="0.25">
      <c r="A142" s="365" t="s">
        <v>537</v>
      </c>
      <c r="B142" s="354">
        <v>1</v>
      </c>
      <c r="F142" s="350"/>
      <c r="G142" s="350"/>
    </row>
    <row r="143" spans="1:7" x14ac:dyDescent="0.25">
      <c r="A143" s="365" t="s">
        <v>538</v>
      </c>
      <c r="F143" s="350"/>
      <c r="G143" s="350"/>
    </row>
    <row r="144" spans="1:7" x14ac:dyDescent="0.25">
      <c r="A144" s="365" t="s">
        <v>539</v>
      </c>
      <c r="B144" s="354">
        <v>1</v>
      </c>
      <c r="F144" s="350"/>
      <c r="G144" s="350"/>
    </row>
    <row r="145" spans="1:7" x14ac:dyDescent="0.25">
      <c r="A145" s="365" t="s">
        <v>540</v>
      </c>
      <c r="F145" s="350"/>
      <c r="G145" s="350"/>
    </row>
    <row r="146" spans="1:7" x14ac:dyDescent="0.25">
      <c r="A146" s="365" t="s">
        <v>541</v>
      </c>
      <c r="F146" s="350"/>
      <c r="G146" s="350"/>
    </row>
    <row r="147" spans="1:7" x14ac:dyDescent="0.25">
      <c r="A147" s="365" t="s">
        <v>542</v>
      </c>
      <c r="F147" s="350"/>
      <c r="G147" s="350"/>
    </row>
    <row r="148" spans="1:7" x14ac:dyDescent="0.25">
      <c r="A148" s="365" t="s">
        <v>543</v>
      </c>
      <c r="F148" s="350"/>
      <c r="G148" s="350"/>
    </row>
    <row r="149" spans="1:7" x14ac:dyDescent="0.25">
      <c r="A149" s="365" t="s">
        <v>544</v>
      </c>
      <c r="F149" s="350"/>
      <c r="G149" s="350"/>
    </row>
    <row r="150" spans="1:7" x14ac:dyDescent="0.25">
      <c r="A150" s="365" t="s">
        <v>545</v>
      </c>
      <c r="F150" s="350"/>
      <c r="G150" s="350"/>
    </row>
    <row r="151" spans="1:7" x14ac:dyDescent="0.25">
      <c r="A151" s="365" t="s">
        <v>546</v>
      </c>
      <c r="B151" s="354">
        <v>1</v>
      </c>
      <c r="F151" s="350"/>
      <c r="G151" s="350"/>
    </row>
    <row r="152" spans="1:7" x14ac:dyDescent="0.25">
      <c r="A152" s="365" t="s">
        <v>547</v>
      </c>
      <c r="B152" s="354">
        <v>1</v>
      </c>
      <c r="F152" s="350"/>
      <c r="G152" s="350"/>
    </row>
    <row r="153" spans="1:7" x14ac:dyDescent="0.25">
      <c r="A153" s="365" t="s">
        <v>548</v>
      </c>
      <c r="F153" s="350"/>
      <c r="G153" s="350"/>
    </row>
    <row r="154" spans="1:7" x14ac:dyDescent="0.25">
      <c r="A154" s="365" t="s">
        <v>549</v>
      </c>
      <c r="B154" s="354">
        <v>1</v>
      </c>
      <c r="F154" s="350"/>
      <c r="G154" s="350"/>
    </row>
    <row r="155" spans="1:7" x14ac:dyDescent="0.25">
      <c r="A155" s="365" t="s">
        <v>550</v>
      </c>
      <c r="B155" s="355" t="s">
        <v>169</v>
      </c>
      <c r="F155" s="350"/>
      <c r="G155" s="350"/>
    </row>
    <row r="156" spans="1:7" x14ac:dyDescent="0.25">
      <c r="A156" s="365" t="s">
        <v>551</v>
      </c>
      <c r="F156" s="350"/>
      <c r="G156" s="350"/>
    </row>
    <row r="157" spans="1:7" x14ac:dyDescent="0.25">
      <c r="A157" s="365" t="s">
        <v>552</v>
      </c>
      <c r="B157" s="354">
        <v>1</v>
      </c>
      <c r="F157" s="350"/>
      <c r="G157" s="350"/>
    </row>
    <row r="158" spans="1:7" x14ac:dyDescent="0.25">
      <c r="A158" s="365" t="s">
        <v>553</v>
      </c>
      <c r="F158" s="350"/>
      <c r="G158" s="350"/>
    </row>
    <row r="159" spans="1:7" x14ac:dyDescent="0.25">
      <c r="A159" s="365" t="s">
        <v>554</v>
      </c>
      <c r="F159" s="350"/>
      <c r="G159" s="350"/>
    </row>
    <row r="160" spans="1:7" x14ac:dyDescent="0.25">
      <c r="A160" s="365" t="s">
        <v>555</v>
      </c>
      <c r="F160" s="350"/>
      <c r="G160" s="350"/>
    </row>
    <row r="161" spans="1:7" x14ac:dyDescent="0.25">
      <c r="A161" s="365" t="s">
        <v>556</v>
      </c>
      <c r="F161" s="350"/>
      <c r="G161" s="350"/>
    </row>
    <row r="162" spans="1:7" x14ac:dyDescent="0.25">
      <c r="A162" s="365" t="s">
        <v>557</v>
      </c>
      <c r="F162" s="350"/>
      <c r="G162" s="350"/>
    </row>
    <row r="163" spans="1:7" x14ac:dyDescent="0.25">
      <c r="A163" s="365" t="s">
        <v>558</v>
      </c>
      <c r="B163" s="355" t="s">
        <v>169</v>
      </c>
      <c r="F163" s="350"/>
      <c r="G163" s="350"/>
    </row>
    <row r="164" spans="1:7" x14ac:dyDescent="0.25">
      <c r="A164" s="365" t="s">
        <v>559</v>
      </c>
      <c r="F164" s="350"/>
      <c r="G164" s="350"/>
    </row>
    <row r="165" spans="1:7" x14ac:dyDescent="0.25">
      <c r="A165" s="365" t="s">
        <v>560</v>
      </c>
      <c r="F165" s="350"/>
      <c r="G165" s="350"/>
    </row>
    <row r="166" spans="1:7" x14ac:dyDescent="0.25">
      <c r="A166" s="365" t="s">
        <v>561</v>
      </c>
      <c r="F166" s="350"/>
      <c r="G166" s="350"/>
    </row>
    <row r="167" spans="1:7" x14ac:dyDescent="0.25">
      <c r="A167" s="365" t="s">
        <v>562</v>
      </c>
      <c r="B167" s="354">
        <v>1</v>
      </c>
      <c r="F167" s="350"/>
      <c r="G167" s="350"/>
    </row>
    <row r="168" spans="1:7" x14ac:dyDescent="0.25">
      <c r="A168" s="365" t="s">
        <v>563</v>
      </c>
      <c r="B168" s="354">
        <v>1</v>
      </c>
      <c r="F168" s="350"/>
      <c r="G168" s="350"/>
    </row>
    <row r="169" spans="1:7" x14ac:dyDescent="0.25">
      <c r="A169" s="365" t="s">
        <v>564</v>
      </c>
      <c r="F169" s="350"/>
      <c r="G169" s="350"/>
    </row>
    <row r="170" spans="1:7" x14ac:dyDescent="0.25">
      <c r="A170" s="365" t="s">
        <v>565</v>
      </c>
      <c r="F170" s="350"/>
      <c r="G170" s="350"/>
    </row>
    <row r="171" spans="1:7" x14ac:dyDescent="0.25">
      <c r="A171" s="365" t="s">
        <v>566</v>
      </c>
      <c r="F171" s="350"/>
      <c r="G171" s="350"/>
    </row>
    <row r="172" spans="1:7" x14ac:dyDescent="0.25">
      <c r="A172" s="365" t="s">
        <v>567</v>
      </c>
      <c r="B172" s="355" t="s">
        <v>169</v>
      </c>
      <c r="F172" s="350"/>
      <c r="G172" s="350"/>
    </row>
    <row r="173" spans="1:7" x14ac:dyDescent="0.25">
      <c r="F173" s="350"/>
      <c r="G173" s="350"/>
    </row>
    <row r="174" spans="1:7" x14ac:dyDescent="0.25">
      <c r="A174" s="402" t="s">
        <v>568</v>
      </c>
      <c r="F174" s="350"/>
      <c r="G174" s="350"/>
    </row>
    <row r="175" spans="1:7" x14ac:dyDescent="0.25">
      <c r="A175" s="350" t="s">
        <v>569</v>
      </c>
      <c r="F175" s="350"/>
      <c r="G175" s="350"/>
    </row>
    <row r="176" spans="1:7" x14ac:dyDescent="0.25">
      <c r="A176" s="365" t="s">
        <v>570</v>
      </c>
      <c r="B176" s="355" t="s">
        <v>571</v>
      </c>
      <c r="F176" s="350"/>
      <c r="G176" s="350"/>
    </row>
    <row r="177" spans="1:7" x14ac:dyDescent="0.25">
      <c r="A177" s="350" t="s">
        <v>572</v>
      </c>
      <c r="F177" s="350"/>
      <c r="G177" s="350"/>
    </row>
    <row r="178" spans="1:7" x14ac:dyDescent="0.25">
      <c r="A178" s="365" t="s">
        <v>573</v>
      </c>
      <c r="F178" s="350"/>
      <c r="G178" s="350"/>
    </row>
    <row r="179" spans="1:7" x14ac:dyDescent="0.25">
      <c r="A179" s="350" t="s">
        <v>574</v>
      </c>
      <c r="B179" s="350"/>
      <c r="F179" s="350"/>
      <c r="G179" s="350"/>
    </row>
    <row r="180" spans="1:7" x14ac:dyDescent="0.25">
      <c r="A180" s="350" t="s">
        <v>575</v>
      </c>
      <c r="F180" s="350"/>
      <c r="G180" s="350"/>
    </row>
    <row r="181" spans="1:7" x14ac:dyDescent="0.25">
      <c r="A181" s="350" t="s">
        <v>576</v>
      </c>
      <c r="B181" s="403" t="s">
        <v>577</v>
      </c>
      <c r="F181" s="350"/>
      <c r="G181" s="350"/>
    </row>
    <row r="182" spans="1:7" x14ac:dyDescent="0.25">
      <c r="A182" s="365" t="s">
        <v>578</v>
      </c>
      <c r="B182" s="403" t="s">
        <v>579</v>
      </c>
      <c r="F182" s="350"/>
      <c r="G182" s="350"/>
    </row>
    <row r="183" spans="1:7" x14ac:dyDescent="0.25">
      <c r="A183" s="350" t="s">
        <v>580</v>
      </c>
      <c r="B183" s="365"/>
      <c r="F183" s="350"/>
      <c r="G183" s="350"/>
    </row>
    <row r="184" spans="1:7" x14ac:dyDescent="0.25">
      <c r="A184" s="350" t="s">
        <v>581</v>
      </c>
      <c r="F184" s="350"/>
      <c r="G184" s="350"/>
    </row>
    <row r="185" spans="1:7" x14ac:dyDescent="0.25">
      <c r="A185" s="350" t="s">
        <v>582</v>
      </c>
    </row>
    <row r="186" spans="1:7" x14ac:dyDescent="0.25">
      <c r="A186" s="350" t="s">
        <v>583</v>
      </c>
      <c r="F186" s="350"/>
      <c r="G186" s="350"/>
    </row>
    <row r="187" spans="1:7" x14ac:dyDescent="0.25">
      <c r="A187" s="350" t="s">
        <v>584</v>
      </c>
      <c r="F187" s="350"/>
      <c r="G187" s="350"/>
    </row>
    <row r="188" spans="1:7" x14ac:dyDescent="0.25">
      <c r="A188" s="350" t="s">
        <v>585</v>
      </c>
      <c r="F188" s="350"/>
      <c r="G188" s="350"/>
    </row>
    <row r="189" spans="1:7" x14ac:dyDescent="0.25">
      <c r="A189" s="350" t="s">
        <v>586</v>
      </c>
      <c r="F189" s="350"/>
      <c r="G189" s="350"/>
    </row>
    <row r="190" spans="1:7" x14ac:dyDescent="0.25">
      <c r="A190" s="350" t="s">
        <v>587</v>
      </c>
      <c r="B190" s="365"/>
    </row>
    <row r="191" spans="1:7" x14ac:dyDescent="0.25">
      <c r="A191" s="350" t="s">
        <v>588</v>
      </c>
      <c r="F191" s="350"/>
      <c r="G191" s="350"/>
    </row>
    <row r="192" spans="1:7" x14ac:dyDescent="0.25">
      <c r="A192" s="350" t="s">
        <v>589</v>
      </c>
      <c r="C192" s="365" t="s">
        <v>590</v>
      </c>
      <c r="F192" s="350"/>
      <c r="G192" s="350"/>
    </row>
    <row r="193" spans="1:7" x14ac:dyDescent="0.25">
      <c r="A193" s="350" t="s">
        <v>591</v>
      </c>
      <c r="C193" s="365"/>
      <c r="F193" s="350"/>
      <c r="G193" s="350"/>
    </row>
    <row r="194" spans="1:7" x14ac:dyDescent="0.25">
      <c r="A194" s="350" t="s">
        <v>592</v>
      </c>
      <c r="B194" s="350" t="s">
        <v>593</v>
      </c>
      <c r="F194" s="350"/>
      <c r="G194" s="350"/>
    </row>
    <row r="195" spans="1:7" x14ac:dyDescent="0.25">
      <c r="A195" s="350" t="s">
        <v>594</v>
      </c>
      <c r="F195" s="350"/>
      <c r="G195" s="350"/>
    </row>
    <row r="196" spans="1:7" x14ac:dyDescent="0.25">
      <c r="A196" s="350" t="s">
        <v>595</v>
      </c>
      <c r="F196" s="350"/>
      <c r="G196" s="350"/>
    </row>
    <row r="197" spans="1:7" x14ac:dyDescent="0.25">
      <c r="A197" s="350" t="s">
        <v>596</v>
      </c>
    </row>
    <row r="198" spans="1:7" x14ac:dyDescent="0.25">
      <c r="A198" s="350" t="s">
        <v>597</v>
      </c>
      <c r="B198" s="365"/>
      <c r="F198" s="350"/>
      <c r="G198" s="350"/>
    </row>
    <row r="199" spans="1:7" x14ac:dyDescent="0.25">
      <c r="A199" s="350" t="s">
        <v>598</v>
      </c>
      <c r="B199" s="365"/>
      <c r="F199" s="350"/>
      <c r="G199" s="350"/>
    </row>
    <row r="200" spans="1:7" x14ac:dyDescent="0.25">
      <c r="A200" s="350" t="s">
        <v>599</v>
      </c>
      <c r="B200" s="365"/>
      <c r="F200" s="350"/>
      <c r="G200" s="350"/>
    </row>
    <row r="201" spans="1:7" x14ac:dyDescent="0.25">
      <c r="A201" s="350" t="s">
        <v>600</v>
      </c>
      <c r="F201" s="350"/>
      <c r="G201" s="350"/>
    </row>
    <row r="202" spans="1:7" x14ac:dyDescent="0.25">
      <c r="F202" s="350"/>
      <c r="G202" s="350"/>
    </row>
    <row r="203" spans="1:7" x14ac:dyDescent="0.25">
      <c r="A203" s="402" t="s">
        <v>601</v>
      </c>
      <c r="E203" s="403"/>
      <c r="F203" s="350"/>
      <c r="G203" s="350"/>
    </row>
    <row r="204" spans="1:7" x14ac:dyDescent="0.25">
      <c r="A204" s="365" t="s">
        <v>602</v>
      </c>
      <c r="E204" s="404"/>
      <c r="F204" s="350"/>
      <c r="G204" s="350"/>
    </row>
    <row r="205" spans="1:7" x14ac:dyDescent="0.25">
      <c r="A205" s="365" t="s">
        <v>603</v>
      </c>
      <c r="E205" s="404"/>
      <c r="F205" s="350"/>
      <c r="G205" s="350"/>
    </row>
    <row r="206" spans="1:7" x14ac:dyDescent="0.25">
      <c r="A206" s="365" t="s">
        <v>604</v>
      </c>
      <c r="E206" s="404"/>
      <c r="F206" s="350"/>
      <c r="G206" s="350"/>
    </row>
    <row r="207" spans="1:7" x14ac:dyDescent="0.25">
      <c r="A207" s="365" t="s">
        <v>605</v>
      </c>
      <c r="E207" s="404"/>
      <c r="F207" s="350"/>
      <c r="G207" s="350"/>
    </row>
    <row r="208" spans="1:7" x14ac:dyDescent="0.25">
      <c r="A208" s="350" t="s">
        <v>606</v>
      </c>
      <c r="E208" s="404"/>
      <c r="F208" s="350"/>
      <c r="G208" s="350"/>
    </row>
    <row r="209" spans="1:7" x14ac:dyDescent="0.25">
      <c r="D209" s="403"/>
      <c r="E209" s="404"/>
      <c r="F209" s="350"/>
      <c r="G209" s="350"/>
    </row>
    <row r="210" spans="1:7" x14ac:dyDescent="0.25">
      <c r="A210" s="401" t="s">
        <v>607</v>
      </c>
      <c r="D210" s="403"/>
      <c r="E210" s="403"/>
      <c r="F210" s="350"/>
      <c r="G210" s="350"/>
    </row>
    <row r="211" spans="1:7" x14ac:dyDescent="0.25">
      <c r="A211" s="365" t="s">
        <v>608</v>
      </c>
      <c r="D211" s="403"/>
      <c r="E211" s="404"/>
    </row>
    <row r="212" spans="1:7" x14ac:dyDescent="0.25">
      <c r="A212" s="365" t="s">
        <v>609</v>
      </c>
      <c r="D212" s="403"/>
      <c r="E212" s="404"/>
      <c r="F212" s="350"/>
      <c r="G212" s="350"/>
    </row>
    <row r="213" spans="1:7" x14ac:dyDescent="0.25">
      <c r="A213" s="365" t="s">
        <v>610</v>
      </c>
      <c r="D213" s="403"/>
      <c r="E213" s="404"/>
      <c r="F213" s="350"/>
      <c r="G213" s="350"/>
    </row>
    <row r="214" spans="1:7" x14ac:dyDescent="0.25">
      <c r="F214" s="350"/>
      <c r="G214" s="350"/>
    </row>
    <row r="215" spans="1:7" x14ac:dyDescent="0.25">
      <c r="A215" s="402" t="s">
        <v>611</v>
      </c>
      <c r="F215" s="350"/>
      <c r="G215" s="350"/>
    </row>
    <row r="216" spans="1:7" x14ac:dyDescent="0.25">
      <c r="A216" s="365" t="s">
        <v>612</v>
      </c>
      <c r="F216" s="350"/>
      <c r="G216" s="350"/>
    </row>
    <row r="217" spans="1:7" x14ac:dyDescent="0.25">
      <c r="A217" s="365" t="s">
        <v>613</v>
      </c>
      <c r="F217" s="350"/>
      <c r="G217" s="350"/>
    </row>
    <row r="218" spans="1:7" x14ac:dyDescent="0.25">
      <c r="A218" s="365" t="s">
        <v>614</v>
      </c>
    </row>
    <row r="219" spans="1:7" x14ac:dyDescent="0.25">
      <c r="A219" s="365" t="s">
        <v>615</v>
      </c>
    </row>
    <row r="220" spans="1:7" x14ac:dyDescent="0.25">
      <c r="A220" s="365" t="s">
        <v>616</v>
      </c>
    </row>
    <row r="221" spans="1:7" x14ac:dyDescent="0.25">
      <c r="A221" s="365" t="s">
        <v>617</v>
      </c>
    </row>
    <row r="222" spans="1:7" x14ac:dyDescent="0.25">
      <c r="A222" s="365" t="s">
        <v>618</v>
      </c>
    </row>
    <row r="223" spans="1:7" x14ac:dyDescent="0.25">
      <c r="A223" s="365" t="s">
        <v>619</v>
      </c>
    </row>
    <row r="224" spans="1:7" x14ac:dyDescent="0.25">
      <c r="A224" s="365" t="s">
        <v>620</v>
      </c>
    </row>
    <row r="225" spans="1:7" ht="15.75" thickBot="1" x14ac:dyDescent="0.3"/>
    <row r="226" spans="1:7" x14ac:dyDescent="0.25">
      <c r="A226" s="405" t="s">
        <v>621</v>
      </c>
      <c r="B226" s="406"/>
      <c r="C226" s="407" t="s">
        <v>622</v>
      </c>
      <c r="D226" s="408" t="s">
        <v>623</v>
      </c>
      <c r="E226" s="409"/>
      <c r="F226" s="410"/>
      <c r="G226" s="350"/>
    </row>
    <row r="227" spans="1:7" x14ac:dyDescent="0.25">
      <c r="A227" s="411" t="s">
        <v>624</v>
      </c>
      <c r="B227" s="412" t="s">
        <v>625</v>
      </c>
      <c r="C227" s="413" t="s">
        <v>626</v>
      </c>
      <c r="D227" s="414" t="s">
        <v>627</v>
      </c>
      <c r="E227" s="414"/>
      <c r="F227" s="415"/>
      <c r="G227" s="350"/>
    </row>
    <row r="228" spans="1:7" x14ac:dyDescent="0.25">
      <c r="A228" s="411" t="s">
        <v>628</v>
      </c>
      <c r="B228" s="412" t="s">
        <v>625</v>
      </c>
      <c r="C228" s="413" t="s">
        <v>629</v>
      </c>
      <c r="D228" s="414" t="s">
        <v>630</v>
      </c>
      <c r="E228" s="414"/>
      <c r="F228" s="415"/>
      <c r="G228" s="350"/>
    </row>
    <row r="229" spans="1:7" x14ac:dyDescent="0.25">
      <c r="A229" s="411" t="s">
        <v>631</v>
      </c>
      <c r="B229" s="412" t="s">
        <v>625</v>
      </c>
      <c r="C229" s="413" t="s">
        <v>629</v>
      </c>
      <c r="D229" s="414" t="s">
        <v>632</v>
      </c>
      <c r="E229" s="414"/>
      <c r="F229" s="415"/>
      <c r="G229" s="350"/>
    </row>
    <row r="230" spans="1:7" x14ac:dyDescent="0.25">
      <c r="A230" s="411" t="s">
        <v>633</v>
      </c>
      <c r="B230" s="416" t="s">
        <v>625</v>
      </c>
      <c r="C230" s="413" t="s">
        <v>629</v>
      </c>
      <c r="D230" s="414" t="s">
        <v>634</v>
      </c>
      <c r="E230" s="414"/>
      <c r="F230" s="415"/>
      <c r="G230" s="350"/>
    </row>
    <row r="231" spans="1:7" x14ac:dyDescent="0.25">
      <c r="A231" s="411" t="s">
        <v>635</v>
      </c>
      <c r="B231" s="412" t="s">
        <v>625</v>
      </c>
      <c r="C231" s="413" t="s">
        <v>636</v>
      </c>
      <c r="D231" s="414" t="s">
        <v>637</v>
      </c>
      <c r="E231" s="414"/>
      <c r="F231" s="415"/>
      <c r="G231" s="350"/>
    </row>
    <row r="232" spans="1:7" x14ac:dyDescent="0.25">
      <c r="A232" s="411" t="s">
        <v>638</v>
      </c>
      <c r="B232" s="412" t="s">
        <v>625</v>
      </c>
      <c r="C232" s="413" t="s">
        <v>639</v>
      </c>
      <c r="D232" s="414" t="s">
        <v>640</v>
      </c>
      <c r="E232" s="414"/>
      <c r="F232" s="415"/>
      <c r="G232" s="350"/>
    </row>
    <row r="233" spans="1:7" x14ac:dyDescent="0.25">
      <c r="A233" s="411" t="s">
        <v>641</v>
      </c>
      <c r="B233" s="412" t="s">
        <v>625</v>
      </c>
      <c r="C233" s="413" t="s">
        <v>642</v>
      </c>
      <c r="D233" s="414" t="s">
        <v>643</v>
      </c>
      <c r="E233" s="414"/>
      <c r="F233" s="415"/>
      <c r="G233" s="350"/>
    </row>
    <row r="234" spans="1:7" x14ac:dyDescent="0.25">
      <c r="A234" s="411" t="s">
        <v>636</v>
      </c>
      <c r="B234" s="412" t="s">
        <v>625</v>
      </c>
      <c r="C234" s="413" t="s">
        <v>644</v>
      </c>
      <c r="D234" s="414" t="s">
        <v>645</v>
      </c>
      <c r="E234" s="414"/>
      <c r="F234" s="415"/>
      <c r="G234" s="350"/>
    </row>
    <row r="235" spans="1:7" x14ac:dyDescent="0.25">
      <c r="A235" s="411" t="s">
        <v>646</v>
      </c>
      <c r="B235" s="412" t="s">
        <v>625</v>
      </c>
      <c r="C235" s="413" t="s">
        <v>644</v>
      </c>
      <c r="D235" s="414" t="s">
        <v>647</v>
      </c>
      <c r="E235" s="414"/>
      <c r="F235" s="415"/>
      <c r="G235" s="350"/>
    </row>
    <row r="236" spans="1:7" x14ac:dyDescent="0.25">
      <c r="A236" s="411" t="s">
        <v>648</v>
      </c>
      <c r="B236" s="412" t="s">
        <v>625</v>
      </c>
      <c r="C236" s="413" t="s">
        <v>644</v>
      </c>
      <c r="D236" s="414" t="s">
        <v>649</v>
      </c>
      <c r="E236" s="414"/>
      <c r="F236" s="415"/>
      <c r="G236" s="350"/>
    </row>
    <row r="237" spans="1:7" x14ac:dyDescent="0.25">
      <c r="A237" s="411" t="s">
        <v>650</v>
      </c>
      <c r="B237" s="412" t="s">
        <v>625</v>
      </c>
      <c r="C237" s="413" t="s">
        <v>631</v>
      </c>
      <c r="D237" s="416" t="s">
        <v>651</v>
      </c>
      <c r="E237" s="414"/>
      <c r="F237" s="415"/>
      <c r="G237" s="350"/>
    </row>
    <row r="238" spans="1:7" x14ac:dyDescent="0.25">
      <c r="A238" s="411" t="s">
        <v>652</v>
      </c>
      <c r="B238" s="412" t="s">
        <v>625</v>
      </c>
      <c r="C238" s="413" t="s">
        <v>631</v>
      </c>
      <c r="D238" s="414" t="s">
        <v>653</v>
      </c>
      <c r="E238" s="414"/>
      <c r="F238" s="415"/>
      <c r="G238" s="350"/>
    </row>
    <row r="239" spans="1:7" x14ac:dyDescent="0.25">
      <c r="A239" s="411" t="s">
        <v>654</v>
      </c>
      <c r="B239" s="412" t="s">
        <v>655</v>
      </c>
      <c r="C239" s="413" t="s">
        <v>656</v>
      </c>
      <c r="D239" s="414" t="s">
        <v>657</v>
      </c>
      <c r="E239" s="414"/>
      <c r="F239" s="415"/>
      <c r="G239" s="350"/>
    </row>
    <row r="240" spans="1:7" x14ac:dyDescent="0.25">
      <c r="A240" s="411" t="s">
        <v>658</v>
      </c>
      <c r="B240" s="412" t="s">
        <v>655</v>
      </c>
      <c r="C240" s="413" t="s">
        <v>633</v>
      </c>
      <c r="D240" s="414" t="s">
        <v>659</v>
      </c>
      <c r="E240" s="414"/>
      <c r="F240" s="415"/>
      <c r="G240" s="350"/>
    </row>
    <row r="241" spans="1:7" x14ac:dyDescent="0.25">
      <c r="A241" s="411" t="s">
        <v>660</v>
      </c>
      <c r="B241" s="412" t="s">
        <v>661</v>
      </c>
      <c r="C241" s="413" t="s">
        <v>641</v>
      </c>
      <c r="D241" s="414" t="s">
        <v>662</v>
      </c>
      <c r="E241" s="414"/>
      <c r="F241" s="415"/>
      <c r="G241" s="350"/>
    </row>
    <row r="242" spans="1:7" x14ac:dyDescent="0.25">
      <c r="A242" s="411" t="s">
        <v>656</v>
      </c>
      <c r="B242" s="416" t="s">
        <v>661</v>
      </c>
      <c r="C242" s="413" t="s">
        <v>658</v>
      </c>
      <c r="D242" s="414" t="s">
        <v>663</v>
      </c>
      <c r="E242" s="414"/>
      <c r="F242" s="415"/>
      <c r="G242" s="350"/>
    </row>
    <row r="243" spans="1:7" x14ac:dyDescent="0.25">
      <c r="A243" s="411" t="s">
        <v>642</v>
      </c>
      <c r="B243" s="416" t="s">
        <v>661</v>
      </c>
      <c r="C243" s="413" t="s">
        <v>658</v>
      </c>
      <c r="D243" s="414" t="s">
        <v>664</v>
      </c>
      <c r="E243" s="414"/>
      <c r="F243" s="415"/>
      <c r="G243" s="350"/>
    </row>
    <row r="244" spans="1:7" x14ac:dyDescent="0.25">
      <c r="A244" s="411" t="s">
        <v>665</v>
      </c>
      <c r="B244" s="416" t="s">
        <v>661</v>
      </c>
      <c r="C244" s="413" t="s">
        <v>638</v>
      </c>
      <c r="D244" s="414" t="s">
        <v>666</v>
      </c>
      <c r="E244" s="414"/>
      <c r="F244" s="415"/>
      <c r="G244" s="350"/>
    </row>
    <row r="245" spans="1:7" x14ac:dyDescent="0.25">
      <c r="A245" s="411" t="s">
        <v>667</v>
      </c>
      <c r="B245" s="412" t="s">
        <v>661</v>
      </c>
      <c r="C245" s="413" t="s">
        <v>667</v>
      </c>
      <c r="D245" s="414" t="s">
        <v>668</v>
      </c>
      <c r="E245" s="414"/>
      <c r="F245" s="415"/>
      <c r="G245" s="350"/>
    </row>
    <row r="246" spans="1:7" x14ac:dyDescent="0.25">
      <c r="A246" s="411" t="s">
        <v>669</v>
      </c>
      <c r="B246" s="412" t="s">
        <v>661</v>
      </c>
      <c r="C246" s="413" t="s">
        <v>628</v>
      </c>
      <c r="D246" s="414" t="s">
        <v>670</v>
      </c>
      <c r="E246" s="414"/>
      <c r="F246" s="415"/>
      <c r="G246" s="350"/>
    </row>
    <row r="247" spans="1:7" x14ac:dyDescent="0.25">
      <c r="A247" s="411" t="s">
        <v>671</v>
      </c>
      <c r="B247" s="412" t="s">
        <v>661</v>
      </c>
      <c r="C247" s="413" t="s">
        <v>633</v>
      </c>
      <c r="D247" s="414" t="s">
        <v>672</v>
      </c>
      <c r="E247" s="414"/>
      <c r="F247" s="415"/>
      <c r="G247" s="350"/>
    </row>
    <row r="248" spans="1:7" x14ac:dyDescent="0.25">
      <c r="A248" s="411" t="s">
        <v>673</v>
      </c>
      <c r="B248" s="416" t="s">
        <v>661</v>
      </c>
      <c r="C248" s="413" t="s">
        <v>635</v>
      </c>
      <c r="D248" s="414" t="s">
        <v>674</v>
      </c>
      <c r="E248" s="414"/>
      <c r="F248" s="415"/>
      <c r="G248" s="350"/>
    </row>
    <row r="249" spans="1:7" x14ac:dyDescent="0.25">
      <c r="A249" s="411" t="s">
        <v>675</v>
      </c>
      <c r="B249" s="412" t="s">
        <v>661</v>
      </c>
      <c r="C249" s="413" t="s">
        <v>635</v>
      </c>
      <c r="D249" s="414" t="s">
        <v>676</v>
      </c>
      <c r="E249" s="414"/>
      <c r="F249" s="415"/>
      <c r="G249" s="350"/>
    </row>
    <row r="250" spans="1:7" x14ac:dyDescent="0.25">
      <c r="A250" s="411" t="s">
        <v>677</v>
      </c>
      <c r="B250" s="412" t="s">
        <v>678</v>
      </c>
      <c r="C250" s="413" t="s">
        <v>624</v>
      </c>
      <c r="D250" s="414" t="s">
        <v>679</v>
      </c>
      <c r="E250" s="414"/>
      <c r="F250" s="415"/>
      <c r="G250" s="350"/>
    </row>
    <row r="251" spans="1:7" x14ac:dyDescent="0.25">
      <c r="A251" s="411" t="s">
        <v>626</v>
      </c>
      <c r="B251" s="412" t="s">
        <v>678</v>
      </c>
      <c r="C251" s="413" t="s">
        <v>624</v>
      </c>
      <c r="D251" s="414" t="s">
        <v>680</v>
      </c>
      <c r="E251" s="414"/>
      <c r="F251" s="415"/>
      <c r="G251" s="350"/>
    </row>
    <row r="252" spans="1:7" x14ac:dyDescent="0.25">
      <c r="A252" s="411" t="s">
        <v>681</v>
      </c>
      <c r="B252" s="412" t="s">
        <v>678</v>
      </c>
      <c r="C252" s="413" t="s">
        <v>624</v>
      </c>
      <c r="D252" s="414" t="s">
        <v>682</v>
      </c>
      <c r="E252" s="414"/>
      <c r="F252" s="415"/>
      <c r="G252" s="350"/>
    </row>
    <row r="253" spans="1:7" x14ac:dyDescent="0.25">
      <c r="A253" s="411" t="s">
        <v>683</v>
      </c>
      <c r="B253" s="412" t="s">
        <v>678</v>
      </c>
      <c r="C253" s="413" t="s">
        <v>646</v>
      </c>
      <c r="D253" s="414" t="s">
        <v>684</v>
      </c>
      <c r="E253" s="414"/>
      <c r="F253" s="415"/>
      <c r="G253" s="350"/>
    </row>
    <row r="254" spans="1:7" x14ac:dyDescent="0.25">
      <c r="A254" s="411" t="s">
        <v>639</v>
      </c>
      <c r="B254" s="412" t="s">
        <v>678</v>
      </c>
      <c r="C254" s="413" t="s">
        <v>650</v>
      </c>
      <c r="D254" s="414" t="s">
        <v>685</v>
      </c>
      <c r="E254" s="414"/>
      <c r="F254" s="415"/>
      <c r="G254" s="350"/>
    </row>
    <row r="255" spans="1:7" x14ac:dyDescent="0.25">
      <c r="A255" s="411" t="s">
        <v>686</v>
      </c>
      <c r="B255" s="412" t="s">
        <v>678</v>
      </c>
      <c r="C255" s="413" t="s">
        <v>650</v>
      </c>
      <c r="D255" s="414" t="s">
        <v>687</v>
      </c>
      <c r="E255" s="414"/>
      <c r="F255" s="415"/>
      <c r="G255" s="350"/>
    </row>
    <row r="256" spans="1:7" x14ac:dyDescent="0.25">
      <c r="A256" s="411" t="s">
        <v>688</v>
      </c>
      <c r="B256" s="412" t="s">
        <v>678</v>
      </c>
      <c r="C256" s="413" t="s">
        <v>650</v>
      </c>
      <c r="D256" s="414" t="s">
        <v>689</v>
      </c>
      <c r="E256" s="414"/>
      <c r="F256" s="415"/>
      <c r="G256" s="350"/>
    </row>
    <row r="257" spans="1:7" x14ac:dyDescent="0.25">
      <c r="A257" s="411" t="s">
        <v>690</v>
      </c>
      <c r="B257" s="412" t="s">
        <v>690</v>
      </c>
      <c r="C257" s="413" t="s">
        <v>654</v>
      </c>
      <c r="D257" s="414" t="s">
        <v>691</v>
      </c>
      <c r="E257" s="414"/>
      <c r="F257" s="415"/>
      <c r="G257" s="350"/>
    </row>
    <row r="258" spans="1:7" x14ac:dyDescent="0.25">
      <c r="A258" s="411" t="s">
        <v>629</v>
      </c>
      <c r="B258" s="412" t="s">
        <v>629</v>
      </c>
      <c r="C258" s="413" t="s">
        <v>654</v>
      </c>
      <c r="D258" s="414" t="s">
        <v>692</v>
      </c>
      <c r="E258" s="414"/>
      <c r="F258" s="415"/>
      <c r="G258" s="350"/>
    </row>
    <row r="259" spans="1:7" ht="15.75" thickBot="1" x14ac:dyDescent="0.3">
      <c r="A259" s="417" t="s">
        <v>644</v>
      </c>
      <c r="B259" s="418" t="s">
        <v>644</v>
      </c>
      <c r="C259" s="413" t="s">
        <v>654</v>
      </c>
      <c r="D259" s="414" t="s">
        <v>693</v>
      </c>
      <c r="E259" s="414"/>
      <c r="F259" s="415"/>
      <c r="G259" s="350"/>
    </row>
    <row r="260" spans="1:7" x14ac:dyDescent="0.25">
      <c r="C260" s="413" t="s">
        <v>628</v>
      </c>
      <c r="D260" s="414" t="s">
        <v>694</v>
      </c>
      <c r="E260" s="414"/>
      <c r="F260" s="415"/>
      <c r="G260" s="350"/>
    </row>
    <row r="261" spans="1:7" x14ac:dyDescent="0.25">
      <c r="C261" s="413" t="s">
        <v>628</v>
      </c>
      <c r="D261" s="414" t="s">
        <v>695</v>
      </c>
      <c r="E261" s="414"/>
      <c r="F261" s="415"/>
      <c r="G261" s="350"/>
    </row>
    <row r="262" spans="1:7" x14ac:dyDescent="0.25">
      <c r="C262" s="413" t="s">
        <v>628</v>
      </c>
      <c r="D262" s="414" t="s">
        <v>696</v>
      </c>
      <c r="E262" s="414"/>
      <c r="F262" s="415"/>
      <c r="G262" s="350"/>
    </row>
    <row r="263" spans="1:7" x14ac:dyDescent="0.25">
      <c r="C263" s="413" t="s">
        <v>652</v>
      </c>
      <c r="D263" s="414" t="s">
        <v>697</v>
      </c>
      <c r="E263" s="414"/>
      <c r="F263" s="415"/>
      <c r="G263" s="350"/>
    </row>
    <row r="264" spans="1:7" x14ac:dyDescent="0.25">
      <c r="C264" s="413" t="s">
        <v>633</v>
      </c>
      <c r="D264" s="414" t="s">
        <v>698</v>
      </c>
      <c r="E264" s="414"/>
      <c r="F264" s="415"/>
      <c r="G264" s="350"/>
    </row>
    <row r="265" spans="1:7" x14ac:dyDescent="0.25">
      <c r="C265" s="413" t="s">
        <v>648</v>
      </c>
      <c r="D265" s="414" t="s">
        <v>699</v>
      </c>
      <c r="E265" s="414"/>
      <c r="F265" s="415"/>
      <c r="G265" s="350"/>
    </row>
    <row r="266" spans="1:7" x14ac:dyDescent="0.25">
      <c r="C266" s="413" t="s">
        <v>656</v>
      </c>
      <c r="D266" s="414" t="s">
        <v>700</v>
      </c>
      <c r="E266" s="414"/>
      <c r="F266" s="415"/>
      <c r="G266" s="350"/>
    </row>
    <row r="267" spans="1:7" x14ac:dyDescent="0.25">
      <c r="C267" s="413" t="s">
        <v>629</v>
      </c>
      <c r="D267" s="414" t="s">
        <v>701</v>
      </c>
      <c r="E267" s="414"/>
      <c r="F267" s="415"/>
      <c r="G267" s="350"/>
    </row>
    <row r="268" spans="1:7" x14ac:dyDescent="0.25">
      <c r="C268" s="413" t="s">
        <v>629</v>
      </c>
      <c r="D268" s="414" t="s">
        <v>702</v>
      </c>
      <c r="E268" s="414"/>
      <c r="F268" s="415"/>
      <c r="G268" s="350"/>
    </row>
    <row r="269" spans="1:7" x14ac:dyDescent="0.25">
      <c r="B269" s="350"/>
      <c r="C269" s="413" t="s">
        <v>642</v>
      </c>
      <c r="D269" s="414" t="s">
        <v>703</v>
      </c>
      <c r="E269" s="414"/>
      <c r="F269" s="415"/>
      <c r="G269" s="350"/>
    </row>
    <row r="270" spans="1:7" x14ac:dyDescent="0.25">
      <c r="B270" s="350"/>
      <c r="C270" s="413" t="s">
        <v>642</v>
      </c>
      <c r="D270" s="414" t="s">
        <v>704</v>
      </c>
      <c r="E270" s="414"/>
      <c r="F270" s="415"/>
      <c r="G270" s="350"/>
    </row>
    <row r="271" spans="1:7" x14ac:dyDescent="0.25">
      <c r="B271" s="350"/>
      <c r="C271" s="413" t="s">
        <v>673</v>
      </c>
      <c r="D271" s="414" t="s">
        <v>705</v>
      </c>
      <c r="E271" s="414"/>
      <c r="F271" s="415"/>
      <c r="G271" s="350"/>
    </row>
    <row r="272" spans="1:7" x14ac:dyDescent="0.25">
      <c r="B272" s="350"/>
      <c r="C272" s="413" t="s">
        <v>671</v>
      </c>
      <c r="D272" s="414" t="s">
        <v>706</v>
      </c>
      <c r="E272" s="414"/>
      <c r="F272" s="415"/>
      <c r="G272" s="350"/>
    </row>
    <row r="273" spans="2:7" x14ac:dyDescent="0.25">
      <c r="B273" s="350"/>
      <c r="C273" s="413" t="s">
        <v>671</v>
      </c>
      <c r="D273" s="414" t="s">
        <v>707</v>
      </c>
      <c r="E273" s="414"/>
      <c r="F273" s="415"/>
      <c r="G273" s="350"/>
    </row>
    <row r="274" spans="2:7" x14ac:dyDescent="0.25">
      <c r="B274" s="350"/>
      <c r="C274" s="413" t="s">
        <v>671</v>
      </c>
      <c r="D274" s="414" t="s">
        <v>708</v>
      </c>
      <c r="E274" s="414"/>
      <c r="F274" s="415"/>
      <c r="G274" s="350"/>
    </row>
    <row r="275" spans="2:7" x14ac:dyDescent="0.25">
      <c r="B275" s="350"/>
      <c r="C275" s="413" t="s">
        <v>660</v>
      </c>
      <c r="D275" s="414" t="s">
        <v>709</v>
      </c>
      <c r="E275" s="414"/>
      <c r="F275" s="415"/>
      <c r="G275" s="350"/>
    </row>
    <row r="276" spans="2:7" x14ac:dyDescent="0.25">
      <c r="B276" s="350"/>
      <c r="C276" s="413" t="s">
        <v>660</v>
      </c>
      <c r="D276" s="414" t="s">
        <v>710</v>
      </c>
      <c r="E276" s="414"/>
      <c r="F276" s="415"/>
      <c r="G276" s="350"/>
    </row>
    <row r="277" spans="2:7" x14ac:dyDescent="0.25">
      <c r="B277" s="350"/>
      <c r="C277" s="413" t="s">
        <v>660</v>
      </c>
      <c r="D277" s="414" t="s">
        <v>711</v>
      </c>
      <c r="E277" s="414"/>
      <c r="F277" s="415"/>
      <c r="G277" s="350"/>
    </row>
    <row r="278" spans="2:7" x14ac:dyDescent="0.25">
      <c r="B278" s="350"/>
      <c r="C278" s="413" t="s">
        <v>665</v>
      </c>
      <c r="D278" s="414" t="s">
        <v>712</v>
      </c>
      <c r="E278" s="414"/>
      <c r="F278" s="415"/>
      <c r="G278" s="350"/>
    </row>
    <row r="279" spans="2:7" x14ac:dyDescent="0.25">
      <c r="B279" s="350"/>
      <c r="C279" s="413" t="s">
        <v>665</v>
      </c>
      <c r="D279" s="414" t="s">
        <v>713</v>
      </c>
      <c r="E279" s="414"/>
      <c r="F279" s="415"/>
      <c r="G279" s="350"/>
    </row>
    <row r="280" spans="2:7" x14ac:dyDescent="0.25">
      <c r="B280" s="350"/>
      <c r="C280" s="413" t="s">
        <v>665</v>
      </c>
      <c r="D280" s="414" t="s">
        <v>714</v>
      </c>
      <c r="E280" s="414"/>
      <c r="F280" s="415"/>
      <c r="G280" s="350"/>
    </row>
    <row r="281" spans="2:7" x14ac:dyDescent="0.25">
      <c r="B281" s="350"/>
      <c r="C281" s="413" t="s">
        <v>669</v>
      </c>
      <c r="D281" s="414" t="s">
        <v>715</v>
      </c>
      <c r="E281" s="414"/>
      <c r="F281" s="415"/>
      <c r="G281" s="350"/>
    </row>
    <row r="282" spans="2:7" x14ac:dyDescent="0.25">
      <c r="B282" s="350"/>
      <c r="C282" s="413" t="s">
        <v>669</v>
      </c>
      <c r="D282" s="414" t="s">
        <v>716</v>
      </c>
      <c r="E282" s="414"/>
      <c r="F282" s="415"/>
      <c r="G282" s="350"/>
    </row>
    <row r="283" spans="2:7" x14ac:dyDescent="0.25">
      <c r="B283" s="350"/>
      <c r="C283" s="413" t="s">
        <v>669</v>
      </c>
      <c r="D283" s="414" t="s">
        <v>717</v>
      </c>
      <c r="E283" s="414"/>
      <c r="F283" s="415"/>
      <c r="G283" s="350"/>
    </row>
    <row r="284" spans="2:7" x14ac:dyDescent="0.25">
      <c r="B284" s="350"/>
      <c r="C284" s="413" t="s">
        <v>686</v>
      </c>
      <c r="D284" s="414" t="s">
        <v>718</v>
      </c>
      <c r="E284" s="414"/>
      <c r="F284" s="415"/>
      <c r="G284" s="350"/>
    </row>
    <row r="285" spans="2:7" x14ac:dyDescent="0.25">
      <c r="B285" s="350"/>
      <c r="C285" s="413" t="s">
        <v>675</v>
      </c>
      <c r="D285" s="414" t="s">
        <v>719</v>
      </c>
      <c r="E285" s="414"/>
      <c r="F285" s="415"/>
      <c r="G285" s="350"/>
    </row>
    <row r="286" spans="2:7" x14ac:dyDescent="0.25">
      <c r="B286" s="350"/>
      <c r="C286" s="413" t="s">
        <v>675</v>
      </c>
      <c r="D286" s="414" t="s">
        <v>720</v>
      </c>
      <c r="E286" s="414"/>
      <c r="F286" s="415"/>
      <c r="G286" s="350"/>
    </row>
    <row r="287" spans="2:7" x14ac:dyDescent="0.25">
      <c r="B287" s="350"/>
      <c r="C287" s="413" t="s">
        <v>675</v>
      </c>
      <c r="D287" s="414" t="s">
        <v>721</v>
      </c>
      <c r="E287" s="414"/>
      <c r="F287" s="415"/>
      <c r="G287" s="350"/>
    </row>
    <row r="288" spans="2:7" x14ac:dyDescent="0.25">
      <c r="B288" s="350"/>
      <c r="C288" s="413" t="s">
        <v>675</v>
      </c>
      <c r="D288" s="414" t="s">
        <v>722</v>
      </c>
      <c r="E288" s="414"/>
      <c r="F288" s="415"/>
      <c r="G288" s="350"/>
    </row>
    <row r="289" spans="2:7" x14ac:dyDescent="0.25">
      <c r="B289" s="350"/>
      <c r="C289" s="413" t="s">
        <v>675</v>
      </c>
      <c r="D289" s="414" t="s">
        <v>723</v>
      </c>
      <c r="E289" s="414"/>
      <c r="F289" s="415"/>
      <c r="G289" s="350"/>
    </row>
    <row r="290" spans="2:7" x14ac:dyDescent="0.25">
      <c r="B290" s="350"/>
      <c r="C290" s="413" t="s">
        <v>675</v>
      </c>
      <c r="D290" s="414" t="s">
        <v>724</v>
      </c>
      <c r="E290" s="414"/>
      <c r="F290" s="415"/>
      <c r="G290" s="350"/>
    </row>
    <row r="291" spans="2:7" x14ac:dyDescent="0.25">
      <c r="B291" s="350"/>
      <c r="C291" s="413" t="s">
        <v>656</v>
      </c>
      <c r="D291" s="414" t="s">
        <v>725</v>
      </c>
      <c r="E291" s="414"/>
      <c r="F291" s="415"/>
      <c r="G291" s="350"/>
    </row>
    <row r="292" spans="2:7" x14ac:dyDescent="0.25">
      <c r="B292" s="350"/>
      <c r="C292" s="413" t="s">
        <v>656</v>
      </c>
      <c r="D292" s="414" t="s">
        <v>726</v>
      </c>
      <c r="E292" s="414"/>
      <c r="F292" s="415"/>
      <c r="G292" s="350"/>
    </row>
    <row r="293" spans="2:7" x14ac:dyDescent="0.25">
      <c r="B293" s="350"/>
      <c r="C293" s="413" t="s">
        <v>656</v>
      </c>
      <c r="D293" s="414" t="s">
        <v>727</v>
      </c>
      <c r="E293" s="414"/>
      <c r="F293" s="415"/>
      <c r="G293" s="350"/>
    </row>
    <row r="294" spans="2:7" x14ac:dyDescent="0.25">
      <c r="B294" s="350"/>
      <c r="C294" s="413" t="s">
        <v>639</v>
      </c>
      <c r="D294" s="414" t="s">
        <v>728</v>
      </c>
      <c r="E294" s="414"/>
      <c r="F294" s="415"/>
      <c r="G294" s="350"/>
    </row>
    <row r="295" spans="2:7" x14ac:dyDescent="0.25">
      <c r="B295" s="350"/>
      <c r="C295" s="413" t="s">
        <v>639</v>
      </c>
      <c r="D295" s="414" t="s">
        <v>729</v>
      </c>
      <c r="E295" s="414"/>
      <c r="F295" s="415"/>
      <c r="G295" s="350"/>
    </row>
    <row r="296" spans="2:7" x14ac:dyDescent="0.25">
      <c r="B296" s="350"/>
      <c r="C296" s="413" t="s">
        <v>639</v>
      </c>
      <c r="D296" s="414" t="s">
        <v>730</v>
      </c>
      <c r="E296" s="414"/>
      <c r="F296" s="415"/>
      <c r="G296" s="350"/>
    </row>
    <row r="297" spans="2:7" x14ac:dyDescent="0.25">
      <c r="B297" s="350"/>
      <c r="C297" s="413" t="s">
        <v>683</v>
      </c>
      <c r="D297" s="414" t="s">
        <v>731</v>
      </c>
      <c r="E297" s="414"/>
      <c r="F297" s="415"/>
      <c r="G297" s="350"/>
    </row>
    <row r="298" spans="2:7" x14ac:dyDescent="0.25">
      <c r="B298" s="350"/>
      <c r="C298" s="413" t="s">
        <v>683</v>
      </c>
      <c r="D298" s="414" t="s">
        <v>732</v>
      </c>
      <c r="E298" s="414"/>
      <c r="F298" s="415"/>
      <c r="G298" s="350"/>
    </row>
    <row r="299" spans="2:7" x14ac:dyDescent="0.25">
      <c r="B299" s="350"/>
      <c r="C299" s="413" t="s">
        <v>683</v>
      </c>
      <c r="D299" s="414" t="s">
        <v>733</v>
      </c>
      <c r="E299" s="414"/>
      <c r="F299" s="415"/>
      <c r="G299" s="350"/>
    </row>
    <row r="300" spans="2:7" x14ac:dyDescent="0.25">
      <c r="B300" s="350"/>
      <c r="C300" s="413" t="s">
        <v>677</v>
      </c>
      <c r="D300" s="416" t="s">
        <v>734</v>
      </c>
      <c r="E300" s="414"/>
      <c r="F300" s="415"/>
      <c r="G300" s="350"/>
    </row>
    <row r="301" spans="2:7" x14ac:dyDescent="0.25">
      <c r="B301" s="350"/>
      <c r="C301" s="413" t="s">
        <v>681</v>
      </c>
      <c r="D301" s="416" t="s">
        <v>735</v>
      </c>
      <c r="E301" s="414"/>
      <c r="F301" s="415"/>
      <c r="G301" s="350"/>
    </row>
    <row r="302" spans="2:7" ht="15.75" thickBot="1" x14ac:dyDescent="0.3">
      <c r="B302" s="350"/>
      <c r="C302" s="419" t="s">
        <v>688</v>
      </c>
      <c r="D302" s="420" t="s">
        <v>736</v>
      </c>
      <c r="E302" s="421"/>
      <c r="F302" s="422"/>
      <c r="G302" s="350"/>
    </row>
    <row r="303" spans="2:7" x14ac:dyDescent="0.25">
      <c r="B303" s="350"/>
      <c r="F303" s="350"/>
      <c r="G303" s="350"/>
    </row>
    <row r="304" spans="2:7" x14ac:dyDescent="0.25">
      <c r="B304" s="350"/>
      <c r="G304" s="350"/>
    </row>
    <row r="305" spans="1:7" x14ac:dyDescent="0.25">
      <c r="A305" s="365"/>
      <c r="B305" s="350"/>
      <c r="F305" s="350"/>
      <c r="G305" s="350"/>
    </row>
    <row r="306" spans="1:7" x14ac:dyDescent="0.25">
      <c r="B306" s="350"/>
      <c r="F306" s="350"/>
      <c r="G306" s="350"/>
    </row>
    <row r="307" spans="1:7" x14ac:dyDescent="0.25">
      <c r="A307" s="365"/>
      <c r="B307" s="350"/>
    </row>
    <row r="308" spans="1:7" x14ac:dyDescent="0.25">
      <c r="B308" s="350"/>
    </row>
    <row r="309" spans="1:7" x14ac:dyDescent="0.25">
      <c r="A309" s="365"/>
      <c r="B309" s="350"/>
    </row>
    <row r="310" spans="1:7" x14ac:dyDescent="0.25">
      <c r="A310" s="365"/>
      <c r="B310" s="350"/>
    </row>
    <row r="311" spans="1:7" x14ac:dyDescent="0.25">
      <c r="A311" s="365"/>
      <c r="B311" s="350"/>
    </row>
    <row r="312" spans="1:7" x14ac:dyDescent="0.25">
      <c r="A312" s="365"/>
      <c r="B312" s="350"/>
    </row>
    <row r="313" spans="1:7" x14ac:dyDescent="0.25">
      <c r="A313" s="365"/>
      <c r="B313" s="350"/>
    </row>
    <row r="314" spans="1:7" x14ac:dyDescent="0.25">
      <c r="A314" s="365"/>
      <c r="B314" s="350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380"/>
  <sheetViews>
    <sheetView topLeftCell="A163" workbookViewId="0">
      <selection activeCell="C8" sqref="C8"/>
    </sheetView>
  </sheetViews>
  <sheetFormatPr defaultRowHeight="15" x14ac:dyDescent="0.25"/>
  <cols>
    <col min="1" max="1" width="10.140625" style="423" bestFit="1" customWidth="1"/>
    <col min="2" max="2" width="8.42578125" style="424" customWidth="1"/>
    <col min="3" max="3" width="87.85546875" style="427" customWidth="1"/>
    <col min="4" max="4" width="6.5703125" style="404" customWidth="1"/>
    <col min="5" max="6" width="9.140625" style="404"/>
    <col min="7" max="7" width="10.5703125" style="404" bestFit="1" customWidth="1"/>
    <col min="8" max="16384" width="9.140625" style="404"/>
  </cols>
  <sheetData>
    <row r="1" spans="1:4" ht="15.75" x14ac:dyDescent="0.25">
      <c r="A1" s="848">
        <v>41523</v>
      </c>
      <c r="C1" s="425" t="s">
        <v>737</v>
      </c>
      <c r="D1" s="426">
        <v>380</v>
      </c>
    </row>
    <row r="2" spans="1:4" x14ac:dyDescent="0.25">
      <c r="A2" s="423">
        <v>41523</v>
      </c>
      <c r="B2" s="424">
        <v>0.72687500000000005</v>
      </c>
      <c r="C2" s="427" t="s">
        <v>738</v>
      </c>
    </row>
    <row r="3" spans="1:4" x14ac:dyDescent="0.25">
      <c r="A3" s="423">
        <v>41523</v>
      </c>
      <c r="B3" s="424">
        <v>0.72771990740740744</v>
      </c>
      <c r="C3" s="427" t="s">
        <v>1245</v>
      </c>
    </row>
    <row r="4" spans="1:4" ht="60" x14ac:dyDescent="0.25">
      <c r="A4" s="423">
        <v>41523</v>
      </c>
      <c r="B4" s="424">
        <v>0.72771990740740744</v>
      </c>
      <c r="C4" s="428" t="s">
        <v>1246</v>
      </c>
    </row>
    <row r="5" spans="1:4" x14ac:dyDescent="0.25">
      <c r="A5" s="423">
        <v>41523</v>
      </c>
      <c r="B5" s="424">
        <v>0.73761574074074077</v>
      </c>
      <c r="C5" s="427" t="s">
        <v>1215</v>
      </c>
    </row>
    <row r="6" spans="1:4" ht="60" x14ac:dyDescent="0.25">
      <c r="A6" s="423">
        <v>41523</v>
      </c>
      <c r="B6" s="424">
        <v>0.73761574074074077</v>
      </c>
      <c r="C6" s="428" t="s">
        <v>1247</v>
      </c>
    </row>
    <row r="7" spans="1:4" x14ac:dyDescent="0.25">
      <c r="A7" s="423">
        <v>41523</v>
      </c>
      <c r="B7" s="424">
        <v>0.75233796296296296</v>
      </c>
      <c r="C7" s="427" t="s">
        <v>1219</v>
      </c>
    </row>
    <row r="8" spans="1:4" ht="60" x14ac:dyDescent="0.25">
      <c r="A8" s="423">
        <v>41523</v>
      </c>
      <c r="B8" s="424">
        <v>0.75233796296296296</v>
      </c>
      <c r="C8" s="428" t="s">
        <v>1250</v>
      </c>
    </row>
    <row r="9" spans="1:4" x14ac:dyDescent="0.25">
      <c r="A9" s="423">
        <v>41523</v>
      </c>
      <c r="B9" s="424">
        <v>0.75582175925925921</v>
      </c>
      <c r="C9" s="427" t="s">
        <v>1217</v>
      </c>
    </row>
    <row r="10" spans="1:4" ht="60" x14ac:dyDescent="0.25">
      <c r="A10" s="423">
        <v>41523</v>
      </c>
      <c r="B10" s="424">
        <v>0.75582175925925921</v>
      </c>
      <c r="C10" s="895" t="s">
        <v>1253</v>
      </c>
    </row>
    <row r="11" spans="1:4" x14ac:dyDescent="0.25">
      <c r="A11" s="423">
        <v>41523</v>
      </c>
      <c r="B11" s="424">
        <v>0.75703703703703706</v>
      </c>
      <c r="C11" s="427" t="s">
        <v>1230</v>
      </c>
    </row>
    <row r="12" spans="1:4" ht="60" x14ac:dyDescent="0.25">
      <c r="A12" s="423">
        <v>41523</v>
      </c>
      <c r="B12" s="424">
        <v>0.75703703703703706</v>
      </c>
      <c r="C12" s="428" t="s">
        <v>1254</v>
      </c>
    </row>
    <row r="13" spans="1:4" x14ac:dyDescent="0.25">
      <c r="A13" s="423">
        <v>41523</v>
      </c>
      <c r="B13" s="424">
        <v>0.75818287037037047</v>
      </c>
      <c r="C13" s="427" t="s">
        <v>1218</v>
      </c>
    </row>
    <row r="14" spans="1:4" ht="60" x14ac:dyDescent="0.25">
      <c r="A14" s="423">
        <v>41523</v>
      </c>
      <c r="B14" s="424">
        <v>0.75818287037037047</v>
      </c>
      <c r="C14" s="428" t="s">
        <v>1255</v>
      </c>
    </row>
    <row r="15" spans="1:4" x14ac:dyDescent="0.25">
      <c r="A15" s="423">
        <v>41523</v>
      </c>
      <c r="B15" s="424">
        <v>0.75836805555555553</v>
      </c>
      <c r="C15" s="427" t="s">
        <v>1256</v>
      </c>
    </row>
    <row r="16" spans="1:4" x14ac:dyDescent="0.25">
      <c r="A16" s="423">
        <v>41523</v>
      </c>
      <c r="B16" s="424">
        <v>0.75837962962962957</v>
      </c>
      <c r="C16" s="427" t="s">
        <v>1257</v>
      </c>
    </row>
    <row r="17" spans="1:3" x14ac:dyDescent="0.25">
      <c r="A17" s="423">
        <v>41523</v>
      </c>
      <c r="B17" s="424">
        <v>0.75842592592592595</v>
      </c>
      <c r="C17" s="427" t="s">
        <v>1258</v>
      </c>
    </row>
    <row r="18" spans="1:3" x14ac:dyDescent="0.25">
      <c r="A18" s="423">
        <v>41523</v>
      </c>
      <c r="B18" s="424">
        <v>0.75843749999999999</v>
      </c>
      <c r="C18" s="427" t="s">
        <v>1259</v>
      </c>
    </row>
    <row r="19" spans="1:3" x14ac:dyDescent="0.25">
      <c r="A19" s="423">
        <v>41523</v>
      </c>
      <c r="B19" s="424">
        <v>0.75853009259259263</v>
      </c>
      <c r="C19" s="427" t="s">
        <v>1260</v>
      </c>
    </row>
    <row r="20" spans="1:3" x14ac:dyDescent="0.25">
      <c r="A20" s="423">
        <v>41523</v>
      </c>
      <c r="B20" s="424">
        <v>0.75853009259259263</v>
      </c>
      <c r="C20" s="427" t="s">
        <v>1261</v>
      </c>
    </row>
    <row r="21" spans="1:3" x14ac:dyDescent="0.25">
      <c r="A21" s="423">
        <v>41523</v>
      </c>
      <c r="B21" s="424">
        <v>0.75853009259259263</v>
      </c>
      <c r="C21" s="427" t="s">
        <v>1234</v>
      </c>
    </row>
    <row r="22" spans="1:3" x14ac:dyDescent="0.25">
      <c r="A22" s="423">
        <v>41523</v>
      </c>
      <c r="B22" s="424">
        <v>0.75853009259259263</v>
      </c>
      <c r="C22" s="427" t="s">
        <v>1262</v>
      </c>
    </row>
    <row r="23" spans="1:3" x14ac:dyDescent="0.25">
      <c r="A23" s="423">
        <v>41523</v>
      </c>
      <c r="B23" s="424">
        <v>0.75853009259259263</v>
      </c>
      <c r="C23" s="427" t="s">
        <v>1263</v>
      </c>
    </row>
    <row r="24" spans="1:3" x14ac:dyDescent="0.25">
      <c r="A24" s="423">
        <v>41523</v>
      </c>
      <c r="B24" s="424">
        <v>0.75853009259259263</v>
      </c>
      <c r="C24" s="427" t="s">
        <v>1264</v>
      </c>
    </row>
    <row r="25" spans="1:3" x14ac:dyDescent="0.25">
      <c r="A25" s="423">
        <v>41523</v>
      </c>
      <c r="B25" s="424">
        <v>0.75853009259259263</v>
      </c>
      <c r="C25" s="427" t="s">
        <v>1265</v>
      </c>
    </row>
    <row r="26" spans="1:3" x14ac:dyDescent="0.25">
      <c r="A26" s="423">
        <v>41523</v>
      </c>
      <c r="B26" s="424">
        <v>0.75853009259259263</v>
      </c>
      <c r="C26" s="427" t="s">
        <v>1235</v>
      </c>
    </row>
    <row r="27" spans="1:3" x14ac:dyDescent="0.25">
      <c r="A27" s="423">
        <v>41523</v>
      </c>
      <c r="B27" s="424">
        <v>0.75853009259259263</v>
      </c>
      <c r="C27" s="427" t="s">
        <v>1266</v>
      </c>
    </row>
    <row r="28" spans="1:3" x14ac:dyDescent="0.25">
      <c r="A28" s="423">
        <v>41523</v>
      </c>
      <c r="B28" s="424">
        <v>0.75853009259259263</v>
      </c>
      <c r="C28" s="427" t="s">
        <v>1216</v>
      </c>
    </row>
    <row r="29" spans="1:3" ht="60" x14ac:dyDescent="0.25">
      <c r="A29" s="423">
        <v>41523</v>
      </c>
      <c r="B29" s="424">
        <v>0.75853009259259263</v>
      </c>
      <c r="C29" s="428" t="s">
        <v>1267</v>
      </c>
    </row>
    <row r="30" spans="1:3" x14ac:dyDescent="0.25">
      <c r="A30" s="423">
        <v>41523</v>
      </c>
      <c r="B30" s="424">
        <v>0.75865740740740739</v>
      </c>
      <c r="C30" s="427" t="s">
        <v>1268</v>
      </c>
    </row>
    <row r="31" spans="1:3" x14ac:dyDescent="0.25">
      <c r="A31" s="423">
        <v>41523</v>
      </c>
      <c r="B31" s="424">
        <v>0.75865740740740739</v>
      </c>
      <c r="C31" s="427" t="s">
        <v>1269</v>
      </c>
    </row>
    <row r="32" spans="1:3" x14ac:dyDescent="0.25">
      <c r="A32" s="423">
        <v>41523</v>
      </c>
      <c r="B32" s="424">
        <v>0.75865740740740739</v>
      </c>
      <c r="C32" s="427" t="s">
        <v>1236</v>
      </c>
    </row>
    <row r="33" spans="1:3" x14ac:dyDescent="0.25">
      <c r="A33" s="423">
        <v>41523</v>
      </c>
      <c r="B33" s="424">
        <v>0.75865740740740739</v>
      </c>
      <c r="C33" s="427" t="s">
        <v>1237</v>
      </c>
    </row>
    <row r="34" spans="1:3" x14ac:dyDescent="0.25">
      <c r="A34" s="423">
        <v>41523</v>
      </c>
      <c r="B34" s="424">
        <v>0.75865740740740739</v>
      </c>
      <c r="C34" s="427" t="s">
        <v>1231</v>
      </c>
    </row>
    <row r="35" spans="1:3" x14ac:dyDescent="0.25">
      <c r="A35" s="423">
        <v>41523</v>
      </c>
      <c r="B35" s="424">
        <v>0.75865740740740739</v>
      </c>
      <c r="C35" s="427" t="s">
        <v>1270</v>
      </c>
    </row>
    <row r="36" spans="1:3" x14ac:dyDescent="0.25">
      <c r="A36" s="423">
        <v>41523</v>
      </c>
      <c r="B36" s="424">
        <v>0.75865740740740739</v>
      </c>
      <c r="C36" s="427" t="s">
        <v>1271</v>
      </c>
    </row>
    <row r="37" spans="1:3" x14ac:dyDescent="0.25">
      <c r="A37" s="423">
        <v>41523</v>
      </c>
      <c r="B37" s="424">
        <v>0.75865740740740739</v>
      </c>
      <c r="C37" s="427" t="s">
        <v>1272</v>
      </c>
    </row>
    <row r="38" spans="1:3" x14ac:dyDescent="0.25">
      <c r="A38" s="423">
        <v>41523</v>
      </c>
      <c r="B38" s="424">
        <v>0.75865740740740739</v>
      </c>
      <c r="C38" s="427" t="s">
        <v>1273</v>
      </c>
    </row>
    <row r="39" spans="1:3" x14ac:dyDescent="0.25">
      <c r="A39" s="423">
        <v>41523</v>
      </c>
      <c r="B39" s="424">
        <v>0.75865740740740739</v>
      </c>
      <c r="C39" s="427" t="s">
        <v>1274</v>
      </c>
    </row>
    <row r="40" spans="1:3" x14ac:dyDescent="0.25">
      <c r="A40" s="423">
        <v>41523</v>
      </c>
      <c r="B40" s="424">
        <v>0.75865740740740739</v>
      </c>
      <c r="C40" s="427" t="s">
        <v>1238</v>
      </c>
    </row>
    <row r="41" spans="1:3" x14ac:dyDescent="0.25">
      <c r="A41" s="423">
        <v>41523</v>
      </c>
      <c r="B41" s="424">
        <v>0.75865740740740739</v>
      </c>
      <c r="C41" s="427" t="s">
        <v>1239</v>
      </c>
    </row>
    <row r="42" spans="1:3" x14ac:dyDescent="0.25">
      <c r="A42" s="423">
        <v>41523</v>
      </c>
      <c r="B42" s="424">
        <v>0.75865740740740739</v>
      </c>
      <c r="C42" s="427" t="s">
        <v>1232</v>
      </c>
    </row>
    <row r="43" spans="1:3" x14ac:dyDescent="0.25">
      <c r="A43" s="423">
        <v>41523</v>
      </c>
      <c r="B43" s="424">
        <v>0.75865740740740739</v>
      </c>
      <c r="C43" s="427" t="s">
        <v>1275</v>
      </c>
    </row>
    <row r="44" spans="1:3" x14ac:dyDescent="0.25">
      <c r="A44" s="423">
        <v>41523</v>
      </c>
      <c r="B44" s="424">
        <v>0.75869212962962962</v>
      </c>
      <c r="C44" s="427" t="s">
        <v>1276</v>
      </c>
    </row>
    <row r="45" spans="1:3" x14ac:dyDescent="0.25">
      <c r="A45" s="423">
        <v>41523</v>
      </c>
      <c r="B45" s="424">
        <v>0.75870370370370377</v>
      </c>
      <c r="C45" s="427" t="s">
        <v>1233</v>
      </c>
    </row>
    <row r="46" spans="1:3" x14ac:dyDescent="0.25">
      <c r="A46" s="423">
        <v>41523</v>
      </c>
      <c r="B46" s="424">
        <v>0.7704050925925926</v>
      </c>
      <c r="C46" s="427" t="s">
        <v>1227</v>
      </c>
    </row>
    <row r="47" spans="1:3" x14ac:dyDescent="0.25">
      <c r="A47" s="423">
        <v>41523</v>
      </c>
      <c r="B47" s="424">
        <v>0.7819328703703704</v>
      </c>
      <c r="C47" s="427" t="s">
        <v>1227</v>
      </c>
    </row>
    <row r="48" spans="1:3" x14ac:dyDescent="0.25">
      <c r="A48" s="423">
        <v>41523</v>
      </c>
      <c r="B48" s="424">
        <v>0.78495370370370365</v>
      </c>
      <c r="C48" s="427" t="s">
        <v>1227</v>
      </c>
    </row>
    <row r="49" spans="1:3" x14ac:dyDescent="0.25">
      <c r="A49" s="423">
        <v>41523</v>
      </c>
      <c r="B49" s="424">
        <v>0.78707175925925921</v>
      </c>
      <c r="C49" s="427" t="s">
        <v>1227</v>
      </c>
    </row>
    <row r="50" spans="1:3" x14ac:dyDescent="0.25">
      <c r="A50" s="423">
        <v>41523</v>
      </c>
      <c r="B50" s="424">
        <v>0.80488425925925933</v>
      </c>
      <c r="C50" s="427" t="s">
        <v>1227</v>
      </c>
    </row>
    <row r="51" spans="1:3" x14ac:dyDescent="0.25">
      <c r="A51" s="423">
        <v>41523</v>
      </c>
      <c r="B51" s="424">
        <v>0.80890046296296303</v>
      </c>
      <c r="C51" s="427" t="s">
        <v>1227</v>
      </c>
    </row>
    <row r="52" spans="1:3" x14ac:dyDescent="0.25">
      <c r="A52" s="423">
        <v>41523</v>
      </c>
      <c r="B52" s="424">
        <v>0.82743055555555556</v>
      </c>
      <c r="C52" s="427" t="s">
        <v>1227</v>
      </c>
    </row>
    <row r="53" spans="1:3" x14ac:dyDescent="0.25">
      <c r="A53" s="423">
        <v>41523</v>
      </c>
      <c r="B53" s="424">
        <v>0.87572916666666656</v>
      </c>
      <c r="C53" s="427" t="s">
        <v>1277</v>
      </c>
    </row>
    <row r="54" spans="1:3" x14ac:dyDescent="0.25">
      <c r="A54" s="423">
        <v>41523</v>
      </c>
      <c r="B54" s="424">
        <v>0.87572916666666656</v>
      </c>
      <c r="C54" s="427" t="s">
        <v>1278</v>
      </c>
    </row>
    <row r="55" spans="1:3" x14ac:dyDescent="0.25">
      <c r="A55" s="423">
        <v>41523</v>
      </c>
      <c r="B55" s="424">
        <v>0.88071759259259252</v>
      </c>
      <c r="C55" s="427" t="s">
        <v>1277</v>
      </c>
    </row>
    <row r="56" spans="1:3" x14ac:dyDescent="0.25">
      <c r="A56" s="423">
        <v>41523</v>
      </c>
      <c r="B56" s="424">
        <v>0.88071759259259252</v>
      </c>
      <c r="C56" s="427" t="s">
        <v>1279</v>
      </c>
    </row>
    <row r="57" spans="1:3" x14ac:dyDescent="0.25">
      <c r="A57" s="423">
        <v>41523</v>
      </c>
      <c r="B57" s="424">
        <v>0.88244212962962953</v>
      </c>
      <c r="C57" s="427" t="s">
        <v>1277</v>
      </c>
    </row>
    <row r="58" spans="1:3" x14ac:dyDescent="0.25">
      <c r="A58" s="423">
        <v>41523</v>
      </c>
      <c r="B58" s="424">
        <v>0.88244212962962953</v>
      </c>
      <c r="C58" s="427" t="s">
        <v>1280</v>
      </c>
    </row>
    <row r="59" spans="1:3" x14ac:dyDescent="0.25">
      <c r="A59" s="423">
        <v>41523</v>
      </c>
      <c r="B59" s="424">
        <v>0.88249999999999995</v>
      </c>
      <c r="C59" s="427" t="s">
        <v>1277</v>
      </c>
    </row>
    <row r="60" spans="1:3" x14ac:dyDescent="0.25">
      <c r="A60" s="423">
        <v>41523</v>
      </c>
      <c r="B60" s="424">
        <v>0.88249999999999995</v>
      </c>
      <c r="C60" s="427" t="s">
        <v>1280</v>
      </c>
    </row>
    <row r="61" spans="1:3" x14ac:dyDescent="0.25">
      <c r="A61" s="423">
        <v>41523</v>
      </c>
      <c r="B61" s="424">
        <v>0.88289351851851849</v>
      </c>
      <c r="C61" s="427" t="s">
        <v>1277</v>
      </c>
    </row>
    <row r="62" spans="1:3" x14ac:dyDescent="0.25">
      <c r="A62" s="423">
        <v>41523</v>
      </c>
      <c r="B62" s="424">
        <v>0.88425925925925919</v>
      </c>
      <c r="C62" s="427" t="s">
        <v>1277</v>
      </c>
    </row>
    <row r="63" spans="1:3" x14ac:dyDescent="0.25">
      <c r="A63" s="423">
        <v>41523</v>
      </c>
      <c r="B63" s="424">
        <v>0.88425925925925919</v>
      </c>
      <c r="C63" s="427" t="s">
        <v>1280</v>
      </c>
    </row>
    <row r="64" spans="1:3" x14ac:dyDescent="0.25">
      <c r="A64" s="423">
        <v>41523</v>
      </c>
      <c r="B64" s="424">
        <v>0.8843981481481481</v>
      </c>
      <c r="C64" s="427" t="s">
        <v>1277</v>
      </c>
    </row>
    <row r="65" spans="1:3" x14ac:dyDescent="0.25">
      <c r="A65" s="423">
        <v>41523</v>
      </c>
      <c r="B65" s="424">
        <v>0.8843981481481481</v>
      </c>
      <c r="C65" s="427" t="s">
        <v>1280</v>
      </c>
    </row>
    <row r="66" spans="1:3" x14ac:dyDescent="0.25">
      <c r="A66" s="423">
        <v>41523</v>
      </c>
      <c r="B66" s="424">
        <v>0.88447916666666659</v>
      </c>
      <c r="C66" s="427" t="s">
        <v>1277</v>
      </c>
    </row>
    <row r="67" spans="1:3" x14ac:dyDescent="0.25">
      <c r="A67" s="423">
        <v>41523</v>
      </c>
      <c r="B67" s="424">
        <v>0.88511574074074073</v>
      </c>
      <c r="C67" s="427" t="s">
        <v>1277</v>
      </c>
    </row>
    <row r="68" spans="1:3" x14ac:dyDescent="0.25">
      <c r="A68" s="423">
        <v>41523</v>
      </c>
      <c r="B68" s="424">
        <v>0.88515046296296296</v>
      </c>
      <c r="C68" s="427" t="s">
        <v>1280</v>
      </c>
    </row>
    <row r="69" spans="1:3" x14ac:dyDescent="0.25">
      <c r="A69" s="423">
        <v>41523</v>
      </c>
      <c r="B69" s="424">
        <v>0.97414351851851855</v>
      </c>
      <c r="C69" s="427" t="s">
        <v>1280</v>
      </c>
    </row>
    <row r="70" spans="1:3" x14ac:dyDescent="0.25">
      <c r="A70" s="423">
        <v>41523</v>
      </c>
      <c r="B70" s="424">
        <v>0.97414351851851855</v>
      </c>
      <c r="C70" s="427" t="s">
        <v>1281</v>
      </c>
    </row>
    <row r="71" spans="1:3" x14ac:dyDescent="0.25">
      <c r="A71" s="423">
        <v>41523</v>
      </c>
      <c r="B71" s="424">
        <v>0.97428240740740746</v>
      </c>
      <c r="C71" s="427" t="s">
        <v>1280</v>
      </c>
    </row>
    <row r="72" spans="1:3" x14ac:dyDescent="0.25">
      <c r="A72" s="423">
        <v>41523</v>
      </c>
      <c r="B72" s="424">
        <v>0.97452546296296294</v>
      </c>
      <c r="C72" s="427" t="s">
        <v>1281</v>
      </c>
    </row>
    <row r="73" spans="1:3" x14ac:dyDescent="0.25">
      <c r="A73" s="423">
        <v>41523</v>
      </c>
      <c r="B73" s="424">
        <v>0.97533564814814822</v>
      </c>
      <c r="C73" s="427" t="s">
        <v>1280</v>
      </c>
    </row>
    <row r="74" spans="1:3" x14ac:dyDescent="0.25">
      <c r="A74" s="423">
        <v>41523</v>
      </c>
      <c r="B74" s="424">
        <v>0.9853587962962963</v>
      </c>
      <c r="C74" s="427" t="s">
        <v>1280</v>
      </c>
    </row>
    <row r="75" spans="1:3" x14ac:dyDescent="0.25">
      <c r="A75" s="423">
        <v>41523</v>
      </c>
      <c r="B75" s="424">
        <v>0.98651620370370363</v>
      </c>
      <c r="C75" s="427" t="s">
        <v>1280</v>
      </c>
    </row>
    <row r="76" spans="1:3" x14ac:dyDescent="0.25">
      <c r="A76" s="423">
        <v>41523</v>
      </c>
      <c r="B76" s="424">
        <v>0.99604166666666671</v>
      </c>
      <c r="C76" s="427" t="s">
        <v>1227</v>
      </c>
    </row>
    <row r="77" spans="1:3" x14ac:dyDescent="0.25">
      <c r="A77" s="423">
        <v>41523</v>
      </c>
      <c r="B77" s="424">
        <v>0.99671296296296286</v>
      </c>
      <c r="C77" s="427" t="s">
        <v>1280</v>
      </c>
    </row>
    <row r="78" spans="1:3" x14ac:dyDescent="0.25">
      <c r="A78" s="423">
        <v>41524</v>
      </c>
      <c r="B78" s="424">
        <v>4.2129629629629626E-3</v>
      </c>
      <c r="C78" s="427" t="s">
        <v>1227</v>
      </c>
    </row>
    <row r="79" spans="1:3" x14ac:dyDescent="0.25">
      <c r="A79" s="423">
        <v>41524</v>
      </c>
      <c r="B79" s="424">
        <v>4.7916666666666672E-3</v>
      </c>
      <c r="C79" s="427" t="s">
        <v>1280</v>
      </c>
    </row>
    <row r="80" spans="1:3" ht="75" x14ac:dyDescent="0.25">
      <c r="A80" s="423">
        <v>41524</v>
      </c>
      <c r="B80" s="424">
        <v>1.2337962962962962E-2</v>
      </c>
      <c r="C80" s="428" t="s">
        <v>1282</v>
      </c>
    </row>
    <row r="81" spans="1:3" x14ac:dyDescent="0.25">
      <c r="A81" s="423">
        <v>41524</v>
      </c>
      <c r="B81" s="424">
        <v>4.6863425925925926E-2</v>
      </c>
      <c r="C81" s="427" t="s">
        <v>1227</v>
      </c>
    </row>
    <row r="82" spans="1:3" x14ac:dyDescent="0.25">
      <c r="A82" s="423">
        <v>41524</v>
      </c>
      <c r="B82" s="424">
        <v>4.7175925925925927E-2</v>
      </c>
      <c r="C82" s="427" t="s">
        <v>1280</v>
      </c>
    </row>
    <row r="83" spans="1:3" x14ac:dyDescent="0.25">
      <c r="A83" s="423">
        <v>41524</v>
      </c>
      <c r="B83" s="424">
        <v>8.9814814814814806E-2</v>
      </c>
      <c r="C83" s="427" t="s">
        <v>1227</v>
      </c>
    </row>
    <row r="84" spans="1:3" x14ac:dyDescent="0.25">
      <c r="A84" s="423">
        <v>41524</v>
      </c>
      <c r="B84" s="424">
        <v>8.9814814814814806E-2</v>
      </c>
      <c r="C84" s="427" t="s">
        <v>1280</v>
      </c>
    </row>
    <row r="85" spans="1:3" ht="45" x14ac:dyDescent="0.25">
      <c r="A85" s="423">
        <v>41524</v>
      </c>
      <c r="B85" s="424">
        <v>0.74297453703703698</v>
      </c>
      <c r="C85" s="428" t="s">
        <v>1283</v>
      </c>
    </row>
    <row r="86" spans="1:3" ht="45" x14ac:dyDescent="0.25">
      <c r="A86" s="423">
        <v>41524</v>
      </c>
      <c r="B86" s="424">
        <v>0.74298611111111112</v>
      </c>
      <c r="C86" s="428" t="s">
        <v>1284</v>
      </c>
    </row>
    <row r="87" spans="1:3" ht="45" x14ac:dyDescent="0.25">
      <c r="A87" s="423">
        <v>41524</v>
      </c>
      <c r="B87" s="424">
        <v>0.74386574074074074</v>
      </c>
      <c r="C87" s="428" t="s">
        <v>1285</v>
      </c>
    </row>
    <row r="88" spans="1:3" ht="45" x14ac:dyDescent="0.25">
      <c r="A88" s="423">
        <v>41524</v>
      </c>
      <c r="B88" s="424">
        <v>0.74387731481481489</v>
      </c>
      <c r="C88" s="428" t="s">
        <v>1286</v>
      </c>
    </row>
    <row r="89" spans="1:3" ht="45" x14ac:dyDescent="0.25">
      <c r="A89" s="423">
        <v>41524</v>
      </c>
      <c r="B89" s="424">
        <v>0.77260416666666665</v>
      </c>
      <c r="C89" s="428" t="s">
        <v>1287</v>
      </c>
    </row>
    <row r="90" spans="1:3" ht="45" x14ac:dyDescent="0.25">
      <c r="A90" s="423">
        <v>41524</v>
      </c>
      <c r="B90" s="424">
        <v>0.77268518518518514</v>
      </c>
      <c r="C90" s="428" t="s">
        <v>1288</v>
      </c>
    </row>
    <row r="91" spans="1:3" ht="30" x14ac:dyDescent="0.25">
      <c r="A91" s="423">
        <v>41524</v>
      </c>
      <c r="B91" s="424">
        <v>0.77832175925925917</v>
      </c>
      <c r="C91" s="428" t="s">
        <v>1289</v>
      </c>
    </row>
    <row r="92" spans="1:3" ht="45" x14ac:dyDescent="0.25">
      <c r="A92" s="423">
        <v>41524</v>
      </c>
      <c r="B92" s="424">
        <v>0.77836805555555555</v>
      </c>
      <c r="C92" s="428" t="s">
        <v>1290</v>
      </c>
    </row>
    <row r="93" spans="1:3" ht="30" x14ac:dyDescent="0.25">
      <c r="A93" s="423">
        <v>41524</v>
      </c>
      <c r="B93" s="424">
        <v>0.90135416666666668</v>
      </c>
      <c r="C93" s="428" t="s">
        <v>1291</v>
      </c>
    </row>
    <row r="94" spans="1:3" ht="45" x14ac:dyDescent="0.25">
      <c r="A94" s="423">
        <v>41524</v>
      </c>
      <c r="B94" s="424">
        <v>0.90182870370370372</v>
      </c>
      <c r="C94" s="428" t="s">
        <v>1292</v>
      </c>
    </row>
    <row r="95" spans="1:3" ht="30" x14ac:dyDescent="0.25">
      <c r="A95" s="423">
        <v>41524</v>
      </c>
      <c r="B95" s="424">
        <v>0.90608796296296301</v>
      </c>
      <c r="C95" s="428" t="s">
        <v>1291</v>
      </c>
    </row>
    <row r="96" spans="1:3" ht="45" x14ac:dyDescent="0.25">
      <c r="A96" s="423">
        <v>41524</v>
      </c>
      <c r="B96" s="424">
        <v>0.90615740740740736</v>
      </c>
      <c r="C96" s="428" t="s">
        <v>1293</v>
      </c>
    </row>
    <row r="97" spans="1:3" ht="60" x14ac:dyDescent="0.25">
      <c r="A97" s="423">
        <v>41524</v>
      </c>
      <c r="B97" s="424">
        <v>0.94608796296296294</v>
      </c>
      <c r="C97" s="428" t="s">
        <v>1294</v>
      </c>
    </row>
    <row r="98" spans="1:3" ht="30" x14ac:dyDescent="0.25">
      <c r="A98" s="423">
        <v>41525</v>
      </c>
      <c r="B98" s="424">
        <v>1.4479166666666668E-2</v>
      </c>
      <c r="C98" s="428" t="s">
        <v>1291</v>
      </c>
    </row>
    <row r="99" spans="1:3" ht="45" x14ac:dyDescent="0.25">
      <c r="A99" s="423">
        <v>41525</v>
      </c>
      <c r="B99" s="424">
        <v>1.4756944444444446E-2</v>
      </c>
      <c r="C99" s="428" t="s">
        <v>1295</v>
      </c>
    </row>
    <row r="100" spans="1:3" ht="30" x14ac:dyDescent="0.25">
      <c r="A100" s="423">
        <v>41525</v>
      </c>
      <c r="B100" s="424">
        <v>5.1666666666666666E-2</v>
      </c>
      <c r="C100" s="428" t="s">
        <v>1291</v>
      </c>
    </row>
    <row r="101" spans="1:3" ht="45" x14ac:dyDescent="0.25">
      <c r="A101" s="423">
        <v>41525</v>
      </c>
      <c r="B101" s="424">
        <v>5.2013888888888887E-2</v>
      </c>
      <c r="C101" s="428" t="s">
        <v>1296</v>
      </c>
    </row>
    <row r="102" spans="1:3" ht="45" x14ac:dyDescent="0.25">
      <c r="A102" s="423">
        <v>41525</v>
      </c>
      <c r="B102" s="424">
        <v>6.659722222222221E-2</v>
      </c>
      <c r="C102" s="428" t="s">
        <v>1297</v>
      </c>
    </row>
    <row r="103" spans="1:3" ht="45" x14ac:dyDescent="0.25">
      <c r="A103" s="423">
        <v>41525</v>
      </c>
      <c r="B103" s="424">
        <v>6.6921296296296298E-2</v>
      </c>
      <c r="C103" s="428" t="s">
        <v>1298</v>
      </c>
    </row>
    <row r="104" spans="1:3" ht="45" x14ac:dyDescent="0.25">
      <c r="A104" s="423">
        <v>41525</v>
      </c>
      <c r="B104" s="424">
        <v>0.10753472222222223</v>
      </c>
      <c r="C104" s="428" t="s">
        <v>1299</v>
      </c>
    </row>
    <row r="105" spans="1:3" ht="45" x14ac:dyDescent="0.25">
      <c r="A105" s="423">
        <v>41525</v>
      </c>
      <c r="B105" s="424">
        <v>0.10784722222222222</v>
      </c>
      <c r="C105" s="428" t="s">
        <v>1300</v>
      </c>
    </row>
    <row r="106" spans="1:3" ht="45" x14ac:dyDescent="0.25">
      <c r="A106" s="423">
        <v>41525</v>
      </c>
      <c r="B106" s="424">
        <v>0.10987268518518518</v>
      </c>
      <c r="C106" s="428" t="s">
        <v>1285</v>
      </c>
    </row>
    <row r="107" spans="1:3" ht="45" x14ac:dyDescent="0.25">
      <c r="A107" s="423">
        <v>41525</v>
      </c>
      <c r="B107" s="424">
        <v>0.11017361111111111</v>
      </c>
      <c r="C107" s="428" t="s">
        <v>1301</v>
      </c>
    </row>
    <row r="108" spans="1:3" ht="45" x14ac:dyDescent="0.25">
      <c r="A108" s="423">
        <v>41525</v>
      </c>
      <c r="B108" s="424">
        <v>0.15165509259259261</v>
      </c>
      <c r="C108" s="428" t="s">
        <v>1302</v>
      </c>
    </row>
    <row r="109" spans="1:3" x14ac:dyDescent="0.25">
      <c r="A109" s="423">
        <v>41525</v>
      </c>
      <c r="B109" s="424">
        <v>0.15994212962962964</v>
      </c>
      <c r="C109" s="427" t="s">
        <v>1303</v>
      </c>
    </row>
    <row r="110" spans="1:3" x14ac:dyDescent="0.25">
      <c r="A110" s="423">
        <v>41525</v>
      </c>
      <c r="B110" s="424">
        <v>0.15994212962962964</v>
      </c>
      <c r="C110" s="427" t="s">
        <v>1304</v>
      </c>
    </row>
    <row r="111" spans="1:3" x14ac:dyDescent="0.25">
      <c r="A111" s="423">
        <v>41525</v>
      </c>
      <c r="B111" s="424">
        <v>0.15994212962962964</v>
      </c>
      <c r="C111" s="427" t="s">
        <v>1305</v>
      </c>
    </row>
    <row r="112" spans="1:3" ht="45" x14ac:dyDescent="0.25">
      <c r="A112" s="423">
        <v>41525</v>
      </c>
      <c r="B112" s="424">
        <v>0.15994212962962964</v>
      </c>
      <c r="C112" s="428" t="s">
        <v>1306</v>
      </c>
    </row>
    <row r="113" spans="1:3" x14ac:dyDescent="0.25">
      <c r="A113" s="423">
        <v>41525</v>
      </c>
      <c r="B113" s="424">
        <v>0.71031250000000001</v>
      </c>
      <c r="C113" s="427" t="s">
        <v>1312</v>
      </c>
    </row>
    <row r="114" spans="1:3" x14ac:dyDescent="0.25">
      <c r="A114" s="423">
        <v>41525</v>
      </c>
      <c r="B114" s="424">
        <v>0.79106481481481483</v>
      </c>
      <c r="C114" s="427" t="s">
        <v>1313</v>
      </c>
    </row>
    <row r="115" spans="1:3" x14ac:dyDescent="0.25">
      <c r="A115" s="423">
        <v>41525</v>
      </c>
      <c r="B115" s="424">
        <v>0.79106481481481483</v>
      </c>
      <c r="C115" s="427" t="s">
        <v>1314</v>
      </c>
    </row>
    <row r="116" spans="1:3" x14ac:dyDescent="0.25">
      <c r="A116" s="423">
        <v>41525</v>
      </c>
      <c r="B116" s="424">
        <v>0.79106481481481483</v>
      </c>
      <c r="C116" s="427" t="s">
        <v>1315</v>
      </c>
    </row>
    <row r="117" spans="1:3" x14ac:dyDescent="0.25">
      <c r="A117" s="423">
        <v>41525</v>
      </c>
      <c r="B117" s="424">
        <v>0.79106481481481483</v>
      </c>
      <c r="C117" s="427" t="s">
        <v>1316</v>
      </c>
    </row>
    <row r="118" spans="1:3" x14ac:dyDescent="0.25">
      <c r="A118" s="423">
        <v>41525</v>
      </c>
      <c r="B118" s="424">
        <v>0.79106481481481483</v>
      </c>
      <c r="C118" s="427" t="s">
        <v>1317</v>
      </c>
    </row>
    <row r="119" spans="1:3" x14ac:dyDescent="0.25">
      <c r="A119" s="423">
        <v>41525</v>
      </c>
      <c r="B119" s="424">
        <v>0.79106481481481483</v>
      </c>
      <c r="C119" s="427" t="s">
        <v>1318</v>
      </c>
    </row>
    <row r="120" spans="1:3" x14ac:dyDescent="0.25">
      <c r="A120" s="423">
        <v>41525</v>
      </c>
      <c r="B120" s="424">
        <v>0.79106481481481483</v>
      </c>
      <c r="C120" s="427" t="s">
        <v>1319</v>
      </c>
    </row>
    <row r="121" spans="1:3" x14ac:dyDescent="0.25">
      <c r="A121" s="423">
        <v>41525</v>
      </c>
      <c r="B121" s="424">
        <v>0.79106481481481483</v>
      </c>
      <c r="C121" s="427" t="s">
        <v>1320</v>
      </c>
    </row>
    <row r="122" spans="1:3" x14ac:dyDescent="0.25">
      <c r="A122" s="423">
        <v>41525</v>
      </c>
      <c r="B122" s="424">
        <v>0.79106481481481483</v>
      </c>
      <c r="C122" s="427" t="s">
        <v>1321</v>
      </c>
    </row>
    <row r="123" spans="1:3" x14ac:dyDescent="0.25">
      <c r="A123" s="423">
        <v>41525</v>
      </c>
      <c r="B123" s="424">
        <v>0.86302083333333324</v>
      </c>
      <c r="C123" s="427" t="s">
        <v>1322</v>
      </c>
    </row>
    <row r="124" spans="1:3" x14ac:dyDescent="0.25">
      <c r="A124" s="423">
        <v>41525</v>
      </c>
      <c r="B124" s="424">
        <v>0.87006944444444445</v>
      </c>
      <c r="C124" s="427" t="s">
        <v>1323</v>
      </c>
    </row>
    <row r="125" spans="1:3" x14ac:dyDescent="0.25">
      <c r="A125" s="423">
        <v>41525</v>
      </c>
      <c r="B125" s="424">
        <v>0.87296296296296294</v>
      </c>
      <c r="C125" s="427" t="s">
        <v>1323</v>
      </c>
    </row>
    <row r="126" spans="1:3" x14ac:dyDescent="0.25">
      <c r="A126" s="423">
        <v>41525</v>
      </c>
      <c r="B126" s="424">
        <v>0.8756828703703704</v>
      </c>
      <c r="C126" s="427" t="s">
        <v>1323</v>
      </c>
    </row>
    <row r="127" spans="1:3" x14ac:dyDescent="0.25">
      <c r="A127" s="423">
        <v>41525</v>
      </c>
      <c r="B127" s="424">
        <v>0.87572916666666656</v>
      </c>
      <c r="C127" s="427" t="s">
        <v>1324</v>
      </c>
    </row>
    <row r="128" spans="1:3" x14ac:dyDescent="0.25">
      <c r="A128" s="423">
        <v>41525</v>
      </c>
      <c r="B128" s="424">
        <v>0.89804398148148146</v>
      </c>
      <c r="C128" s="427" t="s">
        <v>1325</v>
      </c>
    </row>
    <row r="129" spans="1:3" x14ac:dyDescent="0.25">
      <c r="A129" s="423">
        <v>41525</v>
      </c>
      <c r="B129" s="424">
        <v>0.89804398148148146</v>
      </c>
      <c r="C129" s="427" t="s">
        <v>1326</v>
      </c>
    </row>
    <row r="130" spans="1:3" x14ac:dyDescent="0.25">
      <c r="A130" s="423">
        <v>41525</v>
      </c>
      <c r="B130" s="424">
        <v>0.89804398148148146</v>
      </c>
      <c r="C130" s="427" t="s">
        <v>1324</v>
      </c>
    </row>
    <row r="131" spans="1:3" x14ac:dyDescent="0.25">
      <c r="A131" s="423">
        <v>41525</v>
      </c>
      <c r="B131" s="424">
        <v>0.89997685185185183</v>
      </c>
      <c r="C131" s="427" t="s">
        <v>1303</v>
      </c>
    </row>
    <row r="132" spans="1:3" x14ac:dyDescent="0.25">
      <c r="A132" s="423">
        <v>41525</v>
      </c>
      <c r="B132" s="424">
        <v>0.89997685185185183</v>
      </c>
      <c r="C132" s="427" t="s">
        <v>1304</v>
      </c>
    </row>
    <row r="133" spans="1:3" x14ac:dyDescent="0.25">
      <c r="A133" s="423">
        <v>41525</v>
      </c>
      <c r="B133" s="424">
        <v>0.89997685185185183</v>
      </c>
      <c r="C133" s="427" t="s">
        <v>1305</v>
      </c>
    </row>
    <row r="134" spans="1:3" ht="45" x14ac:dyDescent="0.25">
      <c r="A134" s="423">
        <v>41525</v>
      </c>
      <c r="B134" s="424">
        <v>0.89997685185185183</v>
      </c>
      <c r="C134" s="428" t="s">
        <v>1306</v>
      </c>
    </row>
    <row r="135" spans="1:3" x14ac:dyDescent="0.25">
      <c r="A135" s="423">
        <v>41525</v>
      </c>
      <c r="B135" s="424">
        <v>0.91138888888888892</v>
      </c>
      <c r="C135" s="427" t="s">
        <v>1303</v>
      </c>
    </row>
    <row r="136" spans="1:3" x14ac:dyDescent="0.25">
      <c r="A136" s="423">
        <v>41525</v>
      </c>
      <c r="B136" s="424">
        <v>0.91138888888888892</v>
      </c>
      <c r="C136" s="427" t="s">
        <v>1304</v>
      </c>
    </row>
    <row r="137" spans="1:3" x14ac:dyDescent="0.25">
      <c r="A137" s="423">
        <v>41525</v>
      </c>
      <c r="B137" s="424">
        <v>0.91138888888888892</v>
      </c>
      <c r="C137" s="427" t="s">
        <v>1305</v>
      </c>
    </row>
    <row r="138" spans="1:3" ht="45" x14ac:dyDescent="0.25">
      <c r="A138" s="423">
        <v>41525</v>
      </c>
      <c r="B138" s="424">
        <v>0.91138888888888892</v>
      </c>
      <c r="C138" s="428" t="s">
        <v>1306</v>
      </c>
    </row>
    <row r="139" spans="1:3" x14ac:dyDescent="0.25">
      <c r="A139" s="423">
        <v>41525</v>
      </c>
      <c r="B139" s="424">
        <v>0.92086805555555562</v>
      </c>
      <c r="C139" s="427" t="s">
        <v>1303</v>
      </c>
    </row>
    <row r="140" spans="1:3" x14ac:dyDescent="0.25">
      <c r="A140" s="423">
        <v>41525</v>
      </c>
      <c r="B140" s="424">
        <v>0.92086805555555562</v>
      </c>
      <c r="C140" s="427" t="s">
        <v>1304</v>
      </c>
    </row>
    <row r="141" spans="1:3" x14ac:dyDescent="0.25">
      <c r="A141" s="423">
        <v>41525</v>
      </c>
      <c r="B141" s="424">
        <v>0.92086805555555562</v>
      </c>
      <c r="C141" s="427" t="s">
        <v>1305</v>
      </c>
    </row>
    <row r="142" spans="1:3" ht="45" x14ac:dyDescent="0.25">
      <c r="A142" s="423">
        <v>41525</v>
      </c>
      <c r="B142" s="424">
        <v>0.92086805555555562</v>
      </c>
      <c r="C142" s="428" t="s">
        <v>1306</v>
      </c>
    </row>
    <row r="143" spans="1:3" x14ac:dyDescent="0.25">
      <c r="A143" s="423">
        <v>41525</v>
      </c>
      <c r="B143" s="424">
        <v>0.93636574074074075</v>
      </c>
      <c r="C143" s="427" t="s">
        <v>1303</v>
      </c>
    </row>
    <row r="144" spans="1:3" x14ac:dyDescent="0.25">
      <c r="A144" s="423">
        <v>41525</v>
      </c>
      <c r="B144" s="424">
        <v>0.93636574074074075</v>
      </c>
      <c r="C144" s="427" t="s">
        <v>1304</v>
      </c>
    </row>
    <row r="145" spans="1:3" x14ac:dyDescent="0.25">
      <c r="A145" s="423">
        <v>41525</v>
      </c>
      <c r="B145" s="424">
        <v>0.93636574074074075</v>
      </c>
      <c r="C145" s="427" t="s">
        <v>1305</v>
      </c>
    </row>
    <row r="146" spans="1:3" ht="45" x14ac:dyDescent="0.25">
      <c r="A146" s="423">
        <v>41525</v>
      </c>
      <c r="B146" s="424">
        <v>0.93636574074074075</v>
      </c>
      <c r="C146" s="428" t="s">
        <v>1306</v>
      </c>
    </row>
    <row r="147" spans="1:3" x14ac:dyDescent="0.25">
      <c r="A147" s="423">
        <v>41525</v>
      </c>
      <c r="B147" s="424">
        <v>0.94440972222222219</v>
      </c>
      <c r="C147" s="427" t="s">
        <v>1303</v>
      </c>
    </row>
    <row r="148" spans="1:3" x14ac:dyDescent="0.25">
      <c r="A148" s="423">
        <v>41525</v>
      </c>
      <c r="B148" s="424">
        <v>0.94440972222222219</v>
      </c>
      <c r="C148" s="427" t="s">
        <v>1304</v>
      </c>
    </row>
    <row r="149" spans="1:3" x14ac:dyDescent="0.25">
      <c r="A149" s="423">
        <v>41525</v>
      </c>
      <c r="B149" s="424">
        <v>0.94440972222222219</v>
      </c>
      <c r="C149" s="427" t="s">
        <v>1305</v>
      </c>
    </row>
    <row r="150" spans="1:3" ht="45" x14ac:dyDescent="0.25">
      <c r="A150" s="423">
        <v>41525</v>
      </c>
      <c r="B150" s="424">
        <v>0.94440972222222219</v>
      </c>
      <c r="C150" s="428" t="s">
        <v>1306</v>
      </c>
    </row>
    <row r="151" spans="1:3" x14ac:dyDescent="0.25">
      <c r="A151" s="423">
        <v>41525</v>
      </c>
      <c r="B151" s="424">
        <v>0.94914351851851853</v>
      </c>
      <c r="C151" s="427" t="s">
        <v>1303</v>
      </c>
    </row>
    <row r="152" spans="1:3" x14ac:dyDescent="0.25">
      <c r="A152" s="423">
        <v>41525</v>
      </c>
      <c r="B152" s="424">
        <v>0.94914351851851853</v>
      </c>
      <c r="C152" s="427" t="s">
        <v>1304</v>
      </c>
    </row>
    <row r="153" spans="1:3" x14ac:dyDescent="0.25">
      <c r="A153" s="423">
        <v>41525</v>
      </c>
      <c r="B153" s="424">
        <v>0.94914351851851853</v>
      </c>
      <c r="C153" s="427" t="s">
        <v>1305</v>
      </c>
    </row>
    <row r="154" spans="1:3" ht="45" x14ac:dyDescent="0.25">
      <c r="A154" s="423">
        <v>41525</v>
      </c>
      <c r="B154" s="424">
        <v>0.94914351851851853</v>
      </c>
      <c r="C154" s="428" t="s">
        <v>1306</v>
      </c>
    </row>
    <row r="155" spans="1:3" x14ac:dyDescent="0.25">
      <c r="A155" s="423">
        <v>41525</v>
      </c>
      <c r="B155" s="424">
        <v>0.96298611111111121</v>
      </c>
      <c r="C155" s="427" t="s">
        <v>1303</v>
      </c>
    </row>
    <row r="156" spans="1:3" x14ac:dyDescent="0.25">
      <c r="A156" s="423">
        <v>41525</v>
      </c>
      <c r="B156" s="424">
        <v>0.96298611111111121</v>
      </c>
      <c r="C156" s="427" t="s">
        <v>1304</v>
      </c>
    </row>
    <row r="157" spans="1:3" x14ac:dyDescent="0.25">
      <c r="A157" s="423">
        <v>41525</v>
      </c>
      <c r="B157" s="424">
        <v>0.96298611111111121</v>
      </c>
      <c r="C157" s="427" t="s">
        <v>1305</v>
      </c>
    </row>
    <row r="158" spans="1:3" ht="45" x14ac:dyDescent="0.25">
      <c r="A158" s="423">
        <v>41525</v>
      </c>
      <c r="B158" s="424">
        <v>0.96298611111111121</v>
      </c>
      <c r="C158" s="428" t="s">
        <v>1306</v>
      </c>
    </row>
    <row r="159" spans="1:3" x14ac:dyDescent="0.25">
      <c r="A159" s="423">
        <v>41525</v>
      </c>
      <c r="B159" s="424">
        <v>0.98443287037037042</v>
      </c>
      <c r="C159" s="427" t="s">
        <v>1303</v>
      </c>
    </row>
    <row r="160" spans="1:3" x14ac:dyDescent="0.25">
      <c r="A160" s="423">
        <v>41525</v>
      </c>
      <c r="B160" s="424">
        <v>0.98443287037037042</v>
      </c>
      <c r="C160" s="427" t="s">
        <v>1304</v>
      </c>
    </row>
    <row r="161" spans="1:3" x14ac:dyDescent="0.25">
      <c r="A161" s="423">
        <v>41525</v>
      </c>
      <c r="B161" s="424">
        <v>0.98443287037037042</v>
      </c>
      <c r="C161" s="427" t="s">
        <v>1305</v>
      </c>
    </row>
    <row r="162" spans="1:3" ht="45" x14ac:dyDescent="0.25">
      <c r="A162" s="423">
        <v>41525</v>
      </c>
      <c r="B162" s="424">
        <v>0.98443287037037042</v>
      </c>
      <c r="C162" s="428" t="s">
        <v>1306</v>
      </c>
    </row>
    <row r="163" spans="1:3" x14ac:dyDescent="0.25">
      <c r="A163" s="423">
        <v>41525</v>
      </c>
      <c r="B163" s="424">
        <v>0.98579861111111111</v>
      </c>
      <c r="C163" s="427" t="s">
        <v>1328</v>
      </c>
    </row>
    <row r="164" spans="1:3" x14ac:dyDescent="0.25">
      <c r="A164" s="423">
        <v>41525</v>
      </c>
      <c r="B164" s="424">
        <v>0.99210648148148151</v>
      </c>
      <c r="C164" s="427" t="s">
        <v>1303</v>
      </c>
    </row>
    <row r="165" spans="1:3" x14ac:dyDescent="0.25">
      <c r="A165" s="423">
        <v>41525</v>
      </c>
      <c r="B165" s="424">
        <v>0.99210648148148151</v>
      </c>
      <c r="C165" s="427" t="s">
        <v>1304</v>
      </c>
    </row>
    <row r="166" spans="1:3" x14ac:dyDescent="0.25">
      <c r="A166" s="423">
        <v>41525</v>
      </c>
      <c r="B166" s="424">
        <v>0.99210648148148151</v>
      </c>
      <c r="C166" s="427" t="s">
        <v>1305</v>
      </c>
    </row>
    <row r="167" spans="1:3" ht="45" x14ac:dyDescent="0.25">
      <c r="A167" s="423">
        <v>41525</v>
      </c>
      <c r="B167" s="424">
        <v>0.99210648148148151</v>
      </c>
      <c r="C167" s="428" t="s">
        <v>1306</v>
      </c>
    </row>
    <row r="168" spans="1:3" x14ac:dyDescent="0.25">
      <c r="A168" s="423">
        <v>41525</v>
      </c>
      <c r="B168" s="424">
        <v>0.99233796296296306</v>
      </c>
      <c r="C168" s="427" t="s">
        <v>1328</v>
      </c>
    </row>
    <row r="169" spans="1:3" x14ac:dyDescent="0.25">
      <c r="A169" s="423">
        <v>41526</v>
      </c>
      <c r="B169" s="424">
        <v>2.6782407407407408E-2</v>
      </c>
      <c r="C169" s="427" t="s">
        <v>1330</v>
      </c>
    </row>
    <row r="170" spans="1:3" x14ac:dyDescent="0.25">
      <c r="A170" s="423">
        <v>41526</v>
      </c>
      <c r="B170" s="424">
        <v>2.6782407407407408E-2</v>
      </c>
      <c r="C170" s="427" t="s">
        <v>1331</v>
      </c>
    </row>
    <row r="171" spans="1:3" ht="60" x14ac:dyDescent="0.25">
      <c r="A171" s="423">
        <v>41526</v>
      </c>
      <c r="B171" s="424">
        <v>5.4317129629629625E-2</v>
      </c>
      <c r="C171" s="428" t="s">
        <v>1334</v>
      </c>
    </row>
    <row r="172" spans="1:3" x14ac:dyDescent="0.25">
      <c r="A172" s="423">
        <v>41526</v>
      </c>
      <c r="B172" s="424">
        <v>6.5879629629629635E-2</v>
      </c>
      <c r="C172" s="427" t="s">
        <v>1303</v>
      </c>
    </row>
    <row r="173" spans="1:3" x14ac:dyDescent="0.25">
      <c r="A173" s="423">
        <v>41526</v>
      </c>
      <c r="B173" s="424">
        <v>6.5879629629629635E-2</v>
      </c>
      <c r="C173" s="427" t="s">
        <v>1304</v>
      </c>
    </row>
    <row r="174" spans="1:3" x14ac:dyDescent="0.25">
      <c r="A174" s="423">
        <v>41526</v>
      </c>
      <c r="B174" s="424">
        <v>6.5879629629629635E-2</v>
      </c>
      <c r="C174" s="427" t="s">
        <v>1305</v>
      </c>
    </row>
    <row r="175" spans="1:3" ht="45" x14ac:dyDescent="0.25">
      <c r="A175" s="423">
        <v>41526</v>
      </c>
      <c r="B175" s="424">
        <v>6.5879629629629635E-2</v>
      </c>
      <c r="C175" s="428" t="s">
        <v>1306</v>
      </c>
    </row>
    <row r="176" spans="1:3" x14ac:dyDescent="0.25">
      <c r="A176" s="423">
        <v>41526</v>
      </c>
      <c r="B176" s="424">
        <v>7.9004629629629633E-2</v>
      </c>
      <c r="C176" s="427" t="s">
        <v>1303</v>
      </c>
    </row>
    <row r="177" spans="1:3" x14ac:dyDescent="0.25">
      <c r="A177" s="423">
        <v>41526</v>
      </c>
      <c r="B177" s="424">
        <v>7.9004629629629633E-2</v>
      </c>
      <c r="C177" s="427" t="s">
        <v>1304</v>
      </c>
    </row>
    <row r="178" spans="1:3" x14ac:dyDescent="0.25">
      <c r="A178" s="423">
        <v>41526</v>
      </c>
      <c r="B178" s="424">
        <v>7.9004629629629633E-2</v>
      </c>
      <c r="C178" s="427" t="s">
        <v>1305</v>
      </c>
    </row>
    <row r="179" spans="1:3" ht="45" x14ac:dyDescent="0.25">
      <c r="A179" s="423">
        <v>41526</v>
      </c>
      <c r="B179" s="424">
        <v>7.9004629629629633E-2</v>
      </c>
      <c r="C179" s="428" t="s">
        <v>1306</v>
      </c>
    </row>
    <row r="180" spans="1:3" x14ac:dyDescent="0.25">
      <c r="A180" s="423">
        <v>41526</v>
      </c>
      <c r="B180" s="424">
        <v>8.0532407407407414E-2</v>
      </c>
      <c r="C180" s="427" t="s">
        <v>1330</v>
      </c>
    </row>
    <row r="181" spans="1:3" x14ac:dyDescent="0.25">
      <c r="A181" s="423">
        <v>41526</v>
      </c>
      <c r="B181" s="424">
        <v>8.0532407407407414E-2</v>
      </c>
      <c r="C181" s="427" t="s">
        <v>1331</v>
      </c>
    </row>
    <row r="182" spans="1:3" x14ac:dyDescent="0.25">
      <c r="A182" s="423">
        <v>41526</v>
      </c>
      <c r="B182" s="424">
        <v>8.1087962962962959E-2</v>
      </c>
      <c r="C182" s="427" t="s">
        <v>1336</v>
      </c>
    </row>
    <row r="183" spans="1:3" x14ac:dyDescent="0.25">
      <c r="A183" s="423">
        <v>41526</v>
      </c>
      <c r="B183" s="424">
        <v>8.1087962962962959E-2</v>
      </c>
      <c r="C183" s="427" t="s">
        <v>1337</v>
      </c>
    </row>
    <row r="184" spans="1:3" x14ac:dyDescent="0.25">
      <c r="A184" s="423">
        <v>41526</v>
      </c>
      <c r="B184" s="424">
        <v>8.1087962962962959E-2</v>
      </c>
      <c r="C184" s="427" t="s">
        <v>1338</v>
      </c>
    </row>
    <row r="185" spans="1:3" x14ac:dyDescent="0.25">
      <c r="A185" s="423">
        <v>41526</v>
      </c>
      <c r="B185" s="424">
        <v>8.3217592592592593E-2</v>
      </c>
      <c r="C185" s="427" t="s">
        <v>1303</v>
      </c>
    </row>
    <row r="186" spans="1:3" x14ac:dyDescent="0.25">
      <c r="A186" s="423">
        <v>41526</v>
      </c>
      <c r="B186" s="424">
        <v>8.3217592592592593E-2</v>
      </c>
      <c r="C186" s="427" t="s">
        <v>1304</v>
      </c>
    </row>
    <row r="187" spans="1:3" x14ac:dyDescent="0.25">
      <c r="A187" s="423">
        <v>41526</v>
      </c>
      <c r="B187" s="424">
        <v>8.3217592592592593E-2</v>
      </c>
      <c r="C187" s="427" t="s">
        <v>1305</v>
      </c>
    </row>
    <row r="188" spans="1:3" ht="45" x14ac:dyDescent="0.25">
      <c r="A188" s="423">
        <v>41526</v>
      </c>
      <c r="B188" s="424">
        <v>8.3217592592592593E-2</v>
      </c>
      <c r="C188" s="428" t="s">
        <v>1306</v>
      </c>
    </row>
    <row r="189" spans="1:3" x14ac:dyDescent="0.25">
      <c r="A189" s="423">
        <v>41526</v>
      </c>
      <c r="B189" s="424">
        <v>8.4849537037037029E-2</v>
      </c>
      <c r="C189" s="427" t="s">
        <v>1227</v>
      </c>
    </row>
    <row r="190" spans="1:3" x14ac:dyDescent="0.25">
      <c r="A190" s="423">
        <v>41526</v>
      </c>
      <c r="B190" s="424">
        <v>8.4849537037037029E-2</v>
      </c>
      <c r="C190" s="427" t="s">
        <v>1280</v>
      </c>
    </row>
    <row r="191" spans="1:3" x14ac:dyDescent="0.25">
      <c r="A191" s="423">
        <v>41526</v>
      </c>
      <c r="B191" s="424">
        <v>8.5347222222222227E-2</v>
      </c>
      <c r="C191" s="427" t="s">
        <v>1339</v>
      </c>
    </row>
    <row r="192" spans="1:3" x14ac:dyDescent="0.25">
      <c r="A192" s="423">
        <v>41526</v>
      </c>
      <c r="B192" s="424">
        <v>8.5358796296296294E-2</v>
      </c>
      <c r="C192" s="427" t="s">
        <v>1340</v>
      </c>
    </row>
    <row r="193" spans="1:3" x14ac:dyDescent="0.25">
      <c r="A193" s="423">
        <v>41526</v>
      </c>
      <c r="B193" s="424">
        <v>8.5358796296296294E-2</v>
      </c>
      <c r="C193" s="427" t="s">
        <v>1281</v>
      </c>
    </row>
    <row r="194" spans="1:3" x14ac:dyDescent="0.25">
      <c r="A194" s="423">
        <v>41526</v>
      </c>
      <c r="B194" s="424">
        <v>8.7268518518518523E-2</v>
      </c>
      <c r="C194" s="427" t="s">
        <v>1227</v>
      </c>
    </row>
    <row r="195" spans="1:3" x14ac:dyDescent="0.25">
      <c r="A195" s="423">
        <v>41526</v>
      </c>
      <c r="B195" s="424">
        <v>8.7268518518518523E-2</v>
      </c>
      <c r="C195" s="427" t="s">
        <v>1280</v>
      </c>
    </row>
    <row r="196" spans="1:3" x14ac:dyDescent="0.25">
      <c r="A196" s="423">
        <v>41526</v>
      </c>
      <c r="B196" s="424">
        <v>8.9062500000000003E-2</v>
      </c>
      <c r="C196" s="427" t="s">
        <v>1339</v>
      </c>
    </row>
    <row r="197" spans="1:3" x14ac:dyDescent="0.25">
      <c r="A197" s="423">
        <v>41526</v>
      </c>
      <c r="B197" s="424">
        <v>8.9062500000000003E-2</v>
      </c>
      <c r="C197" s="427" t="s">
        <v>1340</v>
      </c>
    </row>
    <row r="198" spans="1:3" x14ac:dyDescent="0.25">
      <c r="A198" s="423">
        <v>41526</v>
      </c>
      <c r="B198" s="424">
        <v>8.9062500000000003E-2</v>
      </c>
      <c r="C198" s="427" t="s">
        <v>1281</v>
      </c>
    </row>
    <row r="199" spans="1:3" x14ac:dyDescent="0.25">
      <c r="A199" s="423">
        <v>41526</v>
      </c>
      <c r="B199" s="424">
        <v>8.9814814814814806E-2</v>
      </c>
      <c r="C199" s="427" t="s">
        <v>1341</v>
      </c>
    </row>
    <row r="200" spans="1:3" x14ac:dyDescent="0.25">
      <c r="A200" s="423">
        <v>41526</v>
      </c>
      <c r="B200" s="424">
        <v>8.9965277777777783E-2</v>
      </c>
      <c r="C200" s="427" t="s">
        <v>1339</v>
      </c>
    </row>
    <row r="201" spans="1:3" x14ac:dyDescent="0.25">
      <c r="A201" s="423">
        <v>41526</v>
      </c>
      <c r="B201" s="424">
        <v>8.9965277777777783E-2</v>
      </c>
      <c r="C201" s="427" t="s">
        <v>1340</v>
      </c>
    </row>
    <row r="202" spans="1:3" x14ac:dyDescent="0.25">
      <c r="A202" s="423">
        <v>41526</v>
      </c>
      <c r="B202" s="424">
        <v>8.9965277777777783E-2</v>
      </c>
      <c r="C202" s="427" t="s">
        <v>1281</v>
      </c>
    </row>
    <row r="203" spans="1:3" x14ac:dyDescent="0.25">
      <c r="A203" s="423">
        <v>41526</v>
      </c>
      <c r="B203" s="424">
        <v>9.179398148148149E-2</v>
      </c>
      <c r="C203" s="427" t="s">
        <v>1342</v>
      </c>
    </row>
    <row r="204" spans="1:3" x14ac:dyDescent="0.25">
      <c r="A204" s="423">
        <v>41526</v>
      </c>
      <c r="B204" s="424">
        <v>9.6851851851851856E-2</v>
      </c>
      <c r="C204" s="427" t="s">
        <v>1342</v>
      </c>
    </row>
    <row r="205" spans="1:3" x14ac:dyDescent="0.25">
      <c r="A205" s="423">
        <v>41526</v>
      </c>
      <c r="B205" s="424">
        <v>9.6863425925925936E-2</v>
      </c>
      <c r="C205" s="427" t="s">
        <v>1343</v>
      </c>
    </row>
    <row r="206" spans="1:3" ht="45" x14ac:dyDescent="0.25">
      <c r="A206" s="423">
        <v>41526</v>
      </c>
      <c r="B206" s="424">
        <v>0.12208333333333332</v>
      </c>
      <c r="C206" s="428" t="s">
        <v>1344</v>
      </c>
    </row>
    <row r="207" spans="1:3" ht="30" x14ac:dyDescent="0.25">
      <c r="A207" s="423">
        <v>41526</v>
      </c>
      <c r="B207" s="424">
        <v>0.12208333333333332</v>
      </c>
      <c r="C207" s="428" t="s">
        <v>1345</v>
      </c>
    </row>
    <row r="208" spans="1:3" ht="45" x14ac:dyDescent="0.25">
      <c r="A208" s="423">
        <v>41526</v>
      </c>
      <c r="B208" s="424">
        <v>0.12258101851851851</v>
      </c>
      <c r="C208" s="428" t="s">
        <v>1346</v>
      </c>
    </row>
    <row r="209" spans="1:3" ht="45" x14ac:dyDescent="0.25">
      <c r="A209" s="423">
        <v>41526</v>
      </c>
      <c r="B209" s="424">
        <v>0.12405092592592593</v>
      </c>
      <c r="C209" s="428" t="s">
        <v>1347</v>
      </c>
    </row>
    <row r="210" spans="1:3" ht="30" x14ac:dyDescent="0.25">
      <c r="A210" s="423">
        <v>41526</v>
      </c>
      <c r="B210" s="424">
        <v>0.12416666666666666</v>
      </c>
      <c r="C210" s="428" t="s">
        <v>1348</v>
      </c>
    </row>
    <row r="211" spans="1:3" ht="45" x14ac:dyDescent="0.25">
      <c r="A211" s="423">
        <v>41526</v>
      </c>
      <c r="B211" s="424">
        <v>0.12424768518518518</v>
      </c>
      <c r="C211" s="428" t="s">
        <v>1349</v>
      </c>
    </row>
    <row r="212" spans="1:3" ht="30" x14ac:dyDescent="0.25">
      <c r="A212" s="423">
        <v>41526</v>
      </c>
      <c r="B212" s="424">
        <v>0.12454861111111111</v>
      </c>
      <c r="C212" s="428" t="s">
        <v>1350</v>
      </c>
    </row>
    <row r="213" spans="1:3" ht="30" x14ac:dyDescent="0.25">
      <c r="A213" s="423">
        <v>41526</v>
      </c>
      <c r="B213" s="424">
        <v>0.12557870370370369</v>
      </c>
      <c r="C213" s="428" t="s">
        <v>1351</v>
      </c>
    </row>
    <row r="214" spans="1:3" ht="45" x14ac:dyDescent="0.25">
      <c r="A214" s="423">
        <v>41526</v>
      </c>
      <c r="B214" s="424">
        <v>0.12613425925925925</v>
      </c>
      <c r="C214" s="428" t="s">
        <v>1352</v>
      </c>
    </row>
    <row r="215" spans="1:3" ht="30" x14ac:dyDescent="0.25">
      <c r="A215" s="423">
        <v>41526</v>
      </c>
      <c r="B215" s="424">
        <v>0.12637731481481482</v>
      </c>
      <c r="C215" s="428" t="s">
        <v>1353</v>
      </c>
    </row>
    <row r="216" spans="1:3" ht="45" x14ac:dyDescent="0.25">
      <c r="A216" s="423">
        <v>41526</v>
      </c>
      <c r="B216" s="424">
        <v>0.12748842592592594</v>
      </c>
      <c r="C216" s="428" t="s">
        <v>1354</v>
      </c>
    </row>
    <row r="217" spans="1:3" ht="45" x14ac:dyDescent="0.25">
      <c r="A217" s="423">
        <v>41526</v>
      </c>
      <c r="B217" s="424">
        <v>0.12876157407407407</v>
      </c>
      <c r="C217" s="428" t="s">
        <v>1355</v>
      </c>
    </row>
    <row r="218" spans="1:3" x14ac:dyDescent="0.25">
      <c r="A218" s="423">
        <v>41526</v>
      </c>
      <c r="B218" s="424">
        <v>0.13013888888888889</v>
      </c>
      <c r="C218" s="427" t="s">
        <v>1356</v>
      </c>
    </row>
    <row r="219" spans="1:3" x14ac:dyDescent="0.25">
      <c r="A219" s="423">
        <v>41526</v>
      </c>
      <c r="B219" s="424">
        <v>0.13013888888888889</v>
      </c>
      <c r="C219" s="427" t="s">
        <v>1357</v>
      </c>
    </row>
    <row r="220" spans="1:3" x14ac:dyDescent="0.25">
      <c r="A220" s="423">
        <v>41526</v>
      </c>
      <c r="B220" s="424">
        <v>0.13013888888888889</v>
      </c>
      <c r="C220" s="427" t="s">
        <v>1358</v>
      </c>
    </row>
    <row r="221" spans="1:3" x14ac:dyDescent="0.25">
      <c r="A221" s="423">
        <v>41526</v>
      </c>
      <c r="B221" s="424">
        <v>0.13122685185185184</v>
      </c>
      <c r="C221" s="427" t="s">
        <v>1359</v>
      </c>
    </row>
    <row r="222" spans="1:3" x14ac:dyDescent="0.25">
      <c r="A222" s="423">
        <v>41526</v>
      </c>
      <c r="B222" s="424">
        <v>0.13123842592592591</v>
      </c>
      <c r="C222" s="427" t="s">
        <v>1343</v>
      </c>
    </row>
    <row r="223" spans="1:3" ht="30" x14ac:dyDescent="0.25">
      <c r="A223" s="423">
        <v>41526</v>
      </c>
      <c r="B223" s="424">
        <v>0.1330324074074074</v>
      </c>
      <c r="C223" s="428" t="s">
        <v>1360</v>
      </c>
    </row>
    <row r="224" spans="1:3" ht="45" x14ac:dyDescent="0.25">
      <c r="A224" s="423">
        <v>41526</v>
      </c>
      <c r="B224" s="424">
        <v>0.13350694444444444</v>
      </c>
      <c r="C224" s="428" t="s">
        <v>1361</v>
      </c>
    </row>
    <row r="225" spans="1:3" ht="30" x14ac:dyDescent="0.25">
      <c r="A225" s="423">
        <v>41526</v>
      </c>
      <c r="B225" s="424">
        <v>0.13390046296296296</v>
      </c>
      <c r="C225" s="428" t="s">
        <v>1362</v>
      </c>
    </row>
    <row r="226" spans="1:3" ht="45" x14ac:dyDescent="0.25">
      <c r="A226" s="423">
        <v>41526</v>
      </c>
      <c r="B226" s="424">
        <v>0.13827546296296298</v>
      </c>
      <c r="C226" s="428" t="s">
        <v>1363</v>
      </c>
    </row>
    <row r="227" spans="1:3" ht="45" x14ac:dyDescent="0.25">
      <c r="A227" s="423">
        <v>41526</v>
      </c>
      <c r="B227" s="424">
        <v>0.13900462962962964</v>
      </c>
      <c r="C227" s="428" t="s">
        <v>1364</v>
      </c>
    </row>
    <row r="228" spans="1:3" ht="45" x14ac:dyDescent="0.25">
      <c r="A228" s="423">
        <v>41526</v>
      </c>
      <c r="B228" s="424">
        <v>0.13918981481481482</v>
      </c>
      <c r="C228" s="428" t="s">
        <v>1365</v>
      </c>
    </row>
    <row r="229" spans="1:3" ht="30" x14ac:dyDescent="0.25">
      <c r="A229" s="423">
        <v>41526</v>
      </c>
      <c r="B229" s="424">
        <v>0.13930555555555554</v>
      </c>
      <c r="C229" s="428" t="s">
        <v>1366</v>
      </c>
    </row>
    <row r="230" spans="1:3" ht="60" x14ac:dyDescent="0.25">
      <c r="A230" s="423">
        <v>41526</v>
      </c>
      <c r="B230" s="424">
        <v>0.14605324074074075</v>
      </c>
      <c r="C230" s="428" t="s">
        <v>1367</v>
      </c>
    </row>
    <row r="231" spans="1:3" x14ac:dyDescent="0.25">
      <c r="A231" s="423">
        <v>41526</v>
      </c>
      <c r="B231" s="424">
        <v>0.14607638888888888</v>
      </c>
      <c r="C231" s="427" t="s">
        <v>1368</v>
      </c>
    </row>
    <row r="232" spans="1:3" ht="60" x14ac:dyDescent="0.25">
      <c r="A232" s="423">
        <v>41526</v>
      </c>
      <c r="B232" s="424">
        <v>0.14607638888888888</v>
      </c>
      <c r="C232" s="428" t="s">
        <v>1369</v>
      </c>
    </row>
    <row r="233" spans="1:3" x14ac:dyDescent="0.25">
      <c r="A233" s="423">
        <v>41526</v>
      </c>
      <c r="B233" s="424">
        <v>0.1464351851851852</v>
      </c>
      <c r="C233" s="427" t="s">
        <v>1368</v>
      </c>
    </row>
    <row r="234" spans="1:3" ht="60" x14ac:dyDescent="0.25">
      <c r="A234" s="423">
        <v>41526</v>
      </c>
      <c r="B234" s="424">
        <v>0.1464351851851852</v>
      </c>
      <c r="C234" s="428" t="s">
        <v>1370</v>
      </c>
    </row>
    <row r="235" spans="1:3" x14ac:dyDescent="0.25">
      <c r="A235" s="423">
        <v>41526</v>
      </c>
      <c r="B235" s="424">
        <v>0.14652777777777778</v>
      </c>
      <c r="C235" s="427" t="s">
        <v>1356</v>
      </c>
    </row>
    <row r="236" spans="1:3" x14ac:dyDescent="0.25">
      <c r="A236" s="423">
        <v>41526</v>
      </c>
      <c r="B236" s="424">
        <v>0.14652777777777778</v>
      </c>
      <c r="C236" s="427" t="s">
        <v>1357</v>
      </c>
    </row>
    <row r="237" spans="1:3" x14ac:dyDescent="0.25">
      <c r="A237" s="423">
        <v>41526</v>
      </c>
      <c r="B237" s="424">
        <v>0.14652777777777778</v>
      </c>
      <c r="C237" s="427" t="s">
        <v>1358</v>
      </c>
    </row>
    <row r="238" spans="1:3" ht="60" x14ac:dyDescent="0.25">
      <c r="A238" s="423">
        <v>41526</v>
      </c>
      <c r="B238" s="424">
        <v>0.14822916666666666</v>
      </c>
      <c r="C238" s="428" t="s">
        <v>1371</v>
      </c>
    </row>
    <row r="239" spans="1:3" x14ac:dyDescent="0.25">
      <c r="A239" s="423">
        <v>41526</v>
      </c>
      <c r="B239" s="424">
        <v>0.14826388888888889</v>
      </c>
      <c r="C239" s="427" t="s">
        <v>1372</v>
      </c>
    </row>
    <row r="240" spans="1:3" ht="60" x14ac:dyDescent="0.25">
      <c r="A240" s="423">
        <v>41526</v>
      </c>
      <c r="B240" s="424">
        <v>0.14826388888888889</v>
      </c>
      <c r="C240" s="428" t="s">
        <v>1369</v>
      </c>
    </row>
    <row r="241" spans="1:3" x14ac:dyDescent="0.25">
      <c r="A241" s="423">
        <v>41526</v>
      </c>
      <c r="B241" s="424">
        <v>0.14910879629629628</v>
      </c>
      <c r="C241" s="427" t="s">
        <v>1372</v>
      </c>
    </row>
    <row r="242" spans="1:3" ht="60" x14ac:dyDescent="0.25">
      <c r="A242" s="423">
        <v>41526</v>
      </c>
      <c r="B242" s="424">
        <v>0.14910879629629628</v>
      </c>
      <c r="C242" s="428" t="s">
        <v>1370</v>
      </c>
    </row>
    <row r="243" spans="1:3" x14ac:dyDescent="0.25">
      <c r="A243" s="423">
        <v>41526</v>
      </c>
      <c r="B243" s="424">
        <v>0.14922453703703703</v>
      </c>
      <c r="C243" s="427" t="s">
        <v>1356</v>
      </c>
    </row>
    <row r="244" spans="1:3" x14ac:dyDescent="0.25">
      <c r="A244" s="423">
        <v>41526</v>
      </c>
      <c r="B244" s="424">
        <v>0.14922453703703703</v>
      </c>
      <c r="C244" s="427" t="s">
        <v>1357</v>
      </c>
    </row>
    <row r="245" spans="1:3" x14ac:dyDescent="0.25">
      <c r="A245" s="423">
        <v>41526</v>
      </c>
      <c r="B245" s="424">
        <v>0.14922453703703703</v>
      </c>
      <c r="C245" s="427" t="s">
        <v>1358</v>
      </c>
    </row>
    <row r="246" spans="1:3" x14ac:dyDescent="0.25">
      <c r="A246" s="423">
        <v>41526</v>
      </c>
      <c r="B246" s="424">
        <v>0.15006944444444445</v>
      </c>
      <c r="C246" s="427" t="s">
        <v>1373</v>
      </c>
    </row>
    <row r="247" spans="1:3" x14ac:dyDescent="0.25">
      <c r="A247" s="423">
        <v>41526</v>
      </c>
      <c r="B247" s="424">
        <v>0.15006944444444445</v>
      </c>
      <c r="C247" s="427" t="s">
        <v>1374</v>
      </c>
    </row>
    <row r="248" spans="1:3" x14ac:dyDescent="0.25">
      <c r="A248" s="423">
        <v>41526</v>
      </c>
      <c r="B248" s="424">
        <v>0.15041666666666667</v>
      </c>
      <c r="C248" s="427" t="s">
        <v>1375</v>
      </c>
    </row>
    <row r="249" spans="1:3" x14ac:dyDescent="0.25">
      <c r="A249" s="423">
        <v>41526</v>
      </c>
      <c r="B249" s="424">
        <v>0.15041666666666667</v>
      </c>
      <c r="C249" s="427" t="s">
        <v>1376</v>
      </c>
    </row>
    <row r="250" spans="1:3" x14ac:dyDescent="0.25">
      <c r="A250" s="423">
        <v>41526</v>
      </c>
      <c r="B250" s="424">
        <v>0.15041666666666667</v>
      </c>
      <c r="C250" s="427" t="s">
        <v>1377</v>
      </c>
    </row>
    <row r="251" spans="1:3" x14ac:dyDescent="0.25">
      <c r="A251" s="423">
        <v>41526</v>
      </c>
      <c r="B251" s="424">
        <v>0.1506712962962963</v>
      </c>
      <c r="C251" s="427" t="s">
        <v>1378</v>
      </c>
    </row>
    <row r="252" spans="1:3" x14ac:dyDescent="0.25">
      <c r="A252" s="423">
        <v>41526</v>
      </c>
      <c r="B252" s="424">
        <v>0.1506712962962963</v>
      </c>
      <c r="C252" s="427" t="s">
        <v>1379</v>
      </c>
    </row>
    <row r="253" spans="1:3" x14ac:dyDescent="0.25">
      <c r="A253" s="423">
        <v>41526</v>
      </c>
      <c r="B253" s="424">
        <v>0.15101851851851852</v>
      </c>
      <c r="C253" s="427" t="s">
        <v>1368</v>
      </c>
    </row>
    <row r="254" spans="1:3" ht="60" x14ac:dyDescent="0.25">
      <c r="A254" s="423">
        <v>41526</v>
      </c>
      <c r="B254" s="424">
        <v>0.15101851851851852</v>
      </c>
      <c r="C254" s="428" t="s">
        <v>1380</v>
      </c>
    </row>
    <row r="255" spans="1:3" x14ac:dyDescent="0.25">
      <c r="A255" s="423">
        <v>41526</v>
      </c>
      <c r="B255" s="424">
        <v>0.15105324074074075</v>
      </c>
      <c r="C255" s="427" t="s">
        <v>1368</v>
      </c>
    </row>
    <row r="256" spans="1:3" ht="60" x14ac:dyDescent="0.25">
      <c r="A256" s="423">
        <v>41526</v>
      </c>
      <c r="B256" s="424">
        <v>0.15105324074074075</v>
      </c>
      <c r="C256" s="428" t="s">
        <v>1381</v>
      </c>
    </row>
    <row r="257" spans="1:3" x14ac:dyDescent="0.25">
      <c r="A257" s="423">
        <v>41526</v>
      </c>
      <c r="B257" s="424">
        <v>0.15106481481481482</v>
      </c>
      <c r="C257" s="427" t="s">
        <v>1368</v>
      </c>
    </row>
    <row r="258" spans="1:3" ht="60" x14ac:dyDescent="0.25">
      <c r="A258" s="423">
        <v>41526</v>
      </c>
      <c r="B258" s="424">
        <v>0.15106481481481482</v>
      </c>
      <c r="C258" s="428" t="s">
        <v>1382</v>
      </c>
    </row>
    <row r="259" spans="1:3" x14ac:dyDescent="0.25">
      <c r="A259" s="423">
        <v>41526</v>
      </c>
      <c r="B259" s="424">
        <v>0.15107638888888889</v>
      </c>
      <c r="C259" s="427" t="s">
        <v>1368</v>
      </c>
    </row>
    <row r="260" spans="1:3" ht="60" x14ac:dyDescent="0.25">
      <c r="A260" s="423">
        <v>41526</v>
      </c>
      <c r="B260" s="424">
        <v>0.15107638888888889</v>
      </c>
      <c r="C260" s="428" t="s">
        <v>1383</v>
      </c>
    </row>
    <row r="261" spans="1:3" x14ac:dyDescent="0.25">
      <c r="A261" s="423">
        <v>41526</v>
      </c>
      <c r="B261" s="424">
        <v>0.15108796296296298</v>
      </c>
      <c r="C261" s="427" t="s">
        <v>1384</v>
      </c>
    </row>
    <row r="262" spans="1:3" x14ac:dyDescent="0.25">
      <c r="A262" s="423">
        <v>41526</v>
      </c>
      <c r="B262" s="424">
        <v>0.15108796296296298</v>
      </c>
      <c r="C262" s="427" t="s">
        <v>1385</v>
      </c>
    </row>
    <row r="263" spans="1:3" x14ac:dyDescent="0.25">
      <c r="A263" s="423">
        <v>41526</v>
      </c>
      <c r="B263" s="424">
        <v>0.15130787037037038</v>
      </c>
      <c r="C263" s="427" t="s">
        <v>1384</v>
      </c>
    </row>
    <row r="264" spans="1:3" x14ac:dyDescent="0.25">
      <c r="A264" s="423">
        <v>41526</v>
      </c>
      <c r="B264" s="424">
        <v>0.15130787037037038</v>
      </c>
      <c r="C264" s="427" t="s">
        <v>1385</v>
      </c>
    </row>
    <row r="265" spans="1:3" x14ac:dyDescent="0.25">
      <c r="A265" s="423">
        <v>41526</v>
      </c>
      <c r="B265" s="424">
        <v>0.15145833333333333</v>
      </c>
      <c r="C265" s="427" t="s">
        <v>1359</v>
      </c>
    </row>
    <row r="266" spans="1:3" x14ac:dyDescent="0.25">
      <c r="A266" s="423">
        <v>41526</v>
      </c>
      <c r="B266" s="424">
        <v>0.15145833333333333</v>
      </c>
      <c r="C266" s="427" t="s">
        <v>1386</v>
      </c>
    </row>
    <row r="267" spans="1:3" ht="45" x14ac:dyDescent="0.25">
      <c r="A267" s="423">
        <v>41526</v>
      </c>
      <c r="B267" s="424">
        <v>0.16364583333333335</v>
      </c>
      <c r="C267" s="428" t="s">
        <v>1387</v>
      </c>
    </row>
    <row r="268" spans="1:3" ht="45" x14ac:dyDescent="0.25">
      <c r="A268" s="423">
        <v>41526</v>
      </c>
      <c r="B268" s="424">
        <v>0.16440972222222222</v>
      </c>
      <c r="C268" s="428" t="s">
        <v>1344</v>
      </c>
    </row>
    <row r="269" spans="1:3" ht="30" x14ac:dyDescent="0.25">
      <c r="A269" s="423">
        <v>41526</v>
      </c>
      <c r="B269" s="424">
        <v>0.16450231481481481</v>
      </c>
      <c r="C269" s="428" t="s">
        <v>1388</v>
      </c>
    </row>
    <row r="270" spans="1:3" ht="45" x14ac:dyDescent="0.25">
      <c r="A270" s="423">
        <v>41526</v>
      </c>
      <c r="B270" s="424">
        <v>0.16460648148148146</v>
      </c>
      <c r="C270" s="428" t="s">
        <v>1389</v>
      </c>
    </row>
    <row r="271" spans="1:3" ht="60" x14ac:dyDescent="0.25">
      <c r="A271" s="423">
        <v>41526</v>
      </c>
      <c r="B271" s="424">
        <v>0.16593749999999999</v>
      </c>
      <c r="C271" s="428" t="s">
        <v>1390</v>
      </c>
    </row>
    <row r="272" spans="1:3" x14ac:dyDescent="0.25">
      <c r="A272" s="423">
        <v>41526</v>
      </c>
      <c r="B272" s="424">
        <v>0.16600694444444444</v>
      </c>
      <c r="C272" s="427" t="s">
        <v>1391</v>
      </c>
    </row>
    <row r="273" spans="1:3" x14ac:dyDescent="0.25">
      <c r="A273" s="423">
        <v>41526</v>
      </c>
      <c r="B273" s="424">
        <v>0.16600694444444444</v>
      </c>
      <c r="C273" s="427" t="s">
        <v>1392</v>
      </c>
    </row>
    <row r="274" spans="1:3" x14ac:dyDescent="0.25">
      <c r="A274" s="423">
        <v>41526</v>
      </c>
      <c r="B274" s="424">
        <v>0.16678240740740743</v>
      </c>
      <c r="C274" s="427" t="s">
        <v>1393</v>
      </c>
    </row>
    <row r="275" spans="1:3" x14ac:dyDescent="0.25">
      <c r="A275" s="423">
        <v>41526</v>
      </c>
      <c r="B275" s="424">
        <v>0.16679398148148147</v>
      </c>
      <c r="C275" s="427" t="s">
        <v>1386</v>
      </c>
    </row>
    <row r="276" spans="1:3" ht="45" x14ac:dyDescent="0.25">
      <c r="A276" s="423">
        <v>41526</v>
      </c>
      <c r="B276" s="424">
        <v>0.62343749999999998</v>
      </c>
      <c r="C276" s="428" t="s">
        <v>1394</v>
      </c>
    </row>
    <row r="277" spans="1:3" ht="30" x14ac:dyDescent="0.25">
      <c r="A277" s="423">
        <v>41526</v>
      </c>
      <c r="B277" s="424">
        <v>0.62380787037037033</v>
      </c>
      <c r="C277" s="428" t="s">
        <v>1397</v>
      </c>
    </row>
    <row r="278" spans="1:3" ht="45" x14ac:dyDescent="0.25">
      <c r="A278" s="423">
        <v>41526</v>
      </c>
      <c r="B278" s="424">
        <v>0.64818287037037037</v>
      </c>
      <c r="C278" s="428" t="s">
        <v>1398</v>
      </c>
    </row>
    <row r="279" spans="1:3" ht="45" x14ac:dyDescent="0.25">
      <c r="A279" s="423">
        <v>41526</v>
      </c>
      <c r="B279" s="424">
        <v>0.64885416666666662</v>
      </c>
      <c r="C279" s="428" t="s">
        <v>1399</v>
      </c>
    </row>
    <row r="280" spans="1:3" ht="45" x14ac:dyDescent="0.25">
      <c r="A280" s="423">
        <v>41526</v>
      </c>
      <c r="B280" s="424">
        <v>0.64901620370370372</v>
      </c>
      <c r="C280" s="428" t="s">
        <v>1400</v>
      </c>
    </row>
    <row r="281" spans="1:3" ht="30" x14ac:dyDescent="0.25">
      <c r="A281" s="423">
        <v>41526</v>
      </c>
      <c r="B281" s="424">
        <v>0.64913194444444444</v>
      </c>
      <c r="C281" s="428" t="s">
        <v>1401</v>
      </c>
    </row>
    <row r="282" spans="1:3" ht="45" x14ac:dyDescent="0.25">
      <c r="A282" s="423">
        <v>41526</v>
      </c>
      <c r="B282" s="424">
        <v>0.94012731481481471</v>
      </c>
      <c r="C282" s="428" t="s">
        <v>1402</v>
      </c>
    </row>
    <row r="283" spans="1:3" ht="45" x14ac:dyDescent="0.25">
      <c r="A283" s="423">
        <v>41526</v>
      </c>
      <c r="B283" s="424">
        <v>0.94087962962962957</v>
      </c>
      <c r="C283" s="428" t="s">
        <v>1403</v>
      </c>
    </row>
    <row r="284" spans="1:3" ht="45" x14ac:dyDescent="0.25">
      <c r="A284" s="423">
        <v>41526</v>
      </c>
      <c r="B284" s="424">
        <v>0.94106481481481474</v>
      </c>
      <c r="C284" s="428" t="s">
        <v>1404</v>
      </c>
    </row>
    <row r="285" spans="1:3" ht="30" x14ac:dyDescent="0.25">
      <c r="A285" s="423">
        <v>41526</v>
      </c>
      <c r="B285" s="424">
        <v>0.94118055555555558</v>
      </c>
      <c r="C285" s="428" t="s">
        <v>1405</v>
      </c>
    </row>
    <row r="286" spans="1:3" ht="60" x14ac:dyDescent="0.25">
      <c r="A286" s="423">
        <v>41526</v>
      </c>
      <c r="B286" s="424">
        <v>0.94343749999999993</v>
      </c>
      <c r="C286" s="428" t="s">
        <v>1406</v>
      </c>
    </row>
    <row r="287" spans="1:3" x14ac:dyDescent="0.25">
      <c r="A287" s="423">
        <v>41526</v>
      </c>
      <c r="B287" s="424">
        <v>0.9435069444444445</v>
      </c>
      <c r="C287" s="427" t="s">
        <v>1391</v>
      </c>
    </row>
    <row r="288" spans="1:3" x14ac:dyDescent="0.25">
      <c r="A288" s="423">
        <v>41526</v>
      </c>
      <c r="B288" s="424">
        <v>0.9435069444444445</v>
      </c>
      <c r="C288" s="427" t="s">
        <v>1392</v>
      </c>
    </row>
    <row r="289" spans="1:3" ht="60" x14ac:dyDescent="0.25">
      <c r="A289" s="423">
        <v>41526</v>
      </c>
      <c r="B289" s="424">
        <v>0.94494212962962953</v>
      </c>
      <c r="C289" s="428" t="s">
        <v>1407</v>
      </c>
    </row>
    <row r="290" spans="1:3" x14ac:dyDescent="0.25">
      <c r="A290" s="423">
        <v>41526</v>
      </c>
      <c r="B290" s="424">
        <v>0.94502314814814825</v>
      </c>
      <c r="C290" s="427" t="s">
        <v>1391</v>
      </c>
    </row>
    <row r="291" spans="1:3" x14ac:dyDescent="0.25">
      <c r="A291" s="423">
        <v>41526</v>
      </c>
      <c r="B291" s="424">
        <v>0.94502314814814825</v>
      </c>
      <c r="C291" s="427" t="s">
        <v>1392</v>
      </c>
    </row>
    <row r="292" spans="1:3" x14ac:dyDescent="0.25">
      <c r="A292" s="423">
        <v>41526</v>
      </c>
      <c r="B292" s="424">
        <v>0.94571759259259258</v>
      </c>
      <c r="C292" s="427" t="s">
        <v>1408</v>
      </c>
    </row>
    <row r="293" spans="1:3" x14ac:dyDescent="0.25">
      <c r="A293" s="423">
        <v>41526</v>
      </c>
      <c r="B293" s="424">
        <v>0.94571759259259258</v>
      </c>
      <c r="C293" s="427" t="s">
        <v>1409</v>
      </c>
    </row>
    <row r="294" spans="1:3" x14ac:dyDescent="0.25">
      <c r="A294" s="423">
        <v>41526</v>
      </c>
      <c r="B294" s="424">
        <v>0.94571759259259258</v>
      </c>
      <c r="C294" s="427" t="s">
        <v>1410</v>
      </c>
    </row>
    <row r="295" spans="1:3" x14ac:dyDescent="0.25">
      <c r="A295" s="423">
        <v>41526</v>
      </c>
      <c r="B295" s="424">
        <v>0.94671296296296292</v>
      </c>
      <c r="C295" s="427" t="s">
        <v>1411</v>
      </c>
    </row>
    <row r="296" spans="1:3" x14ac:dyDescent="0.25">
      <c r="A296" s="423">
        <v>41526</v>
      </c>
      <c r="B296" s="424">
        <v>0.94671296296296292</v>
      </c>
      <c r="C296" s="427" t="s">
        <v>1412</v>
      </c>
    </row>
    <row r="297" spans="1:3" x14ac:dyDescent="0.25">
      <c r="A297" s="423">
        <v>41526</v>
      </c>
      <c r="B297" s="424">
        <v>0.94769675925925922</v>
      </c>
      <c r="C297" s="427" t="s">
        <v>1413</v>
      </c>
    </row>
    <row r="298" spans="1:3" x14ac:dyDescent="0.25">
      <c r="A298" s="423">
        <v>41526</v>
      </c>
      <c r="B298" s="424">
        <v>0.94789351851851855</v>
      </c>
      <c r="C298" s="427" t="s">
        <v>1414</v>
      </c>
    </row>
    <row r="299" spans="1:3" x14ac:dyDescent="0.25">
      <c r="A299" s="423">
        <v>41526</v>
      </c>
      <c r="B299" s="424">
        <v>0.94789351851851855</v>
      </c>
      <c r="C299" s="427" t="s">
        <v>1415</v>
      </c>
    </row>
    <row r="300" spans="1:3" x14ac:dyDescent="0.25">
      <c r="A300" s="423">
        <v>41526</v>
      </c>
      <c r="B300" s="424">
        <v>0.94789351851851855</v>
      </c>
      <c r="C300" s="427" t="s">
        <v>1416</v>
      </c>
    </row>
    <row r="301" spans="1:3" x14ac:dyDescent="0.25">
      <c r="A301" s="423">
        <v>41526</v>
      </c>
      <c r="B301" s="424">
        <v>0.94819444444444445</v>
      </c>
      <c r="C301" s="427" t="s">
        <v>1417</v>
      </c>
    </row>
    <row r="302" spans="1:3" x14ac:dyDescent="0.25">
      <c r="A302" s="423">
        <v>41526</v>
      </c>
      <c r="B302" s="424">
        <v>0.94820601851851849</v>
      </c>
      <c r="C302" s="427" t="s">
        <v>1418</v>
      </c>
    </row>
    <row r="303" spans="1:3" x14ac:dyDescent="0.25">
      <c r="A303" s="423">
        <v>41526</v>
      </c>
      <c r="B303" s="424">
        <v>0.94822916666666668</v>
      </c>
      <c r="C303" s="427" t="s">
        <v>1419</v>
      </c>
    </row>
    <row r="304" spans="1:3" x14ac:dyDescent="0.25">
      <c r="A304" s="423">
        <v>41526</v>
      </c>
      <c r="B304" s="424">
        <v>0.95597222222222233</v>
      </c>
      <c r="C304" s="427" t="s">
        <v>1420</v>
      </c>
    </row>
    <row r="305" spans="1:3" ht="60" x14ac:dyDescent="0.25">
      <c r="A305" s="423">
        <v>41526</v>
      </c>
      <c r="B305" s="424">
        <v>0.95597222222222233</v>
      </c>
      <c r="C305" s="428" t="s">
        <v>1421</v>
      </c>
    </row>
    <row r="306" spans="1:3" x14ac:dyDescent="0.25">
      <c r="A306" s="423">
        <v>41526</v>
      </c>
      <c r="B306" s="424">
        <v>0.96111111111111114</v>
      </c>
      <c r="C306" s="427" t="s">
        <v>1391</v>
      </c>
    </row>
    <row r="307" spans="1:3" x14ac:dyDescent="0.25">
      <c r="A307" s="423">
        <v>41526</v>
      </c>
      <c r="B307" s="424">
        <v>0.96111111111111114</v>
      </c>
      <c r="C307" s="427" t="s">
        <v>1392</v>
      </c>
    </row>
    <row r="308" spans="1:3" x14ac:dyDescent="0.25">
      <c r="A308" s="423">
        <v>41526</v>
      </c>
      <c r="B308" s="424">
        <v>0.96121527777777782</v>
      </c>
      <c r="C308" s="427" t="s">
        <v>1422</v>
      </c>
    </row>
    <row r="309" spans="1:3" x14ac:dyDescent="0.25">
      <c r="A309" s="423">
        <v>41526</v>
      </c>
      <c r="B309" s="424">
        <v>0.96121527777777782</v>
      </c>
      <c r="C309" s="427" t="s">
        <v>1423</v>
      </c>
    </row>
    <row r="310" spans="1:3" ht="45" x14ac:dyDescent="0.25">
      <c r="A310" s="423">
        <v>41526</v>
      </c>
      <c r="B310" s="424">
        <v>0.98715277777777777</v>
      </c>
      <c r="C310" s="428" t="s">
        <v>1424</v>
      </c>
    </row>
    <row r="311" spans="1:3" ht="30" x14ac:dyDescent="0.25">
      <c r="A311" s="423">
        <v>41526</v>
      </c>
      <c r="B311" s="424">
        <v>0.98780092592592583</v>
      </c>
      <c r="C311" s="428" t="s">
        <v>1425</v>
      </c>
    </row>
    <row r="312" spans="1:3" ht="45" x14ac:dyDescent="0.25">
      <c r="A312" s="423">
        <v>41526</v>
      </c>
      <c r="B312" s="424">
        <v>0.98791666666666667</v>
      </c>
      <c r="C312" s="428" t="s">
        <v>1426</v>
      </c>
    </row>
    <row r="313" spans="1:3" ht="45" x14ac:dyDescent="0.25">
      <c r="A313" s="423">
        <v>41526</v>
      </c>
      <c r="B313" s="424">
        <v>0.9884722222222222</v>
      </c>
      <c r="C313" s="428" t="s">
        <v>1427</v>
      </c>
    </row>
    <row r="314" spans="1:3" ht="60" x14ac:dyDescent="0.25">
      <c r="A314" s="423">
        <v>41526</v>
      </c>
      <c r="B314" s="424">
        <v>0.98947916666666658</v>
      </c>
      <c r="C314" s="428" t="s">
        <v>1428</v>
      </c>
    </row>
    <row r="315" spans="1:3" x14ac:dyDescent="0.25">
      <c r="A315" s="423">
        <v>41526</v>
      </c>
      <c r="B315" s="424">
        <v>0.99121527777777774</v>
      </c>
      <c r="C315" s="427" t="s">
        <v>1429</v>
      </c>
    </row>
    <row r="316" spans="1:3" x14ac:dyDescent="0.25">
      <c r="A316" s="423">
        <v>41526</v>
      </c>
      <c r="B316" s="424">
        <v>0.99121527777777774</v>
      </c>
      <c r="C316" s="427" t="s">
        <v>1430</v>
      </c>
    </row>
    <row r="317" spans="1:3" ht="45" x14ac:dyDescent="0.25">
      <c r="A317" s="423">
        <v>41527</v>
      </c>
      <c r="B317" s="424">
        <v>3.8194444444444443E-3</v>
      </c>
      <c r="C317" s="428" t="s">
        <v>1431</v>
      </c>
    </row>
    <row r="318" spans="1:3" ht="45" x14ac:dyDescent="0.25">
      <c r="A318" s="423">
        <v>41527</v>
      </c>
      <c r="B318" s="424">
        <v>4.1435185185185186E-3</v>
      </c>
      <c r="C318" s="428" t="s">
        <v>1432</v>
      </c>
    </row>
    <row r="319" spans="1:3" ht="30" x14ac:dyDescent="0.25">
      <c r="A319" s="423">
        <v>41527</v>
      </c>
      <c r="B319" s="424">
        <v>4.7453703703703703E-3</v>
      </c>
      <c r="C319" s="428" t="s">
        <v>1433</v>
      </c>
    </row>
    <row r="320" spans="1:3" ht="45" x14ac:dyDescent="0.25">
      <c r="A320" s="423">
        <v>41527</v>
      </c>
      <c r="B320" s="424">
        <v>4.8379629629629632E-3</v>
      </c>
      <c r="C320" s="428" t="s">
        <v>1434</v>
      </c>
    </row>
    <row r="321" spans="1:3" ht="45" x14ac:dyDescent="0.25">
      <c r="A321" s="423">
        <v>41527</v>
      </c>
      <c r="B321" s="424">
        <v>5.1967592592592595E-3</v>
      </c>
      <c r="C321" s="428" t="s">
        <v>1435</v>
      </c>
    </row>
    <row r="322" spans="1:3" ht="45" x14ac:dyDescent="0.25">
      <c r="A322" s="423">
        <v>41527</v>
      </c>
      <c r="B322" s="424">
        <v>6.0069444444444441E-3</v>
      </c>
      <c r="C322" s="428" t="s">
        <v>1436</v>
      </c>
    </row>
    <row r="323" spans="1:3" ht="45" x14ac:dyDescent="0.25">
      <c r="A323" s="423">
        <v>41527</v>
      </c>
      <c r="B323" s="424">
        <v>6.215277777777777E-3</v>
      </c>
      <c r="C323" s="428" t="s">
        <v>1437</v>
      </c>
    </row>
    <row r="324" spans="1:3" ht="30" x14ac:dyDescent="0.25">
      <c r="A324" s="423">
        <v>41527</v>
      </c>
      <c r="B324" s="424">
        <v>6.3541666666666668E-3</v>
      </c>
      <c r="C324" s="428" t="s">
        <v>1438</v>
      </c>
    </row>
    <row r="325" spans="1:3" ht="60" x14ac:dyDescent="0.25">
      <c r="A325" s="423">
        <v>41527</v>
      </c>
      <c r="B325" s="424">
        <v>7.4074074074074068E-3</v>
      </c>
      <c r="C325" s="428" t="s">
        <v>1439</v>
      </c>
    </row>
    <row r="326" spans="1:3" x14ac:dyDescent="0.25">
      <c r="A326" s="423">
        <v>41527</v>
      </c>
      <c r="B326" s="424">
        <v>1.0671296296296297E-2</v>
      </c>
      <c r="C326" s="427" t="s">
        <v>1429</v>
      </c>
    </row>
    <row r="327" spans="1:3" x14ac:dyDescent="0.25">
      <c r="A327" s="423">
        <v>41527</v>
      </c>
      <c r="B327" s="424">
        <v>1.0671296296296297E-2</v>
      </c>
      <c r="C327" s="427" t="s">
        <v>1430</v>
      </c>
    </row>
    <row r="328" spans="1:3" x14ac:dyDescent="0.25">
      <c r="A328" s="423">
        <v>41527</v>
      </c>
      <c r="B328" s="424">
        <v>1.3368055555555557E-2</v>
      </c>
      <c r="C328" s="427" t="s">
        <v>1440</v>
      </c>
    </row>
    <row r="329" spans="1:3" x14ac:dyDescent="0.25">
      <c r="A329" s="423">
        <v>41527</v>
      </c>
      <c r="B329" s="424">
        <v>1.3368055555555557E-2</v>
      </c>
      <c r="C329" s="427" t="s">
        <v>1441</v>
      </c>
    </row>
    <row r="330" spans="1:3" x14ac:dyDescent="0.25">
      <c r="A330" s="423">
        <v>41527</v>
      </c>
      <c r="B330" s="424">
        <v>1.3530092592592594E-2</v>
      </c>
      <c r="C330" s="427" t="s">
        <v>1442</v>
      </c>
    </row>
    <row r="331" spans="1:3" ht="45" x14ac:dyDescent="0.25">
      <c r="A331" s="423">
        <v>41527</v>
      </c>
      <c r="B331" s="424">
        <v>1.7210648148148149E-2</v>
      </c>
      <c r="C331" s="428" t="s">
        <v>1443</v>
      </c>
    </row>
    <row r="332" spans="1:3" ht="60" x14ac:dyDescent="0.25">
      <c r="A332" s="423">
        <v>41527</v>
      </c>
      <c r="B332" s="424">
        <v>1.9641203703703706E-2</v>
      </c>
      <c r="C332" s="428" t="s">
        <v>1444</v>
      </c>
    </row>
    <row r="333" spans="1:3" x14ac:dyDescent="0.25">
      <c r="A333" s="423">
        <v>41527</v>
      </c>
      <c r="B333" s="424">
        <v>2.3113425925925926E-2</v>
      </c>
      <c r="C333" s="427" t="s">
        <v>1429</v>
      </c>
    </row>
    <row r="334" spans="1:3" x14ac:dyDescent="0.25">
      <c r="A334" s="423">
        <v>41527</v>
      </c>
      <c r="B334" s="424">
        <v>2.3113425925925926E-2</v>
      </c>
      <c r="C334" s="427" t="s">
        <v>1430</v>
      </c>
    </row>
    <row r="335" spans="1:3" x14ac:dyDescent="0.25">
      <c r="A335" s="423">
        <v>41527</v>
      </c>
      <c r="B335" s="424">
        <v>2.6296296296296293E-2</v>
      </c>
      <c r="C335" s="427" t="s">
        <v>1429</v>
      </c>
    </row>
    <row r="336" spans="1:3" x14ac:dyDescent="0.25">
      <c r="A336" s="423">
        <v>41527</v>
      </c>
      <c r="B336" s="424">
        <v>0.92278935185185185</v>
      </c>
      <c r="C336" s="427" t="s">
        <v>1430</v>
      </c>
    </row>
    <row r="337" spans="1:3" x14ac:dyDescent="0.25">
      <c r="A337" s="423">
        <v>41527</v>
      </c>
      <c r="B337" s="424">
        <v>0.98428240740740736</v>
      </c>
      <c r="C337" s="427" t="s">
        <v>1430</v>
      </c>
    </row>
    <row r="338" spans="1:3" x14ac:dyDescent="0.25">
      <c r="A338" s="423">
        <v>41527</v>
      </c>
      <c r="B338" s="424">
        <v>0.98523148148148154</v>
      </c>
      <c r="C338" s="427" t="s">
        <v>1430</v>
      </c>
    </row>
    <row r="339" spans="1:3" x14ac:dyDescent="0.25">
      <c r="A339" s="423">
        <v>41527</v>
      </c>
      <c r="B339" s="424">
        <v>0.98560185185185178</v>
      </c>
      <c r="C339" s="427" t="s">
        <v>1430</v>
      </c>
    </row>
    <row r="340" spans="1:3" x14ac:dyDescent="0.25">
      <c r="A340" s="423">
        <v>41527</v>
      </c>
      <c r="B340" s="424">
        <v>0.98592592592592598</v>
      </c>
      <c r="C340" s="427" t="s">
        <v>1445</v>
      </c>
    </row>
    <row r="341" spans="1:3" x14ac:dyDescent="0.25">
      <c r="A341" s="423">
        <v>41527</v>
      </c>
      <c r="B341" s="424">
        <v>0.98615740740740743</v>
      </c>
      <c r="C341" s="427" t="s">
        <v>1430</v>
      </c>
    </row>
    <row r="342" spans="1:3" x14ac:dyDescent="0.25">
      <c r="A342" s="423">
        <v>41527</v>
      </c>
      <c r="B342" s="424">
        <v>0.986261574074074</v>
      </c>
      <c r="C342" s="427" t="s">
        <v>1445</v>
      </c>
    </row>
    <row r="343" spans="1:3" x14ac:dyDescent="0.25">
      <c r="A343" s="423">
        <v>41527</v>
      </c>
      <c r="B343" s="424">
        <v>0.98804398148148154</v>
      </c>
      <c r="C343" s="427" t="s">
        <v>1430</v>
      </c>
    </row>
    <row r="344" spans="1:3" x14ac:dyDescent="0.25">
      <c r="A344" s="423">
        <v>41527</v>
      </c>
      <c r="B344" s="424">
        <v>0.98807870370370365</v>
      </c>
      <c r="C344" s="427" t="s">
        <v>1446</v>
      </c>
    </row>
    <row r="345" spans="1:3" x14ac:dyDescent="0.25">
      <c r="A345" s="423">
        <v>41528</v>
      </c>
      <c r="B345" s="424">
        <v>1.4247685185185184E-2</v>
      </c>
      <c r="C345" s="427" t="s">
        <v>1446</v>
      </c>
    </row>
    <row r="346" spans="1:3" x14ac:dyDescent="0.25">
      <c r="A346" s="423">
        <v>41528</v>
      </c>
      <c r="B346" s="424">
        <v>4.6782407407407411E-2</v>
      </c>
      <c r="C346" s="427" t="s">
        <v>1429</v>
      </c>
    </row>
    <row r="347" spans="1:3" x14ac:dyDescent="0.25">
      <c r="A347" s="423">
        <v>41528</v>
      </c>
      <c r="B347" s="424">
        <v>4.6782407407407411E-2</v>
      </c>
      <c r="C347" s="427" t="s">
        <v>1430</v>
      </c>
    </row>
    <row r="348" spans="1:3" x14ac:dyDescent="0.25">
      <c r="A348" s="423">
        <v>41528</v>
      </c>
      <c r="B348" s="424">
        <v>9.0347222222222232E-2</v>
      </c>
      <c r="C348" s="427" t="s">
        <v>1430</v>
      </c>
    </row>
    <row r="349" spans="1:3" x14ac:dyDescent="0.25">
      <c r="A349" s="423">
        <v>41528</v>
      </c>
      <c r="B349" s="424">
        <v>0.99114583333333339</v>
      </c>
      <c r="C349" s="427" t="s">
        <v>1446</v>
      </c>
    </row>
    <row r="350" spans="1:3" x14ac:dyDescent="0.25">
      <c r="A350" s="423">
        <v>41529</v>
      </c>
      <c r="B350" s="424">
        <v>4.6481481481481485E-2</v>
      </c>
      <c r="C350" s="427" t="s">
        <v>1441</v>
      </c>
    </row>
    <row r="351" spans="1:3" x14ac:dyDescent="0.25">
      <c r="A351" s="423">
        <v>41529</v>
      </c>
      <c r="B351" s="424">
        <v>4.9143518518518524E-2</v>
      </c>
      <c r="C351" s="427" t="s">
        <v>1440</v>
      </c>
    </row>
    <row r="352" spans="1:3" x14ac:dyDescent="0.25">
      <c r="A352" s="423">
        <v>41529</v>
      </c>
      <c r="B352" s="424">
        <v>4.9351851851851848E-2</v>
      </c>
      <c r="C352" s="427" t="s">
        <v>1441</v>
      </c>
    </row>
    <row r="353" spans="1:3" x14ac:dyDescent="0.25">
      <c r="A353" s="423">
        <v>41529</v>
      </c>
      <c r="B353" s="424">
        <v>5.5532407407407412E-2</v>
      </c>
      <c r="C353" s="427" t="s">
        <v>1451</v>
      </c>
    </row>
    <row r="354" spans="1:3" ht="60" x14ac:dyDescent="0.25">
      <c r="A354" s="423">
        <v>41529</v>
      </c>
      <c r="B354" s="424">
        <v>7.0428240740740736E-2</v>
      </c>
      <c r="C354" s="428" t="s">
        <v>1452</v>
      </c>
    </row>
    <row r="355" spans="1:3" x14ac:dyDescent="0.25">
      <c r="A355" s="423">
        <v>41529</v>
      </c>
      <c r="B355" s="424">
        <v>7.076388888888889E-2</v>
      </c>
      <c r="C355" s="427" t="s">
        <v>1441</v>
      </c>
    </row>
    <row r="356" spans="1:3" x14ac:dyDescent="0.25">
      <c r="A356" s="423">
        <v>41529</v>
      </c>
      <c r="B356" s="424">
        <v>7.0775462962962957E-2</v>
      </c>
      <c r="C356" s="427" t="s">
        <v>1440</v>
      </c>
    </row>
    <row r="357" spans="1:3" x14ac:dyDescent="0.25">
      <c r="A357" s="423">
        <v>41529</v>
      </c>
      <c r="B357" s="424">
        <v>7.0775462962962957E-2</v>
      </c>
      <c r="C357" s="427" t="s">
        <v>1441</v>
      </c>
    </row>
    <row r="358" spans="1:3" x14ac:dyDescent="0.25">
      <c r="A358" s="423">
        <v>41529</v>
      </c>
      <c r="B358" s="424">
        <v>7.2488425925925928E-2</v>
      </c>
      <c r="C358" s="427" t="s">
        <v>1430</v>
      </c>
    </row>
    <row r="359" spans="1:3" x14ac:dyDescent="0.25">
      <c r="A359" s="423">
        <v>41529</v>
      </c>
      <c r="B359" s="424">
        <v>7.2499999999999995E-2</v>
      </c>
      <c r="C359" s="427" t="s">
        <v>1429</v>
      </c>
    </row>
    <row r="360" spans="1:3" x14ac:dyDescent="0.25">
      <c r="A360" s="423">
        <v>41529</v>
      </c>
      <c r="B360" s="424">
        <v>7.2499999999999995E-2</v>
      </c>
      <c r="C360" s="427" t="s">
        <v>1430</v>
      </c>
    </row>
    <row r="361" spans="1:3" x14ac:dyDescent="0.25">
      <c r="A361" s="423">
        <v>41529</v>
      </c>
      <c r="B361" s="424">
        <v>7.2673611111111105E-2</v>
      </c>
      <c r="C361" s="427" t="s">
        <v>1430</v>
      </c>
    </row>
    <row r="362" spans="1:3" x14ac:dyDescent="0.25">
      <c r="A362" s="423">
        <v>41529</v>
      </c>
      <c r="B362" s="424">
        <v>7.2685185185185186E-2</v>
      </c>
      <c r="C362" s="427" t="s">
        <v>1429</v>
      </c>
    </row>
    <row r="363" spans="1:3" x14ac:dyDescent="0.25">
      <c r="A363" s="423">
        <v>41529</v>
      </c>
      <c r="B363" s="424">
        <v>7.2685185185185186E-2</v>
      </c>
      <c r="C363" s="427" t="s">
        <v>1430</v>
      </c>
    </row>
    <row r="364" spans="1:3" x14ac:dyDescent="0.25">
      <c r="A364" s="423">
        <v>41529</v>
      </c>
      <c r="B364" s="424">
        <v>7.2870370370370363E-2</v>
      </c>
      <c r="C364" s="427" t="s">
        <v>1430</v>
      </c>
    </row>
    <row r="365" spans="1:3" x14ac:dyDescent="0.25">
      <c r="A365" s="423">
        <v>41529</v>
      </c>
      <c r="B365" s="424">
        <v>7.2870370370370363E-2</v>
      </c>
      <c r="C365" s="427" t="s">
        <v>1429</v>
      </c>
    </row>
    <row r="366" spans="1:3" x14ac:dyDescent="0.25">
      <c r="A366" s="423">
        <v>41529</v>
      </c>
      <c r="B366" s="424">
        <v>7.2870370370370363E-2</v>
      </c>
      <c r="C366" s="427" t="s">
        <v>1430</v>
      </c>
    </row>
    <row r="367" spans="1:3" x14ac:dyDescent="0.25">
      <c r="A367" s="423">
        <v>41529</v>
      </c>
      <c r="B367" s="424">
        <v>7.2986111111111113E-2</v>
      </c>
      <c r="C367" s="427" t="s">
        <v>1441</v>
      </c>
    </row>
    <row r="368" spans="1:3" x14ac:dyDescent="0.25">
      <c r="A368" s="423">
        <v>41529</v>
      </c>
      <c r="B368" s="424">
        <v>7.2997685185185179E-2</v>
      </c>
      <c r="C368" s="427" t="s">
        <v>1440</v>
      </c>
    </row>
    <row r="369" spans="1:3" x14ac:dyDescent="0.25">
      <c r="A369" s="423">
        <v>41529</v>
      </c>
      <c r="B369" s="424">
        <v>7.2997685185185179E-2</v>
      </c>
      <c r="C369" s="427" t="s">
        <v>1441</v>
      </c>
    </row>
    <row r="370" spans="1:3" x14ac:dyDescent="0.25">
      <c r="A370" s="423">
        <v>41529</v>
      </c>
      <c r="B370" s="424">
        <v>7.3078703703703715E-2</v>
      </c>
      <c r="C370" s="427" t="s">
        <v>1441</v>
      </c>
    </row>
    <row r="371" spans="1:3" x14ac:dyDescent="0.25">
      <c r="A371" s="423">
        <v>41529</v>
      </c>
      <c r="B371" s="424">
        <v>7.3090277777777782E-2</v>
      </c>
      <c r="C371" s="427" t="s">
        <v>1440</v>
      </c>
    </row>
    <row r="372" spans="1:3" x14ac:dyDescent="0.25">
      <c r="A372" s="423">
        <v>41529</v>
      </c>
      <c r="B372" s="424">
        <v>7.3090277777777782E-2</v>
      </c>
      <c r="C372" s="427" t="s">
        <v>1441</v>
      </c>
    </row>
    <row r="373" spans="1:3" x14ac:dyDescent="0.25">
      <c r="A373" s="423">
        <v>41529</v>
      </c>
      <c r="B373" s="424">
        <v>7.3159722222222223E-2</v>
      </c>
      <c r="C373" s="427" t="s">
        <v>1430</v>
      </c>
    </row>
    <row r="374" spans="1:3" x14ac:dyDescent="0.25">
      <c r="A374" s="423">
        <v>41529</v>
      </c>
      <c r="B374" s="424">
        <v>7.3171296296296304E-2</v>
      </c>
      <c r="C374" s="427" t="s">
        <v>1429</v>
      </c>
    </row>
    <row r="375" spans="1:3" x14ac:dyDescent="0.25">
      <c r="A375" s="423">
        <v>41529</v>
      </c>
      <c r="B375" s="424">
        <v>7.3171296296296304E-2</v>
      </c>
      <c r="C375" s="427" t="s">
        <v>1430</v>
      </c>
    </row>
    <row r="376" spans="1:3" x14ac:dyDescent="0.25">
      <c r="A376" s="423">
        <v>41529</v>
      </c>
      <c r="B376" s="424">
        <v>7.3333333333333334E-2</v>
      </c>
      <c r="C376" s="427" t="s">
        <v>1392</v>
      </c>
    </row>
    <row r="377" spans="1:3" x14ac:dyDescent="0.25">
      <c r="A377" s="423">
        <v>41529</v>
      </c>
      <c r="B377" s="424">
        <v>7.3333333333333334E-2</v>
      </c>
      <c r="C377" s="427" t="s">
        <v>1410</v>
      </c>
    </row>
    <row r="378" spans="1:3" x14ac:dyDescent="0.25">
      <c r="A378" s="423">
        <v>41529</v>
      </c>
      <c r="B378" s="424">
        <v>7.3344907407407414E-2</v>
      </c>
      <c r="C378" s="427" t="s">
        <v>1408</v>
      </c>
    </row>
    <row r="379" spans="1:3" x14ac:dyDescent="0.25">
      <c r="A379" s="423">
        <v>41529</v>
      </c>
      <c r="B379" s="424">
        <v>7.3344907407407414E-2</v>
      </c>
      <c r="C379" s="427" t="s">
        <v>1409</v>
      </c>
    </row>
    <row r="380" spans="1:3" x14ac:dyDescent="0.25">
      <c r="A380" s="423">
        <v>41529</v>
      </c>
      <c r="B380" s="424">
        <v>7.3344907407407414E-2</v>
      </c>
      <c r="C380" s="427" t="s">
        <v>1410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13"/>
  <sheetViews>
    <sheetView zoomScale="80" zoomScaleNormal="80" workbookViewId="0">
      <pane xSplit="1" ySplit="2" topLeftCell="B143" activePane="bottomRight" state="frozen"/>
      <selection pane="topRight" activeCell="B1" sqref="B1"/>
      <selection pane="bottomLeft" activeCell="A3" sqref="A3"/>
      <selection pane="bottomRight" activeCell="A164" sqref="A164"/>
    </sheetView>
  </sheetViews>
  <sheetFormatPr defaultRowHeight="15" x14ac:dyDescent="0.25"/>
  <cols>
    <col min="1" max="1" width="11" style="404" customWidth="1"/>
    <col min="2" max="2" width="15" style="404" customWidth="1"/>
    <col min="3" max="3" width="16.140625" style="404" customWidth="1"/>
    <col min="4" max="4" width="12.42578125" style="404" customWidth="1"/>
    <col min="5" max="5" width="13.85546875" style="404" customWidth="1"/>
    <col min="6" max="6" width="18" style="404" customWidth="1"/>
    <col min="7" max="7" width="15.85546875" style="404" customWidth="1"/>
    <col min="8" max="8" width="12.42578125" style="404" customWidth="1"/>
    <col min="9" max="9" width="12.5703125" style="404" customWidth="1"/>
    <col min="10" max="10" width="13.42578125" style="404" customWidth="1"/>
    <col min="11" max="12" width="10" style="404" customWidth="1"/>
    <col min="13" max="13" width="11.28515625" style="404" customWidth="1"/>
    <col min="14" max="14" width="12.42578125" style="404" customWidth="1"/>
    <col min="15" max="15" width="12.85546875" style="404" customWidth="1"/>
    <col min="16" max="17" width="10.28515625" style="404" customWidth="1"/>
    <col min="18" max="18" width="9.140625" style="404"/>
    <col min="19" max="19" width="10.85546875" style="404" customWidth="1"/>
    <col min="20" max="20" width="11.140625" style="404" customWidth="1"/>
    <col min="21" max="30" width="9.140625" style="404"/>
    <col min="31" max="31" width="15.5703125" style="404" customWidth="1"/>
    <col min="32" max="32" width="9.140625" style="404"/>
    <col min="33" max="33" width="11.28515625" style="404" bestFit="1" customWidth="1"/>
    <col min="34" max="34" width="11.42578125" style="404" bestFit="1" customWidth="1"/>
    <col min="35" max="37" width="12.42578125" style="404" bestFit="1" customWidth="1"/>
    <col min="38" max="38" width="9.140625" style="404"/>
    <col min="39" max="39" width="10.140625" style="404" customWidth="1"/>
    <col min="40" max="16384" width="9.140625" style="404"/>
  </cols>
  <sheetData>
    <row r="1" spans="1:39" s="430" customFormat="1" ht="15.75" thickBot="1" x14ac:dyDescent="0.3">
      <c r="A1" s="429">
        <v>41517</v>
      </c>
    </row>
    <row r="2" spans="1:39" s="430" customFormat="1" ht="19.5" x14ac:dyDescent="0.3">
      <c r="C2" s="431" t="s">
        <v>739</v>
      </c>
    </row>
    <row r="3" spans="1:39" s="430" customFormat="1" x14ac:dyDescent="0.25"/>
    <row r="4" spans="1:39" s="430" customFormat="1" x14ac:dyDescent="0.25">
      <c r="A4" s="430" t="s">
        <v>1201</v>
      </c>
    </row>
    <row r="5" spans="1:39" s="430" customFormat="1" ht="15.75" thickBot="1" x14ac:dyDescent="0.3">
      <c r="A5" s="884">
        <v>41517</v>
      </c>
      <c r="B5" s="430" t="s">
        <v>1221</v>
      </c>
    </row>
    <row r="6" spans="1:39" s="430" customFormat="1" ht="23.25" thickBot="1" x14ac:dyDescent="0.3">
      <c r="A6" s="432" t="s">
        <v>740</v>
      </c>
      <c r="B6" s="433" t="s">
        <v>741</v>
      </c>
      <c r="C6" s="434" t="s">
        <v>58</v>
      </c>
      <c r="D6" s="434" t="s">
        <v>742</v>
      </c>
      <c r="E6" s="434" t="s">
        <v>77</v>
      </c>
      <c r="F6" s="435"/>
      <c r="G6" s="436" t="s">
        <v>36</v>
      </c>
      <c r="H6" s="437" t="s">
        <v>39</v>
      </c>
      <c r="I6" s="436" t="s">
        <v>743</v>
      </c>
      <c r="J6" s="438" t="s">
        <v>52</v>
      </c>
      <c r="K6" s="439" t="s">
        <v>744</v>
      </c>
      <c r="L6" s="439" t="s">
        <v>745</v>
      </c>
      <c r="M6" s="439" t="s">
        <v>746</v>
      </c>
      <c r="N6" s="440" t="s">
        <v>747</v>
      </c>
      <c r="O6" s="440" t="s">
        <v>748</v>
      </c>
      <c r="P6" s="440" t="s">
        <v>749</v>
      </c>
      <c r="Q6" s="440" t="s">
        <v>750</v>
      </c>
      <c r="R6" s="440" t="s">
        <v>751</v>
      </c>
      <c r="S6" s="439" t="s">
        <v>752</v>
      </c>
      <c r="T6" s="438" t="s">
        <v>753</v>
      </c>
      <c r="U6" s="438" t="s">
        <v>754</v>
      </c>
      <c r="V6" s="438" t="s">
        <v>755</v>
      </c>
      <c r="W6" s="438" t="s">
        <v>109</v>
      </c>
      <c r="X6" s="438" t="s">
        <v>756</v>
      </c>
      <c r="Y6" s="438" t="s">
        <v>757</v>
      </c>
      <c r="Z6" s="436" t="s">
        <v>758</v>
      </c>
      <c r="AA6" s="438" t="s">
        <v>759</v>
      </c>
      <c r="AB6" s="439" t="s">
        <v>760</v>
      </c>
      <c r="AC6" s="438" t="s">
        <v>761</v>
      </c>
      <c r="AD6" s="441" t="s">
        <v>762</v>
      </c>
      <c r="AE6" s="882" t="s">
        <v>1220</v>
      </c>
      <c r="AF6" s="442" t="s">
        <v>763</v>
      </c>
      <c r="AG6" s="443" t="s">
        <v>401</v>
      </c>
      <c r="AH6" s="444" t="s">
        <v>764</v>
      </c>
      <c r="AI6" s="444" t="s">
        <v>765</v>
      </c>
      <c r="AJ6" s="444" t="s">
        <v>415</v>
      </c>
      <c r="AK6" s="444" t="s">
        <v>412</v>
      </c>
      <c r="AL6" s="443" t="s">
        <v>766</v>
      </c>
      <c r="AM6" s="443" t="s">
        <v>767</v>
      </c>
    </row>
    <row r="7" spans="1:39" s="430" customFormat="1" x14ac:dyDescent="0.25">
      <c r="A7" s="445" t="s">
        <v>1223</v>
      </c>
      <c r="B7" s="446" t="s">
        <v>173</v>
      </c>
      <c r="C7" s="447" t="str">
        <f>IF(D7="","",1)</f>
        <v/>
      </c>
      <c r="D7" s="448"/>
      <c r="E7" s="448"/>
      <c r="F7" s="449" t="str">
        <f>TRIM(G7)&amp;TRIM(J7)&amp;ROUND(S7/1000,0)</f>
        <v>0</v>
      </c>
      <c r="AE7" s="624" t="s">
        <v>1222</v>
      </c>
      <c r="AF7" s="450" t="s">
        <v>769</v>
      </c>
      <c r="AG7" s="450" t="s">
        <v>769</v>
      </c>
      <c r="AH7" s="450" t="s">
        <v>769</v>
      </c>
      <c r="AI7" s="450" t="s">
        <v>769</v>
      </c>
      <c r="AJ7" s="450" t="s">
        <v>769</v>
      </c>
      <c r="AK7" s="450" t="s">
        <v>769</v>
      </c>
      <c r="AL7" s="450" t="s">
        <v>769</v>
      </c>
      <c r="AM7" s="450" t="s">
        <v>769</v>
      </c>
    </row>
    <row r="8" spans="1:39" s="430" customFormat="1" x14ac:dyDescent="0.25">
      <c r="A8" s="432" t="s">
        <v>770</v>
      </c>
      <c r="B8" s="451">
        <v>0.5</v>
      </c>
      <c r="C8" s="451">
        <v>1.2</v>
      </c>
      <c r="D8" s="451">
        <v>0.5</v>
      </c>
      <c r="E8" s="451">
        <v>0.5</v>
      </c>
      <c r="F8" s="452">
        <v>0.3</v>
      </c>
      <c r="G8" s="453">
        <v>14</v>
      </c>
      <c r="H8" s="453">
        <v>8</v>
      </c>
      <c r="I8" s="453">
        <v>12.8</v>
      </c>
      <c r="J8" s="453">
        <v>22</v>
      </c>
      <c r="K8" s="453">
        <v>0</v>
      </c>
      <c r="L8" s="453">
        <v>0</v>
      </c>
      <c r="M8" s="453">
        <v>0</v>
      </c>
      <c r="N8" s="453">
        <v>0</v>
      </c>
      <c r="O8" s="453">
        <v>0</v>
      </c>
      <c r="P8" s="453">
        <v>0</v>
      </c>
      <c r="Q8" s="453">
        <v>0</v>
      </c>
      <c r="R8" s="453">
        <v>0</v>
      </c>
      <c r="S8" s="453">
        <v>10</v>
      </c>
      <c r="T8" s="453">
        <v>40</v>
      </c>
      <c r="U8" s="453">
        <v>0</v>
      </c>
      <c r="V8" s="453">
        <v>0</v>
      </c>
      <c r="W8" s="453">
        <v>10</v>
      </c>
      <c r="X8" s="453">
        <v>0</v>
      </c>
      <c r="Y8" s="453">
        <v>0</v>
      </c>
      <c r="Z8" s="453">
        <v>8</v>
      </c>
      <c r="AA8" s="453">
        <v>8</v>
      </c>
      <c r="AB8" s="453">
        <v>10</v>
      </c>
      <c r="AC8" s="453">
        <v>5</v>
      </c>
      <c r="AD8" s="453">
        <v>15</v>
      </c>
      <c r="AE8" s="883" t="s">
        <v>925</v>
      </c>
      <c r="AF8" s="430">
        <v>8</v>
      </c>
      <c r="AG8" s="451">
        <v>10</v>
      </c>
      <c r="AH8" s="451">
        <v>1</v>
      </c>
      <c r="AI8" s="451">
        <v>1</v>
      </c>
      <c r="AJ8" s="451">
        <v>1</v>
      </c>
      <c r="AK8" s="451">
        <v>1</v>
      </c>
      <c r="AL8" s="451" t="s">
        <v>771</v>
      </c>
      <c r="AM8" s="451" t="s">
        <v>771</v>
      </c>
    </row>
    <row r="9" spans="1:39" s="430" customFormat="1" x14ac:dyDescent="0.25">
      <c r="A9" s="432" t="s">
        <v>772</v>
      </c>
      <c r="B9" s="451">
        <v>9</v>
      </c>
      <c r="C9" s="451"/>
      <c r="D9" s="451">
        <v>5</v>
      </c>
      <c r="E9" s="451">
        <v>3</v>
      </c>
      <c r="F9" s="452"/>
      <c r="G9" s="451"/>
      <c r="H9" s="451"/>
      <c r="K9" s="451"/>
      <c r="L9" s="453"/>
      <c r="M9" s="453"/>
      <c r="N9" s="453"/>
      <c r="O9" s="453"/>
      <c r="P9" s="453"/>
      <c r="Q9" s="453"/>
      <c r="R9" s="453"/>
      <c r="S9" s="453"/>
      <c r="T9" s="453"/>
      <c r="U9" s="454"/>
      <c r="V9" s="453"/>
      <c r="W9" s="453"/>
      <c r="X9" s="453"/>
      <c r="Y9" s="453"/>
      <c r="Z9" s="453"/>
      <c r="AA9" s="453"/>
      <c r="AE9" s="624" t="str">
        <f>Process!F73</f>
        <v>HANDL_Payment</v>
      </c>
      <c r="AF9" s="451">
        <v>8</v>
      </c>
      <c r="AG9" s="451">
        <v>19</v>
      </c>
      <c r="AH9" s="451">
        <f>COLUMN(AG9)-1</f>
        <v>32</v>
      </c>
      <c r="AI9" s="451">
        <f>AH9</f>
        <v>32</v>
      </c>
      <c r="AJ9" s="451">
        <f>AH9</f>
        <v>32</v>
      </c>
      <c r="AK9" s="451">
        <f>AH9</f>
        <v>32</v>
      </c>
      <c r="AL9" s="451">
        <v>5</v>
      </c>
      <c r="AM9" s="451">
        <v>5</v>
      </c>
    </row>
    <row r="10" spans="1:39" s="456" customFormat="1" ht="38.25" x14ac:dyDescent="0.25">
      <c r="A10" s="432" t="s">
        <v>773</v>
      </c>
      <c r="B10" s="455"/>
      <c r="C10" s="455"/>
      <c r="D10" s="455"/>
      <c r="E10" s="455"/>
      <c r="G10" s="455"/>
      <c r="H10" s="455"/>
      <c r="K10" s="455"/>
      <c r="L10" s="457"/>
      <c r="M10" s="457"/>
      <c r="N10" s="457"/>
      <c r="O10" s="457"/>
      <c r="P10" s="457"/>
      <c r="Q10" s="457"/>
      <c r="R10" s="457"/>
      <c r="S10" s="457"/>
      <c r="T10" s="457"/>
      <c r="U10" s="458"/>
      <c r="V10" s="457"/>
      <c r="W10" s="457"/>
      <c r="X10" s="457"/>
      <c r="Y10" s="457"/>
      <c r="Z10" s="457"/>
      <c r="AA10" s="457"/>
      <c r="AE10" s="881"/>
      <c r="AF10" s="455" t="s">
        <v>774</v>
      </c>
      <c r="AG10" s="459" t="s">
        <v>775</v>
      </c>
      <c r="AH10" s="460" t="s">
        <v>776</v>
      </c>
      <c r="AI10" s="460" t="s">
        <v>777</v>
      </c>
      <c r="AJ10" s="460" t="s">
        <v>778</v>
      </c>
      <c r="AK10" s="460" t="s">
        <v>779</v>
      </c>
      <c r="AL10" s="461"/>
      <c r="AM10" s="461" t="s">
        <v>780</v>
      </c>
    </row>
    <row r="11" spans="1:39" s="430" customFormat="1" x14ac:dyDescent="0.25">
      <c r="A11" s="432" t="s">
        <v>781</v>
      </c>
      <c r="B11" s="462" t="s">
        <v>782</v>
      </c>
      <c r="C11" s="462"/>
      <c r="D11" s="462" t="s">
        <v>783</v>
      </c>
      <c r="E11" s="462" t="s">
        <v>784</v>
      </c>
      <c r="F11" s="452"/>
      <c r="G11" s="451"/>
      <c r="H11" s="451"/>
      <c r="K11" s="451"/>
      <c r="L11" s="453"/>
      <c r="M11" s="453"/>
      <c r="N11" s="453"/>
      <c r="O11" s="453"/>
      <c r="P11" s="453"/>
      <c r="Q11" s="453"/>
      <c r="R11" s="453"/>
      <c r="S11" s="453"/>
      <c r="T11" s="453"/>
      <c r="U11" s="454"/>
      <c r="V11" s="453"/>
      <c r="W11" s="453"/>
      <c r="X11" s="453"/>
      <c r="Y11" s="453"/>
      <c r="Z11" s="453"/>
      <c r="AA11" s="453"/>
      <c r="AE11" s="623"/>
      <c r="AL11" s="462" t="s">
        <v>785</v>
      </c>
      <c r="AM11" s="462" t="s">
        <v>785</v>
      </c>
    </row>
    <row r="12" spans="1:39" s="430" customFormat="1" x14ac:dyDescent="0.25">
      <c r="Z12" s="453"/>
    </row>
    <row r="13" spans="1:39" s="430" customFormat="1" ht="15.75" thickBot="1" x14ac:dyDescent="0.3">
      <c r="A13" s="430" t="s">
        <v>786</v>
      </c>
      <c r="Z13" s="453"/>
    </row>
    <row r="14" spans="1:39" s="463" customFormat="1" ht="15.75" thickBot="1" x14ac:dyDescent="0.3">
      <c r="F14" s="464"/>
      <c r="G14" s="465"/>
      <c r="H14" s="464"/>
      <c r="I14" s="466" t="s">
        <v>787</v>
      </c>
      <c r="J14" s="467"/>
      <c r="K14" s="468"/>
      <c r="L14" s="469"/>
      <c r="M14" s="469"/>
      <c r="N14" s="469"/>
      <c r="O14" s="469"/>
      <c r="P14" s="469"/>
      <c r="Q14" s="469"/>
      <c r="R14" s="470">
        <f>SUM(R$2:R12)</f>
        <v>0</v>
      </c>
      <c r="S14" s="471"/>
      <c r="V14" s="472" t="s">
        <v>788</v>
      </c>
      <c r="W14" s="473"/>
      <c r="X14" s="473"/>
      <c r="Y14" s="474">
        <f>1 - COUNTIF(A$2:A12,"")/COUNTA(A$2:A12)</f>
        <v>0.625</v>
      </c>
      <c r="Z14" s="472" t="s">
        <v>789</v>
      </c>
      <c r="AA14" s="470">
        <f>R14-SUMIF(B$2:B12,"1",R$2:R12)</f>
        <v>0</v>
      </c>
      <c r="AB14" s="475" t="e">
        <f>AA14/R14</f>
        <v>#DIV/0!</v>
      </c>
      <c r="AC14" s="476" t="e">
        <f>1-AB14</f>
        <v>#DIV/0!</v>
      </c>
    </row>
    <row r="15" spans="1:39" s="430" customFormat="1" x14ac:dyDescent="0.25"/>
    <row r="16" spans="1:39" s="430" customFormat="1" x14ac:dyDescent="0.25">
      <c r="A16" s="430" t="s">
        <v>790</v>
      </c>
    </row>
    <row r="17" spans="1:27" s="430" customFormat="1" ht="15.75" thickBot="1" x14ac:dyDescent="0.3">
      <c r="B17" s="430" t="s">
        <v>791</v>
      </c>
    </row>
    <row r="18" spans="1:27" s="455" customFormat="1" ht="60.75" thickBot="1" x14ac:dyDescent="0.3">
      <c r="A18" s="432" t="s">
        <v>740</v>
      </c>
      <c r="B18" s="477" t="s">
        <v>792</v>
      </c>
      <c r="C18" s="478" t="s">
        <v>793</v>
      </c>
      <c r="D18" s="478" t="s">
        <v>794</v>
      </c>
      <c r="E18" s="479" t="s">
        <v>795</v>
      </c>
      <c r="F18" s="480" t="s">
        <v>796</v>
      </c>
      <c r="G18" s="481" t="s">
        <v>797</v>
      </c>
      <c r="H18" s="482" t="s">
        <v>798</v>
      </c>
      <c r="I18" s="483"/>
      <c r="J18" s="484"/>
      <c r="K18" s="485" t="s">
        <v>44</v>
      </c>
      <c r="L18" s="485"/>
      <c r="M18" s="486" t="s">
        <v>47</v>
      </c>
      <c r="N18" s="484" t="s">
        <v>754</v>
      </c>
      <c r="O18" s="484" t="s">
        <v>109</v>
      </c>
      <c r="P18" s="484" t="s">
        <v>799</v>
      </c>
      <c r="Q18" s="484" t="s">
        <v>800</v>
      </c>
      <c r="R18" s="484" t="s">
        <v>801</v>
      </c>
      <c r="S18" s="484" t="s">
        <v>802</v>
      </c>
      <c r="T18" s="485" t="s">
        <v>803</v>
      </c>
      <c r="U18" s="487" t="s">
        <v>804</v>
      </c>
      <c r="V18" s="487" t="s">
        <v>805</v>
      </c>
      <c r="W18" s="487" t="s">
        <v>806</v>
      </c>
      <c r="X18" s="484" t="s">
        <v>807</v>
      </c>
      <c r="Y18" s="484" t="s">
        <v>808</v>
      </c>
      <c r="Z18" s="484" t="s">
        <v>762</v>
      </c>
      <c r="AA18" s="484" t="s">
        <v>809</v>
      </c>
    </row>
    <row r="19" spans="1:27" s="430" customFormat="1" ht="18" customHeight="1" x14ac:dyDescent="0.25">
      <c r="A19" s="445" t="s">
        <v>1223</v>
      </c>
      <c r="B19" s="488" t="s">
        <v>169</v>
      </c>
      <c r="C19" s="489" t="s">
        <v>810</v>
      </c>
      <c r="D19" s="490"/>
      <c r="E19" s="491">
        <v>1</v>
      </c>
      <c r="F19" s="492" t="str">
        <f>IF(AND(U19=W19,W19&gt;0),"1","")</f>
        <v/>
      </c>
      <c r="G19" s="493" t="str">
        <f>IF(U19=V19,"1","")</f>
        <v/>
      </c>
      <c r="H19" s="494"/>
      <c r="I19" s="495" t="str">
        <f>IF(S19="",TRIM(K19),TRIM(MID(S19,9,55))&amp;"/"&amp;TRIM(K19))</f>
        <v>2009-1-065</v>
      </c>
      <c r="J19" s="496"/>
      <c r="K19" s="497" t="s">
        <v>811</v>
      </c>
      <c r="L19" s="497"/>
      <c r="M19" s="498">
        <v>40058</v>
      </c>
      <c r="N19" s="496" t="s">
        <v>252</v>
      </c>
      <c r="O19" s="496" t="s">
        <v>374</v>
      </c>
      <c r="P19" s="496" t="s">
        <v>812</v>
      </c>
      <c r="Q19" s="496"/>
      <c r="R19" s="496" t="s">
        <v>813</v>
      </c>
      <c r="S19" s="496"/>
      <c r="T19" s="497" t="s">
        <v>814</v>
      </c>
      <c r="U19" s="499">
        <v>324000</v>
      </c>
      <c r="V19" s="499">
        <v>0</v>
      </c>
      <c r="W19" s="499">
        <v>0</v>
      </c>
      <c r="X19" s="496" t="s">
        <v>393</v>
      </c>
      <c r="Y19" s="500"/>
      <c r="Z19" s="500" t="s">
        <v>815</v>
      </c>
      <c r="AA19" s="496" t="s">
        <v>816</v>
      </c>
    </row>
    <row r="20" spans="1:27" s="430" customFormat="1" x14ac:dyDescent="0.25">
      <c r="A20" s="432" t="s">
        <v>770</v>
      </c>
      <c r="B20" s="451">
        <v>0.5</v>
      </c>
      <c r="C20" s="451">
        <v>8</v>
      </c>
      <c r="D20" s="430">
        <v>6</v>
      </c>
      <c r="E20" s="451">
        <v>5</v>
      </c>
      <c r="F20" s="452">
        <v>2</v>
      </c>
      <c r="G20" s="451">
        <v>2</v>
      </c>
      <c r="H20" s="451">
        <v>2</v>
      </c>
      <c r="I20" s="430">
        <v>0.5</v>
      </c>
      <c r="J20" s="430">
        <v>0.5</v>
      </c>
      <c r="K20" s="451">
        <v>10</v>
      </c>
      <c r="L20" s="453">
        <v>0.7</v>
      </c>
      <c r="M20" s="453">
        <v>10</v>
      </c>
      <c r="N20" s="453">
        <v>7</v>
      </c>
      <c r="O20" s="453">
        <v>10</v>
      </c>
      <c r="P20" s="453">
        <v>20</v>
      </c>
      <c r="Q20" s="453">
        <v>12</v>
      </c>
      <c r="R20" s="453">
        <v>12</v>
      </c>
      <c r="S20" s="453">
        <v>10</v>
      </c>
      <c r="T20" s="453">
        <v>8</v>
      </c>
      <c r="U20" s="454">
        <v>12</v>
      </c>
      <c r="V20" s="453">
        <v>11</v>
      </c>
      <c r="W20" s="453">
        <v>11</v>
      </c>
      <c r="X20" s="453">
        <v>10</v>
      </c>
      <c r="Y20" s="453">
        <v>12</v>
      </c>
      <c r="Z20" s="453">
        <v>20</v>
      </c>
      <c r="AA20" s="453">
        <v>10</v>
      </c>
    </row>
    <row r="21" spans="1:27" s="430" customFormat="1" x14ac:dyDescent="0.25">
      <c r="A21" s="432" t="s">
        <v>772</v>
      </c>
      <c r="B21" s="451">
        <v>15</v>
      </c>
      <c r="C21" s="451">
        <v>8</v>
      </c>
      <c r="D21" s="430">
        <v>8</v>
      </c>
      <c r="E21" s="451"/>
      <c r="F21" s="452"/>
      <c r="G21" s="451"/>
      <c r="H21" s="451">
        <v>8</v>
      </c>
      <c r="K21" s="451"/>
      <c r="L21" s="453"/>
      <c r="M21" s="453"/>
      <c r="N21" s="453"/>
      <c r="O21" s="453"/>
      <c r="P21" s="453"/>
      <c r="Q21" s="453"/>
      <c r="R21" s="453"/>
      <c r="S21" s="453"/>
      <c r="T21" s="453"/>
      <c r="U21" s="454"/>
      <c r="V21" s="453"/>
      <c r="W21" s="453"/>
      <c r="X21" s="453"/>
      <c r="Y21" s="453"/>
      <c r="Z21" s="453"/>
      <c r="AA21" s="453"/>
    </row>
    <row r="22" spans="1:27" s="430" customFormat="1" x14ac:dyDescent="0.25">
      <c r="A22" s="432" t="s">
        <v>773</v>
      </c>
      <c r="B22" s="451"/>
      <c r="C22" s="451"/>
      <c r="E22" s="451"/>
      <c r="F22" s="452"/>
      <c r="G22" s="451"/>
      <c r="H22" s="451"/>
      <c r="K22" s="451"/>
      <c r="L22" s="453"/>
      <c r="M22" s="453"/>
      <c r="N22" s="453"/>
      <c r="O22" s="453"/>
      <c r="P22" s="453"/>
      <c r="Q22" s="453"/>
      <c r="R22" s="453"/>
      <c r="S22" s="453"/>
      <c r="T22" s="453"/>
      <c r="U22" s="454"/>
      <c r="V22" s="453"/>
      <c r="W22" s="453"/>
      <c r="X22" s="453"/>
      <c r="Y22" s="453"/>
      <c r="Z22" s="453"/>
      <c r="AA22" s="453"/>
    </row>
    <row r="23" spans="1:27" s="430" customFormat="1" x14ac:dyDescent="0.25">
      <c r="A23" s="432" t="s">
        <v>781</v>
      </c>
      <c r="B23" s="451" t="s">
        <v>782</v>
      </c>
      <c r="C23" s="451" t="s">
        <v>817</v>
      </c>
      <c r="D23" s="430" t="s">
        <v>818</v>
      </c>
      <c r="E23" s="451"/>
      <c r="F23" s="452"/>
      <c r="G23" s="451"/>
      <c r="H23" s="451" t="s">
        <v>819</v>
      </c>
      <c r="K23" s="451"/>
      <c r="L23" s="453"/>
      <c r="M23" s="453"/>
      <c r="N23" s="453"/>
      <c r="O23" s="453"/>
      <c r="P23" s="453"/>
      <c r="Q23" s="453"/>
      <c r="R23" s="453"/>
      <c r="S23" s="453"/>
      <c r="T23" s="453"/>
      <c r="U23" s="454"/>
      <c r="V23" s="453"/>
      <c r="W23" s="453"/>
      <c r="X23" s="453"/>
      <c r="Y23" s="453"/>
      <c r="Z23" s="453"/>
      <c r="AA23" s="453"/>
    </row>
    <row r="24" spans="1:27" s="430" customFormat="1" x14ac:dyDescent="0.25">
      <c r="A24" s="451"/>
      <c r="B24" s="451"/>
      <c r="D24" s="451"/>
      <c r="E24" s="452"/>
      <c r="F24" s="453"/>
      <c r="G24" s="453"/>
      <c r="H24" s="453"/>
      <c r="I24" s="453"/>
      <c r="J24" s="453"/>
      <c r="K24" s="453"/>
      <c r="L24" s="453"/>
      <c r="M24" s="453"/>
      <c r="N24" s="453"/>
      <c r="O24" s="453"/>
      <c r="P24" s="453"/>
      <c r="Q24" s="453"/>
      <c r="R24" s="453"/>
      <c r="S24" s="453"/>
      <c r="T24" s="453"/>
      <c r="U24" s="453"/>
      <c r="V24" s="453"/>
      <c r="W24" s="453"/>
      <c r="X24" s="453"/>
      <c r="Y24" s="453"/>
      <c r="Z24" s="453"/>
    </row>
    <row r="25" spans="1:27" s="430" customFormat="1" x14ac:dyDescent="0.25">
      <c r="A25" s="430" t="s">
        <v>820</v>
      </c>
    </row>
    <row r="26" spans="1:27" s="430" customFormat="1" ht="15.75" thickBot="1" x14ac:dyDescent="0.3">
      <c r="A26" s="501">
        <v>41504</v>
      </c>
      <c r="B26" s="430" t="s">
        <v>821</v>
      </c>
    </row>
    <row r="27" spans="1:27" s="518" customFormat="1" ht="15" customHeight="1" x14ac:dyDescent="0.25">
      <c r="A27" s="502"/>
      <c r="B27" s="503" t="s">
        <v>822</v>
      </c>
      <c r="C27" s="504">
        <f>COUNTIF(B$1:B25,B27)</f>
        <v>0</v>
      </c>
      <c r="D27" s="505" t="e">
        <f>C27/C32</f>
        <v>#DIV/0!</v>
      </c>
      <c r="E27" s="506"/>
      <c r="F27" s="507"/>
      <c r="G27" s="508"/>
      <c r="H27" s="508"/>
      <c r="I27" s="509"/>
      <c r="J27" s="510">
        <f>SUMIF(B$2:B25,B27,T$2:T25)</f>
        <v>0</v>
      </c>
      <c r="K27" s="511"/>
      <c r="L27" s="512" t="e">
        <f>J27/J32</f>
        <v>#DIV/0!</v>
      </c>
      <c r="M27" s="513"/>
      <c r="N27" s="513"/>
      <c r="O27" s="513"/>
      <c r="P27" s="514"/>
      <c r="Q27" s="514"/>
      <c r="R27" s="514"/>
      <c r="S27" s="515" t="s">
        <v>787</v>
      </c>
      <c r="T27" s="516">
        <f>SUM(T$1:T26)</f>
        <v>48</v>
      </c>
      <c r="U27" s="516">
        <f>SUM(U$1:U26)</f>
        <v>324012</v>
      </c>
      <c r="V27" s="516">
        <f>SUM(V$1:V26)</f>
        <v>11</v>
      </c>
      <c r="W27" s="514" t="s">
        <v>823</v>
      </c>
      <c r="X27" s="517"/>
      <c r="Y27" s="517"/>
      <c r="Z27" s="514"/>
    </row>
    <row r="28" spans="1:27" s="518" customFormat="1" ht="15" customHeight="1" x14ac:dyDescent="0.25">
      <c r="A28" s="502"/>
      <c r="B28" s="519" t="s">
        <v>824</v>
      </c>
      <c r="C28" s="520">
        <f>COUNTIF(B$1:B25,B28)</f>
        <v>0</v>
      </c>
      <c r="D28" s="521" t="e">
        <f>C28/C32</f>
        <v>#DIV/0!</v>
      </c>
      <c r="E28" s="506"/>
      <c r="F28" s="507"/>
      <c r="G28" s="508"/>
      <c r="H28" s="508"/>
      <c r="I28" s="509"/>
      <c r="J28" s="522">
        <f>SUMIF(B$2:B25,B28,T$2:T25)</f>
        <v>0</v>
      </c>
      <c r="K28" s="523"/>
      <c r="L28" s="524" t="e">
        <f>J28/J32</f>
        <v>#DIV/0!</v>
      </c>
      <c r="M28" s="513"/>
      <c r="N28" s="513"/>
      <c r="O28" s="513"/>
      <c r="S28" s="525"/>
      <c r="T28" s="526"/>
      <c r="U28" s="526"/>
      <c r="V28" s="526"/>
      <c r="X28" s="527"/>
      <c r="Y28" s="527"/>
    </row>
    <row r="29" spans="1:27" s="518" customFormat="1" ht="15" customHeight="1" x14ac:dyDescent="0.25">
      <c r="A29" s="502"/>
      <c r="B29" s="528" t="s">
        <v>825</v>
      </c>
      <c r="C29" s="529">
        <f>COUNTIF(B$1:B25,B29)</f>
        <v>0</v>
      </c>
      <c r="D29" s="530" t="e">
        <f>C29/C32</f>
        <v>#DIV/0!</v>
      </c>
      <c r="E29" s="506"/>
      <c r="F29" s="507"/>
      <c r="G29" s="508"/>
      <c r="H29" s="508"/>
      <c r="I29" s="509"/>
      <c r="J29" s="531">
        <f>SUMIF(B$2:B25,B29,T$2:T25)</f>
        <v>0</v>
      </c>
      <c r="K29" s="532"/>
      <c r="L29" s="533" t="e">
        <f>J29/J32</f>
        <v>#DIV/0!</v>
      </c>
      <c r="M29" s="534"/>
      <c r="N29" s="513"/>
      <c r="O29" s="513"/>
      <c r="S29" s="525"/>
      <c r="T29" s="526"/>
      <c r="U29" s="526"/>
      <c r="V29" s="526"/>
      <c r="X29" s="527"/>
      <c r="Y29" s="527"/>
    </row>
    <row r="30" spans="1:27" s="518" customFormat="1" ht="15" customHeight="1" thickBot="1" x14ac:dyDescent="0.3">
      <c r="A30" s="502"/>
      <c r="B30" s="535" t="s">
        <v>826</v>
      </c>
      <c r="C30" s="536">
        <f>COUNTIF(B$1:B25,B30)</f>
        <v>0</v>
      </c>
      <c r="D30" s="537" t="e">
        <f>C30/C32</f>
        <v>#DIV/0!</v>
      </c>
      <c r="E30" s="506"/>
      <c r="F30" s="507"/>
      <c r="G30" s="508"/>
      <c r="H30" s="508"/>
      <c r="I30" s="509"/>
      <c r="J30" s="538">
        <f>SUMIF(B$2:B25,B30,T$2:T25)</f>
        <v>0</v>
      </c>
      <c r="K30" s="539"/>
      <c r="L30" s="540" t="e">
        <f>J30/J32</f>
        <v>#DIV/0!</v>
      </c>
      <c r="M30" s="534"/>
      <c r="N30" s="513"/>
      <c r="O30" s="513"/>
      <c r="S30" s="525"/>
      <c r="T30" s="526"/>
      <c r="U30" s="526"/>
      <c r="V30" s="526"/>
      <c r="X30" s="527"/>
      <c r="Y30" s="527"/>
    </row>
    <row r="31" spans="1:27" s="518" customFormat="1" ht="15" customHeight="1" thickTop="1" thickBot="1" x14ac:dyDescent="0.3">
      <c r="A31" s="541"/>
      <c r="B31" s="542" t="s">
        <v>810</v>
      </c>
      <c r="C31" s="543">
        <f>COUNTIF(B$1:B25,B31)</f>
        <v>0</v>
      </c>
      <c r="D31" s="544" t="e">
        <f>C31/C32</f>
        <v>#DIV/0!</v>
      </c>
      <c r="E31" s="545"/>
      <c r="F31" s="546"/>
      <c r="G31" s="547"/>
      <c r="H31" s="547"/>
      <c r="I31" s="548"/>
      <c r="J31" s="549">
        <f>SUMIF(B$2:B25,B31,T$2:T25)</f>
        <v>0</v>
      </c>
      <c r="K31" s="550"/>
      <c r="L31" s="551" t="e">
        <f>J31/J32</f>
        <v>#DIV/0!</v>
      </c>
      <c r="M31" s="552"/>
      <c r="N31" s="552"/>
      <c r="O31" s="552"/>
      <c r="S31" s="525"/>
      <c r="T31" s="526"/>
      <c r="U31" s="526"/>
      <c r="V31" s="526"/>
      <c r="X31" s="527"/>
      <c r="Y31" s="527"/>
    </row>
    <row r="32" spans="1:27" s="518" customFormat="1" ht="15" customHeight="1" x14ac:dyDescent="0.25">
      <c r="A32" s="502"/>
      <c r="B32" s="553"/>
      <c r="C32" s="554">
        <f>SUM(C27:C31)</f>
        <v>0</v>
      </c>
      <c r="D32" s="555"/>
      <c r="E32" s="506"/>
      <c r="F32" s="507"/>
      <c r="G32" s="508"/>
      <c r="H32" s="508"/>
      <c r="I32" s="509"/>
      <c r="J32" s="556">
        <f>SUM(J27:J31)</f>
        <v>0</v>
      </c>
      <c r="K32" s="557"/>
      <c r="L32" s="558"/>
      <c r="M32" s="534"/>
      <c r="N32" s="513"/>
      <c r="O32" s="513"/>
      <c r="S32" s="525"/>
      <c r="T32" s="526"/>
      <c r="U32" s="526"/>
      <c r="V32" s="526"/>
      <c r="X32" s="527"/>
      <c r="Y32" s="527"/>
    </row>
    <row r="33" spans="1:26" s="430" customFormat="1" x14ac:dyDescent="0.25">
      <c r="A33" s="451"/>
      <c r="B33" s="451"/>
      <c r="D33" s="451"/>
      <c r="E33" s="452"/>
      <c r="F33" s="453"/>
      <c r="G33" s="453"/>
      <c r="H33" s="453"/>
      <c r="I33" s="453"/>
      <c r="J33" s="453"/>
      <c r="K33" s="453"/>
      <c r="L33" s="453"/>
      <c r="M33" s="453"/>
      <c r="N33" s="453"/>
      <c r="O33" s="453"/>
      <c r="P33" s="453"/>
      <c r="Q33" s="453"/>
      <c r="R33" s="453"/>
      <c r="S33" s="453"/>
      <c r="T33" s="453"/>
      <c r="U33" s="453"/>
      <c r="V33" s="453"/>
      <c r="W33" s="453"/>
      <c r="X33" s="453"/>
      <c r="Y33" s="453"/>
      <c r="Z33" s="453"/>
    </row>
    <row r="34" spans="1:26" s="430" customFormat="1" x14ac:dyDescent="0.25">
      <c r="A34" s="559" t="s">
        <v>1203</v>
      </c>
    </row>
    <row r="35" spans="1:26" s="430" customFormat="1" ht="17.25" x14ac:dyDescent="0.4">
      <c r="A35" s="432" t="s">
        <v>740</v>
      </c>
      <c r="B35" s="560" t="s">
        <v>741</v>
      </c>
      <c r="C35" s="561"/>
    </row>
    <row r="36" spans="1:26" s="430" customFormat="1" ht="17.25" x14ac:dyDescent="0.4">
      <c r="A36" s="445" t="s">
        <v>1223</v>
      </c>
      <c r="B36" s="562"/>
      <c r="C36" s="561"/>
    </row>
    <row r="37" spans="1:26" s="430" customFormat="1" x14ac:dyDescent="0.25">
      <c r="A37" s="432" t="s">
        <v>770</v>
      </c>
      <c r="B37" s="451">
        <v>0.5</v>
      </c>
      <c r="C37" s="451"/>
    </row>
    <row r="38" spans="1:26" s="430" customFormat="1" x14ac:dyDescent="0.25">
      <c r="A38" s="432" t="s">
        <v>772</v>
      </c>
      <c r="B38" s="451">
        <v>3</v>
      </c>
      <c r="C38" s="451"/>
    </row>
    <row r="39" spans="1:26" s="430" customFormat="1" x14ac:dyDescent="0.25">
      <c r="A39" s="432" t="s">
        <v>773</v>
      </c>
      <c r="B39" s="451"/>
      <c r="C39" s="451"/>
    </row>
    <row r="40" spans="1:26" s="430" customFormat="1" x14ac:dyDescent="0.25">
      <c r="A40" s="432" t="s">
        <v>781</v>
      </c>
      <c r="B40" s="451" t="s">
        <v>782</v>
      </c>
      <c r="C40" s="451"/>
    </row>
    <row r="41" spans="1:26" s="430" customFormat="1" x14ac:dyDescent="0.25">
      <c r="A41" s="451"/>
      <c r="B41" s="451"/>
      <c r="D41" s="451"/>
      <c r="E41" s="452"/>
      <c r="F41" s="453"/>
      <c r="G41" s="453"/>
      <c r="H41" s="453"/>
      <c r="I41" s="453"/>
      <c r="J41" s="453"/>
      <c r="K41" s="453"/>
      <c r="L41" s="453"/>
      <c r="M41" s="453"/>
      <c r="N41" s="453"/>
      <c r="O41" s="453"/>
      <c r="P41" s="453"/>
      <c r="Q41" s="453"/>
      <c r="R41" s="453"/>
      <c r="S41" s="453"/>
      <c r="T41" s="453"/>
      <c r="U41" s="453"/>
      <c r="V41" s="453"/>
      <c r="W41" s="453"/>
      <c r="X41" s="453"/>
      <c r="Y41" s="453"/>
      <c r="Z41" s="453"/>
    </row>
    <row r="42" spans="1:26" s="430" customFormat="1" x14ac:dyDescent="0.25">
      <c r="A42" s="559" t="s">
        <v>1204</v>
      </c>
    </row>
    <row r="43" spans="1:26" s="430" customFormat="1" ht="15.75" thickBot="1" x14ac:dyDescent="0.3">
      <c r="A43" s="865"/>
      <c r="B43" s="560"/>
      <c r="C43" s="923" t="s">
        <v>1395</v>
      </c>
      <c r="D43" s="853"/>
      <c r="E43" s="854" t="s">
        <v>1205</v>
      </c>
      <c r="F43" s="855">
        <f>COUNTA(D$2:D41)</f>
        <v>13</v>
      </c>
      <c r="G43" s="853"/>
      <c r="H43" s="853"/>
      <c r="I43" s="853"/>
    </row>
    <row r="44" spans="1:26" s="430" customFormat="1" ht="15.75" thickBot="1" x14ac:dyDescent="0.3">
      <c r="A44" s="866"/>
      <c r="B44" s="866"/>
      <c r="C44" s="924" t="s">
        <v>1396</v>
      </c>
      <c r="D44" s="856"/>
      <c r="E44" s="854" t="s">
        <v>1206</v>
      </c>
      <c r="F44" s="855">
        <f>F43-I44</f>
        <v>-2</v>
      </c>
      <c r="G44" s="857" t="s">
        <v>1207</v>
      </c>
      <c r="H44" s="858">
        <f>1-F44/F43</f>
        <v>1.1538461538461537</v>
      </c>
      <c r="I44" s="859">
        <f>COUNTIF(A$2:A41,"")</f>
        <v>15</v>
      </c>
      <c r="K44" s="855"/>
    </row>
    <row r="45" spans="1:26" s="430" customFormat="1" x14ac:dyDescent="0.25">
      <c r="A45" s="865"/>
    </row>
    <row r="46" spans="1:26" s="563" customFormat="1" ht="7.5" customHeight="1" x14ac:dyDescent="0.25">
      <c r="D46" s="564"/>
      <c r="E46" s="564"/>
    </row>
    <row r="47" spans="1:26" s="565" customFormat="1" ht="19.5" x14ac:dyDescent="0.3">
      <c r="A47" s="430"/>
      <c r="C47" s="566" t="s">
        <v>827</v>
      </c>
    </row>
    <row r="48" spans="1:26" s="565" customFormat="1" x14ac:dyDescent="0.25"/>
    <row r="49" spans="1:7" s="565" customFormat="1" ht="15.75" thickBot="1" x14ac:dyDescent="0.3">
      <c r="A49" s="565" t="s">
        <v>828</v>
      </c>
    </row>
    <row r="50" spans="1:7" s="565" customFormat="1" ht="17.25" x14ac:dyDescent="0.4">
      <c r="A50" s="946" t="s">
        <v>32</v>
      </c>
      <c r="B50" s="432" t="s">
        <v>740</v>
      </c>
      <c r="C50" s="561" t="s">
        <v>829</v>
      </c>
      <c r="D50" s="567" t="s">
        <v>830</v>
      </c>
      <c r="G50" s="565" t="s">
        <v>831</v>
      </c>
    </row>
    <row r="51" spans="1:7" s="565" customFormat="1" x14ac:dyDescent="0.25">
      <c r="A51" s="947"/>
      <c r="B51" s="445" t="s">
        <v>768</v>
      </c>
      <c r="C51" s="568">
        <v>4240</v>
      </c>
      <c r="D51" s="569" t="str">
        <f>IF(F51="&lt;&lt;ПУСТО&gt;&gt;",E51&amp;ROUND(H51/1000,0),F51&amp;E51&amp;ROUND(H51/1000,0))</f>
        <v>0</v>
      </c>
      <c r="G51" s="565" t="s">
        <v>832</v>
      </c>
    </row>
    <row r="52" spans="1:7" s="565" customFormat="1" x14ac:dyDescent="0.25">
      <c r="A52" s="947"/>
      <c r="B52" s="432" t="s">
        <v>770</v>
      </c>
      <c r="C52" s="570">
        <v>8</v>
      </c>
      <c r="D52" s="570">
        <v>1</v>
      </c>
      <c r="G52" s="565" t="s">
        <v>833</v>
      </c>
    </row>
    <row r="53" spans="1:7" s="565" customFormat="1" x14ac:dyDescent="0.25">
      <c r="A53" s="947"/>
      <c r="B53" s="432" t="s">
        <v>772</v>
      </c>
      <c r="C53" s="570">
        <v>2</v>
      </c>
      <c r="D53" s="570"/>
    </row>
    <row r="54" spans="1:7" s="565" customFormat="1" x14ac:dyDescent="0.25">
      <c r="A54" s="947"/>
      <c r="B54" s="432" t="s">
        <v>773</v>
      </c>
      <c r="C54" s="570"/>
      <c r="D54" s="570"/>
    </row>
    <row r="55" spans="1:7" s="565" customFormat="1" ht="15.75" thickBot="1" x14ac:dyDescent="0.3">
      <c r="A55" s="948"/>
      <c r="B55" s="432" t="s">
        <v>781</v>
      </c>
      <c r="C55" s="570" t="s">
        <v>834</v>
      </c>
      <c r="D55" s="570"/>
      <c r="G55" s="430" t="s">
        <v>835</v>
      </c>
    </row>
    <row r="56" spans="1:7" s="565" customFormat="1" x14ac:dyDescent="0.25"/>
    <row r="57" spans="1:7" s="565" customFormat="1" ht="15.75" thickBot="1" x14ac:dyDescent="0.3">
      <c r="A57" s="565" t="s">
        <v>836</v>
      </c>
    </row>
    <row r="58" spans="1:7" s="565" customFormat="1" x14ac:dyDescent="0.25">
      <c r="A58" s="571">
        <f>(SUMIF(A$2:A55,"",F$2:F55)-F58)/1000000</f>
        <v>1.1E-5</v>
      </c>
      <c r="B58" s="572"/>
      <c r="C58" s="573" t="s">
        <v>61</v>
      </c>
      <c r="E58" s="574" t="s">
        <v>837</v>
      </c>
      <c r="F58" s="575">
        <f>SUMIF(I$47:I52,"Наталья Константиновна Лидер",F$47:F52)</f>
        <v>0</v>
      </c>
    </row>
    <row r="59" spans="1:7" s="565" customFormat="1" ht="15.75" thickBot="1" x14ac:dyDescent="0.3">
      <c r="A59" s="576">
        <f>COUNTIF(A$2:A55,"")-F59</f>
        <v>26</v>
      </c>
      <c r="B59" s="572"/>
      <c r="C59" s="573" t="s">
        <v>838</v>
      </c>
      <c r="E59" s="577"/>
      <c r="F59" s="578">
        <f>COUNTIF(I$47:I60,"Наталья Константиновна Лидер")</f>
        <v>0</v>
      </c>
    </row>
    <row r="60" spans="1:7" s="565" customFormat="1" x14ac:dyDescent="0.25"/>
    <row r="61" spans="1:7" s="565" customFormat="1" x14ac:dyDescent="0.25">
      <c r="A61" s="565" t="s">
        <v>839</v>
      </c>
    </row>
    <row r="62" spans="1:7" s="565" customFormat="1" ht="15.75" thickBot="1" x14ac:dyDescent="0.3">
      <c r="B62" s="565" t="s">
        <v>840</v>
      </c>
    </row>
    <row r="63" spans="1:7" s="565" customFormat="1" ht="17.25" x14ac:dyDescent="0.4">
      <c r="A63" s="946" t="s">
        <v>41</v>
      </c>
      <c r="B63" s="432" t="s">
        <v>740</v>
      </c>
      <c r="C63" s="561" t="s">
        <v>829</v>
      </c>
      <c r="D63" s="561" t="s">
        <v>841</v>
      </c>
      <c r="G63" s="565" t="s">
        <v>831</v>
      </c>
    </row>
    <row r="64" spans="1:7" s="565" customFormat="1" x14ac:dyDescent="0.25">
      <c r="A64" s="947"/>
      <c r="B64" s="445" t="s">
        <v>1223</v>
      </c>
      <c r="C64" s="562">
        <f>O64</f>
        <v>0</v>
      </c>
      <c r="D64" s="579" t="str">
        <f>IF(G64="",F64,G64&amp;"/"&amp;F64)</f>
        <v>Match=&lt;номер строки Договора1С&gt;/</v>
      </c>
      <c r="G64" s="565" t="s">
        <v>842</v>
      </c>
    </row>
    <row r="65" spans="1:9" s="565" customFormat="1" x14ac:dyDescent="0.25">
      <c r="A65" s="947"/>
      <c r="B65" s="432" t="s">
        <v>770</v>
      </c>
      <c r="C65" s="565">
        <v>10</v>
      </c>
      <c r="D65" s="570">
        <v>1</v>
      </c>
      <c r="F65" s="580" t="str">
        <f>"/=""Не состоялся"":"&amp;F66</f>
        <v>/="Не состоялся":/="Договор расторгнут"</v>
      </c>
      <c r="G65" s="565" t="s">
        <v>843</v>
      </c>
    </row>
    <row r="66" spans="1:9" s="430" customFormat="1" x14ac:dyDescent="0.25">
      <c r="A66" s="947"/>
      <c r="B66" s="432" t="s">
        <v>772</v>
      </c>
      <c r="C66" s="451">
        <v>2</v>
      </c>
      <c r="D66" s="451"/>
      <c r="F66" s="581" t="s">
        <v>844</v>
      </c>
    </row>
    <row r="67" spans="1:9" s="430" customFormat="1" x14ac:dyDescent="0.25">
      <c r="A67" s="947"/>
      <c r="B67" s="432" t="s">
        <v>773</v>
      </c>
      <c r="C67" s="451"/>
      <c r="D67" s="451"/>
    </row>
    <row r="68" spans="1:9" s="430" customFormat="1" ht="15.75" thickBot="1" x14ac:dyDescent="0.3">
      <c r="A68" s="948"/>
      <c r="B68" s="432" t="s">
        <v>781</v>
      </c>
      <c r="C68" s="451" t="s">
        <v>845</v>
      </c>
      <c r="D68" s="451"/>
      <c r="F68" s="570" t="str">
        <f>"10/="""":"&amp;F65</f>
        <v>10/="":/="Не состоялся":/="Договор расторгнут"</v>
      </c>
      <c r="G68" s="430" t="s">
        <v>846</v>
      </c>
    </row>
    <row r="69" spans="1:9" s="565" customFormat="1" x14ac:dyDescent="0.25">
      <c r="E69" s="430"/>
      <c r="H69" s="430"/>
    </row>
    <row r="70" spans="1:9" s="565" customFormat="1" x14ac:dyDescent="0.25">
      <c r="A70" s="565" t="s">
        <v>847</v>
      </c>
      <c r="E70" s="430"/>
      <c r="H70" s="430"/>
    </row>
    <row r="71" spans="1:9" s="565" customFormat="1" ht="15.75" thickBot="1" x14ac:dyDescent="0.3">
      <c r="B71" s="565" t="s">
        <v>848</v>
      </c>
    </row>
    <row r="72" spans="1:9" s="565" customFormat="1" ht="15.75" thickBot="1" x14ac:dyDescent="0.3">
      <c r="A72" s="582">
        <f>COUNTIF(A$2:A66,"")-COUNTIF(M$2:M63,"Не состоялся")-COUNTIF(M$2:M63,"Договор расторгнут")</f>
        <v>32</v>
      </c>
      <c r="B72" s="572"/>
    </row>
    <row r="73" spans="1:9" s="565" customFormat="1" x14ac:dyDescent="0.25">
      <c r="B73" s="572"/>
    </row>
    <row r="74" spans="1:9" s="565" customFormat="1" x14ac:dyDescent="0.25">
      <c r="A74" s="565" t="s">
        <v>849</v>
      </c>
    </row>
    <row r="75" spans="1:9" s="565" customFormat="1" x14ac:dyDescent="0.25">
      <c r="A75" s="583" t="s">
        <v>850</v>
      </c>
      <c r="B75" s="583" t="s">
        <v>851</v>
      </c>
      <c r="C75" s="583" t="s">
        <v>852</v>
      </c>
      <c r="D75" s="583" t="s">
        <v>853</v>
      </c>
      <c r="E75" s="583" t="s">
        <v>854</v>
      </c>
      <c r="F75" s="583" t="s">
        <v>855</v>
      </c>
      <c r="G75" s="583" t="s">
        <v>856</v>
      </c>
      <c r="H75" s="583" t="s">
        <v>857</v>
      </c>
      <c r="I75" s="583" t="s">
        <v>858</v>
      </c>
    </row>
    <row r="76" spans="1:9" s="565" customFormat="1" x14ac:dyDescent="0.25">
      <c r="A76" s="565" t="s">
        <v>859</v>
      </c>
      <c r="B76" s="565" t="s">
        <v>860</v>
      </c>
      <c r="D76" s="570" t="s">
        <v>58</v>
      </c>
      <c r="E76" s="570">
        <v>1</v>
      </c>
      <c r="F76" s="565" t="s">
        <v>861</v>
      </c>
      <c r="G76" s="565" t="s">
        <v>862</v>
      </c>
      <c r="H76" s="565" t="s">
        <v>32</v>
      </c>
      <c r="I76" s="565" t="s">
        <v>863</v>
      </c>
    </row>
    <row r="77" spans="1:9" s="563" customFormat="1" ht="7.5" customHeight="1" x14ac:dyDescent="0.25">
      <c r="D77" s="564"/>
      <c r="E77" s="564"/>
    </row>
    <row r="78" spans="1:9" s="565" customFormat="1" ht="19.5" x14ac:dyDescent="0.3">
      <c r="A78" s="430"/>
      <c r="C78" s="566" t="s">
        <v>864</v>
      </c>
      <c r="I78" s="565">
        <f>C84</f>
        <v>5</v>
      </c>
    </row>
    <row r="79" spans="1:9" s="430" customFormat="1" x14ac:dyDescent="0.25"/>
    <row r="80" spans="1:9" s="430" customFormat="1" x14ac:dyDescent="0.25">
      <c r="A80" s="430" t="s">
        <v>865</v>
      </c>
    </row>
    <row r="81" spans="1:38" s="430" customFormat="1" ht="25.5" x14ac:dyDescent="0.25">
      <c r="A81" s="432" t="s">
        <v>740</v>
      </c>
      <c r="B81" s="584" t="s">
        <v>866</v>
      </c>
      <c r="C81" s="584" t="s">
        <v>867</v>
      </c>
      <c r="D81" s="585" t="s">
        <v>868</v>
      </c>
      <c r="E81" s="586" t="s">
        <v>869</v>
      </c>
      <c r="F81" s="587" t="s">
        <v>870</v>
      </c>
      <c r="G81" s="584" t="s">
        <v>109</v>
      </c>
      <c r="H81" s="584" t="s">
        <v>799</v>
      </c>
      <c r="I81" s="584" t="s">
        <v>871</v>
      </c>
      <c r="J81" s="584" t="s">
        <v>758</v>
      </c>
      <c r="L81" s="588" t="s">
        <v>872</v>
      </c>
      <c r="M81" s="589" t="s">
        <v>873</v>
      </c>
      <c r="N81" s="590"/>
      <c r="O81" s="591" t="s">
        <v>102</v>
      </c>
      <c r="P81" s="592" t="s">
        <v>874</v>
      </c>
      <c r="Q81" s="591" t="s">
        <v>106</v>
      </c>
      <c r="R81" s="591" t="s">
        <v>52</v>
      </c>
      <c r="S81" s="591" t="s">
        <v>109</v>
      </c>
      <c r="T81" s="593" t="s">
        <v>111</v>
      </c>
      <c r="U81" s="594" t="s">
        <v>875</v>
      </c>
      <c r="V81" s="595" t="s">
        <v>876</v>
      </c>
      <c r="W81" s="591" t="s">
        <v>877</v>
      </c>
      <c r="X81" s="596" t="s">
        <v>94</v>
      </c>
      <c r="Y81" s="597" t="s">
        <v>94</v>
      </c>
      <c r="Z81" s="597" t="s">
        <v>94</v>
      </c>
      <c r="AA81" s="597" t="s">
        <v>94</v>
      </c>
      <c r="AB81" s="591" t="s">
        <v>94</v>
      </c>
      <c r="AC81" s="591" t="s">
        <v>878</v>
      </c>
      <c r="AD81" s="591" t="s">
        <v>94</v>
      </c>
      <c r="AE81" s="591"/>
      <c r="AF81" s="591" t="s">
        <v>94</v>
      </c>
      <c r="AG81" s="598" t="s">
        <v>879</v>
      </c>
      <c r="AH81" s="599" t="s">
        <v>94</v>
      </c>
      <c r="AI81" s="591" t="s">
        <v>94</v>
      </c>
      <c r="AJ81" s="591" t="s">
        <v>94</v>
      </c>
      <c r="AK81" s="600" t="s">
        <v>880</v>
      </c>
      <c r="AL81" s="601"/>
    </row>
    <row r="82" spans="1:38" s="430" customFormat="1" x14ac:dyDescent="0.25">
      <c r="A82" s="445" t="s">
        <v>1223</v>
      </c>
      <c r="B82" s="602"/>
      <c r="C82" s="603"/>
      <c r="D82" s="604">
        <v>41367</v>
      </c>
      <c r="E82" s="605" t="s">
        <v>881</v>
      </c>
      <c r="F82" s="606">
        <f>T82</f>
        <v>0</v>
      </c>
      <c r="G82" s="451"/>
      <c r="H82" s="452"/>
    </row>
    <row r="83" spans="1:38" s="430" customFormat="1" x14ac:dyDescent="0.25">
      <c r="A83" s="432" t="s">
        <v>770</v>
      </c>
      <c r="B83" s="451">
        <v>1</v>
      </c>
      <c r="C83" s="451">
        <v>5</v>
      </c>
      <c r="D83" s="451">
        <v>8</v>
      </c>
      <c r="E83" s="451">
        <v>13</v>
      </c>
      <c r="F83" s="451">
        <v>14</v>
      </c>
      <c r="G83" s="451">
        <v>11</v>
      </c>
      <c r="H83" s="452">
        <v>20</v>
      </c>
      <c r="I83" s="453">
        <v>15</v>
      </c>
      <c r="J83" s="453">
        <v>10</v>
      </c>
      <c r="K83" s="453">
        <v>6</v>
      </c>
      <c r="L83" s="453">
        <v>6</v>
      </c>
      <c r="M83" s="453">
        <v>10</v>
      </c>
      <c r="N83" s="453">
        <v>1</v>
      </c>
      <c r="O83" s="453">
        <v>45</v>
      </c>
      <c r="P83" s="453"/>
      <c r="Q83" s="453">
        <v>13</v>
      </c>
      <c r="R83" s="453">
        <v>16</v>
      </c>
      <c r="S83" s="453">
        <v>10</v>
      </c>
      <c r="T83" s="453">
        <v>10</v>
      </c>
      <c r="U83" s="453">
        <v>10</v>
      </c>
      <c r="V83" s="453">
        <v>10</v>
      </c>
      <c r="W83" s="453">
        <v>10</v>
      </c>
      <c r="X83" s="453">
        <v>10</v>
      </c>
      <c r="Y83" s="453">
        <v>0</v>
      </c>
      <c r="Z83" s="453">
        <v>0</v>
      </c>
      <c r="AA83" s="453">
        <v>0</v>
      </c>
      <c r="AB83" s="453">
        <v>0</v>
      </c>
      <c r="AC83" s="453">
        <v>0</v>
      </c>
      <c r="AD83" s="453">
        <v>0</v>
      </c>
      <c r="AE83" s="453"/>
      <c r="AF83" s="453">
        <v>0</v>
      </c>
      <c r="AG83" s="453">
        <v>0</v>
      </c>
      <c r="AH83" s="453">
        <v>0</v>
      </c>
      <c r="AI83" s="453">
        <v>0</v>
      </c>
      <c r="AJ83" s="453">
        <v>0</v>
      </c>
      <c r="AK83" s="453">
        <v>0</v>
      </c>
      <c r="AL83" s="453">
        <v>0</v>
      </c>
    </row>
    <row r="84" spans="1:38" s="430" customFormat="1" x14ac:dyDescent="0.25">
      <c r="A84" s="432" t="s">
        <v>772</v>
      </c>
      <c r="B84" s="451">
        <v>5</v>
      </c>
      <c r="C84" s="451">
        <v>5</v>
      </c>
      <c r="D84" s="451" t="s">
        <v>882</v>
      </c>
      <c r="E84" s="451">
        <v>5</v>
      </c>
      <c r="F84" s="451"/>
      <c r="G84" s="451">
        <v>5</v>
      </c>
      <c r="H84" s="430">
        <v>5</v>
      </c>
      <c r="I84" s="430">
        <v>1</v>
      </c>
      <c r="J84" s="451">
        <v>1</v>
      </c>
      <c r="K84" s="452">
        <v>-1</v>
      </c>
      <c r="L84" s="451"/>
      <c r="O84" s="451"/>
      <c r="P84" s="451"/>
      <c r="Q84" s="453"/>
      <c r="R84" s="453"/>
      <c r="S84" s="453"/>
      <c r="T84" s="453"/>
      <c r="U84" s="453"/>
      <c r="V84" s="453"/>
      <c r="W84" s="453"/>
      <c r="X84" s="453"/>
      <c r="Y84" s="453"/>
      <c r="Z84" s="454"/>
      <c r="AA84" s="453"/>
      <c r="AB84" s="453"/>
      <c r="AC84" s="453"/>
      <c r="AD84" s="453"/>
      <c r="AE84" s="453"/>
      <c r="AF84" s="453"/>
      <c r="AG84" s="453"/>
    </row>
    <row r="85" spans="1:38" s="430" customFormat="1" x14ac:dyDescent="0.25">
      <c r="A85" s="432" t="s">
        <v>773</v>
      </c>
      <c r="B85" s="451"/>
      <c r="C85" s="451"/>
      <c r="D85" s="451"/>
      <c r="E85" s="451"/>
      <c r="F85" s="451"/>
      <c r="G85" s="451"/>
      <c r="J85" s="451"/>
      <c r="K85" s="452"/>
      <c r="L85" s="451"/>
      <c r="O85" s="451" t="s">
        <v>883</v>
      </c>
      <c r="P85" s="451"/>
      <c r="Q85" s="453"/>
      <c r="R85" s="453"/>
      <c r="S85" s="453"/>
      <c r="T85" s="453"/>
      <c r="U85" s="453"/>
      <c r="V85" s="453"/>
      <c r="W85" s="453"/>
      <c r="X85" s="453"/>
      <c r="Y85" s="453"/>
      <c r="Z85" s="454"/>
      <c r="AA85" s="453"/>
      <c r="AB85" s="453"/>
      <c r="AC85" s="453"/>
      <c r="AD85" s="453"/>
      <c r="AE85" s="453"/>
      <c r="AF85" s="453"/>
      <c r="AG85" s="453"/>
    </row>
    <row r="86" spans="1:38" s="430" customFormat="1" x14ac:dyDescent="0.25">
      <c r="A86" s="432" t="s">
        <v>781</v>
      </c>
      <c r="B86" s="451" t="s">
        <v>884</v>
      </c>
      <c r="C86" s="451" t="s">
        <v>885</v>
      </c>
      <c r="D86" s="462" t="s">
        <v>886</v>
      </c>
      <c r="E86" s="462" t="s">
        <v>887</v>
      </c>
      <c r="F86" s="462"/>
      <c r="G86" s="451" t="s">
        <v>888</v>
      </c>
      <c r="H86" s="607" t="s">
        <v>889</v>
      </c>
      <c r="I86" s="451" t="s">
        <v>890</v>
      </c>
      <c r="J86" s="451" t="s">
        <v>891</v>
      </c>
      <c r="K86" s="451"/>
      <c r="L86" s="451"/>
      <c r="O86" s="451"/>
      <c r="P86" s="451"/>
      <c r="Q86" s="453"/>
      <c r="R86" s="453"/>
      <c r="S86" s="453"/>
      <c r="T86" s="453"/>
      <c r="U86" s="453"/>
      <c r="V86" s="453"/>
      <c r="W86" s="453"/>
      <c r="X86" s="453"/>
      <c r="Y86" s="453"/>
      <c r="Z86" s="454"/>
      <c r="AA86" s="453"/>
      <c r="AB86" s="453"/>
      <c r="AC86" s="453"/>
      <c r="AD86" s="453"/>
      <c r="AE86" s="453"/>
      <c r="AF86" s="453"/>
      <c r="AG86" s="453"/>
    </row>
    <row r="87" spans="1:38" s="430" customFormat="1" x14ac:dyDescent="0.25">
      <c r="N87" s="430" t="s">
        <v>892</v>
      </c>
    </row>
    <row r="88" spans="1:38" s="430" customFormat="1" x14ac:dyDescent="0.25">
      <c r="A88" s="430" t="s">
        <v>893</v>
      </c>
    </row>
    <row r="89" spans="1:38" s="430" customFormat="1" ht="25.5" x14ac:dyDescent="0.25">
      <c r="A89" s="432" t="s">
        <v>740</v>
      </c>
      <c r="B89" s="584" t="s">
        <v>866</v>
      </c>
      <c r="C89" s="584" t="s">
        <v>867</v>
      </c>
      <c r="D89" s="585" t="s">
        <v>868</v>
      </c>
      <c r="E89" s="586" t="s">
        <v>869</v>
      </c>
      <c r="F89" s="587" t="s">
        <v>870</v>
      </c>
      <c r="G89" s="584" t="s">
        <v>109</v>
      </c>
      <c r="H89" s="584" t="s">
        <v>799</v>
      </c>
      <c r="I89" s="584" t="s">
        <v>871</v>
      </c>
      <c r="J89" s="584" t="s">
        <v>758</v>
      </c>
      <c r="L89" s="588" t="s">
        <v>872</v>
      </c>
      <c r="M89" s="589" t="s">
        <v>873</v>
      </c>
      <c r="N89" s="590"/>
      <c r="O89" s="591" t="s">
        <v>102</v>
      </c>
      <c r="P89" s="592" t="s">
        <v>874</v>
      </c>
      <c r="Q89" s="591" t="s">
        <v>106</v>
      </c>
      <c r="R89" s="591" t="s">
        <v>52</v>
      </c>
      <c r="S89" s="591" t="s">
        <v>109</v>
      </c>
      <c r="T89" s="593" t="s">
        <v>111</v>
      </c>
      <c r="U89" s="594" t="s">
        <v>875</v>
      </c>
      <c r="V89" s="595" t="s">
        <v>876</v>
      </c>
      <c r="W89" s="591" t="s">
        <v>877</v>
      </c>
      <c r="X89" s="596" t="s">
        <v>94</v>
      </c>
      <c r="Y89" s="597" t="s">
        <v>94</v>
      </c>
      <c r="Z89" s="597" t="s">
        <v>94</v>
      </c>
      <c r="AA89" s="597" t="s">
        <v>94</v>
      </c>
      <c r="AB89" s="591" t="s">
        <v>94</v>
      </c>
      <c r="AC89" s="591" t="s">
        <v>878</v>
      </c>
      <c r="AD89" s="591" t="s">
        <v>94</v>
      </c>
      <c r="AE89" s="591"/>
      <c r="AF89" s="591" t="s">
        <v>94</v>
      </c>
      <c r="AG89" s="598" t="s">
        <v>879</v>
      </c>
      <c r="AH89" s="599" t="s">
        <v>94</v>
      </c>
      <c r="AI89" s="591" t="s">
        <v>94</v>
      </c>
      <c r="AJ89" s="591" t="s">
        <v>94</v>
      </c>
      <c r="AK89" s="600" t="s">
        <v>880</v>
      </c>
      <c r="AL89" s="601"/>
    </row>
    <row r="90" spans="1:38" s="430" customFormat="1" x14ac:dyDescent="0.25">
      <c r="A90" s="445" t="s">
        <v>1223</v>
      </c>
      <c r="B90" s="602"/>
      <c r="C90" s="603"/>
      <c r="D90" s="604">
        <v>41367</v>
      </c>
      <c r="E90" s="605" t="s">
        <v>881</v>
      </c>
      <c r="F90" s="606">
        <f>T90</f>
        <v>0</v>
      </c>
      <c r="G90" s="451"/>
      <c r="H90" s="452"/>
    </row>
    <row r="91" spans="1:38" s="430" customFormat="1" x14ac:dyDescent="0.25">
      <c r="A91" s="432" t="s">
        <v>770</v>
      </c>
      <c r="B91" s="451">
        <v>1</v>
      </c>
      <c r="C91" s="451">
        <v>5</v>
      </c>
      <c r="D91" s="451">
        <v>8</v>
      </c>
      <c r="E91" s="451">
        <v>13</v>
      </c>
      <c r="F91" s="451">
        <v>14</v>
      </c>
      <c r="G91" s="451">
        <v>11</v>
      </c>
      <c r="H91" s="452">
        <v>20</v>
      </c>
      <c r="I91" s="453">
        <v>15</v>
      </c>
      <c r="J91" s="453">
        <v>10</v>
      </c>
      <c r="K91" s="453">
        <v>6</v>
      </c>
      <c r="L91" s="453">
        <v>6</v>
      </c>
      <c r="M91" s="453">
        <v>10</v>
      </c>
      <c r="N91" s="453">
        <v>1</v>
      </c>
      <c r="O91" s="453">
        <v>45</v>
      </c>
      <c r="P91" s="453"/>
      <c r="Q91" s="453">
        <v>13</v>
      </c>
      <c r="R91" s="453">
        <v>16</v>
      </c>
      <c r="S91" s="453">
        <v>10</v>
      </c>
      <c r="T91" s="453">
        <v>10</v>
      </c>
      <c r="U91" s="453">
        <v>10</v>
      </c>
      <c r="V91" s="453">
        <v>10</v>
      </c>
      <c r="W91" s="453">
        <v>10</v>
      </c>
      <c r="X91" s="453">
        <v>10</v>
      </c>
      <c r="Y91" s="453">
        <v>0</v>
      </c>
      <c r="Z91" s="453">
        <v>0</v>
      </c>
      <c r="AA91" s="453">
        <v>0</v>
      </c>
      <c r="AB91" s="453">
        <v>0</v>
      </c>
      <c r="AC91" s="453">
        <v>0</v>
      </c>
      <c r="AD91" s="453">
        <v>0</v>
      </c>
      <c r="AE91" s="453"/>
      <c r="AF91" s="453">
        <v>0</v>
      </c>
      <c r="AG91" s="453">
        <v>0</v>
      </c>
      <c r="AH91" s="453">
        <v>0</v>
      </c>
      <c r="AI91" s="453">
        <v>0</v>
      </c>
      <c r="AJ91" s="453">
        <v>0</v>
      </c>
      <c r="AK91" s="453">
        <v>0</v>
      </c>
      <c r="AL91" s="453">
        <v>0</v>
      </c>
    </row>
    <row r="92" spans="1:38" s="430" customFormat="1" x14ac:dyDescent="0.25">
      <c r="A92" s="432" t="s">
        <v>772</v>
      </c>
      <c r="B92" s="451">
        <v>5</v>
      </c>
      <c r="C92" s="451">
        <v>5</v>
      </c>
      <c r="D92" s="451" t="s">
        <v>882</v>
      </c>
      <c r="E92" s="451">
        <v>5</v>
      </c>
      <c r="F92" s="451"/>
      <c r="G92" s="451">
        <v>5</v>
      </c>
      <c r="H92" s="430">
        <v>5</v>
      </c>
      <c r="I92" s="430">
        <v>1</v>
      </c>
      <c r="J92" s="451">
        <v>1</v>
      </c>
      <c r="K92" s="452">
        <v>-1</v>
      </c>
      <c r="L92" s="451"/>
      <c r="O92" s="451"/>
      <c r="P92" s="451"/>
      <c r="Q92" s="453"/>
      <c r="R92" s="453"/>
      <c r="S92" s="453"/>
      <c r="T92" s="453"/>
      <c r="U92" s="453"/>
      <c r="V92" s="453"/>
      <c r="W92" s="453"/>
      <c r="X92" s="453"/>
      <c r="Y92" s="453"/>
      <c r="Z92" s="454"/>
      <c r="AA92" s="453"/>
      <c r="AB92" s="453"/>
      <c r="AC92" s="453"/>
      <c r="AD92" s="453"/>
      <c r="AE92" s="453"/>
      <c r="AF92" s="453"/>
      <c r="AG92" s="453"/>
    </row>
    <row r="93" spans="1:38" s="430" customFormat="1" x14ac:dyDescent="0.25">
      <c r="A93" s="432" t="s">
        <v>773</v>
      </c>
      <c r="B93" s="451"/>
      <c r="C93" s="451"/>
      <c r="D93" s="451"/>
      <c r="E93" s="451"/>
      <c r="F93" s="451"/>
      <c r="G93" s="451"/>
      <c r="J93" s="451"/>
      <c r="K93" s="452"/>
      <c r="L93" s="451"/>
      <c r="O93" s="451" t="s">
        <v>883</v>
      </c>
      <c r="P93" s="451"/>
      <c r="Q93" s="453"/>
      <c r="R93" s="453"/>
      <c r="S93" s="453"/>
      <c r="T93" s="453"/>
      <c r="U93" s="453"/>
      <c r="V93" s="453"/>
      <c r="W93" s="453"/>
      <c r="X93" s="453"/>
      <c r="Y93" s="453"/>
      <c r="Z93" s="454"/>
      <c r="AA93" s="453"/>
      <c r="AB93" s="453"/>
      <c r="AC93" s="453"/>
      <c r="AD93" s="453"/>
      <c r="AE93" s="453"/>
      <c r="AF93" s="453"/>
      <c r="AG93" s="453"/>
    </row>
    <row r="94" spans="1:38" s="430" customFormat="1" x14ac:dyDescent="0.25">
      <c r="A94" s="432" t="s">
        <v>781</v>
      </c>
      <c r="B94" s="451" t="s">
        <v>884</v>
      </c>
      <c r="C94" s="451" t="s">
        <v>885</v>
      </c>
      <c r="D94" s="462" t="s">
        <v>886</v>
      </c>
      <c r="E94" s="462" t="s">
        <v>887</v>
      </c>
      <c r="F94" s="462"/>
      <c r="G94" s="451" t="s">
        <v>888</v>
      </c>
      <c r="H94" s="607" t="s">
        <v>889</v>
      </c>
      <c r="I94" s="451" t="s">
        <v>890</v>
      </c>
      <c r="J94" s="451" t="s">
        <v>891</v>
      </c>
      <c r="K94" s="451"/>
      <c r="L94" s="451"/>
      <c r="O94" s="451"/>
      <c r="P94" s="451"/>
      <c r="Q94" s="453"/>
      <c r="R94" s="453"/>
      <c r="S94" s="453"/>
      <c r="T94" s="453"/>
      <c r="U94" s="453"/>
      <c r="V94" s="453"/>
      <c r="W94" s="453"/>
      <c r="X94" s="453"/>
      <c r="Y94" s="453"/>
      <c r="Z94" s="454"/>
      <c r="AA94" s="453"/>
      <c r="AB94" s="453"/>
      <c r="AC94" s="453"/>
      <c r="AD94" s="453"/>
      <c r="AE94" s="453"/>
      <c r="AF94" s="453"/>
      <c r="AG94" s="453"/>
    </row>
    <row r="95" spans="1:38" s="430" customFormat="1" x14ac:dyDescent="0.25">
      <c r="N95" s="430" t="s">
        <v>892</v>
      </c>
    </row>
    <row r="96" spans="1:38" s="430" customFormat="1" ht="15.75" thickBot="1" x14ac:dyDescent="0.3">
      <c r="A96" s="430" t="s">
        <v>894</v>
      </c>
      <c r="F96" s="430">
        <v>5</v>
      </c>
      <c r="I96" s="430">
        <v>8</v>
      </c>
      <c r="P96" s="430">
        <v>10</v>
      </c>
      <c r="T96" s="430">
        <v>14</v>
      </c>
    </row>
    <row r="97" spans="1:37" s="430" customFormat="1" ht="75" x14ac:dyDescent="0.25">
      <c r="A97" s="608" t="s">
        <v>83</v>
      </c>
      <c r="B97" s="609" t="s">
        <v>895</v>
      </c>
      <c r="C97" s="584" t="s">
        <v>743</v>
      </c>
      <c r="D97" s="584" t="s">
        <v>896</v>
      </c>
      <c r="E97" s="584" t="s">
        <v>897</v>
      </c>
      <c r="F97" s="584" t="s">
        <v>109</v>
      </c>
      <c r="G97" s="584" t="s">
        <v>866</v>
      </c>
      <c r="H97" s="584" t="s">
        <v>871</v>
      </c>
      <c r="I97" s="584" t="s">
        <v>406</v>
      </c>
      <c r="J97" s="584" t="s">
        <v>758</v>
      </c>
      <c r="K97" s="584"/>
      <c r="L97" s="584"/>
      <c r="M97" s="584" t="s">
        <v>898</v>
      </c>
      <c r="N97" s="610" t="s">
        <v>126</v>
      </c>
      <c r="O97" s="584" t="s">
        <v>899</v>
      </c>
      <c r="P97" s="584" t="s">
        <v>900</v>
      </c>
      <c r="Q97" s="611" t="s">
        <v>901</v>
      </c>
      <c r="R97" s="611" t="s">
        <v>90</v>
      </c>
      <c r="S97" s="612" t="s">
        <v>92</v>
      </c>
      <c r="T97" s="611" t="s">
        <v>98</v>
      </c>
      <c r="U97" s="613" t="s">
        <v>94</v>
      </c>
      <c r="V97" s="613" t="s">
        <v>96</v>
      </c>
      <c r="W97" s="613" t="s">
        <v>902</v>
      </c>
      <c r="X97" s="613" t="s">
        <v>903</v>
      </c>
      <c r="Y97" s="613" t="s">
        <v>904</v>
      </c>
    </row>
    <row r="98" spans="1:37" s="430" customFormat="1" x14ac:dyDescent="0.25">
      <c r="A98" s="614"/>
      <c r="B98" s="445" t="s">
        <v>1223</v>
      </c>
      <c r="D98" s="615"/>
      <c r="M98" s="452"/>
      <c r="N98" s="447"/>
      <c r="O98" s="448"/>
      <c r="P98" s="448"/>
      <c r="Q98" s="451" t="s">
        <v>769</v>
      </c>
      <c r="R98" s="451" t="s">
        <v>769</v>
      </c>
      <c r="S98" s="451" t="s">
        <v>769</v>
      </c>
      <c r="T98" s="451" t="s">
        <v>769</v>
      </c>
      <c r="U98" s="451" t="s">
        <v>769</v>
      </c>
      <c r="V98" s="451" t="s">
        <v>769</v>
      </c>
      <c r="W98" s="451" t="s">
        <v>769</v>
      </c>
      <c r="X98" s="451" t="s">
        <v>769</v>
      </c>
      <c r="Y98" s="451" t="s">
        <v>769</v>
      </c>
    </row>
    <row r="99" spans="1:37" s="430" customFormat="1" x14ac:dyDescent="0.25">
      <c r="A99" s="614"/>
      <c r="B99" s="432" t="s">
        <v>770</v>
      </c>
      <c r="C99" s="451">
        <v>9</v>
      </c>
      <c r="D99" s="451">
        <v>5</v>
      </c>
      <c r="E99" s="451">
        <v>22</v>
      </c>
      <c r="F99" s="451">
        <v>10</v>
      </c>
      <c r="G99" s="451">
        <v>1</v>
      </c>
      <c r="H99" s="451">
        <v>15</v>
      </c>
      <c r="I99" s="451">
        <v>10</v>
      </c>
      <c r="J99" s="451">
        <v>8</v>
      </c>
      <c r="K99" s="451">
        <v>1</v>
      </c>
      <c r="L99" s="451">
        <v>1</v>
      </c>
      <c r="M99" s="451">
        <v>12</v>
      </c>
      <c r="N99" s="451">
        <v>14</v>
      </c>
      <c r="O99" s="451">
        <v>12</v>
      </c>
      <c r="P99" s="451">
        <v>8</v>
      </c>
      <c r="Q99" s="451">
        <v>47</v>
      </c>
      <c r="R99" s="451">
        <v>44</v>
      </c>
      <c r="S99" s="451">
        <v>8</v>
      </c>
      <c r="T99" s="451">
        <v>44</v>
      </c>
      <c r="U99" s="451">
        <v>9</v>
      </c>
      <c r="V99" s="451">
        <v>25</v>
      </c>
      <c r="W99" s="451">
        <v>22</v>
      </c>
      <c r="X99" s="451">
        <v>0</v>
      </c>
      <c r="Y99" s="453">
        <v>0</v>
      </c>
    </row>
    <row r="100" spans="1:37" s="430" customFormat="1" x14ac:dyDescent="0.25">
      <c r="A100" s="614"/>
      <c r="B100" s="432" t="s">
        <v>772</v>
      </c>
      <c r="C100" s="451">
        <v>15</v>
      </c>
      <c r="D100" s="451">
        <v>19</v>
      </c>
      <c r="E100" s="451">
        <v>2</v>
      </c>
      <c r="G100" s="430">
        <v>-1</v>
      </c>
      <c r="M100" s="451"/>
      <c r="N100" s="451"/>
      <c r="O100" s="451"/>
      <c r="P100" s="451"/>
      <c r="T100" s="451"/>
      <c r="U100" s="453"/>
      <c r="V100" s="453"/>
      <c r="W100" s="453"/>
      <c r="X100" s="453"/>
      <c r="Y100" s="453"/>
    </row>
    <row r="101" spans="1:37" s="430" customFormat="1" ht="30" x14ac:dyDescent="0.25">
      <c r="A101" s="614"/>
      <c r="B101" s="432" t="s">
        <v>773</v>
      </c>
      <c r="C101" s="451" t="s">
        <v>905</v>
      </c>
      <c r="D101" s="616" t="s">
        <v>906</v>
      </c>
      <c r="E101" s="617" t="s">
        <v>907</v>
      </c>
      <c r="G101" s="451"/>
      <c r="M101" s="451"/>
      <c r="N101" s="451"/>
      <c r="O101" s="451"/>
      <c r="P101" s="451"/>
      <c r="Q101" s="451"/>
      <c r="T101" s="451"/>
      <c r="U101" s="453"/>
      <c r="V101" s="453"/>
      <c r="W101" s="453"/>
      <c r="X101" s="453"/>
      <c r="Y101" s="453"/>
      <c r="Z101" s="453"/>
      <c r="AA101" s="453"/>
      <c r="AB101" s="453"/>
      <c r="AC101" s="453"/>
      <c r="AD101" s="454"/>
      <c r="AE101" s="454"/>
      <c r="AF101" s="453"/>
      <c r="AG101" s="453"/>
      <c r="AH101" s="453"/>
      <c r="AI101" s="453"/>
      <c r="AJ101" s="453"/>
      <c r="AK101" s="453"/>
    </row>
    <row r="102" spans="1:37" s="430" customFormat="1" x14ac:dyDescent="0.25">
      <c r="A102" s="614"/>
      <c r="B102" s="432" t="s">
        <v>781</v>
      </c>
      <c r="D102" s="452"/>
      <c r="E102" s="451"/>
      <c r="F102" s="451"/>
      <c r="H102" s="451"/>
      <c r="K102" s="451"/>
      <c r="L102" s="453"/>
      <c r="M102" s="462"/>
      <c r="N102" s="462"/>
      <c r="O102" s="462"/>
      <c r="P102" s="462"/>
      <c r="Q102" s="453"/>
      <c r="R102" s="453"/>
      <c r="S102" s="453"/>
      <c r="T102" s="453"/>
      <c r="U102" s="453"/>
      <c r="V102" s="453"/>
      <c r="W102" s="453"/>
      <c r="X102" s="453"/>
      <c r="Y102" s="454"/>
      <c r="Z102" s="453"/>
      <c r="AA102" s="453"/>
      <c r="AB102" s="453"/>
      <c r="AC102" s="453"/>
      <c r="AD102" s="453"/>
      <c r="AE102" s="453"/>
      <c r="AF102" s="453"/>
    </row>
    <row r="104" spans="1:37" x14ac:dyDescent="0.25">
      <c r="D104" s="430">
        <v>5</v>
      </c>
      <c r="E104" s="430">
        <v>5</v>
      </c>
      <c r="J104" s="451"/>
      <c r="K104" s="451">
        <v>5</v>
      </c>
      <c r="L104" s="430">
        <v>5</v>
      </c>
      <c r="M104" s="452">
        <v>-1</v>
      </c>
      <c r="N104" s="451"/>
      <c r="O104" s="451"/>
      <c r="P104" s="451"/>
    </row>
    <row r="105" spans="1:37" ht="36.75" x14ac:dyDescent="0.25">
      <c r="D105" s="617" t="s">
        <v>907</v>
      </c>
      <c r="E105" s="617" t="s">
        <v>908</v>
      </c>
      <c r="F105" s="451" t="s">
        <v>905</v>
      </c>
      <c r="K105" s="618" t="s">
        <v>909</v>
      </c>
      <c r="L105" s="618" t="s">
        <v>910</v>
      </c>
      <c r="M105" s="618"/>
      <c r="N105" s="618"/>
      <c r="O105" s="618"/>
      <c r="P105" s="618"/>
    </row>
    <row r="107" spans="1:37" s="563" customFormat="1" ht="7.5" customHeight="1" x14ac:dyDescent="0.25">
      <c r="D107" s="564"/>
      <c r="E107" s="564"/>
    </row>
    <row r="108" spans="1:37" s="565" customFormat="1" ht="19.5" x14ac:dyDescent="0.3">
      <c r="A108" s="430"/>
      <c r="C108" s="566" t="s">
        <v>911</v>
      </c>
      <c r="I108" s="565">
        <f>G147</f>
        <v>0</v>
      </c>
    </row>
    <row r="110" spans="1:37" ht="15.75" thickBot="1" x14ac:dyDescent="0.3">
      <c r="A110" s="619" t="s">
        <v>912</v>
      </c>
    </row>
    <row r="111" spans="1:37" ht="16.5" thickBot="1" x14ac:dyDescent="0.3">
      <c r="A111" s="620">
        <v>40954</v>
      </c>
      <c r="B111" s="621" t="s">
        <v>737</v>
      </c>
      <c r="D111" s="622">
        <v>1</v>
      </c>
    </row>
    <row r="112" spans="1:37" s="430" customFormat="1" x14ac:dyDescent="0.25">
      <c r="A112" s="462"/>
      <c r="B112" s="462"/>
      <c r="C112" s="462"/>
      <c r="D112" s="462"/>
      <c r="E112" s="462"/>
      <c r="F112" s="452"/>
      <c r="G112" s="451"/>
      <c r="H112" s="451"/>
      <c r="K112" s="451"/>
      <c r="L112" s="453"/>
      <c r="M112" s="453"/>
      <c r="N112" s="453"/>
      <c r="O112" s="453"/>
      <c r="P112" s="453"/>
      <c r="Q112" s="453"/>
      <c r="R112" s="453"/>
      <c r="S112" s="453"/>
      <c r="T112" s="453"/>
      <c r="U112" s="454"/>
      <c r="V112" s="453"/>
      <c r="W112" s="453"/>
      <c r="X112" s="453"/>
      <c r="Y112" s="453"/>
      <c r="Z112" s="453"/>
      <c r="AA112" s="453"/>
    </row>
    <row r="113" spans="1:24" s="623" customFormat="1" ht="7.5" customHeight="1" x14ac:dyDescent="0.25">
      <c r="D113" s="624"/>
      <c r="E113" s="624"/>
    </row>
    <row r="114" spans="1:24" s="430" customFormat="1" ht="19.5" x14ac:dyDescent="0.3">
      <c r="C114" s="431" t="s">
        <v>913</v>
      </c>
    </row>
    <row r="116" spans="1:24" ht="15.75" thickBot="1" x14ac:dyDescent="0.3">
      <c r="A116" s="619" t="s">
        <v>914</v>
      </c>
    </row>
    <row r="117" spans="1:24" ht="15.75" thickBot="1" x14ac:dyDescent="0.3">
      <c r="A117" s="432" t="s">
        <v>915</v>
      </c>
      <c r="B117" s="625" t="s">
        <v>916</v>
      </c>
      <c r="C117" s="625" t="s">
        <v>5</v>
      </c>
      <c r="D117" s="625" t="s">
        <v>917</v>
      </c>
      <c r="E117" s="625" t="s">
        <v>918</v>
      </c>
      <c r="F117" s="625" t="s">
        <v>919</v>
      </c>
      <c r="G117" s="625" t="s">
        <v>920</v>
      </c>
      <c r="H117" s="626" t="s">
        <v>921</v>
      </c>
      <c r="I117" s="627" t="s">
        <v>922</v>
      </c>
      <c r="J117" s="627" t="s">
        <v>923</v>
      </c>
    </row>
    <row r="118" spans="1:24" s="628" customFormat="1" x14ac:dyDescent="0.25">
      <c r="A118" s="445" t="s">
        <v>918</v>
      </c>
      <c r="J118" s="629"/>
      <c r="K118" s="629"/>
      <c r="L118" s="630"/>
      <c r="M118" s="631"/>
      <c r="N118" s="632"/>
      <c r="O118" s="404"/>
      <c r="P118" s="404"/>
      <c r="Q118" s="404"/>
      <c r="R118" s="404"/>
      <c r="S118" s="404"/>
      <c r="T118" s="404"/>
      <c r="U118" s="404"/>
      <c r="V118" s="404"/>
      <c r="W118" s="404"/>
      <c r="X118" s="404"/>
    </row>
    <row r="119" spans="1:24" x14ac:dyDescent="0.25">
      <c r="A119" s="432" t="s">
        <v>924</v>
      </c>
      <c r="B119" s="629" t="s">
        <v>925</v>
      </c>
      <c r="C119" s="629" t="s">
        <v>926</v>
      </c>
      <c r="D119" s="629" t="s">
        <v>925</v>
      </c>
      <c r="E119" s="629" t="s">
        <v>81</v>
      </c>
      <c r="F119" s="629" t="s">
        <v>771</v>
      </c>
      <c r="G119" s="629" t="s">
        <v>925</v>
      </c>
      <c r="H119" s="629" t="s">
        <v>925</v>
      </c>
      <c r="I119" s="629" t="s">
        <v>927</v>
      </c>
      <c r="J119" s="629" t="s">
        <v>927</v>
      </c>
      <c r="K119" s="629"/>
      <c r="L119" s="629"/>
      <c r="M119" s="629"/>
      <c r="N119" s="629"/>
    </row>
    <row r="120" spans="1:24" x14ac:dyDescent="0.25">
      <c r="A120" s="432" t="s">
        <v>928</v>
      </c>
      <c r="B120" s="629" t="s">
        <v>120</v>
      </c>
      <c r="C120" s="629" t="s">
        <v>34</v>
      </c>
      <c r="D120" s="629" t="s">
        <v>186</v>
      </c>
      <c r="E120" s="629" t="s">
        <v>929</v>
      </c>
      <c r="F120" s="629" t="s">
        <v>245</v>
      </c>
      <c r="G120" s="629" t="s">
        <v>930</v>
      </c>
      <c r="H120" s="633" t="s">
        <v>157</v>
      </c>
      <c r="I120" s="634" t="s">
        <v>931</v>
      </c>
      <c r="J120" s="629" t="s">
        <v>60</v>
      </c>
      <c r="K120" s="629"/>
      <c r="L120" s="629"/>
      <c r="M120" s="629"/>
      <c r="N120" s="629"/>
    </row>
    <row r="121" spans="1:24" x14ac:dyDescent="0.25">
      <c r="A121" s="432" t="s">
        <v>932</v>
      </c>
      <c r="E121" s="404" t="s">
        <v>933</v>
      </c>
      <c r="H121" s="404" t="s">
        <v>934</v>
      </c>
      <c r="I121" s="635"/>
      <c r="J121" s="636"/>
      <c r="N121" s="636"/>
      <c r="O121" s="636"/>
      <c r="P121" s="637"/>
      <c r="Q121" s="636"/>
    </row>
    <row r="122" spans="1:24" x14ac:dyDescent="0.25">
      <c r="A122" s="432" t="s">
        <v>935</v>
      </c>
      <c r="E122" s="638"/>
      <c r="H122" s="638" t="s">
        <v>936</v>
      </c>
      <c r="I122" s="639" t="s">
        <v>937</v>
      </c>
      <c r="J122" s="451"/>
      <c r="O122" s="640"/>
      <c r="S122" s="641"/>
      <c r="T122" s="641"/>
      <c r="U122" s="641"/>
      <c r="V122" s="641"/>
      <c r="W122" s="641"/>
    </row>
    <row r="124" spans="1:24" ht="15.75" thickBot="1" x14ac:dyDescent="0.3">
      <c r="A124" s="619" t="s">
        <v>938</v>
      </c>
    </row>
    <row r="125" spans="1:24" ht="15.75" thickBot="1" x14ac:dyDescent="0.3">
      <c r="A125" s="432" t="s">
        <v>915</v>
      </c>
      <c r="B125" s="625" t="s">
        <v>916</v>
      </c>
      <c r="C125" s="625" t="s">
        <v>5</v>
      </c>
      <c r="D125" s="625" t="s">
        <v>917</v>
      </c>
      <c r="E125" s="625" t="s">
        <v>918</v>
      </c>
      <c r="F125" s="625" t="s">
        <v>919</v>
      </c>
      <c r="G125" s="625" t="s">
        <v>920</v>
      </c>
      <c r="H125" s="626" t="s">
        <v>921</v>
      </c>
      <c r="I125" s="627" t="s">
        <v>922</v>
      </c>
      <c r="J125" s="627" t="s">
        <v>923</v>
      </c>
    </row>
    <row r="126" spans="1:24" s="628" customFormat="1" x14ac:dyDescent="0.25">
      <c r="A126" s="445" t="s">
        <v>918</v>
      </c>
      <c r="J126" s="629"/>
      <c r="K126" s="629"/>
      <c r="L126" s="630"/>
      <c r="M126" s="631"/>
      <c r="N126" s="632"/>
      <c r="O126" s="404"/>
      <c r="P126" s="404"/>
      <c r="Q126" s="404"/>
      <c r="R126" s="404"/>
      <c r="S126" s="404"/>
      <c r="T126" s="404"/>
      <c r="U126" s="404"/>
      <c r="V126" s="404"/>
      <c r="W126" s="404"/>
      <c r="X126" s="404"/>
    </row>
    <row r="127" spans="1:24" x14ac:dyDescent="0.25">
      <c r="A127" s="432" t="s">
        <v>924</v>
      </c>
      <c r="B127" s="629" t="s">
        <v>925</v>
      </c>
      <c r="C127" s="629" t="s">
        <v>926</v>
      </c>
      <c r="D127" s="629" t="s">
        <v>925</v>
      </c>
      <c r="E127" s="629" t="s">
        <v>81</v>
      </c>
      <c r="F127" s="629" t="s">
        <v>771</v>
      </c>
      <c r="G127" s="629" t="s">
        <v>925</v>
      </c>
      <c r="H127" s="629" t="s">
        <v>925</v>
      </c>
      <c r="I127" s="629" t="s">
        <v>927</v>
      </c>
      <c r="J127" s="629" t="s">
        <v>927</v>
      </c>
      <c r="K127" s="629"/>
      <c r="L127" s="629"/>
      <c r="M127" s="629"/>
      <c r="N127" s="629"/>
    </row>
    <row r="128" spans="1:24" x14ac:dyDescent="0.25">
      <c r="A128" s="432" t="s">
        <v>928</v>
      </c>
      <c r="B128" s="629" t="s">
        <v>120</v>
      </c>
      <c r="C128" s="629" t="s">
        <v>34</v>
      </c>
      <c r="D128" s="629" t="s">
        <v>186</v>
      </c>
      <c r="E128" s="629" t="s">
        <v>929</v>
      </c>
      <c r="F128" s="629" t="s">
        <v>245</v>
      </c>
      <c r="G128" s="629" t="s">
        <v>930</v>
      </c>
      <c r="H128" s="633" t="s">
        <v>157</v>
      </c>
      <c r="I128" s="642" t="s">
        <v>939</v>
      </c>
      <c r="J128" s="629" t="s">
        <v>60</v>
      </c>
      <c r="K128" s="629"/>
      <c r="L128" s="629"/>
      <c r="M128" s="629"/>
      <c r="N128" s="629"/>
    </row>
    <row r="129" spans="1:31" x14ac:dyDescent="0.25">
      <c r="A129" s="432" t="s">
        <v>932</v>
      </c>
      <c r="B129" s="404" t="s">
        <v>940</v>
      </c>
      <c r="E129" s="404" t="s">
        <v>933</v>
      </c>
      <c r="H129" s="404" t="s">
        <v>934</v>
      </c>
      <c r="I129" s="643" t="s">
        <v>941</v>
      </c>
      <c r="J129" s="636"/>
      <c r="N129" s="636"/>
      <c r="O129" s="636"/>
      <c r="P129" s="637"/>
      <c r="Q129" s="636"/>
    </row>
    <row r="130" spans="1:31" x14ac:dyDescent="0.25">
      <c r="A130" s="432" t="s">
        <v>935</v>
      </c>
      <c r="E130" s="638"/>
      <c r="H130" s="638" t="s">
        <v>936</v>
      </c>
      <c r="I130" s="644"/>
      <c r="J130" s="451"/>
      <c r="O130" s="640"/>
      <c r="S130" s="641"/>
      <c r="T130" s="641"/>
      <c r="U130" s="641"/>
      <c r="V130" s="641"/>
      <c r="W130" s="641"/>
    </row>
    <row r="132" spans="1:31" ht="15.75" thickBot="1" x14ac:dyDescent="0.3">
      <c r="A132" s="619" t="s">
        <v>942</v>
      </c>
    </row>
    <row r="133" spans="1:31" s="381" customFormat="1" ht="15.75" thickBot="1" x14ac:dyDescent="0.3">
      <c r="A133" s="432" t="s">
        <v>915</v>
      </c>
      <c r="B133" s="645" t="s">
        <v>943</v>
      </c>
      <c r="C133" s="645" t="s">
        <v>5</v>
      </c>
      <c r="D133" s="646" t="s">
        <v>944</v>
      </c>
      <c r="E133" s="647" t="s">
        <v>247</v>
      </c>
      <c r="F133" s="646" t="s">
        <v>945</v>
      </c>
      <c r="G133" s="648" t="s">
        <v>274</v>
      </c>
      <c r="H133" s="646" t="s">
        <v>946</v>
      </c>
      <c r="I133" s="648" t="s">
        <v>947</v>
      </c>
      <c r="J133" s="647" t="s">
        <v>948</v>
      </c>
      <c r="K133" s="648" t="s">
        <v>949</v>
      </c>
      <c r="L133" s="646" t="s">
        <v>950</v>
      </c>
      <c r="M133" s="649" t="s">
        <v>918</v>
      </c>
      <c r="N133" s="650" t="s">
        <v>390</v>
      </c>
      <c r="O133" s="651" t="s">
        <v>391</v>
      </c>
      <c r="P133" s="651" t="s">
        <v>951</v>
      </c>
      <c r="Q133" s="651" t="s">
        <v>952</v>
      </c>
      <c r="R133" s="652" t="s">
        <v>953</v>
      </c>
      <c r="S133" s="652" t="s">
        <v>954</v>
      </c>
      <c r="T133" s="652" t="s">
        <v>955</v>
      </c>
      <c r="U133" s="652" t="s">
        <v>956</v>
      </c>
      <c r="V133" s="652" t="s">
        <v>957</v>
      </c>
      <c r="AE133" s="880"/>
    </row>
    <row r="134" spans="1:31" s="628" customFormat="1" x14ac:dyDescent="0.25">
      <c r="A134" s="445" t="s">
        <v>918</v>
      </c>
      <c r="B134" s="631" t="s">
        <v>958</v>
      </c>
      <c r="C134" s="653">
        <v>40918</v>
      </c>
      <c r="D134" s="630" t="s">
        <v>252</v>
      </c>
      <c r="E134" s="654"/>
      <c r="F134" s="630" t="s">
        <v>366</v>
      </c>
      <c r="G134" s="655"/>
      <c r="H134" s="630" t="s">
        <v>959</v>
      </c>
      <c r="I134" s="656"/>
      <c r="J134" s="630" t="s">
        <v>960</v>
      </c>
      <c r="K134" s="630"/>
      <c r="L134" s="631" t="s">
        <v>814</v>
      </c>
      <c r="M134" s="632">
        <v>130000</v>
      </c>
      <c r="N134" s="657" t="s">
        <v>393</v>
      </c>
      <c r="O134" s="658" t="s">
        <v>394</v>
      </c>
      <c r="P134" s="659"/>
      <c r="Q134" s="660"/>
      <c r="R134" s="661"/>
      <c r="S134" s="661"/>
      <c r="T134" s="661"/>
      <c r="U134" s="661"/>
      <c r="V134" s="661"/>
      <c r="W134" s="381"/>
    </row>
    <row r="135" spans="1:31" x14ac:dyDescent="0.25">
      <c r="A135" s="432" t="s">
        <v>924</v>
      </c>
      <c r="B135" s="629" t="s">
        <v>925</v>
      </c>
      <c r="C135" s="629" t="s">
        <v>925</v>
      </c>
      <c r="D135" s="629" t="s">
        <v>961</v>
      </c>
      <c r="E135" s="629" t="s">
        <v>962</v>
      </c>
      <c r="F135" s="629" t="s">
        <v>961</v>
      </c>
      <c r="G135" s="629" t="s">
        <v>962</v>
      </c>
      <c r="H135" s="629" t="s">
        <v>925</v>
      </c>
      <c r="I135" s="629" t="s">
        <v>962</v>
      </c>
      <c r="J135" s="629" t="s">
        <v>961</v>
      </c>
      <c r="K135" s="629" t="s">
        <v>925</v>
      </c>
      <c r="L135" s="629" t="s">
        <v>165</v>
      </c>
      <c r="M135" s="629" t="s">
        <v>176</v>
      </c>
      <c r="N135" s="629" t="s">
        <v>34</v>
      </c>
      <c r="O135" s="629" t="s">
        <v>60</v>
      </c>
      <c r="P135" s="629" t="s">
        <v>166</v>
      </c>
      <c r="Q135" s="629" t="s">
        <v>60</v>
      </c>
      <c r="R135" s="629" t="s">
        <v>81</v>
      </c>
      <c r="S135" s="629" t="s">
        <v>81</v>
      </c>
      <c r="T135" s="629" t="s">
        <v>961</v>
      </c>
      <c r="U135" s="629" t="s">
        <v>166</v>
      </c>
      <c r="V135" s="629" t="s">
        <v>166</v>
      </c>
    </row>
    <row r="136" spans="1:31" x14ac:dyDescent="0.25">
      <c r="A136" s="432" t="s">
        <v>928</v>
      </c>
      <c r="B136" s="629">
        <v>10</v>
      </c>
      <c r="C136" s="629">
        <v>12</v>
      </c>
      <c r="D136" s="629" t="s">
        <v>963</v>
      </c>
      <c r="E136" s="629" t="s">
        <v>963</v>
      </c>
      <c r="F136" s="629" t="s">
        <v>84</v>
      </c>
      <c r="G136" s="629" t="s">
        <v>84</v>
      </c>
      <c r="H136" s="629" t="s">
        <v>244</v>
      </c>
      <c r="I136" s="629" t="s">
        <v>169</v>
      </c>
      <c r="J136" s="629" t="s">
        <v>964</v>
      </c>
      <c r="K136" s="629">
        <v>18</v>
      </c>
      <c r="L136" s="629" t="s">
        <v>965</v>
      </c>
      <c r="M136" s="629" t="s">
        <v>78</v>
      </c>
      <c r="N136" s="629" t="s">
        <v>966</v>
      </c>
      <c r="O136" s="629" t="s">
        <v>966</v>
      </c>
      <c r="P136" s="629" t="s">
        <v>966</v>
      </c>
      <c r="Q136" s="629">
        <v>12</v>
      </c>
      <c r="R136" s="629" t="s">
        <v>169</v>
      </c>
      <c r="S136" s="629" t="s">
        <v>169</v>
      </c>
      <c r="T136" s="629" t="s">
        <v>169</v>
      </c>
      <c r="U136" s="629" t="s">
        <v>169</v>
      </c>
      <c r="V136" s="629" t="s">
        <v>169</v>
      </c>
    </row>
    <row r="137" spans="1:31" x14ac:dyDescent="0.25">
      <c r="A137" s="432" t="s">
        <v>932</v>
      </c>
      <c r="E137" s="638" t="s">
        <v>967</v>
      </c>
      <c r="G137" s="638" t="s">
        <v>968</v>
      </c>
      <c r="I137" s="636"/>
      <c r="K137" s="638" t="s">
        <v>949</v>
      </c>
      <c r="M137" s="636" t="s">
        <v>933</v>
      </c>
      <c r="N137" s="636"/>
      <c r="O137" s="637" t="s">
        <v>969</v>
      </c>
      <c r="P137" s="636" t="s">
        <v>970</v>
      </c>
    </row>
    <row r="138" spans="1:31" x14ac:dyDescent="0.25">
      <c r="A138" s="432" t="s">
        <v>935</v>
      </c>
      <c r="E138" s="638"/>
      <c r="G138" s="638"/>
      <c r="I138" s="451"/>
      <c r="K138" s="641" t="s">
        <v>936</v>
      </c>
      <c r="N138" s="640"/>
      <c r="R138" s="641" t="s">
        <v>971</v>
      </c>
      <c r="S138" s="641" t="s">
        <v>972</v>
      </c>
      <c r="T138" s="641" t="s">
        <v>973</v>
      </c>
      <c r="U138" s="641" t="s">
        <v>974</v>
      </c>
      <c r="V138" s="641" t="s">
        <v>975</v>
      </c>
    </row>
    <row r="140" spans="1:31" ht="15.75" thickBot="1" x14ac:dyDescent="0.3">
      <c r="A140" s="619" t="s">
        <v>1308</v>
      </c>
      <c r="B140" s="619"/>
      <c r="C140" s="619"/>
      <c r="D140" s="619"/>
      <c r="E140" s="619"/>
      <c r="F140" s="619"/>
      <c r="G140" s="619"/>
      <c r="H140" s="619"/>
      <c r="I140" s="619"/>
      <c r="J140" s="619"/>
      <c r="P140" s="619"/>
      <c r="Q140" s="619"/>
    </row>
    <row r="141" spans="1:31" ht="15.75" thickBot="1" x14ac:dyDescent="0.3">
      <c r="A141" s="900" t="s">
        <v>156</v>
      </c>
      <c r="B141" s="432" t="s">
        <v>915</v>
      </c>
      <c r="C141" s="625" t="s">
        <v>976</v>
      </c>
      <c r="D141" s="625" t="s">
        <v>767</v>
      </c>
      <c r="E141" s="625" t="s">
        <v>977</v>
      </c>
      <c r="F141" s="625" t="s">
        <v>978</v>
      </c>
      <c r="G141" s="625" t="s">
        <v>918</v>
      </c>
      <c r="H141" s="625" t="s">
        <v>979</v>
      </c>
      <c r="I141" s="625" t="s">
        <v>980</v>
      </c>
      <c r="J141" s="625" t="s">
        <v>981</v>
      </c>
      <c r="K141" s="625" t="s">
        <v>982</v>
      </c>
      <c r="L141" s="625" t="s">
        <v>983</v>
      </c>
      <c r="M141" s="625" t="s">
        <v>984</v>
      </c>
      <c r="N141" s="625" t="s">
        <v>985</v>
      </c>
      <c r="P141" s="625" t="s">
        <v>980</v>
      </c>
      <c r="Q141" s="625" t="s">
        <v>981</v>
      </c>
      <c r="R141" s="625" t="s">
        <v>982</v>
      </c>
      <c r="S141" s="625" t="s">
        <v>983</v>
      </c>
      <c r="T141" s="625" t="s">
        <v>984</v>
      </c>
      <c r="U141" s="625" t="s">
        <v>985</v>
      </c>
    </row>
    <row r="142" spans="1:31" s="628" customFormat="1" x14ac:dyDescent="0.25">
      <c r="A142" s="901"/>
      <c r="B142" s="445" t="s">
        <v>918</v>
      </c>
      <c r="C142" s="662" t="s">
        <v>986</v>
      </c>
      <c r="D142" s="653" t="s">
        <v>987</v>
      </c>
      <c r="E142" s="663" t="s">
        <v>988</v>
      </c>
      <c r="F142" s="654"/>
      <c r="G142" s="664">
        <v>2298687.7200000002</v>
      </c>
      <c r="H142" s="655"/>
      <c r="I142" s="665" t="s">
        <v>455</v>
      </c>
      <c r="J142" s="666" t="s">
        <v>989</v>
      </c>
      <c r="K142" s="665"/>
      <c r="L142" s="665"/>
      <c r="M142" s="667"/>
      <c r="N142" s="668"/>
      <c r="O142" s="404"/>
      <c r="P142" s="630" t="s">
        <v>455</v>
      </c>
      <c r="Q142" s="669"/>
      <c r="R142" s="630" t="s">
        <v>990</v>
      </c>
      <c r="S142" s="630" t="s">
        <v>455</v>
      </c>
      <c r="T142" s="631" t="s">
        <v>334</v>
      </c>
      <c r="U142" s="632" t="s">
        <v>991</v>
      </c>
      <c r="V142" s="404"/>
      <c r="W142" s="404"/>
      <c r="X142" s="404"/>
      <c r="Y142" s="404"/>
    </row>
    <row r="143" spans="1:31" x14ac:dyDescent="0.25">
      <c r="A143" s="901"/>
      <c r="B143" s="432" t="s">
        <v>924</v>
      </c>
      <c r="C143" s="629" t="s">
        <v>244</v>
      </c>
      <c r="D143" s="629" t="s">
        <v>992</v>
      </c>
      <c r="E143" s="629" t="s">
        <v>176</v>
      </c>
      <c r="F143" s="629" t="s">
        <v>244</v>
      </c>
      <c r="G143" s="629" t="s">
        <v>244</v>
      </c>
      <c r="H143" s="629" t="s">
        <v>60</v>
      </c>
      <c r="I143" s="670"/>
      <c r="J143" s="671"/>
      <c r="K143" s="629"/>
      <c r="L143" s="629"/>
      <c r="M143" s="629"/>
      <c r="N143" s="629"/>
      <c r="P143" s="629">
        <v>10</v>
      </c>
      <c r="Q143" s="629" t="s">
        <v>81</v>
      </c>
      <c r="R143" s="629" t="s">
        <v>34</v>
      </c>
      <c r="S143" s="629" t="s">
        <v>176</v>
      </c>
      <c r="T143" s="629" t="s">
        <v>81</v>
      </c>
      <c r="U143" s="629" t="s">
        <v>81</v>
      </c>
    </row>
    <row r="144" spans="1:31" x14ac:dyDescent="0.25">
      <c r="A144" s="901"/>
      <c r="B144" s="432" t="s">
        <v>928</v>
      </c>
      <c r="C144" s="629" t="s">
        <v>60</v>
      </c>
      <c r="D144" s="629" t="s">
        <v>60</v>
      </c>
      <c r="E144" s="629" t="s">
        <v>84</v>
      </c>
      <c r="F144" s="629" t="s">
        <v>78</v>
      </c>
      <c r="G144" s="629" t="s">
        <v>930</v>
      </c>
      <c r="H144" s="629" t="s">
        <v>966</v>
      </c>
      <c r="I144" s="670" t="s">
        <v>965</v>
      </c>
      <c r="J144" s="671"/>
      <c r="K144" s="629"/>
      <c r="L144" s="629"/>
      <c r="M144" s="629"/>
      <c r="N144" s="629"/>
      <c r="P144" s="629" t="s">
        <v>81</v>
      </c>
      <c r="Q144" s="629" t="s">
        <v>81</v>
      </c>
      <c r="R144" s="629"/>
      <c r="S144" s="629" t="s">
        <v>81</v>
      </c>
      <c r="T144" s="629" t="s">
        <v>245</v>
      </c>
      <c r="U144" s="629" t="s">
        <v>167</v>
      </c>
    </row>
    <row r="145" spans="1:26" x14ac:dyDescent="0.25">
      <c r="A145" s="901"/>
      <c r="B145" s="432" t="s">
        <v>932</v>
      </c>
      <c r="D145" s="638" t="s">
        <v>993</v>
      </c>
      <c r="F145" s="638" t="s">
        <v>994</v>
      </c>
      <c r="G145" s="672" t="s">
        <v>995</v>
      </c>
      <c r="H145" s="638" t="s">
        <v>969</v>
      </c>
      <c r="I145" s="673" t="s">
        <v>996</v>
      </c>
      <c r="K145" s="674"/>
      <c r="L145" s="673"/>
      <c r="M145" s="673"/>
      <c r="N145" s="675"/>
      <c r="P145" s="638" t="s">
        <v>997</v>
      </c>
      <c r="Q145" s="673" t="s">
        <v>998</v>
      </c>
      <c r="R145" s="674"/>
      <c r="S145" s="673" t="s">
        <v>999</v>
      </c>
      <c r="T145" s="673" t="s">
        <v>1000</v>
      </c>
      <c r="U145" s="675"/>
    </row>
    <row r="146" spans="1:26" x14ac:dyDescent="0.25">
      <c r="A146" s="901"/>
      <c r="B146" s="432" t="s">
        <v>935</v>
      </c>
      <c r="D146" s="404" t="s">
        <v>1001</v>
      </c>
      <c r="F146" s="638"/>
      <c r="H146" s="638"/>
      <c r="J146" s="676"/>
      <c r="L146" s="641"/>
      <c r="Q146" s="451"/>
      <c r="S146" s="641"/>
      <c r="U146" s="404" t="s">
        <v>1002</v>
      </c>
    </row>
    <row r="148" spans="1:26" ht="15.75" thickBot="1" x14ac:dyDescent="0.3">
      <c r="A148" s="619" t="s">
        <v>1307</v>
      </c>
      <c r="B148" s="619"/>
      <c r="C148" s="619"/>
      <c r="D148" s="619"/>
      <c r="E148" s="619"/>
      <c r="F148" s="619"/>
      <c r="G148" s="619"/>
      <c r="H148" s="619"/>
      <c r="I148" s="619"/>
      <c r="J148" s="619"/>
      <c r="P148" s="619"/>
      <c r="Q148" s="619"/>
    </row>
    <row r="149" spans="1:26" ht="15.75" thickBot="1" x14ac:dyDescent="0.3">
      <c r="A149" s="949" t="s">
        <v>32</v>
      </c>
      <c r="B149" s="432" t="s">
        <v>915</v>
      </c>
      <c r="C149" s="625" t="s">
        <v>976</v>
      </c>
      <c r="D149" s="625" t="s">
        <v>767</v>
      </c>
      <c r="E149" s="625" t="s">
        <v>977</v>
      </c>
      <c r="F149" s="905" t="s">
        <v>945</v>
      </c>
      <c r="G149" s="625" t="s">
        <v>978</v>
      </c>
      <c r="H149" s="625" t="s">
        <v>918</v>
      </c>
      <c r="I149" s="625" t="s">
        <v>979</v>
      </c>
      <c r="J149" s="625" t="s">
        <v>980</v>
      </c>
      <c r="K149" s="625" t="s">
        <v>981</v>
      </c>
      <c r="L149" s="625" t="s">
        <v>982</v>
      </c>
      <c r="M149" s="625" t="s">
        <v>983</v>
      </c>
      <c r="N149" s="625" t="s">
        <v>984</v>
      </c>
      <c r="O149" s="625" t="s">
        <v>985</v>
      </c>
      <c r="Q149" s="625" t="s">
        <v>980</v>
      </c>
      <c r="R149" s="625" t="s">
        <v>981</v>
      </c>
      <c r="S149" s="625" t="s">
        <v>982</v>
      </c>
      <c r="T149" s="625" t="s">
        <v>983</v>
      </c>
      <c r="U149" s="625" t="s">
        <v>984</v>
      </c>
      <c r="V149" s="625" t="s">
        <v>985</v>
      </c>
    </row>
    <row r="150" spans="1:26" s="628" customFormat="1" x14ac:dyDescent="0.25">
      <c r="A150" s="950"/>
      <c r="B150" s="445" t="s">
        <v>918</v>
      </c>
      <c r="C150" s="662" t="s">
        <v>986</v>
      </c>
      <c r="D150" s="903" t="s">
        <v>987</v>
      </c>
      <c r="E150" s="663" t="s">
        <v>988</v>
      </c>
      <c r="F150" s="906" t="s">
        <v>365</v>
      </c>
      <c r="G150" s="907" t="s">
        <v>368</v>
      </c>
      <c r="H150" s="664">
        <v>2298687.7200000002</v>
      </c>
      <c r="I150" s="655"/>
      <c r="J150" s="638" t="s">
        <v>455</v>
      </c>
      <c r="K150" s="666" t="s">
        <v>989</v>
      </c>
      <c r="L150" s="630" t="s">
        <v>990</v>
      </c>
      <c r="M150" s="678" t="s">
        <v>416</v>
      </c>
      <c r="N150" s="631" t="s">
        <v>370</v>
      </c>
      <c r="O150" s="668"/>
      <c r="P150" s="404"/>
      <c r="Q150" s="630" t="s">
        <v>455</v>
      </c>
      <c r="R150" s="669"/>
      <c r="S150" s="630" t="s">
        <v>990</v>
      </c>
      <c r="T150" s="630" t="s">
        <v>455</v>
      </c>
      <c r="U150" s="631" t="s">
        <v>334</v>
      </c>
      <c r="V150" s="632" t="s">
        <v>991</v>
      </c>
      <c r="W150" s="404"/>
      <c r="X150" s="404"/>
      <c r="Y150" s="404"/>
      <c r="Z150" s="404"/>
    </row>
    <row r="151" spans="1:26" x14ac:dyDescent="0.25">
      <c r="A151" s="950"/>
      <c r="B151" s="432" t="s">
        <v>924</v>
      </c>
      <c r="C151" s="902" t="s">
        <v>1309</v>
      </c>
      <c r="D151" s="904" t="s">
        <v>1310</v>
      </c>
      <c r="E151" s="902" t="s">
        <v>1053</v>
      </c>
      <c r="F151" s="902" t="s">
        <v>1053</v>
      </c>
      <c r="G151" s="902" t="s">
        <v>1309</v>
      </c>
      <c r="H151" s="629" t="s">
        <v>244</v>
      </c>
      <c r="I151" s="629" t="s">
        <v>60</v>
      </c>
      <c r="J151" s="671"/>
      <c r="K151" s="671"/>
      <c r="L151" s="629" t="s">
        <v>34</v>
      </c>
      <c r="N151" s="671"/>
      <c r="O151" s="629"/>
      <c r="Q151" s="629">
        <v>10</v>
      </c>
      <c r="R151" s="629" t="s">
        <v>81</v>
      </c>
      <c r="S151" s="629" t="s">
        <v>34</v>
      </c>
      <c r="T151" s="629" t="s">
        <v>176</v>
      </c>
      <c r="U151" s="629" t="s">
        <v>81</v>
      </c>
      <c r="V151" s="629" t="s">
        <v>81</v>
      </c>
    </row>
    <row r="152" spans="1:26" x14ac:dyDescent="0.25">
      <c r="A152" s="950"/>
      <c r="B152" s="432" t="s">
        <v>928</v>
      </c>
      <c r="C152" s="902" t="s">
        <v>169</v>
      </c>
      <c r="D152" s="634" t="s">
        <v>931</v>
      </c>
      <c r="E152" s="902" t="s">
        <v>34</v>
      </c>
      <c r="F152" s="902" t="s">
        <v>930</v>
      </c>
      <c r="G152" s="902" t="s">
        <v>1311</v>
      </c>
      <c r="H152" s="629" t="s">
        <v>930</v>
      </c>
      <c r="I152" s="629" t="s">
        <v>966</v>
      </c>
      <c r="J152" s="891" t="s">
        <v>245</v>
      </c>
      <c r="K152" s="671"/>
      <c r="L152" s="902" t="s">
        <v>245</v>
      </c>
      <c r="M152" s="902" t="s">
        <v>245</v>
      </c>
      <c r="N152" s="891" t="s">
        <v>930</v>
      </c>
      <c r="O152" s="629"/>
      <c r="Q152" s="629" t="s">
        <v>81</v>
      </c>
      <c r="R152" s="629" t="s">
        <v>81</v>
      </c>
      <c r="S152" s="629"/>
      <c r="T152" s="629" t="s">
        <v>81</v>
      </c>
      <c r="U152" s="629" t="s">
        <v>245</v>
      </c>
      <c r="V152" s="629" t="s">
        <v>167</v>
      </c>
    </row>
    <row r="153" spans="1:26" ht="75" x14ac:dyDescent="0.25">
      <c r="A153" s="950"/>
      <c r="B153" s="432" t="s">
        <v>932</v>
      </c>
      <c r="C153" s="788"/>
      <c r="D153" s="909"/>
      <c r="E153" s="788"/>
      <c r="F153" s="788"/>
      <c r="G153" s="910" t="s">
        <v>994</v>
      </c>
      <c r="H153" s="911" t="s">
        <v>1327</v>
      </c>
      <c r="I153" s="910" t="s">
        <v>969</v>
      </c>
      <c r="J153" s="910" t="s">
        <v>980</v>
      </c>
      <c r="K153" s="912" t="s">
        <v>1012</v>
      </c>
      <c r="L153" s="763" t="s">
        <v>1013</v>
      </c>
      <c r="M153" s="916" t="s">
        <v>1333</v>
      </c>
      <c r="N153" s="918" t="s">
        <v>1335</v>
      </c>
      <c r="O153" s="914"/>
      <c r="P153" s="788"/>
      <c r="Q153" s="910" t="s">
        <v>997</v>
      </c>
      <c r="R153" s="913" t="s">
        <v>998</v>
      </c>
      <c r="S153" s="915"/>
      <c r="T153" s="913" t="s">
        <v>999</v>
      </c>
      <c r="U153" s="913" t="s">
        <v>1000</v>
      </c>
      <c r="V153" s="914"/>
      <c r="W153" s="788"/>
    </row>
    <row r="154" spans="1:26" x14ac:dyDescent="0.25">
      <c r="A154" s="950"/>
      <c r="B154" s="432" t="s">
        <v>935</v>
      </c>
      <c r="D154" s="639"/>
      <c r="G154" s="638"/>
      <c r="I154" s="638"/>
      <c r="J154" s="686"/>
      <c r="K154" s="676"/>
      <c r="R154" s="451"/>
      <c r="T154" s="641"/>
      <c r="V154" s="404" t="s">
        <v>1002</v>
      </c>
    </row>
    <row r="156" spans="1:26" ht="15.75" thickBot="1" x14ac:dyDescent="0.3">
      <c r="A156" s="619" t="s">
        <v>1003</v>
      </c>
      <c r="B156" s="619"/>
      <c r="C156" s="619"/>
      <c r="D156" s="619"/>
      <c r="E156" s="619"/>
      <c r="F156" s="619"/>
      <c r="G156" s="619"/>
      <c r="H156" s="619"/>
      <c r="I156" s="619"/>
      <c r="J156" s="619"/>
    </row>
    <row r="157" spans="1:26" ht="15.75" thickBot="1" x14ac:dyDescent="0.3">
      <c r="A157" s="608" t="s">
        <v>32</v>
      </c>
      <c r="B157" s="432" t="s">
        <v>915</v>
      </c>
      <c r="C157" s="625" t="s">
        <v>976</v>
      </c>
      <c r="D157" s="625" t="s">
        <v>767</v>
      </c>
      <c r="E157" s="625" t="s">
        <v>977</v>
      </c>
      <c r="F157" s="625" t="s">
        <v>978</v>
      </c>
      <c r="G157" s="625" t="s">
        <v>918</v>
      </c>
      <c r="H157" s="625" t="s">
        <v>979</v>
      </c>
      <c r="I157" s="625" t="s">
        <v>980</v>
      </c>
      <c r="J157" s="625" t="s">
        <v>981</v>
      </c>
      <c r="K157" s="625" t="s">
        <v>982</v>
      </c>
      <c r="L157" s="625" t="s">
        <v>983</v>
      </c>
      <c r="M157" s="625" t="s">
        <v>984</v>
      </c>
      <c r="N157" s="625" t="s">
        <v>985</v>
      </c>
      <c r="Q157" s="400" t="s">
        <v>421</v>
      </c>
    </row>
    <row r="158" spans="1:26" s="628" customFormat="1" x14ac:dyDescent="0.25">
      <c r="A158" s="614"/>
      <c r="B158" s="445" t="s">
        <v>918</v>
      </c>
      <c r="C158" s="662" t="s">
        <v>986</v>
      </c>
      <c r="D158" s="653" t="s">
        <v>987</v>
      </c>
      <c r="E158" s="663" t="s">
        <v>988</v>
      </c>
      <c r="F158" s="654"/>
      <c r="G158" s="664">
        <v>2298687.7200000002</v>
      </c>
      <c r="H158" s="655"/>
      <c r="I158" s="677" t="s">
        <v>358</v>
      </c>
      <c r="J158" s="666" t="s">
        <v>989</v>
      </c>
      <c r="K158" s="678" t="s">
        <v>1004</v>
      </c>
      <c r="L158" s="678" t="s">
        <v>416</v>
      </c>
      <c r="M158" s="679" t="s">
        <v>284</v>
      </c>
      <c r="N158" s="668"/>
      <c r="O158" s="404"/>
      <c r="P158" s="404"/>
      <c r="Q158" s="400" t="s">
        <v>409</v>
      </c>
      <c r="R158" s="404"/>
      <c r="S158" s="404"/>
      <c r="T158" s="404"/>
      <c r="U158" s="404"/>
      <c r="V158" s="404"/>
      <c r="W158" s="404"/>
      <c r="X158" s="404"/>
      <c r="Y158" s="404"/>
    </row>
    <row r="159" spans="1:26" x14ac:dyDescent="0.25">
      <c r="A159" s="614"/>
      <c r="B159" s="432" t="s">
        <v>924</v>
      </c>
      <c r="C159" s="629" t="s">
        <v>244</v>
      </c>
      <c r="D159" s="629" t="s">
        <v>992</v>
      </c>
      <c r="E159" s="629" t="s">
        <v>176</v>
      </c>
      <c r="F159" s="629" t="s">
        <v>244</v>
      </c>
      <c r="G159" s="629" t="s">
        <v>244</v>
      </c>
      <c r="H159" s="629" t="s">
        <v>60</v>
      </c>
      <c r="I159" s="629" t="s">
        <v>939</v>
      </c>
      <c r="J159" s="671"/>
      <c r="K159" s="629"/>
      <c r="M159" s="629" t="s">
        <v>186</v>
      </c>
      <c r="N159" s="629"/>
      <c r="Q159" s="400" t="s">
        <v>412</v>
      </c>
    </row>
    <row r="160" spans="1:26" x14ac:dyDescent="0.25">
      <c r="A160" s="614"/>
      <c r="B160" s="432" t="s">
        <v>928</v>
      </c>
      <c r="C160" s="629" t="s">
        <v>169</v>
      </c>
      <c r="D160" s="629" t="s">
        <v>1005</v>
      </c>
      <c r="E160" s="671" t="s">
        <v>34</v>
      </c>
      <c r="F160" s="671" t="s">
        <v>930</v>
      </c>
      <c r="G160" s="629" t="s">
        <v>1006</v>
      </c>
      <c r="H160" s="629" t="s">
        <v>1007</v>
      </c>
      <c r="I160" s="629" t="s">
        <v>1008</v>
      </c>
      <c r="J160" s="671" t="s">
        <v>169</v>
      </c>
      <c r="K160" s="902" t="s">
        <v>1332</v>
      </c>
      <c r="L160" s="902" t="s">
        <v>1332</v>
      </c>
      <c r="M160" s="629" t="s">
        <v>930</v>
      </c>
      <c r="N160" s="629"/>
      <c r="Q160" s="400" t="s">
        <v>337</v>
      </c>
    </row>
    <row r="161" spans="1:17" ht="60" x14ac:dyDescent="0.25">
      <c r="A161" s="614"/>
      <c r="B161" s="432" t="s">
        <v>932</v>
      </c>
      <c r="C161" s="891" t="s">
        <v>1009</v>
      </c>
      <c r="D161" s="671" t="s">
        <v>1010</v>
      </c>
      <c r="E161" s="638"/>
      <c r="F161" s="680" t="s">
        <v>994</v>
      </c>
      <c r="G161" s="671" t="s">
        <v>1009</v>
      </c>
      <c r="H161" s="671" t="s">
        <v>969</v>
      </c>
      <c r="I161" s="681" t="s">
        <v>1011</v>
      </c>
      <c r="J161" s="682" t="s">
        <v>1012</v>
      </c>
      <c r="K161" s="683" t="s">
        <v>1013</v>
      </c>
      <c r="M161" s="684" t="s">
        <v>1335</v>
      </c>
      <c r="N161" s="675"/>
      <c r="Q161" s="400" t="s">
        <v>456</v>
      </c>
    </row>
    <row r="162" spans="1:17" x14ac:dyDescent="0.25">
      <c r="A162" s="614"/>
      <c r="B162" s="432" t="s">
        <v>935</v>
      </c>
      <c r="E162" s="636"/>
      <c r="F162" s="638"/>
      <c r="H162" s="638"/>
      <c r="I162" s="638"/>
      <c r="J162" s="676"/>
      <c r="M162" s="685"/>
    </row>
    <row r="163" spans="1:17" x14ac:dyDescent="0.25">
      <c r="I163" s="686"/>
    </row>
    <row r="164" spans="1:17" x14ac:dyDescent="0.25">
      <c r="A164" s="687" t="s">
        <v>1014</v>
      </c>
      <c r="B164" s="619"/>
      <c r="C164" s="619"/>
      <c r="D164" s="619"/>
      <c r="E164" s="619"/>
      <c r="F164" s="619"/>
      <c r="G164" s="619"/>
      <c r="H164" s="619"/>
      <c r="I164" s="619"/>
      <c r="J164" s="619"/>
    </row>
    <row r="165" spans="1:17" ht="15.75" thickBot="1" x14ac:dyDescent="0.3">
      <c r="A165" s="848">
        <v>41529</v>
      </c>
      <c r="B165" s="929" t="s">
        <v>1448</v>
      </c>
      <c r="C165" s="619"/>
      <c r="D165" s="619"/>
      <c r="E165" s="619"/>
      <c r="F165" s="619"/>
      <c r="G165" s="619"/>
      <c r="H165" s="619"/>
      <c r="I165" s="619"/>
      <c r="J165" s="619"/>
    </row>
    <row r="166" spans="1:17" ht="15.75" thickBot="1" x14ac:dyDescent="0.3">
      <c r="A166" s="949" t="s">
        <v>32</v>
      </c>
      <c r="B166" s="432" t="s">
        <v>915</v>
      </c>
      <c r="C166" s="626" t="s">
        <v>921</v>
      </c>
      <c r="D166" s="626" t="s">
        <v>766</v>
      </c>
      <c r="L166" s="688"/>
    </row>
    <row r="167" spans="1:17" x14ac:dyDescent="0.25">
      <c r="A167" s="950"/>
      <c r="B167" s="445" t="s">
        <v>918</v>
      </c>
      <c r="C167" s="628"/>
      <c r="D167" s="628"/>
    </row>
    <row r="168" spans="1:17" x14ac:dyDescent="0.25">
      <c r="A168" s="950"/>
      <c r="B168" s="432" t="s">
        <v>924</v>
      </c>
      <c r="C168" s="902" t="s">
        <v>1309</v>
      </c>
      <c r="D168" s="902" t="s">
        <v>1309</v>
      </c>
    </row>
    <row r="169" spans="1:17" x14ac:dyDescent="0.25">
      <c r="A169" s="950"/>
      <c r="B169" s="432" t="s">
        <v>928</v>
      </c>
      <c r="C169" s="633" t="s">
        <v>157</v>
      </c>
      <c r="D169" s="634" t="s">
        <v>931</v>
      </c>
    </row>
    <row r="170" spans="1:17" x14ac:dyDescent="0.25">
      <c r="A170" s="950"/>
      <c r="B170" s="432" t="s">
        <v>932</v>
      </c>
      <c r="C170" s="636" t="s">
        <v>934</v>
      </c>
    </row>
    <row r="171" spans="1:17" x14ac:dyDescent="0.25">
      <c r="A171" s="950"/>
      <c r="B171" s="432" t="s">
        <v>935</v>
      </c>
      <c r="C171" s="638" t="s">
        <v>1148</v>
      </c>
    </row>
    <row r="173" spans="1:17" ht="15.75" thickBot="1" x14ac:dyDescent="0.3">
      <c r="A173" s="619" t="s">
        <v>1015</v>
      </c>
      <c r="B173" s="619"/>
      <c r="C173" s="619"/>
      <c r="D173" s="619"/>
      <c r="E173" s="619"/>
      <c r="F173" s="619"/>
      <c r="G173" s="619"/>
      <c r="H173" s="619"/>
      <c r="I173" s="619"/>
      <c r="J173" s="619"/>
    </row>
    <row r="174" spans="1:17" ht="15.75" thickBot="1" x14ac:dyDescent="0.3">
      <c r="A174" s="626" t="s">
        <v>1016</v>
      </c>
      <c r="B174" s="626" t="s">
        <v>1017</v>
      </c>
      <c r="J174" s="688"/>
    </row>
    <row r="176" spans="1:17" ht="15.75" thickBot="1" x14ac:dyDescent="0.3">
      <c r="A176" s="687" t="s">
        <v>1228</v>
      </c>
      <c r="B176" s="689"/>
      <c r="C176" s="689"/>
      <c r="D176" s="689"/>
      <c r="E176" s="689"/>
      <c r="F176" s="619"/>
      <c r="G176" s="619"/>
      <c r="H176" s="619"/>
      <c r="I176" s="619"/>
      <c r="J176" s="619"/>
    </row>
    <row r="177" spans="1:22" ht="15.75" thickBot="1" x14ac:dyDescent="0.3">
      <c r="A177" s="625" t="s">
        <v>1018</v>
      </c>
      <c r="B177" s="625" t="s">
        <v>1019</v>
      </c>
      <c r="C177" s="625" t="s">
        <v>978</v>
      </c>
      <c r="D177" s="625" t="s">
        <v>1020</v>
      </c>
      <c r="E177" s="625" t="s">
        <v>953</v>
      </c>
      <c r="F177" s="625" t="s">
        <v>954</v>
      </c>
      <c r="G177" s="625" t="s">
        <v>955</v>
      </c>
      <c r="H177" s="625" t="s">
        <v>956</v>
      </c>
      <c r="I177" s="625" t="s">
        <v>957</v>
      </c>
      <c r="J177" s="625" t="s">
        <v>1021</v>
      </c>
      <c r="K177" s="625" t="s">
        <v>1022</v>
      </c>
      <c r="L177" s="625" t="s">
        <v>1023</v>
      </c>
      <c r="M177" s="625" t="s">
        <v>1024</v>
      </c>
      <c r="N177" s="625" t="s">
        <v>1025</v>
      </c>
      <c r="O177" s="625" t="s">
        <v>1026</v>
      </c>
      <c r="P177" s="625" t="s">
        <v>1027</v>
      </c>
      <c r="Q177" s="625" t="s">
        <v>1028</v>
      </c>
      <c r="R177" s="625" t="s">
        <v>1029</v>
      </c>
      <c r="S177" s="625" t="s">
        <v>1030</v>
      </c>
      <c r="T177" s="625" t="s">
        <v>1031</v>
      </c>
      <c r="U177" s="625" t="s">
        <v>1032</v>
      </c>
      <c r="V177" s="690" t="s">
        <v>1033</v>
      </c>
    </row>
    <row r="179" spans="1:22" ht="15.75" thickBot="1" x14ac:dyDescent="0.3">
      <c r="A179" s="619" t="s">
        <v>1034</v>
      </c>
    </row>
    <row r="180" spans="1:22" ht="15.75" thickBot="1" x14ac:dyDescent="0.3">
      <c r="A180" s="625" t="s">
        <v>69</v>
      </c>
      <c r="B180" s="625" t="s">
        <v>897</v>
      </c>
      <c r="C180" s="625" t="s">
        <v>1020</v>
      </c>
      <c r="D180" s="625" t="s">
        <v>1025</v>
      </c>
      <c r="E180" s="625" t="s">
        <v>953</v>
      </c>
      <c r="F180" s="625" t="s">
        <v>954</v>
      </c>
      <c r="G180" s="625" t="s">
        <v>955</v>
      </c>
      <c r="H180" s="625" t="s">
        <v>956</v>
      </c>
      <c r="I180" s="625" t="s">
        <v>957</v>
      </c>
      <c r="J180" s="625" t="s">
        <v>1028</v>
      </c>
      <c r="K180" s="625" t="s">
        <v>1029</v>
      </c>
      <c r="L180" s="625" t="s">
        <v>1030</v>
      </c>
      <c r="M180" s="625" t="s">
        <v>1031</v>
      </c>
      <c r="N180" s="625" t="s">
        <v>1032</v>
      </c>
    </row>
    <row r="182" spans="1:22" ht="15.75" thickBot="1" x14ac:dyDescent="0.3">
      <c r="A182" s="619" t="s">
        <v>1035</v>
      </c>
    </row>
    <row r="183" spans="1:22" ht="15.75" thickBot="1" x14ac:dyDescent="0.3">
      <c r="A183" s="625" t="s">
        <v>1036</v>
      </c>
      <c r="B183" s="625" t="s">
        <v>897</v>
      </c>
      <c r="C183" s="625" t="s">
        <v>1037</v>
      </c>
    </row>
    <row r="184" spans="1:22" x14ac:dyDescent="0.25">
      <c r="A184" s="427" t="s">
        <v>244</v>
      </c>
      <c r="B184" s="427" t="s">
        <v>1038</v>
      </c>
      <c r="C184" s="427" t="s">
        <v>929</v>
      </c>
    </row>
    <row r="185" spans="1:22" ht="15.75" thickBot="1" x14ac:dyDescent="0.3">
      <c r="A185" s="427"/>
      <c r="B185" s="427"/>
    </row>
    <row r="186" spans="1:22" ht="15.75" thickBot="1" x14ac:dyDescent="0.3">
      <c r="A186" s="691" t="s">
        <v>1039</v>
      </c>
      <c r="B186" s="427"/>
      <c r="I186" s="692" t="s">
        <v>111</v>
      </c>
      <c r="N186" s="693" t="s">
        <v>877</v>
      </c>
    </row>
    <row r="187" spans="1:22" s="430" customFormat="1" ht="25.5" x14ac:dyDescent="0.25">
      <c r="A187" s="432" t="s">
        <v>740</v>
      </c>
      <c r="B187" s="694" t="s">
        <v>1040</v>
      </c>
      <c r="C187" s="584" t="s">
        <v>1041</v>
      </c>
      <c r="D187" s="695" t="s">
        <v>1042</v>
      </c>
      <c r="E187" s="695" t="s">
        <v>1043</v>
      </c>
      <c r="F187" s="696" t="s">
        <v>1044</v>
      </c>
      <c r="G187" s="696" t="s">
        <v>1045</v>
      </c>
      <c r="H187" s="696" t="s">
        <v>1046</v>
      </c>
      <c r="I187" s="697" t="s">
        <v>1047</v>
      </c>
      <c r="J187" s="698" t="s">
        <v>1048</v>
      </c>
      <c r="K187" s="699" t="s">
        <v>1049</v>
      </c>
      <c r="L187" s="700" t="s">
        <v>1050</v>
      </c>
      <c r="M187" s="700" t="s">
        <v>1051</v>
      </c>
      <c r="N187" s="700" t="s">
        <v>260</v>
      </c>
    </row>
    <row r="188" spans="1:22" s="430" customFormat="1" x14ac:dyDescent="0.25">
      <c r="A188" s="445" t="s">
        <v>1223</v>
      </c>
      <c r="B188" s="602"/>
      <c r="C188" s="603"/>
    </row>
    <row r="189" spans="1:22" s="430" customFormat="1" x14ac:dyDescent="0.25">
      <c r="A189" s="432" t="s">
        <v>770</v>
      </c>
      <c r="B189" s="451">
        <v>1</v>
      </c>
      <c r="C189" s="451">
        <v>5</v>
      </c>
      <c r="D189" s="701">
        <v>45</v>
      </c>
      <c r="E189" s="701">
        <v>5</v>
      </c>
      <c r="F189" s="701">
        <v>7</v>
      </c>
      <c r="G189" s="701">
        <v>16</v>
      </c>
      <c r="H189" s="701">
        <v>10</v>
      </c>
      <c r="I189" s="701" t="s">
        <v>1052</v>
      </c>
      <c r="J189" s="701" t="s">
        <v>1053</v>
      </c>
      <c r="K189" s="701">
        <v>10</v>
      </c>
      <c r="L189" s="701" t="s">
        <v>1054</v>
      </c>
      <c r="M189" s="701" t="s">
        <v>925</v>
      </c>
      <c r="N189" s="701" t="s">
        <v>925</v>
      </c>
    </row>
    <row r="190" spans="1:22" s="430" customFormat="1" x14ac:dyDescent="0.25">
      <c r="A190" s="432" t="s">
        <v>772</v>
      </c>
      <c r="B190" s="702" t="s">
        <v>1055</v>
      </c>
      <c r="C190" s="451" t="s">
        <v>1056</v>
      </c>
      <c r="D190" s="451">
        <v>13</v>
      </c>
      <c r="E190" s="451">
        <v>14</v>
      </c>
      <c r="F190" s="451">
        <v>15</v>
      </c>
      <c r="G190" s="451">
        <v>16</v>
      </c>
      <c r="H190" s="451">
        <v>17</v>
      </c>
      <c r="I190" s="451">
        <v>18</v>
      </c>
      <c r="J190" s="451">
        <v>19</v>
      </c>
      <c r="K190" s="451">
        <v>20</v>
      </c>
      <c r="L190" s="451">
        <v>21</v>
      </c>
      <c r="M190" s="451">
        <v>22</v>
      </c>
      <c r="N190" s="451">
        <v>23</v>
      </c>
    </row>
    <row r="191" spans="1:22" s="629" customFormat="1" x14ac:dyDescent="0.25">
      <c r="A191" s="703" t="s">
        <v>773</v>
      </c>
      <c r="L191" s="629" t="s">
        <v>933</v>
      </c>
      <c r="M191" s="629" t="s">
        <v>933</v>
      </c>
      <c r="N191" s="629" t="s">
        <v>1057</v>
      </c>
    </row>
    <row r="192" spans="1:22" s="427" customFormat="1" x14ac:dyDescent="0.25">
      <c r="A192" s="432" t="s">
        <v>781</v>
      </c>
      <c r="C192" s="427" t="s">
        <v>1058</v>
      </c>
    </row>
    <row r="194" spans="1:39" s="430" customFormat="1" ht="25.5" x14ac:dyDescent="0.25">
      <c r="A194" s="432" t="s">
        <v>740</v>
      </c>
      <c r="B194" s="584" t="s">
        <v>1059</v>
      </c>
      <c r="C194" s="584" t="s">
        <v>1060</v>
      </c>
      <c r="D194" s="584" t="s">
        <v>1041</v>
      </c>
      <c r="E194" s="585" t="s">
        <v>868</v>
      </c>
      <c r="F194" s="586" t="s">
        <v>869</v>
      </c>
      <c r="G194" s="587" t="s">
        <v>870</v>
      </c>
      <c r="H194" s="584" t="s">
        <v>1061</v>
      </c>
      <c r="I194" s="584" t="s">
        <v>799</v>
      </c>
      <c r="J194" s="584" t="s">
        <v>871</v>
      </c>
      <c r="K194" s="584" t="s">
        <v>1062</v>
      </c>
      <c r="M194" s="588" t="s">
        <v>872</v>
      </c>
      <c r="N194" s="589" t="s">
        <v>873</v>
      </c>
      <c r="O194" s="590"/>
      <c r="P194" s="591" t="s">
        <v>102</v>
      </c>
      <c r="Q194" s="592" t="s">
        <v>874</v>
      </c>
      <c r="R194" s="591" t="s">
        <v>106</v>
      </c>
      <c r="S194" s="591" t="s">
        <v>52</v>
      </c>
      <c r="T194" s="591" t="s">
        <v>109</v>
      </c>
      <c r="U194" s="593" t="s">
        <v>111</v>
      </c>
      <c r="V194" s="594" t="s">
        <v>875</v>
      </c>
      <c r="W194" s="595" t="s">
        <v>876</v>
      </c>
      <c r="X194" s="591" t="s">
        <v>877</v>
      </c>
      <c r="Y194" s="596" t="s">
        <v>94</v>
      </c>
      <c r="Z194" s="597" t="s">
        <v>94</v>
      </c>
      <c r="AA194" s="597" t="s">
        <v>94</v>
      </c>
      <c r="AB194" s="597" t="s">
        <v>94</v>
      </c>
      <c r="AC194" s="591" t="s">
        <v>94</v>
      </c>
      <c r="AD194" s="591" t="s">
        <v>878</v>
      </c>
      <c r="AE194" s="591"/>
      <c r="AF194" s="591" t="s">
        <v>94</v>
      </c>
      <c r="AG194" s="591" t="s">
        <v>94</v>
      </c>
      <c r="AH194" s="598" t="s">
        <v>879</v>
      </c>
      <c r="AI194" s="599" t="s">
        <v>94</v>
      </c>
      <c r="AJ194" s="591" t="s">
        <v>94</v>
      </c>
      <c r="AK194" s="591" t="s">
        <v>94</v>
      </c>
      <c r="AL194" s="600" t="s">
        <v>880</v>
      </c>
      <c r="AM194" s="601"/>
    </row>
    <row r="195" spans="1:39" s="430" customFormat="1" x14ac:dyDescent="0.25">
      <c r="A195" s="445" t="s">
        <v>768</v>
      </c>
      <c r="B195" s="602"/>
      <c r="C195" s="602" t="str">
        <f>IF(B195&lt;&gt;"",1,"")</f>
        <v/>
      </c>
      <c r="D195" s="603"/>
      <c r="E195" s="704"/>
      <c r="F195" s="447"/>
      <c r="G195" s="606">
        <f>U195</f>
        <v>0</v>
      </c>
      <c r="H195" s="448"/>
      <c r="I195" s="452"/>
    </row>
    <row r="196" spans="1:39" s="430" customFormat="1" x14ac:dyDescent="0.25">
      <c r="A196" s="432" t="s">
        <v>770</v>
      </c>
      <c r="B196" s="451">
        <v>1</v>
      </c>
      <c r="C196" s="451"/>
      <c r="D196" s="451">
        <v>5</v>
      </c>
      <c r="E196" s="451">
        <v>8</v>
      </c>
      <c r="F196" s="451">
        <v>13</v>
      </c>
      <c r="G196" s="451">
        <v>14</v>
      </c>
      <c r="H196" s="451">
        <v>11</v>
      </c>
      <c r="I196" s="452">
        <v>20</v>
      </c>
      <c r="J196" s="453">
        <v>15</v>
      </c>
      <c r="K196" s="453">
        <v>10</v>
      </c>
      <c r="L196" s="453">
        <v>6</v>
      </c>
      <c r="M196" s="453">
        <v>6</v>
      </c>
      <c r="N196" s="453">
        <v>10</v>
      </c>
      <c r="O196" s="453">
        <v>1</v>
      </c>
      <c r="P196" s="453">
        <v>45</v>
      </c>
      <c r="Q196" s="453"/>
      <c r="R196" s="453">
        <v>13</v>
      </c>
      <c r="S196" s="453">
        <v>16</v>
      </c>
      <c r="T196" s="453">
        <v>10</v>
      </c>
      <c r="U196" s="453">
        <v>10</v>
      </c>
      <c r="V196" s="453">
        <v>10</v>
      </c>
      <c r="W196" s="453">
        <v>10</v>
      </c>
      <c r="X196" s="453">
        <v>10</v>
      </c>
      <c r="Y196" s="453">
        <v>10</v>
      </c>
      <c r="Z196" s="453">
        <v>0</v>
      </c>
      <c r="AA196" s="453">
        <v>0</v>
      </c>
      <c r="AB196" s="453">
        <v>0</v>
      </c>
      <c r="AC196" s="453">
        <v>0</v>
      </c>
      <c r="AD196" s="453">
        <v>0</v>
      </c>
      <c r="AE196" s="453"/>
      <c r="AF196" s="453">
        <v>0</v>
      </c>
      <c r="AG196" s="453">
        <v>0</v>
      </c>
      <c r="AH196" s="453">
        <v>0</v>
      </c>
      <c r="AI196" s="453">
        <v>0</v>
      </c>
      <c r="AJ196" s="453">
        <v>0</v>
      </c>
      <c r="AK196" s="453">
        <v>0</v>
      </c>
      <c r="AL196" s="453">
        <v>0</v>
      </c>
      <c r="AM196" s="453">
        <v>0</v>
      </c>
    </row>
    <row r="197" spans="1:39" s="430" customFormat="1" x14ac:dyDescent="0.25">
      <c r="A197" s="432" t="s">
        <v>772</v>
      </c>
      <c r="B197" s="451">
        <v>5</v>
      </c>
      <c r="C197" s="451"/>
      <c r="D197" s="451">
        <v>1</v>
      </c>
      <c r="E197" s="451">
        <v>2</v>
      </c>
      <c r="F197" s="451">
        <v>2</v>
      </c>
      <c r="G197" s="451"/>
      <c r="H197" s="451">
        <v>2</v>
      </c>
      <c r="I197" s="430">
        <v>2</v>
      </c>
      <c r="J197" s="430">
        <v>2</v>
      </c>
      <c r="K197" s="451">
        <v>2</v>
      </c>
      <c r="L197" s="452">
        <v>-1</v>
      </c>
      <c r="M197" s="451"/>
      <c r="P197" s="451"/>
      <c r="Q197" s="451"/>
      <c r="R197" s="453"/>
      <c r="S197" s="453"/>
      <c r="T197" s="453"/>
      <c r="U197" s="453"/>
      <c r="V197" s="453"/>
      <c r="W197" s="453"/>
      <c r="X197" s="453"/>
      <c r="Y197" s="453"/>
      <c r="Z197" s="453"/>
      <c r="AA197" s="454"/>
      <c r="AB197" s="453"/>
      <c r="AC197" s="453"/>
      <c r="AD197" s="453"/>
      <c r="AE197" s="453"/>
      <c r="AF197" s="453"/>
      <c r="AG197" s="453"/>
      <c r="AH197" s="453"/>
    </row>
    <row r="198" spans="1:39" s="430" customFormat="1" ht="44.25" customHeight="1" x14ac:dyDescent="0.25">
      <c r="A198" s="432" t="s">
        <v>773</v>
      </c>
      <c r="B198" s="705"/>
      <c r="C198" s="706" t="s">
        <v>1063</v>
      </c>
      <c r="D198" s="707" t="s">
        <v>1064</v>
      </c>
      <c r="E198" s="708" t="s">
        <v>1065</v>
      </c>
      <c r="F198" s="708" t="s">
        <v>1066</v>
      </c>
      <c r="G198" s="451"/>
      <c r="H198" s="708" t="s">
        <v>908</v>
      </c>
      <c r="I198" s="708" t="s">
        <v>907</v>
      </c>
      <c r="J198" s="705" t="s">
        <v>910</v>
      </c>
      <c r="K198" s="705" t="s">
        <v>1067</v>
      </c>
      <c r="L198" s="451"/>
      <c r="M198" s="451"/>
      <c r="P198" s="709" t="s">
        <v>883</v>
      </c>
      <c r="Q198" s="709"/>
      <c r="R198" s="453"/>
      <c r="S198" s="453"/>
      <c r="T198" s="453"/>
      <c r="U198" s="453"/>
      <c r="V198" s="453"/>
      <c r="W198" s="453"/>
      <c r="X198" s="453"/>
      <c r="Y198" s="453"/>
      <c r="Z198" s="453"/>
      <c r="AA198" s="454"/>
      <c r="AB198" s="453"/>
      <c r="AC198" s="453"/>
      <c r="AD198" s="453"/>
      <c r="AE198" s="453"/>
      <c r="AF198" s="453"/>
      <c r="AG198" s="453"/>
      <c r="AH198" s="453"/>
    </row>
    <row r="199" spans="1:39" s="430" customFormat="1" x14ac:dyDescent="0.25">
      <c r="A199" s="432" t="s">
        <v>781</v>
      </c>
      <c r="B199" s="451" t="s">
        <v>884</v>
      </c>
      <c r="C199" s="451"/>
      <c r="D199" s="451"/>
      <c r="E199" s="462"/>
      <c r="F199" s="462"/>
      <c r="G199" s="462"/>
      <c r="H199" s="462"/>
      <c r="I199" s="452"/>
      <c r="J199" s="451"/>
      <c r="K199" s="451"/>
      <c r="L199" s="451"/>
      <c r="M199" s="451"/>
      <c r="P199" s="451"/>
      <c r="Q199" s="451"/>
      <c r="R199" s="453"/>
      <c r="S199" s="453"/>
      <c r="T199" s="453"/>
      <c r="U199" s="453"/>
      <c r="V199" s="453"/>
      <c r="W199" s="453"/>
      <c r="X199" s="453"/>
      <c r="Y199" s="453"/>
      <c r="Z199" s="453"/>
      <c r="AA199" s="454"/>
      <c r="AB199" s="453"/>
      <c r="AC199" s="453"/>
      <c r="AD199" s="453"/>
      <c r="AE199" s="453"/>
      <c r="AF199" s="453"/>
      <c r="AG199" s="453"/>
      <c r="AH199" s="453"/>
    </row>
    <row r="201" spans="1:39" ht="15.75" thickBot="1" x14ac:dyDescent="0.3">
      <c r="A201" s="691" t="s">
        <v>1068</v>
      </c>
      <c r="B201" s="427"/>
    </row>
    <row r="202" spans="1:39" ht="29.25" customHeight="1" thickBot="1" x14ac:dyDescent="0.3">
      <c r="A202" s="432" t="s">
        <v>740</v>
      </c>
      <c r="B202" s="710" t="s">
        <v>1069</v>
      </c>
      <c r="C202" s="710" t="s">
        <v>1070</v>
      </c>
      <c r="D202" s="710" t="s">
        <v>1071</v>
      </c>
      <c r="E202" s="710" t="s">
        <v>869</v>
      </c>
      <c r="F202" s="710" t="s">
        <v>109</v>
      </c>
      <c r="G202" s="710" t="s">
        <v>799</v>
      </c>
      <c r="H202" s="710" t="s">
        <v>127</v>
      </c>
      <c r="I202" s="710" t="s">
        <v>1072</v>
      </c>
      <c r="J202" s="710" t="s">
        <v>1073</v>
      </c>
      <c r="K202" s="710" t="s">
        <v>1074</v>
      </c>
      <c r="L202" s="711" t="s">
        <v>923</v>
      </c>
      <c r="M202" s="710" t="s">
        <v>1075</v>
      </c>
    </row>
    <row r="203" spans="1:39" s="427" customFormat="1" x14ac:dyDescent="0.25">
      <c r="A203" s="445" t="s">
        <v>1223</v>
      </c>
      <c r="B203" s="427" t="s">
        <v>1076</v>
      </c>
      <c r="C203" s="427" t="s">
        <v>1077</v>
      </c>
      <c r="D203" s="427" t="s">
        <v>1078</v>
      </c>
      <c r="E203" s="447" t="s">
        <v>1079</v>
      </c>
      <c r="F203" s="427" t="s">
        <v>385</v>
      </c>
      <c r="G203" s="427" t="s">
        <v>1080</v>
      </c>
      <c r="H203" s="427" t="s">
        <v>1081</v>
      </c>
      <c r="I203" s="427" t="s">
        <v>1082</v>
      </c>
      <c r="J203" s="427" t="s">
        <v>1083</v>
      </c>
      <c r="K203" s="629" t="s">
        <v>169</v>
      </c>
      <c r="L203" s="712" t="str">
        <f>H203&amp;" "&amp;C203&amp;" "&amp;B203</f>
        <v>394-1234567 7749/169409 04.04.2013 14:26:36</v>
      </c>
      <c r="M203" s="629" t="s">
        <v>169</v>
      </c>
      <c r="N203" s="404"/>
    </row>
    <row r="204" spans="1:39" s="427" customFormat="1" x14ac:dyDescent="0.25">
      <c r="A204" s="432" t="s">
        <v>770</v>
      </c>
      <c r="B204" s="629" t="s">
        <v>939</v>
      </c>
      <c r="C204" s="629" t="s">
        <v>1053</v>
      </c>
      <c r="D204" s="629" t="s">
        <v>165</v>
      </c>
      <c r="E204" s="629" t="s">
        <v>929</v>
      </c>
      <c r="F204" s="629" t="s">
        <v>81</v>
      </c>
      <c r="G204" s="629" t="s">
        <v>51</v>
      </c>
      <c r="H204" s="629" t="s">
        <v>176</v>
      </c>
      <c r="I204" s="629" t="s">
        <v>165</v>
      </c>
      <c r="J204" s="629" t="s">
        <v>51</v>
      </c>
      <c r="K204" s="629" t="s">
        <v>1084</v>
      </c>
      <c r="L204" s="713" t="s">
        <v>1085</v>
      </c>
      <c r="M204" s="629" t="s">
        <v>1086</v>
      </c>
      <c r="N204" s="404"/>
    </row>
    <row r="205" spans="1:39" s="427" customFormat="1" x14ac:dyDescent="0.25">
      <c r="A205" s="432" t="s">
        <v>772</v>
      </c>
      <c r="B205" s="427" t="s">
        <v>169</v>
      </c>
      <c r="C205" s="427" t="s">
        <v>169</v>
      </c>
      <c r="D205" s="629" t="s">
        <v>882</v>
      </c>
      <c r="E205" s="629" t="s">
        <v>882</v>
      </c>
      <c r="F205" s="629" t="s">
        <v>882</v>
      </c>
      <c r="G205" s="629" t="s">
        <v>882</v>
      </c>
      <c r="H205" s="714" t="s">
        <v>1055</v>
      </c>
      <c r="I205" s="629" t="s">
        <v>1087</v>
      </c>
      <c r="J205" s="714" t="s">
        <v>1088</v>
      </c>
      <c r="K205" s="714" t="s">
        <v>1089</v>
      </c>
      <c r="L205" s="714" t="s">
        <v>1090</v>
      </c>
      <c r="M205" s="427" t="s">
        <v>169</v>
      </c>
      <c r="N205" s="404"/>
    </row>
    <row r="206" spans="1:39" s="427" customFormat="1" x14ac:dyDescent="0.25">
      <c r="A206" s="703" t="s">
        <v>773</v>
      </c>
      <c r="B206" s="427" t="s">
        <v>1091</v>
      </c>
      <c r="C206" s="890" t="s">
        <v>1092</v>
      </c>
      <c r="L206" s="715"/>
      <c r="N206" s="404"/>
    </row>
    <row r="207" spans="1:39" s="427" customFormat="1" x14ac:dyDescent="0.25">
      <c r="A207" s="432" t="s">
        <v>781</v>
      </c>
      <c r="D207" s="716" t="s">
        <v>884</v>
      </c>
      <c r="E207" s="427" t="s">
        <v>1093</v>
      </c>
      <c r="F207" s="427" t="s">
        <v>1094</v>
      </c>
      <c r="G207" s="427" t="s">
        <v>1095</v>
      </c>
      <c r="I207" s="717" t="s">
        <v>1096</v>
      </c>
      <c r="L207" s="718"/>
    </row>
    <row r="209" spans="1:18" x14ac:dyDescent="0.25">
      <c r="A209" s="691" t="s">
        <v>1097</v>
      </c>
      <c r="B209" s="427"/>
    </row>
    <row r="210" spans="1:18" s="430" customFormat="1" x14ac:dyDescent="0.25">
      <c r="A210" s="432" t="s">
        <v>740</v>
      </c>
      <c r="B210" s="719" t="s">
        <v>127</v>
      </c>
      <c r="C210" s="720" t="s">
        <v>1098</v>
      </c>
      <c r="D210" s="629"/>
      <c r="E210" s="629"/>
      <c r="F210" s="629"/>
      <c r="G210" s="404"/>
      <c r="H210" s="404"/>
      <c r="I210" s="404"/>
      <c r="J210" s="404"/>
      <c r="K210" s="404"/>
      <c r="L210" s="404"/>
      <c r="M210" s="404"/>
      <c r="N210" s="404"/>
    </row>
    <row r="211" spans="1:18" s="430" customFormat="1" x14ac:dyDescent="0.25">
      <c r="A211" s="445" t="s">
        <v>1223</v>
      </c>
      <c r="B211" s="721"/>
      <c r="C211" s="721"/>
      <c r="D211" s="629"/>
      <c r="E211" s="629"/>
      <c r="F211" s="629"/>
      <c r="G211" s="404"/>
      <c r="H211" s="404"/>
      <c r="I211" s="404"/>
      <c r="J211" s="404"/>
      <c r="K211" s="404"/>
      <c r="L211" s="404"/>
      <c r="M211" s="404"/>
      <c r="N211" s="404"/>
    </row>
    <row r="212" spans="1:18" s="430" customFormat="1" x14ac:dyDescent="0.25">
      <c r="A212" s="432" t="s">
        <v>770</v>
      </c>
      <c r="B212" s="451" t="s">
        <v>1099</v>
      </c>
      <c r="C212" s="451" t="s">
        <v>925</v>
      </c>
      <c r="D212" s="629"/>
      <c r="E212" s="629"/>
      <c r="F212" s="629"/>
      <c r="G212" s="404"/>
      <c r="H212" s="404"/>
      <c r="I212" s="404"/>
      <c r="J212" s="404"/>
      <c r="K212" s="404"/>
      <c r="L212" s="404"/>
      <c r="M212" s="404"/>
      <c r="N212" s="404"/>
    </row>
    <row r="213" spans="1:18" s="430" customFormat="1" x14ac:dyDescent="0.25">
      <c r="A213" s="432" t="s">
        <v>772</v>
      </c>
      <c r="B213" s="676">
        <v>4</v>
      </c>
      <c r="C213" s="676">
        <v>7</v>
      </c>
      <c r="D213" s="629"/>
      <c r="E213" s="629"/>
      <c r="F213" s="629"/>
      <c r="G213" s="404"/>
      <c r="H213" s="404"/>
      <c r="I213" s="404"/>
      <c r="J213" s="404"/>
      <c r="K213" s="404"/>
      <c r="L213" s="404"/>
      <c r="M213" s="404"/>
      <c r="N213" s="404"/>
    </row>
    <row r="214" spans="1:18" s="629" customFormat="1" x14ac:dyDescent="0.25">
      <c r="A214" s="703" t="s">
        <v>773</v>
      </c>
      <c r="B214" s="629" t="s">
        <v>1100</v>
      </c>
      <c r="C214" s="709" t="s">
        <v>1101</v>
      </c>
      <c r="G214" s="404"/>
      <c r="H214" s="404"/>
      <c r="I214" s="404"/>
      <c r="J214" s="404"/>
      <c r="K214" s="404"/>
      <c r="L214" s="404"/>
      <c r="M214" s="404"/>
      <c r="N214" s="404"/>
    </row>
    <row r="215" spans="1:18" s="427" customFormat="1" x14ac:dyDescent="0.25">
      <c r="A215" s="432" t="s">
        <v>781</v>
      </c>
      <c r="C215" s="629"/>
      <c r="D215" s="629"/>
      <c r="E215" s="629"/>
      <c r="F215" s="629"/>
      <c r="G215" s="404"/>
      <c r="H215" s="404"/>
      <c r="I215" s="404"/>
      <c r="J215" s="404"/>
      <c r="K215" s="404"/>
      <c r="L215" s="404"/>
      <c r="M215" s="404"/>
      <c r="N215" s="404"/>
    </row>
    <row r="217" spans="1:18" x14ac:dyDescent="0.25">
      <c r="A217" s="691" t="s">
        <v>1102</v>
      </c>
      <c r="B217" s="427"/>
    </row>
    <row r="218" spans="1:18" s="430" customFormat="1" x14ac:dyDescent="0.25">
      <c r="A218" s="432" t="s">
        <v>740</v>
      </c>
      <c r="B218" s="722" t="s">
        <v>127</v>
      </c>
      <c r="C218" s="722" t="s">
        <v>1103</v>
      </c>
      <c r="D218" s="722" t="s">
        <v>1104</v>
      </c>
      <c r="E218" s="722" t="s">
        <v>1105</v>
      </c>
      <c r="F218" s="722" t="s">
        <v>1106</v>
      </c>
      <c r="G218" s="722" t="s">
        <v>1107</v>
      </c>
      <c r="H218" s="722" t="s">
        <v>1108</v>
      </c>
      <c r="I218" s="722" t="s">
        <v>1109</v>
      </c>
      <c r="J218" s="722" t="s">
        <v>1110</v>
      </c>
      <c r="K218" s="722" t="s">
        <v>420</v>
      </c>
      <c r="L218" s="722" t="s">
        <v>1111</v>
      </c>
      <c r="M218" s="722" t="s">
        <v>1112</v>
      </c>
      <c r="N218" s="722" t="s">
        <v>1113</v>
      </c>
      <c r="O218" s="722" t="s">
        <v>1114</v>
      </c>
      <c r="P218" s="722" t="s">
        <v>1115</v>
      </c>
      <c r="Q218" s="722" t="s">
        <v>1116</v>
      </c>
      <c r="R218" s="722" t="s">
        <v>1117</v>
      </c>
    </row>
    <row r="219" spans="1:18" s="430" customFormat="1" x14ac:dyDescent="0.25">
      <c r="A219" s="445" t="s">
        <v>1223</v>
      </c>
      <c r="B219" s="702" t="s">
        <v>1118</v>
      </c>
      <c r="C219" s="702" t="s">
        <v>1119</v>
      </c>
      <c r="D219" s="702"/>
      <c r="E219" s="702"/>
      <c r="F219" s="702"/>
      <c r="G219" s="702"/>
      <c r="H219" s="702"/>
      <c r="I219" s="702"/>
      <c r="J219" s="702"/>
      <c r="K219" s="702"/>
      <c r="L219" s="702" t="s">
        <v>1119</v>
      </c>
      <c r="M219" s="702"/>
      <c r="N219" s="702"/>
      <c r="O219" s="702" t="s">
        <v>1119</v>
      </c>
      <c r="P219" s="702"/>
      <c r="Q219" s="702"/>
      <c r="R219" s="702"/>
    </row>
    <row r="220" spans="1:18" s="430" customFormat="1" x14ac:dyDescent="0.25">
      <c r="A220" s="432" t="s">
        <v>770</v>
      </c>
      <c r="B220" s="451" t="s">
        <v>1099</v>
      </c>
      <c r="C220" s="451" t="s">
        <v>1099</v>
      </c>
      <c r="D220" s="451" t="s">
        <v>1099</v>
      </c>
      <c r="E220" s="451" t="s">
        <v>925</v>
      </c>
      <c r="F220" s="451" t="s">
        <v>771</v>
      </c>
      <c r="G220" s="451" t="s">
        <v>1120</v>
      </c>
      <c r="H220" s="451" t="s">
        <v>1121</v>
      </c>
      <c r="I220" s="451" t="s">
        <v>925</v>
      </c>
      <c r="J220" s="451" t="s">
        <v>925</v>
      </c>
      <c r="K220" s="451" t="s">
        <v>1121</v>
      </c>
      <c r="L220" s="451">
        <v>1</v>
      </c>
      <c r="M220" s="451" t="s">
        <v>925</v>
      </c>
      <c r="N220" s="451" t="s">
        <v>927</v>
      </c>
      <c r="O220" s="451" t="s">
        <v>927</v>
      </c>
      <c r="P220" s="451" t="s">
        <v>927</v>
      </c>
      <c r="Q220" s="451" t="s">
        <v>927</v>
      </c>
      <c r="R220" s="451" t="s">
        <v>927</v>
      </c>
    </row>
    <row r="221" spans="1:18" s="430" customFormat="1" x14ac:dyDescent="0.25">
      <c r="A221" s="432" t="s">
        <v>772</v>
      </c>
      <c r="B221" s="676"/>
      <c r="C221" s="676"/>
      <c r="D221" s="629"/>
      <c r="E221" s="629"/>
      <c r="F221" s="629"/>
      <c r="G221" s="629"/>
      <c r="H221" s="629"/>
      <c r="I221" s="629"/>
      <c r="J221" s="629"/>
      <c r="K221" s="404"/>
      <c r="L221" s="629"/>
      <c r="M221" s="629"/>
      <c r="N221" s="629"/>
      <c r="O221" s="629"/>
      <c r="P221" s="629"/>
      <c r="Q221" s="629"/>
      <c r="R221" s="404"/>
    </row>
    <row r="222" spans="1:18" s="629" customFormat="1" x14ac:dyDescent="0.25">
      <c r="A222" s="703" t="s">
        <v>773</v>
      </c>
      <c r="F222" s="404"/>
      <c r="G222" s="404"/>
      <c r="H222" s="404"/>
      <c r="I222" s="404"/>
      <c r="J222" s="404"/>
      <c r="K222" s="404"/>
      <c r="L222" s="404"/>
      <c r="M222" s="404"/>
    </row>
    <row r="223" spans="1:18" s="427" customFormat="1" x14ac:dyDescent="0.25">
      <c r="A223" s="432" t="s">
        <v>781</v>
      </c>
      <c r="C223" s="629"/>
      <c r="D223" s="629"/>
      <c r="E223" s="629"/>
      <c r="F223" s="404"/>
      <c r="G223" s="404"/>
      <c r="H223" s="404"/>
      <c r="I223" s="404"/>
      <c r="J223" s="404"/>
      <c r="K223" s="404"/>
      <c r="L223" s="404"/>
      <c r="M223" s="404"/>
    </row>
    <row r="224" spans="1:18" s="724" customFormat="1" x14ac:dyDescent="0.25">
      <c r="A224" s="723"/>
      <c r="C224" s="671"/>
      <c r="D224" s="671"/>
      <c r="E224" s="671"/>
      <c r="F224" s="686"/>
      <c r="G224" s="686"/>
      <c r="H224" s="686"/>
      <c r="I224" s="686"/>
      <c r="J224" s="686"/>
      <c r="K224" s="686"/>
      <c r="L224" s="686"/>
      <c r="M224" s="686"/>
    </row>
    <row r="225" spans="1:48" x14ac:dyDescent="0.25">
      <c r="A225" s="691" t="s">
        <v>1122</v>
      </c>
      <c r="B225" s="427"/>
    </row>
    <row r="226" spans="1:48" s="430" customFormat="1" x14ac:dyDescent="0.25">
      <c r="A226" s="432" t="s">
        <v>740</v>
      </c>
      <c r="B226" s="722" t="s">
        <v>127</v>
      </c>
      <c r="C226" s="722" t="s">
        <v>1103</v>
      </c>
      <c r="D226" s="722" t="s">
        <v>1104</v>
      </c>
      <c r="E226" s="722" t="s">
        <v>1105</v>
      </c>
      <c r="F226" s="722" t="s">
        <v>1106</v>
      </c>
      <c r="G226" s="722" t="s">
        <v>1107</v>
      </c>
      <c r="H226" s="722" t="s">
        <v>1108</v>
      </c>
      <c r="I226" s="722" t="s">
        <v>1109</v>
      </c>
      <c r="J226" s="722" t="s">
        <v>1110</v>
      </c>
      <c r="K226" s="722" t="s">
        <v>420</v>
      </c>
      <c r="L226" s="722" t="s">
        <v>1111</v>
      </c>
      <c r="M226" s="722" t="s">
        <v>1112</v>
      </c>
      <c r="N226" s="722" t="s">
        <v>1113</v>
      </c>
      <c r="O226" s="722" t="s">
        <v>1114</v>
      </c>
      <c r="P226" s="722" t="s">
        <v>1115</v>
      </c>
      <c r="Q226" s="722" t="s">
        <v>1116</v>
      </c>
      <c r="R226" s="722" t="s">
        <v>1117</v>
      </c>
    </row>
    <row r="227" spans="1:48" s="430" customFormat="1" x14ac:dyDescent="0.25">
      <c r="A227" s="445" t="s">
        <v>1223</v>
      </c>
      <c r="B227" s="702" t="s">
        <v>1118</v>
      </c>
      <c r="C227" s="702" t="s">
        <v>1119</v>
      </c>
      <c r="D227" s="702"/>
      <c r="E227" s="702"/>
      <c r="F227" s="702"/>
      <c r="G227" s="702"/>
      <c r="H227" s="702"/>
      <c r="I227" s="702"/>
      <c r="J227" s="702"/>
      <c r="K227" s="702"/>
      <c r="L227" s="702" t="s">
        <v>1119</v>
      </c>
      <c r="M227" s="702"/>
      <c r="N227" s="702"/>
      <c r="O227" s="702" t="s">
        <v>1119</v>
      </c>
      <c r="P227" s="702"/>
      <c r="Q227" s="702"/>
      <c r="R227" s="702"/>
    </row>
    <row r="228" spans="1:48" s="430" customFormat="1" x14ac:dyDescent="0.25">
      <c r="A228" s="432" t="s">
        <v>770</v>
      </c>
      <c r="B228" s="451" t="s">
        <v>1099</v>
      </c>
      <c r="C228" s="451" t="s">
        <v>1099</v>
      </c>
      <c r="D228" s="451" t="s">
        <v>1099</v>
      </c>
      <c r="E228" s="451" t="s">
        <v>925</v>
      </c>
      <c r="F228" s="451" t="s">
        <v>771</v>
      </c>
      <c r="G228" s="451" t="s">
        <v>1120</v>
      </c>
      <c r="H228" s="451" t="s">
        <v>1121</v>
      </c>
      <c r="I228" s="451" t="s">
        <v>925</v>
      </c>
      <c r="J228" s="451" t="s">
        <v>925</v>
      </c>
      <c r="K228" s="451" t="s">
        <v>1121</v>
      </c>
      <c r="L228" s="451">
        <v>1</v>
      </c>
      <c r="M228" s="451" t="s">
        <v>925</v>
      </c>
      <c r="N228" s="451" t="s">
        <v>927</v>
      </c>
      <c r="O228" s="451" t="s">
        <v>927</v>
      </c>
      <c r="P228" s="451" t="s">
        <v>927</v>
      </c>
      <c r="Q228" s="451" t="s">
        <v>927</v>
      </c>
      <c r="R228" s="451" t="s">
        <v>927</v>
      </c>
    </row>
    <row r="229" spans="1:48" s="430" customFormat="1" x14ac:dyDescent="0.25">
      <c r="A229" s="432" t="s">
        <v>772</v>
      </c>
      <c r="B229" s="676"/>
      <c r="C229" s="676"/>
      <c r="D229" s="629"/>
      <c r="E229" s="629"/>
      <c r="F229" s="629"/>
      <c r="G229" s="629"/>
      <c r="H229" s="629"/>
      <c r="I229" s="629"/>
      <c r="J229" s="629"/>
      <c r="K229" s="404"/>
      <c r="L229" s="629"/>
      <c r="M229" s="629"/>
      <c r="N229" s="629"/>
      <c r="O229" s="629"/>
      <c r="P229" s="629"/>
      <c r="Q229" s="629"/>
      <c r="R229" s="404"/>
    </row>
    <row r="230" spans="1:48" s="629" customFormat="1" x14ac:dyDescent="0.25">
      <c r="A230" s="703" t="s">
        <v>773</v>
      </c>
      <c r="F230" s="404"/>
      <c r="G230" s="404"/>
      <c r="H230" s="404"/>
      <c r="I230" s="404"/>
      <c r="J230" s="404"/>
      <c r="K230" s="404"/>
      <c r="L230" s="404"/>
      <c r="M230" s="404"/>
    </row>
    <row r="231" spans="1:48" s="427" customFormat="1" x14ac:dyDescent="0.25">
      <c r="A231" s="432" t="s">
        <v>781</v>
      </c>
      <c r="C231" s="629"/>
      <c r="D231" s="629"/>
      <c r="E231" s="629"/>
      <c r="F231" s="404"/>
      <c r="G231" s="404"/>
      <c r="H231" s="404"/>
      <c r="I231" s="404"/>
      <c r="J231" s="404"/>
      <c r="K231" s="404"/>
      <c r="L231" s="404"/>
      <c r="M231" s="404"/>
    </row>
    <row r="232" spans="1:48" s="724" customFormat="1" x14ac:dyDescent="0.25">
      <c r="A232" s="723"/>
      <c r="C232" s="671"/>
      <c r="D232" s="671"/>
      <c r="E232" s="671"/>
      <c r="F232" s="686"/>
      <c r="G232" s="686"/>
      <c r="H232" s="686"/>
      <c r="I232" s="686"/>
      <c r="J232" s="686"/>
      <c r="K232" s="686"/>
      <c r="L232" s="686"/>
      <c r="M232" s="686"/>
    </row>
    <row r="233" spans="1:48" ht="15.75" thickBot="1" x14ac:dyDescent="0.3">
      <c r="A233" s="691" t="s">
        <v>1123</v>
      </c>
      <c r="G233" s="636"/>
    </row>
    <row r="234" spans="1:48" ht="71.25" thickBot="1" x14ac:dyDescent="0.3">
      <c r="A234" s="725" t="s">
        <v>1124</v>
      </c>
      <c r="B234" s="726" t="s">
        <v>1125</v>
      </c>
      <c r="C234" s="727">
        <v>40057</v>
      </c>
      <c r="D234" s="727">
        <v>40087</v>
      </c>
      <c r="E234" s="727">
        <v>40118</v>
      </c>
      <c r="F234" s="727">
        <v>40148</v>
      </c>
      <c r="G234" s="728" t="s">
        <v>1126</v>
      </c>
      <c r="H234" s="727">
        <v>40179</v>
      </c>
      <c r="I234" s="727">
        <v>40210</v>
      </c>
      <c r="J234" s="727">
        <v>40238</v>
      </c>
      <c r="K234" s="727">
        <v>40269</v>
      </c>
      <c r="L234" s="727">
        <v>40299</v>
      </c>
      <c r="M234" s="727">
        <v>40330</v>
      </c>
      <c r="N234" s="727">
        <v>40360</v>
      </c>
      <c r="O234" s="727">
        <v>40391</v>
      </c>
      <c r="P234" s="727">
        <v>40422</v>
      </c>
      <c r="Q234" s="727">
        <v>40452</v>
      </c>
      <c r="R234" s="727">
        <v>40483</v>
      </c>
      <c r="S234" s="727">
        <v>40513</v>
      </c>
      <c r="T234" s="728" t="s">
        <v>1127</v>
      </c>
      <c r="U234" s="727">
        <v>40544</v>
      </c>
      <c r="V234" s="727">
        <v>40575</v>
      </c>
      <c r="W234" s="727">
        <v>40603</v>
      </c>
      <c r="X234" s="727">
        <v>40634</v>
      </c>
      <c r="Y234" s="727">
        <v>40664</v>
      </c>
      <c r="Z234" s="727">
        <v>40695</v>
      </c>
      <c r="AA234" s="727">
        <v>40725</v>
      </c>
      <c r="AB234" s="727">
        <v>40756</v>
      </c>
      <c r="AC234" s="727">
        <v>40787</v>
      </c>
      <c r="AD234" s="727">
        <v>40817</v>
      </c>
      <c r="AE234" s="727"/>
      <c r="AF234" s="727">
        <v>40848</v>
      </c>
      <c r="AG234" s="727">
        <v>40878</v>
      </c>
      <c r="AH234" s="728" t="s">
        <v>1128</v>
      </c>
      <c r="AI234" s="727">
        <v>40909</v>
      </c>
      <c r="AJ234" s="727">
        <v>40940</v>
      </c>
      <c r="AK234" s="727">
        <v>40969</v>
      </c>
      <c r="AL234" s="727">
        <v>41000</v>
      </c>
      <c r="AM234" s="727">
        <v>41030</v>
      </c>
      <c r="AN234" s="727">
        <v>41061</v>
      </c>
      <c r="AO234" s="727">
        <v>41091</v>
      </c>
      <c r="AP234" s="727">
        <v>41122</v>
      </c>
      <c r="AQ234" s="727">
        <v>41153</v>
      </c>
      <c r="AR234" s="727">
        <v>41183</v>
      </c>
      <c r="AS234" s="727">
        <v>41214</v>
      </c>
      <c r="AT234" s="727">
        <v>41244</v>
      </c>
      <c r="AU234" s="728" t="s">
        <v>1129</v>
      </c>
      <c r="AV234" s="729" t="s">
        <v>1130</v>
      </c>
    </row>
    <row r="235" spans="1:48" x14ac:dyDescent="0.25">
      <c r="A235" s="730" t="s">
        <v>625</v>
      </c>
      <c r="B235" s="731" t="s">
        <v>624</v>
      </c>
      <c r="C235" s="732"/>
      <c r="D235" s="732"/>
      <c r="E235" s="732"/>
      <c r="F235" s="733"/>
      <c r="G235" s="734">
        <f t="shared" ref="G235:G267" si="0">SUM(C235:F235)</f>
        <v>0</v>
      </c>
      <c r="H235" s="732"/>
      <c r="I235" s="732"/>
      <c r="J235" s="732"/>
      <c r="K235" s="732"/>
      <c r="L235" s="732"/>
      <c r="M235" s="732"/>
      <c r="N235" s="732"/>
      <c r="O235" s="732"/>
      <c r="P235" s="732"/>
      <c r="Q235" s="732"/>
      <c r="R235" s="732"/>
      <c r="S235" s="732"/>
      <c r="T235" s="734">
        <f t="shared" ref="T235:T267" si="1">SUM(H235:S235)</f>
        <v>0</v>
      </c>
      <c r="U235" s="732"/>
      <c r="V235" s="732"/>
      <c r="W235" s="732"/>
      <c r="X235" s="732"/>
      <c r="Y235" s="732"/>
      <c r="Z235" s="732"/>
      <c r="AA235" s="732"/>
      <c r="AB235" s="732"/>
      <c r="AC235" s="732"/>
      <c r="AD235" s="732"/>
      <c r="AE235" s="732"/>
      <c r="AF235" s="732"/>
      <c r="AG235" s="732"/>
      <c r="AH235" s="734">
        <f t="shared" ref="AH235:AH267" si="2">SUM(U235:AG235)</f>
        <v>0</v>
      </c>
      <c r="AI235" s="732"/>
      <c r="AJ235" s="732"/>
      <c r="AK235" s="732"/>
      <c r="AL235" s="732"/>
      <c r="AM235" s="732"/>
      <c r="AN235" s="732"/>
      <c r="AO235" s="732"/>
      <c r="AP235" s="732"/>
      <c r="AQ235" s="732"/>
      <c r="AR235" s="732"/>
      <c r="AS235" s="732"/>
      <c r="AT235" s="732"/>
      <c r="AU235" s="734">
        <f t="shared" ref="AU235:AU267" si="3">SUM(AI235:AT235)</f>
        <v>0</v>
      </c>
      <c r="AV235" s="735">
        <f t="shared" ref="AV235:AV267" si="4">G235+T235+AH235+AU235</f>
        <v>0</v>
      </c>
    </row>
    <row r="236" spans="1:48" x14ac:dyDescent="0.25">
      <c r="A236" s="730" t="s">
        <v>625</v>
      </c>
      <c r="B236" s="731" t="s">
        <v>628</v>
      </c>
      <c r="C236" s="736"/>
      <c r="D236" s="736"/>
      <c r="E236" s="736"/>
      <c r="F236" s="737"/>
      <c r="G236" s="738">
        <f t="shared" si="0"/>
        <v>0</v>
      </c>
      <c r="H236" s="736"/>
      <c r="I236" s="736"/>
      <c r="J236" s="736"/>
      <c r="K236" s="736"/>
      <c r="L236" s="736"/>
      <c r="M236" s="736"/>
      <c r="N236" s="736"/>
      <c r="O236" s="736"/>
      <c r="P236" s="736"/>
      <c r="Q236" s="736"/>
      <c r="R236" s="736"/>
      <c r="S236" s="736"/>
      <c r="T236" s="738">
        <f t="shared" si="1"/>
        <v>0</v>
      </c>
      <c r="U236" s="736"/>
      <c r="V236" s="736"/>
      <c r="W236" s="736"/>
      <c r="X236" s="736"/>
      <c r="Y236" s="736"/>
      <c r="Z236" s="736"/>
      <c r="AA236" s="736"/>
      <c r="AB236" s="736"/>
      <c r="AC236" s="736"/>
      <c r="AD236" s="736"/>
      <c r="AE236" s="736"/>
      <c r="AF236" s="736"/>
      <c r="AG236" s="736"/>
      <c r="AH236" s="738">
        <f t="shared" si="2"/>
        <v>0</v>
      </c>
      <c r="AI236" s="736"/>
      <c r="AJ236" s="736"/>
      <c r="AK236" s="736"/>
      <c r="AL236" s="736"/>
      <c r="AM236" s="736"/>
      <c r="AN236" s="736"/>
      <c r="AO236" s="736"/>
      <c r="AP236" s="736"/>
      <c r="AQ236" s="736"/>
      <c r="AR236" s="736"/>
      <c r="AS236" s="736"/>
      <c r="AT236" s="736"/>
      <c r="AU236" s="738">
        <f t="shared" si="3"/>
        <v>0</v>
      </c>
      <c r="AV236" s="735">
        <f t="shared" si="4"/>
        <v>0</v>
      </c>
    </row>
    <row r="237" spans="1:48" x14ac:dyDescent="0.25">
      <c r="A237" s="730" t="s">
        <v>625</v>
      </c>
      <c r="B237" s="731" t="s">
        <v>631</v>
      </c>
      <c r="C237" s="736"/>
      <c r="D237" s="736"/>
      <c r="E237" s="736"/>
      <c r="F237" s="737"/>
      <c r="G237" s="738">
        <f t="shared" si="0"/>
        <v>0</v>
      </c>
      <c r="H237" s="736"/>
      <c r="I237" s="736"/>
      <c r="J237" s="736"/>
      <c r="K237" s="736"/>
      <c r="L237" s="736"/>
      <c r="M237" s="736"/>
      <c r="N237" s="736"/>
      <c r="O237" s="736"/>
      <c r="P237" s="736"/>
      <c r="Q237" s="736"/>
      <c r="R237" s="736"/>
      <c r="S237" s="736"/>
      <c r="T237" s="738">
        <f t="shared" si="1"/>
        <v>0</v>
      </c>
      <c r="U237" s="736"/>
      <c r="V237" s="736"/>
      <c r="W237" s="736"/>
      <c r="X237" s="736"/>
      <c r="Y237" s="736"/>
      <c r="Z237" s="736"/>
      <c r="AA237" s="736"/>
      <c r="AB237" s="736"/>
      <c r="AC237" s="736"/>
      <c r="AD237" s="736"/>
      <c r="AE237" s="736"/>
      <c r="AF237" s="736"/>
      <c r="AG237" s="736"/>
      <c r="AH237" s="738">
        <f t="shared" si="2"/>
        <v>0</v>
      </c>
      <c r="AI237" s="736"/>
      <c r="AJ237" s="736"/>
      <c r="AK237" s="736"/>
      <c r="AL237" s="736"/>
      <c r="AM237" s="736"/>
      <c r="AN237" s="736"/>
      <c r="AO237" s="736"/>
      <c r="AP237" s="736"/>
      <c r="AQ237" s="736"/>
      <c r="AR237" s="736"/>
      <c r="AS237" s="736"/>
      <c r="AT237" s="736"/>
      <c r="AU237" s="738">
        <f t="shared" si="3"/>
        <v>0</v>
      </c>
      <c r="AV237" s="735">
        <f t="shared" si="4"/>
        <v>0</v>
      </c>
    </row>
    <row r="238" spans="1:48" x14ac:dyDescent="0.25">
      <c r="A238" s="739" t="s">
        <v>625</v>
      </c>
      <c r="B238" s="731" t="s">
        <v>633</v>
      </c>
      <c r="C238" s="736"/>
      <c r="D238" s="736"/>
      <c r="E238" s="736"/>
      <c r="F238" s="737"/>
      <c r="G238" s="738">
        <f t="shared" si="0"/>
        <v>0</v>
      </c>
      <c r="H238" s="736"/>
      <c r="I238" s="736"/>
      <c r="J238" s="736"/>
      <c r="K238" s="736"/>
      <c r="L238" s="736"/>
      <c r="M238" s="736"/>
      <c r="N238" s="736"/>
      <c r="O238" s="736"/>
      <c r="P238" s="736"/>
      <c r="Q238" s="736"/>
      <c r="R238" s="736"/>
      <c r="S238" s="736"/>
      <c r="T238" s="738">
        <f t="shared" si="1"/>
        <v>0</v>
      </c>
      <c r="U238" s="736"/>
      <c r="V238" s="736"/>
      <c r="W238" s="736"/>
      <c r="X238" s="736"/>
      <c r="Y238" s="736"/>
      <c r="Z238" s="736"/>
      <c r="AA238" s="736"/>
      <c r="AB238" s="736"/>
      <c r="AC238" s="736"/>
      <c r="AD238" s="736"/>
      <c r="AE238" s="736"/>
      <c r="AF238" s="736"/>
      <c r="AG238" s="736"/>
      <c r="AH238" s="738">
        <f t="shared" si="2"/>
        <v>0</v>
      </c>
      <c r="AI238" s="736"/>
      <c r="AJ238" s="736"/>
      <c r="AK238" s="736"/>
      <c r="AL238" s="736"/>
      <c r="AM238" s="736"/>
      <c r="AN238" s="736"/>
      <c r="AO238" s="736"/>
      <c r="AP238" s="736"/>
      <c r="AQ238" s="736"/>
      <c r="AR238" s="736"/>
      <c r="AS238" s="736"/>
      <c r="AT238" s="736"/>
      <c r="AU238" s="738">
        <f t="shared" si="3"/>
        <v>0</v>
      </c>
      <c r="AV238" s="735">
        <f t="shared" si="4"/>
        <v>0</v>
      </c>
    </row>
    <row r="239" spans="1:48" x14ac:dyDescent="0.25">
      <c r="A239" s="730" t="s">
        <v>625</v>
      </c>
      <c r="B239" s="731" t="s">
        <v>635</v>
      </c>
      <c r="C239" s="736"/>
      <c r="D239" s="736"/>
      <c r="E239" s="736"/>
      <c r="F239" s="737"/>
      <c r="G239" s="738">
        <f t="shared" si="0"/>
        <v>0</v>
      </c>
      <c r="H239" s="736"/>
      <c r="I239" s="736"/>
      <c r="J239" s="736"/>
      <c r="K239" s="736"/>
      <c r="L239" s="736"/>
      <c r="M239" s="736"/>
      <c r="N239" s="736"/>
      <c r="O239" s="736"/>
      <c r="P239" s="736"/>
      <c r="Q239" s="736"/>
      <c r="R239" s="736"/>
      <c r="S239" s="736"/>
      <c r="T239" s="738">
        <f t="shared" si="1"/>
        <v>0</v>
      </c>
      <c r="U239" s="736"/>
      <c r="V239" s="736"/>
      <c r="W239" s="736"/>
      <c r="X239" s="736"/>
      <c r="Y239" s="736"/>
      <c r="Z239" s="736"/>
      <c r="AA239" s="736"/>
      <c r="AB239" s="736"/>
      <c r="AC239" s="736"/>
      <c r="AD239" s="736"/>
      <c r="AE239" s="736"/>
      <c r="AF239" s="736"/>
      <c r="AG239" s="736"/>
      <c r="AH239" s="738">
        <f t="shared" si="2"/>
        <v>0</v>
      </c>
      <c r="AI239" s="736"/>
      <c r="AJ239" s="736"/>
      <c r="AK239" s="736"/>
      <c r="AL239" s="736"/>
      <c r="AM239" s="736"/>
      <c r="AN239" s="736"/>
      <c r="AO239" s="736"/>
      <c r="AP239" s="736"/>
      <c r="AQ239" s="736"/>
      <c r="AR239" s="736"/>
      <c r="AS239" s="736"/>
      <c r="AT239" s="736"/>
      <c r="AU239" s="738">
        <f t="shared" si="3"/>
        <v>0</v>
      </c>
      <c r="AV239" s="735">
        <f t="shared" si="4"/>
        <v>0</v>
      </c>
    </row>
    <row r="240" spans="1:48" x14ac:dyDescent="0.25">
      <c r="A240" s="730" t="s">
        <v>625</v>
      </c>
      <c r="B240" s="731" t="s">
        <v>638</v>
      </c>
      <c r="C240" s="736"/>
      <c r="D240" s="736"/>
      <c r="E240" s="736"/>
      <c r="F240" s="737"/>
      <c r="G240" s="738">
        <f t="shared" si="0"/>
        <v>0</v>
      </c>
      <c r="H240" s="736"/>
      <c r="I240" s="736"/>
      <c r="J240" s="736"/>
      <c r="K240" s="736"/>
      <c r="L240" s="736"/>
      <c r="M240" s="736"/>
      <c r="N240" s="736"/>
      <c r="O240" s="736"/>
      <c r="P240" s="736"/>
      <c r="Q240" s="736"/>
      <c r="R240" s="736"/>
      <c r="S240" s="736"/>
      <c r="T240" s="738">
        <f t="shared" si="1"/>
        <v>0</v>
      </c>
      <c r="U240" s="736"/>
      <c r="V240" s="736"/>
      <c r="W240" s="736"/>
      <c r="X240" s="736"/>
      <c r="Y240" s="736"/>
      <c r="Z240" s="736"/>
      <c r="AA240" s="736"/>
      <c r="AB240" s="736"/>
      <c r="AC240" s="736"/>
      <c r="AD240" s="736"/>
      <c r="AE240" s="736"/>
      <c r="AF240" s="736"/>
      <c r="AG240" s="736"/>
      <c r="AH240" s="738">
        <f t="shared" si="2"/>
        <v>0</v>
      </c>
      <c r="AI240" s="736"/>
      <c r="AJ240" s="736"/>
      <c r="AK240" s="736"/>
      <c r="AL240" s="736"/>
      <c r="AM240" s="736"/>
      <c r="AN240" s="736"/>
      <c r="AO240" s="736"/>
      <c r="AP240" s="736"/>
      <c r="AQ240" s="736"/>
      <c r="AR240" s="736"/>
      <c r="AS240" s="736"/>
      <c r="AT240" s="736"/>
      <c r="AU240" s="738">
        <f t="shared" si="3"/>
        <v>0</v>
      </c>
      <c r="AV240" s="735">
        <f t="shared" si="4"/>
        <v>0</v>
      </c>
    </row>
    <row r="241" spans="1:48" x14ac:dyDescent="0.25">
      <c r="A241" s="730" t="s">
        <v>625</v>
      </c>
      <c r="B241" s="731" t="s">
        <v>641</v>
      </c>
      <c r="C241" s="736"/>
      <c r="D241" s="736"/>
      <c r="E241" s="736"/>
      <c r="F241" s="737"/>
      <c r="G241" s="738">
        <f t="shared" si="0"/>
        <v>0</v>
      </c>
      <c r="H241" s="736"/>
      <c r="I241" s="736"/>
      <c r="J241" s="736"/>
      <c r="K241" s="736"/>
      <c r="L241" s="736"/>
      <c r="M241" s="736"/>
      <c r="N241" s="736"/>
      <c r="O241" s="736"/>
      <c r="P241" s="736"/>
      <c r="Q241" s="736"/>
      <c r="R241" s="736"/>
      <c r="S241" s="736"/>
      <c r="T241" s="738">
        <f t="shared" si="1"/>
        <v>0</v>
      </c>
      <c r="U241" s="736"/>
      <c r="V241" s="736"/>
      <c r="W241" s="736"/>
      <c r="X241" s="736"/>
      <c r="Y241" s="736"/>
      <c r="Z241" s="736"/>
      <c r="AA241" s="736"/>
      <c r="AB241" s="736"/>
      <c r="AC241" s="736"/>
      <c r="AD241" s="736"/>
      <c r="AE241" s="736"/>
      <c r="AF241" s="736"/>
      <c r="AG241" s="736"/>
      <c r="AH241" s="738">
        <f t="shared" si="2"/>
        <v>0</v>
      </c>
      <c r="AI241" s="736"/>
      <c r="AJ241" s="736"/>
      <c r="AK241" s="736"/>
      <c r="AL241" s="736"/>
      <c r="AM241" s="736"/>
      <c r="AN241" s="736"/>
      <c r="AO241" s="736"/>
      <c r="AP241" s="736"/>
      <c r="AQ241" s="736"/>
      <c r="AR241" s="736"/>
      <c r="AS241" s="736"/>
      <c r="AT241" s="736"/>
      <c r="AU241" s="738">
        <f t="shared" si="3"/>
        <v>0</v>
      </c>
      <c r="AV241" s="735">
        <f t="shared" si="4"/>
        <v>0</v>
      </c>
    </row>
    <row r="242" spans="1:48" x14ac:dyDescent="0.25">
      <c r="A242" s="730" t="s">
        <v>625</v>
      </c>
      <c r="B242" s="731" t="s">
        <v>636</v>
      </c>
      <c r="C242" s="736"/>
      <c r="D242" s="736"/>
      <c r="E242" s="736"/>
      <c r="F242" s="737"/>
      <c r="G242" s="738">
        <f t="shared" si="0"/>
        <v>0</v>
      </c>
      <c r="H242" s="736"/>
      <c r="I242" s="736"/>
      <c r="J242" s="736"/>
      <c r="K242" s="736"/>
      <c r="L242" s="736"/>
      <c r="M242" s="736"/>
      <c r="N242" s="736"/>
      <c r="O242" s="736"/>
      <c r="P242" s="736"/>
      <c r="Q242" s="736"/>
      <c r="R242" s="736"/>
      <c r="S242" s="736"/>
      <c r="T242" s="738">
        <f t="shared" si="1"/>
        <v>0</v>
      </c>
      <c r="U242" s="736"/>
      <c r="V242" s="736"/>
      <c r="W242" s="736"/>
      <c r="X242" s="736"/>
      <c r="Y242" s="736"/>
      <c r="Z242" s="736"/>
      <c r="AA242" s="736"/>
      <c r="AB242" s="736"/>
      <c r="AC242" s="736"/>
      <c r="AD242" s="736"/>
      <c r="AE242" s="736"/>
      <c r="AF242" s="736"/>
      <c r="AG242" s="736"/>
      <c r="AH242" s="738">
        <f t="shared" si="2"/>
        <v>0</v>
      </c>
      <c r="AI242" s="736"/>
      <c r="AJ242" s="736"/>
      <c r="AK242" s="736"/>
      <c r="AL242" s="736"/>
      <c r="AM242" s="736"/>
      <c r="AN242" s="736"/>
      <c r="AO242" s="736"/>
      <c r="AP242" s="736"/>
      <c r="AQ242" s="736"/>
      <c r="AR242" s="736"/>
      <c r="AS242" s="736"/>
      <c r="AT242" s="736"/>
      <c r="AU242" s="738">
        <f t="shared" si="3"/>
        <v>0</v>
      </c>
      <c r="AV242" s="735">
        <f t="shared" si="4"/>
        <v>0</v>
      </c>
    </row>
    <row r="243" spans="1:48" x14ac:dyDescent="0.25">
      <c r="A243" s="730" t="s">
        <v>625</v>
      </c>
      <c r="B243" s="731" t="s">
        <v>646</v>
      </c>
      <c r="C243" s="736"/>
      <c r="D243" s="736"/>
      <c r="E243" s="736"/>
      <c r="F243" s="737"/>
      <c r="G243" s="738">
        <f t="shared" si="0"/>
        <v>0</v>
      </c>
      <c r="H243" s="736"/>
      <c r="I243" s="736"/>
      <c r="J243" s="736"/>
      <c r="K243" s="736"/>
      <c r="L243" s="736"/>
      <c r="M243" s="736"/>
      <c r="N243" s="736"/>
      <c r="O243" s="736"/>
      <c r="P243" s="736"/>
      <c r="Q243" s="736"/>
      <c r="R243" s="736"/>
      <c r="S243" s="736"/>
      <c r="T243" s="738">
        <f t="shared" si="1"/>
        <v>0</v>
      </c>
      <c r="U243" s="736"/>
      <c r="V243" s="736"/>
      <c r="W243" s="736"/>
      <c r="X243" s="736"/>
      <c r="Y243" s="736"/>
      <c r="Z243" s="736"/>
      <c r="AA243" s="736"/>
      <c r="AB243" s="736"/>
      <c r="AC243" s="736"/>
      <c r="AD243" s="736"/>
      <c r="AE243" s="736"/>
      <c r="AF243" s="736"/>
      <c r="AG243" s="736"/>
      <c r="AH243" s="738">
        <f t="shared" si="2"/>
        <v>0</v>
      </c>
      <c r="AI243" s="736"/>
      <c r="AJ243" s="736"/>
      <c r="AK243" s="736"/>
      <c r="AL243" s="736"/>
      <c r="AM243" s="736"/>
      <c r="AN243" s="736"/>
      <c r="AO243" s="736"/>
      <c r="AP243" s="736"/>
      <c r="AQ243" s="736"/>
      <c r="AR243" s="736"/>
      <c r="AS243" s="736"/>
      <c r="AT243" s="736"/>
      <c r="AU243" s="738">
        <f t="shared" si="3"/>
        <v>0</v>
      </c>
      <c r="AV243" s="735">
        <f t="shared" si="4"/>
        <v>0</v>
      </c>
    </row>
    <row r="244" spans="1:48" x14ac:dyDescent="0.25">
      <c r="A244" s="730" t="s">
        <v>625</v>
      </c>
      <c r="B244" s="731" t="s">
        <v>648</v>
      </c>
      <c r="C244" s="736"/>
      <c r="D244" s="736"/>
      <c r="E244" s="736"/>
      <c r="F244" s="737"/>
      <c r="G244" s="738">
        <f t="shared" si="0"/>
        <v>0</v>
      </c>
      <c r="H244" s="736"/>
      <c r="I244" s="736"/>
      <c r="J244" s="736"/>
      <c r="K244" s="736"/>
      <c r="L244" s="736"/>
      <c r="M244" s="736"/>
      <c r="N244" s="736"/>
      <c r="O244" s="736"/>
      <c r="P244" s="736"/>
      <c r="Q244" s="736"/>
      <c r="R244" s="736"/>
      <c r="S244" s="736"/>
      <c r="T244" s="738">
        <f t="shared" si="1"/>
        <v>0</v>
      </c>
      <c r="U244" s="736"/>
      <c r="V244" s="736"/>
      <c r="W244" s="736"/>
      <c r="X244" s="736"/>
      <c r="Y244" s="736"/>
      <c r="Z244" s="736"/>
      <c r="AA244" s="736"/>
      <c r="AB244" s="736"/>
      <c r="AC244" s="736"/>
      <c r="AD244" s="736"/>
      <c r="AE244" s="736"/>
      <c r="AF244" s="736"/>
      <c r="AG244" s="736"/>
      <c r="AH244" s="738">
        <f t="shared" si="2"/>
        <v>0</v>
      </c>
      <c r="AI244" s="736"/>
      <c r="AJ244" s="736"/>
      <c r="AK244" s="736"/>
      <c r="AL244" s="736"/>
      <c r="AM244" s="736"/>
      <c r="AN244" s="736"/>
      <c r="AO244" s="736"/>
      <c r="AP244" s="736"/>
      <c r="AQ244" s="736"/>
      <c r="AR244" s="736"/>
      <c r="AS244" s="736"/>
      <c r="AT244" s="736"/>
      <c r="AU244" s="738">
        <f t="shared" si="3"/>
        <v>0</v>
      </c>
      <c r="AV244" s="735">
        <f t="shared" si="4"/>
        <v>0</v>
      </c>
    </row>
    <row r="245" spans="1:48" x14ac:dyDescent="0.25">
      <c r="A245" s="730" t="s">
        <v>625</v>
      </c>
      <c r="B245" s="731" t="s">
        <v>650</v>
      </c>
      <c r="C245" s="736"/>
      <c r="D245" s="736"/>
      <c r="E245" s="736"/>
      <c r="F245" s="737"/>
      <c r="G245" s="738">
        <f t="shared" si="0"/>
        <v>0</v>
      </c>
      <c r="H245" s="736"/>
      <c r="I245" s="736"/>
      <c r="J245" s="736"/>
      <c r="K245" s="736"/>
      <c r="L245" s="736"/>
      <c r="M245" s="736"/>
      <c r="N245" s="736"/>
      <c r="O245" s="736"/>
      <c r="P245" s="736"/>
      <c r="Q245" s="736"/>
      <c r="R245" s="736"/>
      <c r="S245" s="736"/>
      <c r="T245" s="738">
        <f t="shared" si="1"/>
        <v>0</v>
      </c>
      <c r="U245" s="736"/>
      <c r="V245" s="736"/>
      <c r="W245" s="736"/>
      <c r="X245" s="736"/>
      <c r="Y245" s="736"/>
      <c r="Z245" s="736"/>
      <c r="AA245" s="736"/>
      <c r="AB245" s="736"/>
      <c r="AC245" s="736"/>
      <c r="AD245" s="736"/>
      <c r="AE245" s="736"/>
      <c r="AF245" s="736"/>
      <c r="AG245" s="736"/>
      <c r="AH245" s="738">
        <f t="shared" si="2"/>
        <v>0</v>
      </c>
      <c r="AI245" s="736"/>
      <c r="AJ245" s="736"/>
      <c r="AK245" s="736"/>
      <c r="AL245" s="736"/>
      <c r="AM245" s="736"/>
      <c r="AN245" s="736"/>
      <c r="AO245" s="736"/>
      <c r="AP245" s="736"/>
      <c r="AQ245" s="736"/>
      <c r="AR245" s="736"/>
      <c r="AS245" s="736"/>
      <c r="AT245" s="736"/>
      <c r="AU245" s="738">
        <f t="shared" si="3"/>
        <v>0</v>
      </c>
      <c r="AV245" s="735">
        <f t="shared" si="4"/>
        <v>0</v>
      </c>
    </row>
    <row r="246" spans="1:48" x14ac:dyDescent="0.25">
      <c r="A246" s="730" t="s">
        <v>625</v>
      </c>
      <c r="B246" s="731" t="s">
        <v>652</v>
      </c>
      <c r="C246" s="736"/>
      <c r="D246" s="736"/>
      <c r="E246" s="736"/>
      <c r="F246" s="737"/>
      <c r="G246" s="738">
        <f t="shared" si="0"/>
        <v>0</v>
      </c>
      <c r="H246" s="736"/>
      <c r="I246" s="736"/>
      <c r="J246" s="736"/>
      <c r="K246" s="736"/>
      <c r="L246" s="736"/>
      <c r="M246" s="736"/>
      <c r="N246" s="736"/>
      <c r="O246" s="736"/>
      <c r="P246" s="736"/>
      <c r="Q246" s="736"/>
      <c r="R246" s="736"/>
      <c r="S246" s="736"/>
      <c r="T246" s="738">
        <f t="shared" si="1"/>
        <v>0</v>
      </c>
      <c r="U246" s="736"/>
      <c r="V246" s="736"/>
      <c r="W246" s="736"/>
      <c r="X246" s="736"/>
      <c r="Y246" s="736"/>
      <c r="Z246" s="736"/>
      <c r="AA246" s="736"/>
      <c r="AB246" s="736"/>
      <c r="AC246" s="736"/>
      <c r="AD246" s="736"/>
      <c r="AE246" s="736"/>
      <c r="AF246" s="736"/>
      <c r="AG246" s="736"/>
      <c r="AH246" s="738">
        <f t="shared" si="2"/>
        <v>0</v>
      </c>
      <c r="AI246" s="736"/>
      <c r="AJ246" s="736"/>
      <c r="AK246" s="736"/>
      <c r="AL246" s="736"/>
      <c r="AM246" s="736"/>
      <c r="AN246" s="736"/>
      <c r="AO246" s="736"/>
      <c r="AP246" s="736"/>
      <c r="AQ246" s="736"/>
      <c r="AR246" s="736"/>
      <c r="AS246" s="736"/>
      <c r="AT246" s="736"/>
      <c r="AU246" s="738">
        <f t="shared" si="3"/>
        <v>0</v>
      </c>
      <c r="AV246" s="735">
        <f t="shared" si="4"/>
        <v>0</v>
      </c>
    </row>
    <row r="247" spans="1:48" x14ac:dyDescent="0.25">
      <c r="A247" s="730" t="s">
        <v>655</v>
      </c>
      <c r="B247" s="731" t="s">
        <v>654</v>
      </c>
      <c r="C247" s="736"/>
      <c r="D247" s="736"/>
      <c r="E247" s="736"/>
      <c r="F247" s="737"/>
      <c r="G247" s="738">
        <f t="shared" si="0"/>
        <v>0</v>
      </c>
      <c r="H247" s="736"/>
      <c r="I247" s="736"/>
      <c r="J247" s="736"/>
      <c r="K247" s="736"/>
      <c r="L247" s="736"/>
      <c r="M247" s="736"/>
      <c r="N247" s="736"/>
      <c r="O247" s="736"/>
      <c r="P247" s="736"/>
      <c r="Q247" s="736"/>
      <c r="R247" s="736"/>
      <c r="S247" s="736"/>
      <c r="T247" s="738">
        <f t="shared" si="1"/>
        <v>0</v>
      </c>
      <c r="U247" s="736"/>
      <c r="V247" s="736"/>
      <c r="W247" s="736"/>
      <c r="X247" s="736"/>
      <c r="Y247" s="736"/>
      <c r="Z247" s="736"/>
      <c r="AA247" s="736"/>
      <c r="AB247" s="736"/>
      <c r="AC247" s="736"/>
      <c r="AD247" s="736"/>
      <c r="AE247" s="736"/>
      <c r="AF247" s="736"/>
      <c r="AG247" s="736"/>
      <c r="AH247" s="738">
        <f t="shared" si="2"/>
        <v>0</v>
      </c>
      <c r="AI247" s="736"/>
      <c r="AJ247" s="736"/>
      <c r="AK247" s="736"/>
      <c r="AL247" s="736"/>
      <c r="AM247" s="736"/>
      <c r="AN247" s="736"/>
      <c r="AO247" s="736"/>
      <c r="AP247" s="736"/>
      <c r="AQ247" s="736"/>
      <c r="AR247" s="736"/>
      <c r="AS247" s="736"/>
      <c r="AT247" s="736"/>
      <c r="AU247" s="738">
        <f t="shared" si="3"/>
        <v>0</v>
      </c>
      <c r="AV247" s="735">
        <f t="shared" si="4"/>
        <v>0</v>
      </c>
    </row>
    <row r="248" spans="1:48" x14ac:dyDescent="0.25">
      <c r="A248" s="730" t="s">
        <v>655</v>
      </c>
      <c r="B248" s="731" t="s">
        <v>658</v>
      </c>
      <c r="C248" s="736"/>
      <c r="D248" s="736"/>
      <c r="E248" s="736"/>
      <c r="F248" s="737"/>
      <c r="G248" s="738">
        <f t="shared" si="0"/>
        <v>0</v>
      </c>
      <c r="H248" s="736"/>
      <c r="I248" s="736"/>
      <c r="J248" s="736"/>
      <c r="K248" s="736"/>
      <c r="L248" s="736"/>
      <c r="M248" s="736"/>
      <c r="N248" s="736"/>
      <c r="O248" s="736"/>
      <c r="P248" s="736"/>
      <c r="Q248" s="736"/>
      <c r="R248" s="736"/>
      <c r="S248" s="736"/>
      <c r="T248" s="738">
        <f t="shared" si="1"/>
        <v>0</v>
      </c>
      <c r="U248" s="736"/>
      <c r="V248" s="736"/>
      <c r="W248" s="736"/>
      <c r="X248" s="736"/>
      <c r="Y248" s="736"/>
      <c r="Z248" s="736"/>
      <c r="AA248" s="736"/>
      <c r="AB248" s="736"/>
      <c r="AC248" s="736"/>
      <c r="AD248" s="736"/>
      <c r="AE248" s="736"/>
      <c r="AF248" s="736"/>
      <c r="AG248" s="736"/>
      <c r="AH248" s="738">
        <f t="shared" si="2"/>
        <v>0</v>
      </c>
      <c r="AI248" s="736"/>
      <c r="AJ248" s="736"/>
      <c r="AK248" s="736"/>
      <c r="AL248" s="736"/>
      <c r="AM248" s="736"/>
      <c r="AN248" s="736"/>
      <c r="AO248" s="736"/>
      <c r="AP248" s="736"/>
      <c r="AQ248" s="736"/>
      <c r="AR248" s="736"/>
      <c r="AS248" s="736"/>
      <c r="AT248" s="736"/>
      <c r="AU248" s="738">
        <f t="shared" si="3"/>
        <v>0</v>
      </c>
      <c r="AV248" s="735">
        <f t="shared" si="4"/>
        <v>0</v>
      </c>
    </row>
    <row r="249" spans="1:48" x14ac:dyDescent="0.25">
      <c r="A249" s="739" t="s">
        <v>661</v>
      </c>
      <c r="B249" s="731" t="s">
        <v>656</v>
      </c>
      <c r="C249" s="736"/>
      <c r="D249" s="736"/>
      <c r="E249" s="736"/>
      <c r="F249" s="737"/>
      <c r="G249" s="738">
        <f t="shared" si="0"/>
        <v>0</v>
      </c>
      <c r="H249" s="736"/>
      <c r="I249" s="736"/>
      <c r="J249" s="736"/>
      <c r="K249" s="736"/>
      <c r="L249" s="736"/>
      <c r="M249" s="736"/>
      <c r="N249" s="736"/>
      <c r="O249" s="736"/>
      <c r="P249" s="736"/>
      <c r="Q249" s="736"/>
      <c r="R249" s="736"/>
      <c r="S249" s="736"/>
      <c r="T249" s="738">
        <f t="shared" si="1"/>
        <v>0</v>
      </c>
      <c r="U249" s="736"/>
      <c r="V249" s="736"/>
      <c r="W249" s="736"/>
      <c r="X249" s="736"/>
      <c r="Y249" s="736"/>
      <c r="Z249" s="736"/>
      <c r="AA249" s="736"/>
      <c r="AB249" s="736"/>
      <c r="AC249" s="736"/>
      <c r="AD249" s="736"/>
      <c r="AE249" s="736"/>
      <c r="AF249" s="736"/>
      <c r="AG249" s="736"/>
      <c r="AH249" s="738">
        <f t="shared" si="2"/>
        <v>0</v>
      </c>
      <c r="AI249" s="736"/>
      <c r="AJ249" s="736"/>
      <c r="AK249" s="736"/>
      <c r="AL249" s="736"/>
      <c r="AM249" s="736"/>
      <c r="AN249" s="736"/>
      <c r="AO249" s="736"/>
      <c r="AP249" s="736"/>
      <c r="AQ249" s="736"/>
      <c r="AR249" s="736"/>
      <c r="AS249" s="736"/>
      <c r="AT249" s="736"/>
      <c r="AU249" s="738">
        <f t="shared" si="3"/>
        <v>0</v>
      </c>
      <c r="AV249" s="735">
        <f t="shared" si="4"/>
        <v>0</v>
      </c>
    </row>
    <row r="250" spans="1:48" x14ac:dyDescent="0.25">
      <c r="A250" s="739" t="s">
        <v>661</v>
      </c>
      <c r="B250" s="731" t="s">
        <v>642</v>
      </c>
      <c r="C250" s="736"/>
      <c r="D250" s="736"/>
      <c r="E250" s="736"/>
      <c r="F250" s="737"/>
      <c r="G250" s="738">
        <f t="shared" si="0"/>
        <v>0</v>
      </c>
      <c r="H250" s="736"/>
      <c r="I250" s="736"/>
      <c r="J250" s="736"/>
      <c r="K250" s="736"/>
      <c r="L250" s="736"/>
      <c r="M250" s="736"/>
      <c r="N250" s="736"/>
      <c r="O250" s="736"/>
      <c r="P250" s="736"/>
      <c r="Q250" s="736"/>
      <c r="R250" s="736"/>
      <c r="S250" s="736"/>
      <c r="T250" s="738">
        <f t="shared" si="1"/>
        <v>0</v>
      </c>
      <c r="U250" s="736"/>
      <c r="V250" s="736"/>
      <c r="W250" s="736"/>
      <c r="X250" s="736"/>
      <c r="Y250" s="736"/>
      <c r="Z250" s="736"/>
      <c r="AA250" s="736"/>
      <c r="AB250" s="736"/>
      <c r="AC250" s="736"/>
      <c r="AD250" s="736"/>
      <c r="AE250" s="736"/>
      <c r="AF250" s="736"/>
      <c r="AG250" s="736"/>
      <c r="AH250" s="738">
        <f t="shared" si="2"/>
        <v>0</v>
      </c>
      <c r="AI250" s="736"/>
      <c r="AJ250" s="736"/>
      <c r="AK250" s="736"/>
      <c r="AL250" s="736"/>
      <c r="AM250" s="736"/>
      <c r="AN250" s="736"/>
      <c r="AO250" s="736"/>
      <c r="AP250" s="736"/>
      <c r="AQ250" s="736"/>
      <c r="AR250" s="736"/>
      <c r="AS250" s="736"/>
      <c r="AT250" s="736"/>
      <c r="AU250" s="738">
        <f t="shared" si="3"/>
        <v>0</v>
      </c>
      <c r="AV250" s="735">
        <f t="shared" si="4"/>
        <v>0</v>
      </c>
    </row>
    <row r="251" spans="1:48" x14ac:dyDescent="0.25">
      <c r="A251" s="739" t="s">
        <v>661</v>
      </c>
      <c r="B251" s="731" t="s">
        <v>665</v>
      </c>
      <c r="C251" s="736"/>
      <c r="D251" s="736"/>
      <c r="E251" s="736"/>
      <c r="F251" s="737"/>
      <c r="G251" s="738">
        <f t="shared" si="0"/>
        <v>0</v>
      </c>
      <c r="H251" s="736"/>
      <c r="I251" s="736"/>
      <c r="J251" s="736"/>
      <c r="K251" s="736"/>
      <c r="L251" s="736"/>
      <c r="M251" s="736"/>
      <c r="N251" s="736"/>
      <c r="O251" s="736"/>
      <c r="P251" s="736"/>
      <c r="Q251" s="736"/>
      <c r="R251" s="736"/>
      <c r="S251" s="736"/>
      <c r="T251" s="738">
        <f t="shared" si="1"/>
        <v>0</v>
      </c>
      <c r="U251" s="736"/>
      <c r="V251" s="736"/>
      <c r="W251" s="736"/>
      <c r="X251" s="736"/>
      <c r="Y251" s="736"/>
      <c r="Z251" s="736"/>
      <c r="AA251" s="736"/>
      <c r="AB251" s="736"/>
      <c r="AC251" s="736"/>
      <c r="AD251" s="736"/>
      <c r="AE251" s="736"/>
      <c r="AF251" s="736"/>
      <c r="AG251" s="736"/>
      <c r="AH251" s="738">
        <f t="shared" si="2"/>
        <v>0</v>
      </c>
      <c r="AI251" s="736"/>
      <c r="AJ251" s="736"/>
      <c r="AK251" s="736"/>
      <c r="AL251" s="736"/>
      <c r="AM251" s="736"/>
      <c r="AN251" s="736"/>
      <c r="AO251" s="736"/>
      <c r="AP251" s="736"/>
      <c r="AQ251" s="736"/>
      <c r="AR251" s="736"/>
      <c r="AS251" s="736"/>
      <c r="AT251" s="736"/>
      <c r="AU251" s="738">
        <f t="shared" si="3"/>
        <v>0</v>
      </c>
      <c r="AV251" s="735">
        <f t="shared" si="4"/>
        <v>0</v>
      </c>
    </row>
    <row r="252" spans="1:48" x14ac:dyDescent="0.25">
      <c r="A252" s="730" t="s">
        <v>661</v>
      </c>
      <c r="B252" s="731" t="s">
        <v>667</v>
      </c>
      <c r="C252" s="736"/>
      <c r="D252" s="736"/>
      <c r="E252" s="736"/>
      <c r="F252" s="737"/>
      <c r="G252" s="738">
        <f t="shared" si="0"/>
        <v>0</v>
      </c>
      <c r="H252" s="736"/>
      <c r="I252" s="736"/>
      <c r="J252" s="736"/>
      <c r="K252" s="736"/>
      <c r="L252" s="736"/>
      <c r="M252" s="736"/>
      <c r="N252" s="736"/>
      <c r="O252" s="736"/>
      <c r="P252" s="736"/>
      <c r="Q252" s="736"/>
      <c r="R252" s="736"/>
      <c r="S252" s="736"/>
      <c r="T252" s="738">
        <f t="shared" si="1"/>
        <v>0</v>
      </c>
      <c r="U252" s="736"/>
      <c r="V252" s="736"/>
      <c r="W252" s="736"/>
      <c r="X252" s="736"/>
      <c r="Y252" s="736"/>
      <c r="Z252" s="736"/>
      <c r="AA252" s="736"/>
      <c r="AB252" s="736"/>
      <c r="AC252" s="736"/>
      <c r="AD252" s="736"/>
      <c r="AE252" s="736"/>
      <c r="AF252" s="736"/>
      <c r="AG252" s="736"/>
      <c r="AH252" s="738">
        <f t="shared" si="2"/>
        <v>0</v>
      </c>
      <c r="AI252" s="736"/>
      <c r="AJ252" s="736"/>
      <c r="AK252" s="736"/>
      <c r="AL252" s="736"/>
      <c r="AM252" s="736"/>
      <c r="AN252" s="736"/>
      <c r="AO252" s="736"/>
      <c r="AP252" s="736"/>
      <c r="AQ252" s="736"/>
      <c r="AR252" s="736"/>
      <c r="AS252" s="736"/>
      <c r="AT252" s="736"/>
      <c r="AU252" s="738">
        <f t="shared" si="3"/>
        <v>0</v>
      </c>
      <c r="AV252" s="735">
        <f t="shared" si="4"/>
        <v>0</v>
      </c>
    </row>
    <row r="253" spans="1:48" x14ac:dyDescent="0.25">
      <c r="A253" s="730" t="s">
        <v>661</v>
      </c>
      <c r="B253" s="731" t="s">
        <v>669</v>
      </c>
      <c r="C253" s="736"/>
      <c r="D253" s="736"/>
      <c r="E253" s="736"/>
      <c r="F253" s="737"/>
      <c r="G253" s="738">
        <f t="shared" si="0"/>
        <v>0</v>
      </c>
      <c r="H253" s="736"/>
      <c r="I253" s="736"/>
      <c r="J253" s="736"/>
      <c r="K253" s="736"/>
      <c r="L253" s="736"/>
      <c r="M253" s="736"/>
      <c r="N253" s="736"/>
      <c r="O253" s="736"/>
      <c r="P253" s="736"/>
      <c r="Q253" s="736"/>
      <c r="R253" s="736"/>
      <c r="S253" s="736"/>
      <c r="T253" s="738">
        <f t="shared" si="1"/>
        <v>0</v>
      </c>
      <c r="U253" s="736"/>
      <c r="V253" s="736"/>
      <c r="W253" s="736"/>
      <c r="X253" s="736"/>
      <c r="Y253" s="736"/>
      <c r="Z253" s="736"/>
      <c r="AA253" s="736"/>
      <c r="AB253" s="736"/>
      <c r="AC253" s="736"/>
      <c r="AD253" s="736"/>
      <c r="AE253" s="736"/>
      <c r="AF253" s="736"/>
      <c r="AG253" s="736"/>
      <c r="AH253" s="738">
        <f t="shared" si="2"/>
        <v>0</v>
      </c>
      <c r="AI253" s="736"/>
      <c r="AJ253" s="736"/>
      <c r="AK253" s="736"/>
      <c r="AL253" s="736"/>
      <c r="AM253" s="736"/>
      <c r="AN253" s="736"/>
      <c r="AO253" s="736"/>
      <c r="AP253" s="736"/>
      <c r="AQ253" s="736"/>
      <c r="AR253" s="736"/>
      <c r="AS253" s="736"/>
      <c r="AT253" s="736"/>
      <c r="AU253" s="738">
        <f t="shared" si="3"/>
        <v>0</v>
      </c>
      <c r="AV253" s="735">
        <f t="shared" si="4"/>
        <v>0</v>
      </c>
    </row>
    <row r="254" spans="1:48" x14ac:dyDescent="0.25">
      <c r="A254" s="730" t="s">
        <v>661</v>
      </c>
      <c r="B254" s="731" t="s">
        <v>671</v>
      </c>
      <c r="C254" s="736"/>
      <c r="D254" s="736"/>
      <c r="E254" s="736"/>
      <c r="F254" s="737"/>
      <c r="G254" s="738">
        <f t="shared" si="0"/>
        <v>0</v>
      </c>
      <c r="H254" s="736"/>
      <c r="I254" s="736"/>
      <c r="J254" s="736"/>
      <c r="K254" s="736"/>
      <c r="L254" s="736"/>
      <c r="M254" s="736"/>
      <c r="N254" s="736"/>
      <c r="O254" s="736"/>
      <c r="P254" s="736"/>
      <c r="Q254" s="736"/>
      <c r="R254" s="736"/>
      <c r="S254" s="736"/>
      <c r="T254" s="738">
        <f t="shared" si="1"/>
        <v>0</v>
      </c>
      <c r="U254" s="736"/>
      <c r="V254" s="736"/>
      <c r="W254" s="736"/>
      <c r="X254" s="736"/>
      <c r="Y254" s="736"/>
      <c r="Z254" s="736"/>
      <c r="AA254" s="736"/>
      <c r="AB254" s="736"/>
      <c r="AC254" s="736"/>
      <c r="AD254" s="736"/>
      <c r="AE254" s="736"/>
      <c r="AF254" s="736"/>
      <c r="AG254" s="736"/>
      <c r="AH254" s="738">
        <f t="shared" si="2"/>
        <v>0</v>
      </c>
      <c r="AI254" s="736"/>
      <c r="AJ254" s="736"/>
      <c r="AK254" s="736"/>
      <c r="AL254" s="736"/>
      <c r="AM254" s="736"/>
      <c r="AN254" s="736"/>
      <c r="AO254" s="736"/>
      <c r="AP254" s="736"/>
      <c r="AQ254" s="736"/>
      <c r="AR254" s="736"/>
      <c r="AS254" s="736"/>
      <c r="AT254" s="736"/>
      <c r="AU254" s="738">
        <f t="shared" si="3"/>
        <v>0</v>
      </c>
      <c r="AV254" s="735">
        <f t="shared" si="4"/>
        <v>0</v>
      </c>
    </row>
    <row r="255" spans="1:48" x14ac:dyDescent="0.25">
      <c r="A255" s="739" t="s">
        <v>661</v>
      </c>
      <c r="B255" s="731" t="s">
        <v>673</v>
      </c>
      <c r="C255" s="736"/>
      <c r="D255" s="736"/>
      <c r="E255" s="736"/>
      <c r="F255" s="737"/>
      <c r="G255" s="738">
        <f t="shared" si="0"/>
        <v>0</v>
      </c>
      <c r="H255" s="736"/>
      <c r="I255" s="736"/>
      <c r="J255" s="736"/>
      <c r="K255" s="736"/>
      <c r="L255" s="736"/>
      <c r="M255" s="736"/>
      <c r="N255" s="736"/>
      <c r="O255" s="736"/>
      <c r="P255" s="736"/>
      <c r="Q255" s="736"/>
      <c r="R255" s="736"/>
      <c r="S255" s="736"/>
      <c r="T255" s="738">
        <f t="shared" si="1"/>
        <v>0</v>
      </c>
      <c r="U255" s="736"/>
      <c r="V255" s="736"/>
      <c r="W255" s="736"/>
      <c r="X255" s="736"/>
      <c r="Y255" s="736"/>
      <c r="Z255" s="736"/>
      <c r="AA255" s="736"/>
      <c r="AB255" s="736"/>
      <c r="AC255" s="736"/>
      <c r="AD255" s="736"/>
      <c r="AE255" s="736"/>
      <c r="AF255" s="736"/>
      <c r="AG255" s="736"/>
      <c r="AH255" s="738">
        <f t="shared" si="2"/>
        <v>0</v>
      </c>
      <c r="AI255" s="736"/>
      <c r="AJ255" s="736"/>
      <c r="AK255" s="736"/>
      <c r="AL255" s="736"/>
      <c r="AM255" s="736"/>
      <c r="AN255" s="736"/>
      <c r="AO255" s="736"/>
      <c r="AP255" s="736"/>
      <c r="AQ255" s="736"/>
      <c r="AR255" s="736"/>
      <c r="AS255" s="736"/>
      <c r="AT255" s="736"/>
      <c r="AU255" s="738">
        <f t="shared" si="3"/>
        <v>0</v>
      </c>
      <c r="AV255" s="735">
        <f t="shared" si="4"/>
        <v>0</v>
      </c>
    </row>
    <row r="256" spans="1:48" x14ac:dyDescent="0.25">
      <c r="A256" s="730" t="s">
        <v>661</v>
      </c>
      <c r="B256" s="731" t="s">
        <v>660</v>
      </c>
      <c r="C256" s="736"/>
      <c r="D256" s="736"/>
      <c r="E256" s="736"/>
      <c r="F256" s="737"/>
      <c r="G256" s="738">
        <f t="shared" si="0"/>
        <v>0</v>
      </c>
      <c r="H256" s="736"/>
      <c r="I256" s="736"/>
      <c r="J256" s="736"/>
      <c r="K256" s="736"/>
      <c r="L256" s="736"/>
      <c r="M256" s="736"/>
      <c r="N256" s="736"/>
      <c r="O256" s="736"/>
      <c r="P256" s="736"/>
      <c r="Q256" s="736"/>
      <c r="R256" s="736"/>
      <c r="S256" s="736"/>
      <c r="T256" s="738">
        <f t="shared" si="1"/>
        <v>0</v>
      </c>
      <c r="U256" s="736"/>
      <c r="V256" s="736"/>
      <c r="W256" s="736"/>
      <c r="X256" s="736"/>
      <c r="Y256" s="736"/>
      <c r="Z256" s="736"/>
      <c r="AA256" s="736"/>
      <c r="AB256" s="736"/>
      <c r="AC256" s="736"/>
      <c r="AD256" s="736"/>
      <c r="AE256" s="736"/>
      <c r="AF256" s="736"/>
      <c r="AG256" s="736"/>
      <c r="AH256" s="738">
        <f t="shared" si="2"/>
        <v>0</v>
      </c>
      <c r="AI256" s="736"/>
      <c r="AJ256" s="736"/>
      <c r="AK256" s="736"/>
      <c r="AL256" s="736"/>
      <c r="AM256" s="736"/>
      <c r="AN256" s="736"/>
      <c r="AO256" s="736"/>
      <c r="AP256" s="736"/>
      <c r="AQ256" s="736"/>
      <c r="AR256" s="736"/>
      <c r="AS256" s="736"/>
      <c r="AT256" s="736"/>
      <c r="AU256" s="738">
        <f t="shared" si="3"/>
        <v>0</v>
      </c>
      <c r="AV256" s="735">
        <f t="shared" si="4"/>
        <v>0</v>
      </c>
    </row>
    <row r="257" spans="1:48" x14ac:dyDescent="0.25">
      <c r="A257" s="730" t="s">
        <v>661</v>
      </c>
      <c r="B257" s="731" t="s">
        <v>675</v>
      </c>
      <c r="C257" s="736"/>
      <c r="D257" s="736"/>
      <c r="E257" s="736"/>
      <c r="F257" s="737"/>
      <c r="G257" s="738">
        <f t="shared" si="0"/>
        <v>0</v>
      </c>
      <c r="H257" s="736"/>
      <c r="I257" s="736"/>
      <c r="J257" s="736"/>
      <c r="K257" s="736"/>
      <c r="L257" s="736"/>
      <c r="M257" s="736"/>
      <c r="N257" s="736"/>
      <c r="O257" s="736"/>
      <c r="P257" s="736"/>
      <c r="Q257" s="736"/>
      <c r="R257" s="736"/>
      <c r="S257" s="736"/>
      <c r="T257" s="738">
        <f t="shared" si="1"/>
        <v>0</v>
      </c>
      <c r="U257" s="736"/>
      <c r="V257" s="736"/>
      <c r="W257" s="736"/>
      <c r="X257" s="736"/>
      <c r="Y257" s="736"/>
      <c r="Z257" s="736"/>
      <c r="AA257" s="736"/>
      <c r="AB257" s="736"/>
      <c r="AC257" s="736"/>
      <c r="AD257" s="736"/>
      <c r="AE257" s="736"/>
      <c r="AF257" s="736"/>
      <c r="AG257" s="736"/>
      <c r="AH257" s="738">
        <f t="shared" si="2"/>
        <v>0</v>
      </c>
      <c r="AI257" s="736"/>
      <c r="AJ257" s="736"/>
      <c r="AK257" s="736"/>
      <c r="AL257" s="736"/>
      <c r="AM257" s="736"/>
      <c r="AN257" s="736"/>
      <c r="AO257" s="736"/>
      <c r="AP257" s="736"/>
      <c r="AQ257" s="736"/>
      <c r="AR257" s="736"/>
      <c r="AS257" s="736"/>
      <c r="AT257" s="736"/>
      <c r="AU257" s="738">
        <f t="shared" si="3"/>
        <v>0</v>
      </c>
      <c r="AV257" s="735">
        <f t="shared" si="4"/>
        <v>0</v>
      </c>
    </row>
    <row r="258" spans="1:48" x14ac:dyDescent="0.25">
      <c r="A258" s="730" t="s">
        <v>678</v>
      </c>
      <c r="B258" s="731" t="s">
        <v>677</v>
      </c>
      <c r="C258" s="736"/>
      <c r="D258" s="736"/>
      <c r="E258" s="736"/>
      <c r="F258" s="737"/>
      <c r="G258" s="738">
        <f t="shared" si="0"/>
        <v>0</v>
      </c>
      <c r="H258" s="736"/>
      <c r="I258" s="736"/>
      <c r="J258" s="736"/>
      <c r="K258" s="736"/>
      <c r="L258" s="736"/>
      <c r="M258" s="736"/>
      <c r="N258" s="736"/>
      <c r="O258" s="736"/>
      <c r="P258" s="736"/>
      <c r="Q258" s="736"/>
      <c r="R258" s="736"/>
      <c r="S258" s="736"/>
      <c r="T258" s="738">
        <f t="shared" si="1"/>
        <v>0</v>
      </c>
      <c r="U258" s="736"/>
      <c r="V258" s="736"/>
      <c r="W258" s="736"/>
      <c r="X258" s="736"/>
      <c r="Y258" s="736"/>
      <c r="Z258" s="736"/>
      <c r="AA258" s="736"/>
      <c r="AB258" s="736"/>
      <c r="AC258" s="736"/>
      <c r="AD258" s="736"/>
      <c r="AE258" s="736"/>
      <c r="AF258" s="736"/>
      <c r="AG258" s="736"/>
      <c r="AH258" s="738">
        <f t="shared" si="2"/>
        <v>0</v>
      </c>
      <c r="AI258" s="736"/>
      <c r="AJ258" s="736"/>
      <c r="AK258" s="736"/>
      <c r="AL258" s="736"/>
      <c r="AM258" s="736"/>
      <c r="AN258" s="736"/>
      <c r="AO258" s="736"/>
      <c r="AP258" s="736"/>
      <c r="AQ258" s="736"/>
      <c r="AR258" s="736"/>
      <c r="AS258" s="736"/>
      <c r="AT258" s="736"/>
      <c r="AU258" s="738">
        <f t="shared" si="3"/>
        <v>0</v>
      </c>
      <c r="AV258" s="735">
        <f t="shared" si="4"/>
        <v>0</v>
      </c>
    </row>
    <row r="259" spans="1:48" x14ac:dyDescent="0.25">
      <c r="A259" s="730" t="s">
        <v>678</v>
      </c>
      <c r="B259" s="731" t="s">
        <v>626</v>
      </c>
      <c r="C259" s="736"/>
      <c r="D259" s="736"/>
      <c r="E259" s="736"/>
      <c r="F259" s="737"/>
      <c r="G259" s="738">
        <f t="shared" si="0"/>
        <v>0</v>
      </c>
      <c r="H259" s="736"/>
      <c r="I259" s="736"/>
      <c r="J259" s="736"/>
      <c r="K259" s="736"/>
      <c r="L259" s="736"/>
      <c r="M259" s="736"/>
      <c r="N259" s="736"/>
      <c r="O259" s="736"/>
      <c r="P259" s="736"/>
      <c r="Q259" s="736"/>
      <c r="R259" s="736"/>
      <c r="S259" s="736"/>
      <c r="T259" s="738">
        <f t="shared" si="1"/>
        <v>0</v>
      </c>
      <c r="U259" s="736"/>
      <c r="V259" s="736"/>
      <c r="W259" s="736"/>
      <c r="X259" s="736"/>
      <c r="Y259" s="736"/>
      <c r="Z259" s="736"/>
      <c r="AA259" s="736"/>
      <c r="AB259" s="736"/>
      <c r="AC259" s="736"/>
      <c r="AD259" s="736"/>
      <c r="AE259" s="736"/>
      <c r="AF259" s="736"/>
      <c r="AG259" s="736"/>
      <c r="AH259" s="738">
        <f t="shared" si="2"/>
        <v>0</v>
      </c>
      <c r="AI259" s="736"/>
      <c r="AJ259" s="736"/>
      <c r="AK259" s="736"/>
      <c r="AL259" s="736"/>
      <c r="AM259" s="736"/>
      <c r="AN259" s="736"/>
      <c r="AO259" s="736"/>
      <c r="AP259" s="736"/>
      <c r="AQ259" s="736"/>
      <c r="AR259" s="736"/>
      <c r="AS259" s="736"/>
      <c r="AT259" s="736"/>
      <c r="AU259" s="738">
        <f t="shared" si="3"/>
        <v>0</v>
      </c>
      <c r="AV259" s="735">
        <f t="shared" si="4"/>
        <v>0</v>
      </c>
    </row>
    <row r="260" spans="1:48" x14ac:dyDescent="0.25">
      <c r="A260" s="730" t="s">
        <v>678</v>
      </c>
      <c r="B260" s="731" t="s">
        <v>681</v>
      </c>
      <c r="C260" s="736"/>
      <c r="D260" s="736"/>
      <c r="E260" s="736"/>
      <c r="F260" s="737"/>
      <c r="G260" s="738">
        <f t="shared" si="0"/>
        <v>0</v>
      </c>
      <c r="H260" s="736"/>
      <c r="I260" s="736"/>
      <c r="J260" s="736"/>
      <c r="K260" s="736"/>
      <c r="L260" s="736"/>
      <c r="M260" s="736"/>
      <c r="N260" s="736"/>
      <c r="O260" s="736"/>
      <c r="P260" s="736"/>
      <c r="Q260" s="736"/>
      <c r="R260" s="736"/>
      <c r="S260" s="736"/>
      <c r="T260" s="738">
        <f t="shared" si="1"/>
        <v>0</v>
      </c>
      <c r="U260" s="736"/>
      <c r="V260" s="736"/>
      <c r="W260" s="736"/>
      <c r="X260" s="736"/>
      <c r="Y260" s="736"/>
      <c r="Z260" s="736"/>
      <c r="AA260" s="736"/>
      <c r="AB260" s="736"/>
      <c r="AC260" s="736"/>
      <c r="AD260" s="736"/>
      <c r="AE260" s="736"/>
      <c r="AF260" s="736"/>
      <c r="AG260" s="736"/>
      <c r="AH260" s="738">
        <f t="shared" si="2"/>
        <v>0</v>
      </c>
      <c r="AI260" s="736"/>
      <c r="AJ260" s="736"/>
      <c r="AK260" s="736"/>
      <c r="AL260" s="736"/>
      <c r="AM260" s="736"/>
      <c r="AN260" s="736"/>
      <c r="AO260" s="736"/>
      <c r="AP260" s="736"/>
      <c r="AQ260" s="736"/>
      <c r="AR260" s="736"/>
      <c r="AS260" s="736"/>
      <c r="AT260" s="736"/>
      <c r="AU260" s="738">
        <f t="shared" si="3"/>
        <v>0</v>
      </c>
      <c r="AV260" s="735">
        <f t="shared" si="4"/>
        <v>0</v>
      </c>
    </row>
    <row r="261" spans="1:48" x14ac:dyDescent="0.25">
      <c r="A261" s="730" t="s">
        <v>678</v>
      </c>
      <c r="B261" s="731" t="s">
        <v>683</v>
      </c>
      <c r="C261" s="736"/>
      <c r="D261" s="736"/>
      <c r="E261" s="736"/>
      <c r="F261" s="737"/>
      <c r="G261" s="738">
        <f t="shared" si="0"/>
        <v>0</v>
      </c>
      <c r="H261" s="736"/>
      <c r="I261" s="736"/>
      <c r="J261" s="736"/>
      <c r="K261" s="736"/>
      <c r="L261" s="736"/>
      <c r="M261" s="736"/>
      <c r="N261" s="736"/>
      <c r="O261" s="736"/>
      <c r="P261" s="736"/>
      <c r="Q261" s="736"/>
      <c r="R261" s="736"/>
      <c r="S261" s="736"/>
      <c r="T261" s="738">
        <f t="shared" si="1"/>
        <v>0</v>
      </c>
      <c r="U261" s="736"/>
      <c r="V261" s="736"/>
      <c r="W261" s="736"/>
      <c r="X261" s="736"/>
      <c r="Y261" s="736"/>
      <c r="Z261" s="736"/>
      <c r="AA261" s="736"/>
      <c r="AB261" s="736"/>
      <c r="AC261" s="736"/>
      <c r="AD261" s="736"/>
      <c r="AE261" s="736"/>
      <c r="AF261" s="736"/>
      <c r="AG261" s="736"/>
      <c r="AH261" s="738">
        <f t="shared" si="2"/>
        <v>0</v>
      </c>
      <c r="AI261" s="736"/>
      <c r="AJ261" s="736"/>
      <c r="AK261" s="736"/>
      <c r="AL261" s="736"/>
      <c r="AM261" s="736"/>
      <c r="AN261" s="736"/>
      <c r="AO261" s="736"/>
      <c r="AP261" s="736"/>
      <c r="AQ261" s="736"/>
      <c r="AR261" s="736"/>
      <c r="AS261" s="736"/>
      <c r="AT261" s="736"/>
      <c r="AU261" s="738">
        <f t="shared" si="3"/>
        <v>0</v>
      </c>
      <c r="AV261" s="735">
        <f t="shared" si="4"/>
        <v>0</v>
      </c>
    </row>
    <row r="262" spans="1:48" x14ac:dyDescent="0.25">
      <c r="A262" s="730" t="s">
        <v>678</v>
      </c>
      <c r="B262" s="731" t="s">
        <v>639</v>
      </c>
      <c r="C262" s="736"/>
      <c r="D262" s="736"/>
      <c r="E262" s="736"/>
      <c r="F262" s="737"/>
      <c r="G262" s="738">
        <f t="shared" si="0"/>
        <v>0</v>
      </c>
      <c r="H262" s="736"/>
      <c r="I262" s="736"/>
      <c r="J262" s="736"/>
      <c r="K262" s="736"/>
      <c r="L262" s="736"/>
      <c r="M262" s="736"/>
      <c r="N262" s="736"/>
      <c r="O262" s="736"/>
      <c r="P262" s="736"/>
      <c r="Q262" s="736"/>
      <c r="R262" s="736"/>
      <c r="S262" s="736"/>
      <c r="T262" s="738">
        <f t="shared" si="1"/>
        <v>0</v>
      </c>
      <c r="U262" s="736"/>
      <c r="V262" s="736"/>
      <c r="W262" s="736"/>
      <c r="X262" s="736"/>
      <c r="Y262" s="736"/>
      <c r="Z262" s="736"/>
      <c r="AA262" s="736"/>
      <c r="AB262" s="736"/>
      <c r="AC262" s="736"/>
      <c r="AD262" s="736"/>
      <c r="AE262" s="736"/>
      <c r="AF262" s="736"/>
      <c r="AG262" s="736"/>
      <c r="AH262" s="738">
        <f t="shared" si="2"/>
        <v>0</v>
      </c>
      <c r="AI262" s="736"/>
      <c r="AJ262" s="736"/>
      <c r="AK262" s="736"/>
      <c r="AL262" s="736"/>
      <c r="AM262" s="736"/>
      <c r="AN262" s="736"/>
      <c r="AO262" s="736"/>
      <c r="AP262" s="736"/>
      <c r="AQ262" s="736"/>
      <c r="AR262" s="736"/>
      <c r="AS262" s="736"/>
      <c r="AT262" s="736"/>
      <c r="AU262" s="738">
        <f t="shared" si="3"/>
        <v>0</v>
      </c>
      <c r="AV262" s="735">
        <f t="shared" si="4"/>
        <v>0</v>
      </c>
    </row>
    <row r="263" spans="1:48" x14ac:dyDescent="0.25">
      <c r="A263" s="730" t="s">
        <v>678</v>
      </c>
      <c r="B263" s="731" t="s">
        <v>686</v>
      </c>
      <c r="C263" s="736"/>
      <c r="D263" s="736"/>
      <c r="E263" s="736"/>
      <c r="F263" s="737"/>
      <c r="G263" s="738">
        <f t="shared" si="0"/>
        <v>0</v>
      </c>
      <c r="H263" s="736"/>
      <c r="I263" s="736"/>
      <c r="J263" s="736"/>
      <c r="K263" s="736"/>
      <c r="L263" s="736"/>
      <c r="M263" s="736"/>
      <c r="N263" s="736"/>
      <c r="O263" s="736"/>
      <c r="P263" s="736"/>
      <c r="Q263" s="736"/>
      <c r="R263" s="736"/>
      <c r="S263" s="736"/>
      <c r="T263" s="738">
        <f t="shared" si="1"/>
        <v>0</v>
      </c>
      <c r="U263" s="736"/>
      <c r="V263" s="736"/>
      <c r="W263" s="736"/>
      <c r="X263" s="736"/>
      <c r="Y263" s="736"/>
      <c r="Z263" s="736"/>
      <c r="AA263" s="736"/>
      <c r="AB263" s="736"/>
      <c r="AC263" s="736"/>
      <c r="AD263" s="736"/>
      <c r="AE263" s="736"/>
      <c r="AF263" s="736"/>
      <c r="AG263" s="736"/>
      <c r="AH263" s="738">
        <f t="shared" si="2"/>
        <v>0</v>
      </c>
      <c r="AI263" s="736"/>
      <c r="AJ263" s="736"/>
      <c r="AK263" s="736"/>
      <c r="AL263" s="736"/>
      <c r="AM263" s="736"/>
      <c r="AN263" s="736"/>
      <c r="AO263" s="736"/>
      <c r="AP263" s="736"/>
      <c r="AQ263" s="736"/>
      <c r="AR263" s="736"/>
      <c r="AS263" s="736"/>
      <c r="AT263" s="736"/>
      <c r="AU263" s="738">
        <f t="shared" si="3"/>
        <v>0</v>
      </c>
      <c r="AV263" s="735">
        <f t="shared" si="4"/>
        <v>0</v>
      </c>
    </row>
    <row r="264" spans="1:48" x14ac:dyDescent="0.25">
      <c r="A264" s="730" t="s">
        <v>678</v>
      </c>
      <c r="B264" s="731" t="s">
        <v>688</v>
      </c>
      <c r="C264" s="736"/>
      <c r="D264" s="736"/>
      <c r="E264" s="736"/>
      <c r="F264" s="737"/>
      <c r="G264" s="738">
        <f t="shared" si="0"/>
        <v>0</v>
      </c>
      <c r="H264" s="736"/>
      <c r="I264" s="736"/>
      <c r="J264" s="736"/>
      <c r="K264" s="736"/>
      <c r="L264" s="736"/>
      <c r="M264" s="736"/>
      <c r="N264" s="736"/>
      <c r="O264" s="736"/>
      <c r="P264" s="736"/>
      <c r="Q264" s="736"/>
      <c r="R264" s="736"/>
      <c r="S264" s="736"/>
      <c r="T264" s="738">
        <f t="shared" si="1"/>
        <v>0</v>
      </c>
      <c r="U264" s="736"/>
      <c r="V264" s="736"/>
      <c r="W264" s="736"/>
      <c r="X264" s="736"/>
      <c r="Y264" s="736"/>
      <c r="Z264" s="736"/>
      <c r="AA264" s="736"/>
      <c r="AB264" s="736"/>
      <c r="AC264" s="736"/>
      <c r="AD264" s="736"/>
      <c r="AE264" s="736"/>
      <c r="AF264" s="736"/>
      <c r="AG264" s="736"/>
      <c r="AH264" s="738">
        <f t="shared" si="2"/>
        <v>0</v>
      </c>
      <c r="AI264" s="736"/>
      <c r="AJ264" s="736"/>
      <c r="AK264" s="736"/>
      <c r="AL264" s="736"/>
      <c r="AM264" s="736"/>
      <c r="AN264" s="736"/>
      <c r="AO264" s="736"/>
      <c r="AP264" s="736"/>
      <c r="AQ264" s="736"/>
      <c r="AR264" s="736"/>
      <c r="AS264" s="736"/>
      <c r="AT264" s="736"/>
      <c r="AU264" s="738">
        <f t="shared" si="3"/>
        <v>0</v>
      </c>
      <c r="AV264" s="735">
        <f t="shared" si="4"/>
        <v>0</v>
      </c>
    </row>
    <row r="265" spans="1:48" x14ac:dyDescent="0.25">
      <c r="A265" s="730" t="s">
        <v>690</v>
      </c>
      <c r="B265" s="731" t="s">
        <v>690</v>
      </c>
      <c r="C265" s="736"/>
      <c r="D265" s="736"/>
      <c r="E265" s="736"/>
      <c r="F265" s="737"/>
      <c r="G265" s="738">
        <f t="shared" si="0"/>
        <v>0</v>
      </c>
      <c r="H265" s="736"/>
      <c r="I265" s="736"/>
      <c r="J265" s="736"/>
      <c r="K265" s="736"/>
      <c r="L265" s="736"/>
      <c r="M265" s="736"/>
      <c r="N265" s="736"/>
      <c r="O265" s="736"/>
      <c r="P265" s="736"/>
      <c r="Q265" s="736"/>
      <c r="R265" s="736"/>
      <c r="S265" s="736"/>
      <c r="T265" s="738">
        <f t="shared" si="1"/>
        <v>0</v>
      </c>
      <c r="U265" s="736"/>
      <c r="V265" s="736"/>
      <c r="W265" s="736"/>
      <c r="X265" s="736"/>
      <c r="Y265" s="736"/>
      <c r="Z265" s="736"/>
      <c r="AA265" s="736"/>
      <c r="AB265" s="736"/>
      <c r="AC265" s="736"/>
      <c r="AD265" s="736"/>
      <c r="AE265" s="736"/>
      <c r="AF265" s="736"/>
      <c r="AG265" s="736"/>
      <c r="AH265" s="738">
        <f t="shared" si="2"/>
        <v>0</v>
      </c>
      <c r="AI265" s="736"/>
      <c r="AJ265" s="736"/>
      <c r="AK265" s="736"/>
      <c r="AL265" s="736"/>
      <c r="AM265" s="736"/>
      <c r="AN265" s="736"/>
      <c r="AO265" s="736"/>
      <c r="AP265" s="736"/>
      <c r="AQ265" s="736"/>
      <c r="AR265" s="736"/>
      <c r="AS265" s="736"/>
      <c r="AT265" s="736"/>
      <c r="AU265" s="738">
        <f t="shared" si="3"/>
        <v>0</v>
      </c>
      <c r="AV265" s="735">
        <f t="shared" si="4"/>
        <v>0</v>
      </c>
    </row>
    <row r="266" spans="1:48" x14ac:dyDescent="0.25">
      <c r="A266" s="730" t="s">
        <v>629</v>
      </c>
      <c r="B266" s="731" t="s">
        <v>629</v>
      </c>
      <c r="C266" s="736"/>
      <c r="D266" s="736"/>
      <c r="E266" s="736"/>
      <c r="F266" s="737"/>
      <c r="G266" s="738">
        <f t="shared" si="0"/>
        <v>0</v>
      </c>
      <c r="H266" s="736"/>
      <c r="I266" s="736"/>
      <c r="J266" s="736"/>
      <c r="K266" s="736"/>
      <c r="L266" s="736"/>
      <c r="M266" s="736"/>
      <c r="N266" s="736"/>
      <c r="O266" s="736"/>
      <c r="P266" s="736"/>
      <c r="Q266" s="736"/>
      <c r="R266" s="736"/>
      <c r="S266" s="736"/>
      <c r="T266" s="738">
        <f t="shared" si="1"/>
        <v>0</v>
      </c>
      <c r="U266" s="736"/>
      <c r="V266" s="736"/>
      <c r="W266" s="736"/>
      <c r="X266" s="736"/>
      <c r="Y266" s="736"/>
      <c r="Z266" s="736"/>
      <c r="AA266" s="736"/>
      <c r="AB266" s="736"/>
      <c r="AC266" s="736"/>
      <c r="AD266" s="736"/>
      <c r="AE266" s="736"/>
      <c r="AF266" s="736"/>
      <c r="AG266" s="736"/>
      <c r="AH266" s="738">
        <f t="shared" si="2"/>
        <v>0</v>
      </c>
      <c r="AI266" s="736"/>
      <c r="AJ266" s="736"/>
      <c r="AK266" s="736"/>
      <c r="AL266" s="736"/>
      <c r="AM266" s="736"/>
      <c r="AN266" s="736"/>
      <c r="AO266" s="736"/>
      <c r="AP266" s="736"/>
      <c r="AQ266" s="736"/>
      <c r="AR266" s="736"/>
      <c r="AS266" s="736"/>
      <c r="AT266" s="736"/>
      <c r="AU266" s="738">
        <f t="shared" si="3"/>
        <v>0</v>
      </c>
      <c r="AV266" s="735">
        <f t="shared" si="4"/>
        <v>0</v>
      </c>
    </row>
    <row r="267" spans="1:48" ht="15.75" thickBot="1" x14ac:dyDescent="0.3">
      <c r="A267" s="740" t="s">
        <v>644</v>
      </c>
      <c r="B267" s="741" t="s">
        <v>644</v>
      </c>
      <c r="C267" s="742"/>
      <c r="D267" s="742"/>
      <c r="E267" s="742"/>
      <c r="F267" s="743"/>
      <c r="G267" s="744">
        <f t="shared" si="0"/>
        <v>0</v>
      </c>
      <c r="H267" s="742"/>
      <c r="I267" s="742"/>
      <c r="J267" s="742"/>
      <c r="K267" s="742"/>
      <c r="L267" s="742"/>
      <c r="M267" s="742"/>
      <c r="N267" s="742"/>
      <c r="O267" s="742"/>
      <c r="P267" s="742"/>
      <c r="Q267" s="742"/>
      <c r="R267" s="742"/>
      <c r="S267" s="742"/>
      <c r="T267" s="744">
        <f t="shared" si="1"/>
        <v>0</v>
      </c>
      <c r="U267" s="742"/>
      <c r="V267" s="742"/>
      <c r="W267" s="742"/>
      <c r="X267" s="742"/>
      <c r="Y267" s="742"/>
      <c r="Z267" s="742"/>
      <c r="AA267" s="742"/>
      <c r="AB267" s="742"/>
      <c r="AC267" s="742"/>
      <c r="AD267" s="742"/>
      <c r="AE267" s="742"/>
      <c r="AF267" s="742"/>
      <c r="AG267" s="742"/>
      <c r="AH267" s="744">
        <f t="shared" si="2"/>
        <v>0</v>
      </c>
      <c r="AI267" s="742"/>
      <c r="AJ267" s="742"/>
      <c r="AK267" s="742"/>
      <c r="AL267" s="742"/>
      <c r="AM267" s="742"/>
      <c r="AN267" s="742"/>
      <c r="AO267" s="742"/>
      <c r="AP267" s="742"/>
      <c r="AQ267" s="742"/>
      <c r="AR267" s="742"/>
      <c r="AS267" s="742"/>
      <c r="AT267" s="742"/>
      <c r="AU267" s="744">
        <f t="shared" si="3"/>
        <v>0</v>
      </c>
      <c r="AV267" s="745">
        <f t="shared" si="4"/>
        <v>0</v>
      </c>
    </row>
    <row r="268" spans="1:48" ht="15.75" thickBot="1" x14ac:dyDescent="0.3">
      <c r="A268" s="636"/>
      <c r="B268" s="746" t="s">
        <v>1131</v>
      </c>
      <c r="C268" s="747">
        <f t="shared" ref="C268:AV268" si="5">SUM(C235:C267)</f>
        <v>0</v>
      </c>
      <c r="D268" s="747">
        <f t="shared" si="5"/>
        <v>0</v>
      </c>
      <c r="E268" s="747">
        <f t="shared" si="5"/>
        <v>0</v>
      </c>
      <c r="F268" s="747">
        <f t="shared" si="5"/>
        <v>0</v>
      </c>
      <c r="G268" s="748">
        <f t="shared" si="5"/>
        <v>0</v>
      </c>
      <c r="H268" s="747">
        <f t="shared" si="5"/>
        <v>0</v>
      </c>
      <c r="I268" s="747">
        <f t="shared" si="5"/>
        <v>0</v>
      </c>
      <c r="J268" s="747">
        <f t="shared" si="5"/>
        <v>0</v>
      </c>
      <c r="K268" s="747">
        <f t="shared" si="5"/>
        <v>0</v>
      </c>
      <c r="L268" s="747">
        <f t="shared" si="5"/>
        <v>0</v>
      </c>
      <c r="M268" s="747">
        <f t="shared" si="5"/>
        <v>0</v>
      </c>
      <c r="N268" s="747">
        <f t="shared" si="5"/>
        <v>0</v>
      </c>
      <c r="O268" s="747">
        <f t="shared" si="5"/>
        <v>0</v>
      </c>
      <c r="P268" s="747">
        <f t="shared" si="5"/>
        <v>0</v>
      </c>
      <c r="Q268" s="747">
        <f t="shared" si="5"/>
        <v>0</v>
      </c>
      <c r="R268" s="747">
        <f t="shared" si="5"/>
        <v>0</v>
      </c>
      <c r="S268" s="747">
        <f t="shared" si="5"/>
        <v>0</v>
      </c>
      <c r="T268" s="748">
        <f t="shared" si="5"/>
        <v>0</v>
      </c>
      <c r="U268" s="747">
        <f t="shared" si="5"/>
        <v>0</v>
      </c>
      <c r="V268" s="747">
        <f t="shared" si="5"/>
        <v>0</v>
      </c>
      <c r="W268" s="747">
        <f t="shared" si="5"/>
        <v>0</v>
      </c>
      <c r="X268" s="747">
        <f t="shared" si="5"/>
        <v>0</v>
      </c>
      <c r="Y268" s="747">
        <f t="shared" si="5"/>
        <v>0</v>
      </c>
      <c r="Z268" s="747">
        <f t="shared" si="5"/>
        <v>0</v>
      </c>
      <c r="AA268" s="747">
        <f t="shared" si="5"/>
        <v>0</v>
      </c>
      <c r="AB268" s="747">
        <f t="shared" si="5"/>
        <v>0</v>
      </c>
      <c r="AC268" s="747">
        <f t="shared" si="5"/>
        <v>0</v>
      </c>
      <c r="AD268" s="747">
        <f t="shared" si="5"/>
        <v>0</v>
      </c>
      <c r="AE268" s="747"/>
      <c r="AF268" s="747">
        <f t="shared" si="5"/>
        <v>0</v>
      </c>
      <c r="AG268" s="747">
        <f t="shared" si="5"/>
        <v>0</v>
      </c>
      <c r="AH268" s="748">
        <f t="shared" si="5"/>
        <v>0</v>
      </c>
      <c r="AI268" s="747">
        <f t="shared" si="5"/>
        <v>0</v>
      </c>
      <c r="AJ268" s="747">
        <f t="shared" si="5"/>
        <v>0</v>
      </c>
      <c r="AK268" s="747">
        <f t="shared" si="5"/>
        <v>0</v>
      </c>
      <c r="AL268" s="747">
        <f t="shared" si="5"/>
        <v>0</v>
      </c>
      <c r="AM268" s="747">
        <f t="shared" si="5"/>
        <v>0</v>
      </c>
      <c r="AN268" s="747">
        <f t="shared" si="5"/>
        <v>0</v>
      </c>
      <c r="AO268" s="747">
        <f t="shared" si="5"/>
        <v>0</v>
      </c>
      <c r="AP268" s="747">
        <f t="shared" si="5"/>
        <v>0</v>
      </c>
      <c r="AQ268" s="747">
        <f t="shared" si="5"/>
        <v>0</v>
      </c>
      <c r="AR268" s="747">
        <f t="shared" si="5"/>
        <v>0</v>
      </c>
      <c r="AS268" s="747">
        <f t="shared" si="5"/>
        <v>0</v>
      </c>
      <c r="AT268" s="747">
        <f t="shared" si="5"/>
        <v>0</v>
      </c>
      <c r="AU268" s="748">
        <f t="shared" si="5"/>
        <v>0</v>
      </c>
      <c r="AV268" s="749">
        <f t="shared" si="5"/>
        <v>0</v>
      </c>
    </row>
    <row r="1207" spans="1:23" ht="15.75" thickBot="1" x14ac:dyDescent="0.3">
      <c r="A1207" s="502"/>
      <c r="B1207" s="750"/>
      <c r="C1207" s="555"/>
      <c r="D1207" s="555"/>
      <c r="E1207" s="751"/>
      <c r="F1207" s="507"/>
      <c r="G1207" s="508"/>
      <c r="H1207" s="508"/>
      <c r="I1207" s="534"/>
      <c r="J1207" s="752"/>
      <c r="K1207" s="752"/>
      <c r="L1207" s="753"/>
      <c r="M1207" s="534"/>
      <c r="N1207" s="513"/>
      <c r="O1207" s="513"/>
      <c r="P1207" s="514"/>
      <c r="Q1207" s="514"/>
      <c r="R1207" s="514"/>
      <c r="S1207" s="515"/>
      <c r="T1207" s="754"/>
      <c r="U1207" s="754"/>
      <c r="V1207" s="754"/>
      <c r="W1207" s="514"/>
    </row>
    <row r="1208" spans="1:23" x14ac:dyDescent="0.25">
      <c r="A1208" s="502"/>
      <c r="B1208" s="503" t="s">
        <v>822</v>
      </c>
      <c r="C1208" s="504">
        <f>COUNTIF(B$1:B1205,B1208)</f>
        <v>1</v>
      </c>
      <c r="D1208" s="505">
        <f>C1208/C1213</f>
        <v>0.2</v>
      </c>
      <c r="E1208" s="506"/>
      <c r="F1208" s="507"/>
      <c r="G1208" s="508"/>
      <c r="H1208" s="508"/>
      <c r="I1208" s="509"/>
      <c r="J1208" s="510">
        <f>SUMIF(B$3:B1205,B1208,T$3:T1212)</f>
        <v>48</v>
      </c>
      <c r="K1208" s="511"/>
      <c r="L1208" s="512">
        <f>J1208/J1213</f>
        <v>1</v>
      </c>
      <c r="M1208" s="513"/>
      <c r="N1208" s="513"/>
      <c r="O1208" s="513"/>
      <c r="P1208" s="514"/>
      <c r="Q1208" s="514"/>
      <c r="R1208" s="514"/>
      <c r="S1208" s="515" t="s">
        <v>787</v>
      </c>
      <c r="T1208" s="516">
        <v>1261915799.52244</v>
      </c>
      <c r="U1208" s="516" t="e">
        <f>SUM(#REF!)</f>
        <v>#REF!</v>
      </c>
      <c r="V1208" s="516" t="e">
        <f>SUM(#REF!)</f>
        <v>#REF!</v>
      </c>
      <c r="W1208" s="514" t="s">
        <v>823</v>
      </c>
    </row>
    <row r="1209" spans="1:23" x14ac:dyDescent="0.25">
      <c r="A1209" s="502"/>
      <c r="B1209" s="519" t="s">
        <v>824</v>
      </c>
      <c r="C1209" s="520">
        <f>COUNTIF(B$1:B1205,B1209)</f>
        <v>1</v>
      </c>
      <c r="D1209" s="521">
        <f>C1209/C1213</f>
        <v>0.2</v>
      </c>
      <c r="E1209" s="506"/>
      <c r="F1209" s="507"/>
      <c r="G1209" s="508"/>
      <c r="H1209" s="508"/>
      <c r="I1209" s="509"/>
      <c r="J1209" s="522">
        <f>SUMIF(B$3:B1208,B1209,T$3:T1213)</f>
        <v>0</v>
      </c>
      <c r="K1209" s="523"/>
      <c r="L1209" s="524">
        <f>J1209/J1213</f>
        <v>0</v>
      </c>
      <c r="M1209" s="513"/>
      <c r="N1209" s="513"/>
      <c r="O1209" s="513"/>
      <c r="P1209" s="518"/>
      <c r="Q1209" s="518"/>
      <c r="R1209" s="518"/>
      <c r="S1209" s="525"/>
      <c r="T1209" s="526"/>
      <c r="U1209" s="526"/>
      <c r="V1209" s="526"/>
      <c r="W1209" s="518"/>
    </row>
    <row r="1210" spans="1:23" x14ac:dyDescent="0.25">
      <c r="A1210" s="502"/>
      <c r="B1210" s="528" t="s">
        <v>825</v>
      </c>
      <c r="C1210" s="529">
        <f>COUNTIF(B$1:B1205,B1210)</f>
        <v>1</v>
      </c>
      <c r="D1210" s="530">
        <f>C1210/C1213</f>
        <v>0.2</v>
      </c>
      <c r="E1210" s="506"/>
      <c r="F1210" s="507"/>
      <c r="G1210" s="508"/>
      <c r="H1210" s="508"/>
      <c r="I1210" s="509"/>
      <c r="J1210" s="531">
        <f>SUMIF(B$3:B1209,B1210,T$3:T1213)</f>
        <v>0</v>
      </c>
      <c r="K1210" s="532"/>
      <c r="L1210" s="533">
        <f>J1210/J1213</f>
        <v>0</v>
      </c>
      <c r="M1210" s="534"/>
      <c r="N1210" s="513"/>
      <c r="O1210" s="513"/>
      <c r="P1210" s="518"/>
      <c r="Q1210" s="518"/>
      <c r="R1210" s="518"/>
      <c r="S1210" s="525"/>
      <c r="T1210" s="526"/>
      <c r="U1210" s="526"/>
      <c r="V1210" s="526"/>
      <c r="W1210" s="518"/>
    </row>
    <row r="1211" spans="1:23" ht="15.75" thickBot="1" x14ac:dyDescent="0.3">
      <c r="A1211" s="502"/>
      <c r="B1211" s="535" t="s">
        <v>826</v>
      </c>
      <c r="C1211" s="536">
        <f>COUNTIF(B$1:B1208,B1211)</f>
        <v>1</v>
      </c>
      <c r="D1211" s="537">
        <f>C1211/C1213</f>
        <v>0.2</v>
      </c>
      <c r="E1211" s="506"/>
      <c r="F1211" s="507"/>
      <c r="G1211" s="508"/>
      <c r="H1211" s="508"/>
      <c r="I1211" s="509"/>
      <c r="J1211" s="538">
        <f>SUMIF(B$3:B1210,B1211,T$3:T1213)</f>
        <v>0</v>
      </c>
      <c r="K1211" s="539"/>
      <c r="L1211" s="540">
        <f>J1211/J1213</f>
        <v>0</v>
      </c>
      <c r="M1211" s="534"/>
      <c r="N1211" s="513"/>
      <c r="O1211" s="513"/>
      <c r="P1211" s="518"/>
      <c r="Q1211" s="518"/>
      <c r="R1211" s="518"/>
      <c r="S1211" s="525"/>
      <c r="T1211" s="526"/>
      <c r="U1211" s="526"/>
      <c r="V1211" s="526"/>
      <c r="W1211" s="518"/>
    </row>
    <row r="1212" spans="1:23" ht="16.5" thickTop="1" thickBot="1" x14ac:dyDescent="0.3">
      <c r="A1212" s="541"/>
      <c r="B1212" s="542" t="s">
        <v>810</v>
      </c>
      <c r="C1212" s="543">
        <f>COUNTIF(B$1:B1205,B1212)</f>
        <v>1</v>
      </c>
      <c r="D1212" s="544">
        <f>C1212/C1213</f>
        <v>0.2</v>
      </c>
      <c r="E1212" s="545"/>
      <c r="F1212" s="546"/>
      <c r="G1212" s="547"/>
      <c r="H1212" s="547"/>
      <c r="I1212" s="548"/>
      <c r="J1212" s="549">
        <f>SUMIF(B$3:B1211,B1212,T$3:T1213)</f>
        <v>0</v>
      </c>
      <c r="K1212" s="550"/>
      <c r="L1212" s="551">
        <f>J1212/J1213</f>
        <v>0</v>
      </c>
      <c r="M1212" s="552"/>
      <c r="N1212" s="552"/>
      <c r="O1212" s="552"/>
      <c r="P1212" s="518"/>
      <c r="Q1212" s="518"/>
      <c r="R1212" s="518"/>
      <c r="S1212" s="525"/>
      <c r="T1212" s="526"/>
      <c r="U1212" s="526"/>
      <c r="V1212" s="526"/>
      <c r="W1212" s="518"/>
    </row>
    <row r="1213" spans="1:23" x14ac:dyDescent="0.25">
      <c r="A1213" s="502"/>
      <c r="B1213" s="553"/>
      <c r="C1213" s="554">
        <f>SUM(C1208:C1212)</f>
        <v>5</v>
      </c>
      <c r="D1213" s="555"/>
      <c r="E1213" s="506"/>
      <c r="F1213" s="507"/>
      <c r="G1213" s="508"/>
      <c r="H1213" s="508"/>
      <c r="I1213" s="509"/>
      <c r="J1213" s="556">
        <f>SUM(J1208:J1212)</f>
        <v>48</v>
      </c>
      <c r="K1213" s="557"/>
      <c r="L1213" s="558"/>
      <c r="M1213" s="534"/>
      <c r="N1213" s="513"/>
      <c r="O1213" s="513"/>
      <c r="P1213" s="518"/>
      <c r="Q1213" s="518"/>
      <c r="R1213" s="518"/>
      <c r="S1213" s="525"/>
      <c r="T1213" s="526"/>
      <c r="U1213" s="526"/>
      <c r="V1213" s="526"/>
      <c r="W1213" s="518"/>
    </row>
  </sheetData>
  <mergeCells count="4">
    <mergeCell ref="A50:A55"/>
    <mergeCell ref="A63:A68"/>
    <mergeCell ref="A149:A154"/>
    <mergeCell ref="A166:A171"/>
  </mergeCells>
  <conditionalFormatting sqref="B7">
    <cfRule type="cellIs" dxfId="3" priority="4" operator="lessThanOrEqual">
      <formula>0</formula>
    </cfRule>
  </conditionalFormatting>
  <conditionalFormatting sqref="C64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35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10" workbookViewId="0">
      <selection activeCell="C24" sqref="C24"/>
    </sheetView>
  </sheetViews>
  <sheetFormatPr defaultRowHeight="15" x14ac:dyDescent="0.25"/>
  <cols>
    <col min="1" max="3" width="9.140625" style="404"/>
    <col min="4" max="4" width="10.7109375" style="404" customWidth="1"/>
    <col min="5" max="7" width="10.5703125" style="404" customWidth="1"/>
    <col min="8" max="10" width="9.140625" style="404"/>
    <col min="11" max="11" width="17.7109375" style="686" customWidth="1"/>
    <col min="12" max="12" width="22.7109375" style="404" customWidth="1"/>
    <col min="13" max="13" width="17.7109375" style="404" customWidth="1"/>
    <col min="14" max="14" width="10.7109375" style="404" customWidth="1"/>
    <col min="15" max="16" width="18.7109375" style="404" customWidth="1"/>
    <col min="17" max="17" width="13.7109375" style="404" customWidth="1"/>
    <col min="18" max="18" width="10.85546875" style="404" customWidth="1"/>
    <col min="19" max="19" width="30.85546875" style="404" customWidth="1"/>
    <col min="20" max="20" width="20.7109375" style="404" customWidth="1"/>
    <col min="21" max="22" width="10.7109375" style="404" customWidth="1"/>
    <col min="23" max="23" width="15.85546875" style="404" customWidth="1"/>
    <col min="24" max="24" width="8.5703125" style="404" customWidth="1"/>
    <col min="25" max="25" width="15.5703125" style="404" customWidth="1"/>
    <col min="26" max="16384" width="9.140625" style="404"/>
  </cols>
  <sheetData>
    <row r="1" spans="1:34" s="563" customFormat="1" ht="7.5" customHeight="1" x14ac:dyDescent="0.25">
      <c r="D1" s="564"/>
      <c r="E1" s="564"/>
      <c r="F1" s="564"/>
      <c r="G1" s="564"/>
      <c r="K1" s="755"/>
    </row>
    <row r="2" spans="1:34" s="430" customFormat="1" ht="19.5" x14ac:dyDescent="0.3">
      <c r="C2" s="431" t="s">
        <v>1132</v>
      </c>
      <c r="K2" s="755"/>
    </row>
    <row r="4" spans="1:34" ht="15.75" thickBot="1" x14ac:dyDescent="0.3">
      <c r="A4" s="619" t="s">
        <v>1133</v>
      </c>
    </row>
    <row r="5" spans="1:34" s="628" customFormat="1" ht="15.75" thickBot="1" x14ac:dyDescent="0.3">
      <c r="A5" s="404"/>
      <c r="B5" s="756" t="s">
        <v>1134</v>
      </c>
      <c r="C5" s="757">
        <f>MATCH("NewOpp",E5:N5,0)+4</f>
        <v>12</v>
      </c>
      <c r="D5" s="757">
        <f>MATCH("STOP",E5:N5,0)+4</f>
        <v>14</v>
      </c>
      <c r="K5" s="758"/>
      <c r="L5" s="759" t="s">
        <v>140</v>
      </c>
      <c r="M5" s="760" t="s">
        <v>1135</v>
      </c>
      <c r="N5" s="761" t="s">
        <v>1136</v>
      </c>
      <c r="P5" s="629"/>
      <c r="Q5" s="630"/>
      <c r="R5" s="631"/>
      <c r="S5" s="632"/>
      <c r="T5" s="404"/>
      <c r="U5" s="404"/>
      <c r="V5" s="404"/>
      <c r="W5" s="404"/>
      <c r="X5" s="404"/>
      <c r="Y5" s="404"/>
      <c r="Z5" s="404"/>
      <c r="AA5" s="404"/>
      <c r="AB5" s="404"/>
      <c r="AC5" s="404"/>
    </row>
    <row r="6" spans="1:34" s="758" customFormat="1" x14ac:dyDescent="0.25">
      <c r="A6" s="762"/>
      <c r="B6" s="763"/>
      <c r="C6" s="764"/>
      <c r="D6" s="765"/>
      <c r="L6" s="766"/>
      <c r="M6" s="766"/>
      <c r="N6" s="767"/>
      <c r="Q6" s="671"/>
      <c r="R6" s="630"/>
      <c r="S6" s="631"/>
      <c r="T6" s="632"/>
      <c r="U6" s="686"/>
      <c r="V6" s="686"/>
      <c r="W6" s="686"/>
      <c r="X6" s="686"/>
      <c r="Y6" s="686"/>
      <c r="Z6" s="686"/>
      <c r="AA6" s="686"/>
      <c r="AB6" s="686"/>
      <c r="AC6" s="686"/>
      <c r="AD6" s="686"/>
    </row>
    <row r="7" spans="1:34" x14ac:dyDescent="0.25">
      <c r="A7" s="768">
        <v>0</v>
      </c>
      <c r="B7" s="769" t="s">
        <v>66</v>
      </c>
      <c r="C7" s="770" t="s">
        <v>66</v>
      </c>
      <c r="D7" s="771" t="s">
        <v>66</v>
      </c>
      <c r="E7" s="772">
        <v>0</v>
      </c>
      <c r="F7" s="772">
        <v>0</v>
      </c>
      <c r="G7" s="772">
        <v>0</v>
      </c>
      <c r="H7" s="772">
        <v>0</v>
      </c>
      <c r="I7" s="772">
        <v>0</v>
      </c>
      <c r="J7" s="772">
        <v>0</v>
      </c>
      <c r="K7" s="772">
        <v>17</v>
      </c>
      <c r="L7" s="773" t="s">
        <v>930</v>
      </c>
      <c r="M7" s="773" t="s">
        <v>84</v>
      </c>
      <c r="N7" s="773" t="s">
        <v>84</v>
      </c>
      <c r="O7" s="773" t="s">
        <v>964</v>
      </c>
      <c r="P7" s="925" t="s">
        <v>81</v>
      </c>
      <c r="Q7" s="925" t="s">
        <v>81</v>
      </c>
      <c r="R7" s="773" t="s">
        <v>81</v>
      </c>
      <c r="S7" s="773" t="s">
        <v>51</v>
      </c>
      <c r="T7" s="773" t="s">
        <v>81</v>
      </c>
      <c r="U7" s="773" t="s">
        <v>81</v>
      </c>
      <c r="V7" s="773" t="s">
        <v>81</v>
      </c>
      <c r="W7" s="925" t="s">
        <v>81</v>
      </c>
      <c r="X7" s="773" t="s">
        <v>60</v>
      </c>
      <c r="Y7" s="773" t="s">
        <v>244</v>
      </c>
      <c r="Z7" s="772">
        <v>0</v>
      </c>
      <c r="AA7" s="637"/>
      <c r="AB7" s="636"/>
    </row>
    <row r="8" spans="1:34" x14ac:dyDescent="0.25">
      <c r="A8" s="762"/>
      <c r="B8" s="769" t="s">
        <v>928</v>
      </c>
      <c r="C8" s="770"/>
      <c r="D8" s="771"/>
      <c r="E8" s="676"/>
      <c r="F8" s="676"/>
      <c r="G8" s="676"/>
      <c r="H8" s="676"/>
      <c r="I8" s="676"/>
      <c r="J8" s="676"/>
      <c r="K8" s="676"/>
      <c r="L8" s="671"/>
      <c r="M8" s="671"/>
      <c r="N8" s="671"/>
      <c r="O8" s="686"/>
      <c r="P8" s="686"/>
      <c r="Q8" s="671"/>
      <c r="R8" s="671"/>
      <c r="S8" s="671"/>
      <c r="T8" s="671"/>
      <c r="U8" s="671"/>
      <c r="V8" s="671"/>
      <c r="W8" s="686"/>
      <c r="X8" s="686"/>
      <c r="Y8" s="686"/>
      <c r="Z8" s="637"/>
      <c r="AA8" s="636"/>
    </row>
    <row r="9" spans="1:34" x14ac:dyDescent="0.25">
      <c r="A9" s="762"/>
      <c r="B9" s="769" t="s">
        <v>932</v>
      </c>
      <c r="C9" s="770"/>
      <c r="D9" s="771"/>
      <c r="E9" s="676"/>
      <c r="F9" s="676"/>
      <c r="G9" s="676"/>
      <c r="H9" s="676"/>
      <c r="I9" s="676"/>
      <c r="J9" s="676"/>
      <c r="K9" s="676"/>
      <c r="L9" s="671"/>
      <c r="M9" s="671"/>
      <c r="N9" s="671"/>
      <c r="O9" s="686"/>
      <c r="P9" s="686"/>
      <c r="Q9" s="671"/>
      <c r="R9" s="671"/>
      <c r="S9" s="671"/>
      <c r="T9" s="671"/>
      <c r="U9" s="671"/>
      <c r="V9" s="671"/>
      <c r="W9" s="686"/>
      <c r="X9" s="686"/>
      <c r="Y9" s="686"/>
      <c r="Z9" s="637"/>
      <c r="AA9" s="636"/>
    </row>
    <row r="10" spans="1:34" ht="15.75" thickBot="1" x14ac:dyDescent="0.3">
      <c r="A10" s="762"/>
      <c r="B10" s="774" t="s">
        <v>935</v>
      </c>
      <c r="C10" s="770"/>
      <c r="D10" s="771"/>
      <c r="E10" s="676"/>
      <c r="F10" s="676"/>
      <c r="G10" s="676"/>
      <c r="H10" s="676"/>
      <c r="I10" s="676"/>
      <c r="J10" s="676"/>
      <c r="K10" s="676"/>
      <c r="L10" s="671"/>
      <c r="M10" s="671"/>
      <c r="N10" s="671"/>
      <c r="O10" s="686"/>
      <c r="P10" s="686"/>
      <c r="Q10" s="671"/>
      <c r="R10" s="671"/>
      <c r="S10" s="671"/>
      <c r="T10" s="671"/>
      <c r="U10" s="671"/>
      <c r="V10" s="671"/>
      <c r="W10" s="686"/>
      <c r="X10" s="686"/>
      <c r="Y10" s="686"/>
      <c r="Z10" s="637"/>
      <c r="AA10" s="636"/>
    </row>
    <row r="11" spans="1:34" s="788" customFormat="1" ht="23.25" thickBot="1" x14ac:dyDescent="0.3">
      <c r="A11" s="946" t="s">
        <v>32</v>
      </c>
      <c r="B11" s="775" t="s">
        <v>1137</v>
      </c>
      <c r="C11" s="776" t="s">
        <v>1138</v>
      </c>
      <c r="D11" s="777"/>
      <c r="E11" s="433" t="s">
        <v>741</v>
      </c>
      <c r="F11" s="778" t="s">
        <v>52</v>
      </c>
      <c r="G11" s="778" t="s">
        <v>1139</v>
      </c>
      <c r="H11" s="779" t="s">
        <v>758</v>
      </c>
      <c r="I11" s="779"/>
      <c r="J11" s="434" t="s">
        <v>1140</v>
      </c>
      <c r="K11" s="780" t="s">
        <v>401</v>
      </c>
      <c r="L11" s="781" t="s">
        <v>1141</v>
      </c>
      <c r="M11" s="782" t="s">
        <v>36</v>
      </c>
      <c r="N11" s="782" t="s">
        <v>39</v>
      </c>
      <c r="O11" s="783" t="s">
        <v>743</v>
      </c>
      <c r="P11" s="782" t="s">
        <v>1142</v>
      </c>
      <c r="Q11" s="784" t="s">
        <v>752</v>
      </c>
      <c r="R11" s="951" t="s">
        <v>753</v>
      </c>
      <c r="S11" s="952"/>
      <c r="T11" s="785" t="s">
        <v>109</v>
      </c>
      <c r="U11" s="783" t="s">
        <v>758</v>
      </c>
      <c r="V11" s="785" t="s">
        <v>759</v>
      </c>
      <c r="W11" s="786" t="s">
        <v>760</v>
      </c>
      <c r="X11" s="787" t="s">
        <v>761</v>
      </c>
      <c r="Y11" s="785" t="s">
        <v>762</v>
      </c>
      <c r="Z11" s="404"/>
    </row>
    <row r="12" spans="1:34" s="788" customFormat="1" ht="15.75" thickBot="1" x14ac:dyDescent="0.3">
      <c r="A12" s="947"/>
      <c r="B12" s="789" t="s">
        <v>918</v>
      </c>
      <c r="C12" s="770" t="s">
        <v>1138</v>
      </c>
      <c r="D12" s="790"/>
      <c r="E12" s="662"/>
      <c r="F12" s="791"/>
      <c r="G12" s="404"/>
      <c r="H12" s="404"/>
      <c r="I12" s="404"/>
      <c r="J12" s="792"/>
      <c r="K12" s="793"/>
      <c r="L12" s="794">
        <f>HYPERLINK("https://eu1.salesforce.com/"&amp;E12,F12)</f>
        <v>0</v>
      </c>
      <c r="M12" s="663"/>
      <c r="N12" s="663"/>
      <c r="O12" s="795"/>
      <c r="P12" s="796">
        <v>1234567.8899999999</v>
      </c>
      <c r="Q12" s="796">
        <v>1234567.8899999999</v>
      </c>
      <c r="R12" s="953"/>
      <c r="S12" s="954"/>
      <c r="T12" s="797"/>
      <c r="U12" s="794">
        <f>HYPERLINK("https://eu1.salesforce.com/"&amp;G12,H12)</f>
        <v>0</v>
      </c>
      <c r="V12" s="798"/>
      <c r="W12" s="796"/>
      <c r="X12" s="798"/>
      <c r="Y12" s="798"/>
    </row>
    <row r="13" spans="1:34" x14ac:dyDescent="0.25">
      <c r="A13" s="947"/>
      <c r="B13" s="769" t="s">
        <v>924</v>
      </c>
      <c r="C13" s="770"/>
      <c r="D13" s="771"/>
      <c r="E13" s="676">
        <v>0.5</v>
      </c>
      <c r="F13" s="676"/>
      <c r="J13" s="676">
        <v>0.5</v>
      </c>
      <c r="K13" s="676">
        <v>17</v>
      </c>
      <c r="L13" s="671" t="s">
        <v>930</v>
      </c>
      <c r="M13" s="671" t="s">
        <v>84</v>
      </c>
      <c r="N13" s="671" t="s">
        <v>81</v>
      </c>
      <c r="O13" s="671" t="s">
        <v>929</v>
      </c>
      <c r="P13" s="671" t="s">
        <v>1143</v>
      </c>
      <c r="Q13" s="671" t="s">
        <v>1143</v>
      </c>
      <c r="R13" s="671" t="s">
        <v>1144</v>
      </c>
      <c r="S13" s="671"/>
      <c r="T13" s="891" t="s">
        <v>1309</v>
      </c>
      <c r="U13" s="671" t="s">
        <v>186</v>
      </c>
      <c r="V13" s="671" t="s">
        <v>186</v>
      </c>
      <c r="W13" s="671" t="s">
        <v>1143</v>
      </c>
      <c r="X13" s="671" t="s">
        <v>60</v>
      </c>
      <c r="Y13" s="671" t="s">
        <v>244</v>
      </c>
      <c r="AA13" s="637"/>
      <c r="AB13" s="636"/>
    </row>
    <row r="14" spans="1:34" x14ac:dyDescent="0.25">
      <c r="A14" s="947"/>
      <c r="B14" s="769" t="s">
        <v>928</v>
      </c>
      <c r="C14" s="770"/>
      <c r="D14" s="771"/>
      <c r="E14" s="676">
        <v>1</v>
      </c>
      <c r="F14" s="676">
        <v>9</v>
      </c>
      <c r="G14" s="676">
        <v>25</v>
      </c>
      <c r="H14" s="792">
        <v>25</v>
      </c>
      <c r="I14" s="792"/>
      <c r="J14" s="676" t="s">
        <v>1087</v>
      </c>
      <c r="K14" s="676">
        <v>19</v>
      </c>
      <c r="L14" s="671"/>
      <c r="M14" s="671" t="s">
        <v>120</v>
      </c>
      <c r="N14" s="671" t="s">
        <v>34</v>
      </c>
      <c r="O14" s="671" t="s">
        <v>186</v>
      </c>
      <c r="P14" s="671" t="s">
        <v>81</v>
      </c>
      <c r="Q14" s="671" t="s">
        <v>929</v>
      </c>
      <c r="R14" s="671" t="s">
        <v>245</v>
      </c>
      <c r="S14" s="671"/>
      <c r="T14" s="671" t="s">
        <v>930</v>
      </c>
      <c r="U14" s="671"/>
      <c r="V14" s="671" t="s">
        <v>1145</v>
      </c>
      <c r="W14" s="671" t="s">
        <v>1006</v>
      </c>
      <c r="X14" s="671" t="s">
        <v>1007</v>
      </c>
      <c r="Y14" s="671" t="s">
        <v>1146</v>
      </c>
      <c r="AD14" s="641"/>
      <c r="AE14" s="641"/>
      <c r="AF14" s="641"/>
      <c r="AG14" s="641"/>
      <c r="AH14" s="641"/>
    </row>
    <row r="15" spans="1:34" x14ac:dyDescent="0.25">
      <c r="A15" s="947"/>
      <c r="B15" s="769" t="s">
        <v>932</v>
      </c>
      <c r="C15" s="770"/>
      <c r="D15" s="771"/>
      <c r="E15" s="676"/>
      <c r="F15" s="676"/>
      <c r="G15" s="676" t="s">
        <v>934</v>
      </c>
      <c r="H15" s="404" t="s">
        <v>1147</v>
      </c>
      <c r="J15" s="676"/>
      <c r="K15" s="799" t="s">
        <v>775</v>
      </c>
      <c r="L15" s="686"/>
      <c r="M15" s="686"/>
      <c r="N15" s="686"/>
      <c r="O15" s="686"/>
      <c r="P15" s="686"/>
      <c r="Q15" s="686"/>
      <c r="R15" s="686"/>
      <c r="S15" s="686"/>
      <c r="T15" s="686"/>
      <c r="U15" s="686"/>
      <c r="V15" s="686"/>
      <c r="W15" s="686"/>
      <c r="X15" s="686"/>
      <c r="Y15" s="686"/>
      <c r="AD15" s="641"/>
      <c r="AE15" s="641"/>
      <c r="AF15" s="641"/>
      <c r="AG15" s="641"/>
      <c r="AH15" s="641"/>
    </row>
    <row r="16" spans="1:34" ht="15.75" thickBot="1" x14ac:dyDescent="0.3">
      <c r="A16" s="948"/>
      <c r="B16" s="774" t="s">
        <v>935</v>
      </c>
      <c r="C16" s="800"/>
      <c r="D16" s="801"/>
      <c r="E16" s="802"/>
      <c r="F16" s="802"/>
      <c r="G16" s="802" t="s">
        <v>1148</v>
      </c>
      <c r="J16" s="802" t="s">
        <v>1149</v>
      </c>
      <c r="K16" s="802"/>
      <c r="L16" s="686"/>
      <c r="M16" s="686"/>
      <c r="N16" s="686"/>
      <c r="O16" s="686"/>
      <c r="P16" s="686"/>
      <c r="Q16" s="686"/>
      <c r="R16" s="686"/>
      <c r="S16" s="686"/>
      <c r="T16" s="686"/>
      <c r="U16" s="686"/>
      <c r="V16" s="686"/>
      <c r="W16" s="686"/>
      <c r="AB16" s="641"/>
      <c r="AC16" s="641"/>
      <c r="AD16" s="641"/>
      <c r="AE16" s="641"/>
      <c r="AF16" s="641"/>
    </row>
    <row r="17" spans="1:37" s="788" customFormat="1" ht="30.75" thickBot="1" x14ac:dyDescent="0.3">
      <c r="A17" s="946" t="s">
        <v>69</v>
      </c>
      <c r="B17" s="609" t="s">
        <v>895</v>
      </c>
      <c r="C17" s="776" t="s">
        <v>1138</v>
      </c>
      <c r="D17" s="777"/>
      <c r="E17" s="803" t="s">
        <v>742</v>
      </c>
      <c r="F17" s="803"/>
      <c r="G17" s="803"/>
      <c r="H17" s="804" t="s">
        <v>1150</v>
      </c>
      <c r="I17" s="804"/>
      <c r="J17" s="805" t="s">
        <v>118</v>
      </c>
      <c r="K17" s="806"/>
      <c r="L17" s="807" t="s">
        <v>1151</v>
      </c>
      <c r="M17" s="808" t="s">
        <v>1152</v>
      </c>
      <c r="N17" s="809" t="s">
        <v>1153</v>
      </c>
      <c r="O17" s="809" t="s">
        <v>1154</v>
      </c>
      <c r="P17" s="810" t="s">
        <v>1155</v>
      </c>
      <c r="Q17" s="810" t="s">
        <v>1156</v>
      </c>
      <c r="R17" s="955" t="s">
        <v>1157</v>
      </c>
      <c r="S17" s="956"/>
      <c r="T17" s="807" t="s">
        <v>1158</v>
      </c>
      <c r="W17" s="807" t="s">
        <v>1159</v>
      </c>
      <c r="X17" s="811"/>
    </row>
    <row r="18" spans="1:37" s="788" customFormat="1" ht="15.75" thickBot="1" x14ac:dyDescent="0.3">
      <c r="A18" s="947"/>
      <c r="B18" s="789" t="s">
        <v>918</v>
      </c>
      <c r="C18" s="770" t="s">
        <v>1160</v>
      </c>
      <c r="D18" s="812">
        <f>E12</f>
        <v>0</v>
      </c>
      <c r="H18" s="813"/>
      <c r="I18" s="813"/>
      <c r="J18" s="814"/>
      <c r="K18" s="815"/>
      <c r="L18" s="816"/>
      <c r="M18" s="817"/>
      <c r="N18" s="818"/>
      <c r="O18" s="818"/>
      <c r="P18" s="818"/>
      <c r="Q18" s="817"/>
      <c r="R18" s="957"/>
      <c r="S18" s="958"/>
      <c r="T18" s="819"/>
      <c r="W18" s="926"/>
      <c r="X18" s="811"/>
    </row>
    <row r="19" spans="1:37" x14ac:dyDescent="0.25">
      <c r="A19" s="947"/>
      <c r="B19" s="769" t="s">
        <v>924</v>
      </c>
      <c r="C19" s="770"/>
      <c r="D19" s="771"/>
      <c r="E19" s="451">
        <v>0.5</v>
      </c>
      <c r="F19" s="451"/>
      <c r="G19" s="451"/>
      <c r="H19" s="451">
        <v>0.5</v>
      </c>
      <c r="I19" s="451"/>
      <c r="J19" s="451">
        <v>0.5</v>
      </c>
      <c r="K19" s="676"/>
      <c r="L19" s="821">
        <v>14</v>
      </c>
      <c r="M19" s="821">
        <v>10</v>
      </c>
      <c r="N19" s="821">
        <v>10</v>
      </c>
      <c r="O19" s="821">
        <v>10</v>
      </c>
      <c r="P19" s="821">
        <v>30</v>
      </c>
      <c r="Q19" s="821">
        <v>10</v>
      </c>
      <c r="R19" s="821">
        <v>40</v>
      </c>
      <c r="S19" s="821"/>
      <c r="T19" s="821">
        <v>26</v>
      </c>
      <c r="W19" s="671" t="s">
        <v>1143</v>
      </c>
      <c r="X19" s="792"/>
    </row>
    <row r="20" spans="1:37" x14ac:dyDescent="0.25">
      <c r="A20" s="947"/>
      <c r="B20" s="769" t="s">
        <v>928</v>
      </c>
      <c r="C20" s="770"/>
      <c r="D20" s="771"/>
      <c r="E20" s="908" t="s">
        <v>1311</v>
      </c>
      <c r="J20" s="686"/>
      <c r="K20" s="404"/>
      <c r="L20" s="908" t="s">
        <v>1311</v>
      </c>
      <c r="M20" s="792" t="s">
        <v>1311</v>
      </c>
      <c r="N20" s="821" t="s">
        <v>1311</v>
      </c>
      <c r="O20" s="821" t="s">
        <v>1311</v>
      </c>
      <c r="P20" s="821" t="s">
        <v>1311</v>
      </c>
      <c r="Q20" s="821" t="s">
        <v>1311</v>
      </c>
      <c r="R20" s="821" t="s">
        <v>1311</v>
      </c>
      <c r="S20" s="821"/>
      <c r="T20" s="821" t="s">
        <v>1311</v>
      </c>
      <c r="W20" s="821" t="s">
        <v>1311</v>
      </c>
      <c r="X20" s="792"/>
    </row>
    <row r="21" spans="1:37" x14ac:dyDescent="0.25">
      <c r="A21" s="947"/>
      <c r="B21" s="769" t="s">
        <v>932</v>
      </c>
      <c r="C21" s="770"/>
      <c r="D21" s="771"/>
      <c r="E21" s="792"/>
      <c r="K21" s="404"/>
      <c r="L21" s="792"/>
      <c r="M21" s="792"/>
      <c r="N21" s="792"/>
      <c r="O21" s="792"/>
      <c r="P21" s="792"/>
      <c r="Q21" s="792"/>
      <c r="R21" s="792"/>
      <c r="S21" s="792"/>
      <c r="T21" s="792"/>
      <c r="W21" s="792"/>
      <c r="X21" s="792"/>
    </row>
    <row r="22" spans="1:37" s="628" customFormat="1" ht="15.75" thickBot="1" x14ac:dyDescent="0.3">
      <c r="A22" s="948"/>
      <c r="B22" s="774" t="s">
        <v>935</v>
      </c>
      <c r="C22" s="822"/>
      <c r="D22" s="823"/>
      <c r="E22" s="824" t="s">
        <v>1161</v>
      </c>
      <c r="F22" s="824"/>
      <c r="G22" s="404"/>
      <c r="H22" s="404"/>
      <c r="I22" s="404"/>
      <c r="J22" s="686"/>
      <c r="K22" s="802"/>
      <c r="L22" s="824" t="s">
        <v>1162</v>
      </c>
      <c r="M22" s="824" t="s">
        <v>1163</v>
      </c>
      <c r="N22" s="824" t="s">
        <v>1164</v>
      </c>
      <c r="O22" s="824" t="s">
        <v>1165</v>
      </c>
      <c r="P22" s="824" t="s">
        <v>1166</v>
      </c>
      <c r="Q22" s="824" t="s">
        <v>1167</v>
      </c>
      <c r="R22" s="824" t="s">
        <v>1168</v>
      </c>
      <c r="S22" s="821"/>
      <c r="T22" s="824" t="s">
        <v>1169</v>
      </c>
      <c r="U22" s="824"/>
      <c r="W22" s="824" t="s">
        <v>1170</v>
      </c>
      <c r="Y22" s="825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</row>
    <row r="23" spans="1:37" ht="30.75" thickBot="1" x14ac:dyDescent="0.3">
      <c r="A23" s="946" t="s">
        <v>65</v>
      </c>
      <c r="B23" s="826" t="s">
        <v>1171</v>
      </c>
      <c r="C23" s="776" t="s">
        <v>1138</v>
      </c>
      <c r="D23" s="777"/>
      <c r="E23" s="434" t="s">
        <v>947</v>
      </c>
      <c r="F23" s="434" t="s">
        <v>1172</v>
      </c>
      <c r="G23" s="434" t="s">
        <v>871</v>
      </c>
      <c r="H23" s="827" t="s">
        <v>1173</v>
      </c>
      <c r="I23" s="827" t="s">
        <v>1139</v>
      </c>
      <c r="J23" s="828" t="s">
        <v>118</v>
      </c>
      <c r="K23" s="829"/>
      <c r="L23" s="959" t="s">
        <v>871</v>
      </c>
      <c r="M23" s="960"/>
      <c r="N23" s="830" t="s">
        <v>1174</v>
      </c>
      <c r="O23" s="831" t="s">
        <v>1175</v>
      </c>
      <c r="P23" s="831" t="s">
        <v>1176</v>
      </c>
      <c r="Q23" s="831" t="s">
        <v>1177</v>
      </c>
      <c r="R23" s="831" t="s">
        <v>1178</v>
      </c>
      <c r="S23" s="831" t="s">
        <v>1179</v>
      </c>
      <c r="T23" s="831" t="s">
        <v>109</v>
      </c>
      <c r="U23" s="831" t="s">
        <v>758</v>
      </c>
      <c r="V23" s="831" t="s">
        <v>102</v>
      </c>
      <c r="W23" s="831" t="s">
        <v>83</v>
      </c>
      <c r="X23" s="831" t="s">
        <v>1180</v>
      </c>
      <c r="Y23" s="831" t="s">
        <v>127</v>
      </c>
      <c r="Z23" s="629"/>
      <c r="AA23" s="629"/>
      <c r="AB23" s="629"/>
    </row>
    <row r="24" spans="1:37" ht="15.75" thickBot="1" x14ac:dyDescent="0.3">
      <c r="A24" s="947"/>
      <c r="B24" s="789" t="s">
        <v>918</v>
      </c>
      <c r="C24" s="832" t="str">
        <f>IF(LEN(J12)=0,"",J12)</f>
        <v/>
      </c>
      <c r="D24" s="833">
        <v>1</v>
      </c>
      <c r="F24" s="834"/>
      <c r="G24" s="451"/>
      <c r="H24" s="835"/>
      <c r="I24" s="835"/>
      <c r="J24" s="836"/>
      <c r="K24" s="837" t="s">
        <v>1181</v>
      </c>
      <c r="L24" s="961">
        <f>HYPERLINK("https://eu1.salesforce.com/"&amp;F24,G24)</f>
        <v>0</v>
      </c>
      <c r="M24" s="962"/>
      <c r="N24" s="628"/>
      <c r="O24" s="628"/>
      <c r="P24" s="838"/>
      <c r="Q24" s="628"/>
      <c r="R24" s="628"/>
      <c r="S24" s="628"/>
      <c r="T24" s="839"/>
      <c r="U24" s="840">
        <f>HYPERLINK("https://eu1.salesforce.com/"&amp;I24,H24)</f>
        <v>0</v>
      </c>
      <c r="V24" s="628"/>
      <c r="W24" s="628"/>
      <c r="X24" s="629"/>
      <c r="Y24" s="629"/>
      <c r="Z24" s="629"/>
      <c r="AA24" s="629"/>
      <c r="AB24" s="629"/>
    </row>
    <row r="25" spans="1:37" ht="15.75" thickBot="1" x14ac:dyDescent="0.3">
      <c r="A25" s="947"/>
      <c r="B25" s="769" t="s">
        <v>924</v>
      </c>
      <c r="C25" s="770"/>
      <c r="D25" s="771"/>
      <c r="E25" s="451">
        <v>0.5</v>
      </c>
      <c r="F25" s="451"/>
      <c r="G25" s="451"/>
      <c r="H25" s="451">
        <v>10</v>
      </c>
      <c r="I25" s="451"/>
      <c r="J25" s="451">
        <v>0.5</v>
      </c>
      <c r="K25" s="676"/>
      <c r="L25" s="841" t="s">
        <v>930</v>
      </c>
      <c r="M25" s="841"/>
      <c r="N25" s="841" t="s">
        <v>81</v>
      </c>
      <c r="O25" s="841"/>
      <c r="P25" s="671" t="s">
        <v>1182</v>
      </c>
      <c r="Q25" s="671" t="s">
        <v>1183</v>
      </c>
      <c r="R25" s="841"/>
      <c r="S25" s="841"/>
      <c r="T25" s="841" t="s">
        <v>81</v>
      </c>
      <c r="U25" s="841" t="s">
        <v>81</v>
      </c>
      <c r="V25" s="841" t="s">
        <v>81</v>
      </c>
      <c r="W25" s="841" t="s">
        <v>186</v>
      </c>
      <c r="X25" s="841" t="s">
        <v>186</v>
      </c>
      <c r="Y25" s="841" t="s">
        <v>186</v>
      </c>
      <c r="AB25" s="636"/>
      <c r="AD25" s="637"/>
      <c r="AE25" s="636"/>
    </row>
    <row r="26" spans="1:37" ht="15.75" thickBot="1" x14ac:dyDescent="0.3">
      <c r="A26" s="947"/>
      <c r="B26" s="769" t="s">
        <v>928</v>
      </c>
      <c r="C26" s="770" t="s">
        <v>169</v>
      </c>
      <c r="D26" s="842" t="s">
        <v>186</v>
      </c>
      <c r="E26" s="843" t="s">
        <v>1184</v>
      </c>
      <c r="F26" s="792" t="s">
        <v>169</v>
      </c>
      <c r="G26" s="792">
        <v>3</v>
      </c>
      <c r="H26" s="821" t="s">
        <v>1185</v>
      </c>
      <c r="I26" s="821" t="s">
        <v>1185</v>
      </c>
      <c r="J26" s="821"/>
      <c r="K26" s="844"/>
      <c r="L26" s="792"/>
      <c r="M26" s="792"/>
      <c r="N26" s="821" t="s">
        <v>939</v>
      </c>
      <c r="O26" s="821">
        <v>26</v>
      </c>
      <c r="P26" s="821" t="s">
        <v>963</v>
      </c>
      <c r="Q26" s="792" t="s">
        <v>1186</v>
      </c>
      <c r="R26" s="792" t="s">
        <v>146</v>
      </c>
      <c r="S26" s="841" t="s">
        <v>929</v>
      </c>
      <c r="T26" s="821" t="s">
        <v>81</v>
      </c>
      <c r="U26" s="821"/>
      <c r="V26" s="670"/>
      <c r="W26" s="670"/>
      <c r="X26" s="670"/>
      <c r="Y26" s="670"/>
      <c r="AG26" s="641"/>
      <c r="AH26" s="641"/>
      <c r="AI26" s="641"/>
      <c r="AJ26" s="641"/>
      <c r="AK26" s="641"/>
    </row>
    <row r="27" spans="1:37" x14ac:dyDescent="0.25">
      <c r="A27" s="947"/>
      <c r="B27" s="769" t="s">
        <v>932</v>
      </c>
      <c r="C27" s="770"/>
      <c r="D27" s="771"/>
      <c r="E27" s="927" t="s">
        <v>1447</v>
      </c>
      <c r="K27" s="846" t="s">
        <v>1187</v>
      </c>
      <c r="L27" s="846" t="s">
        <v>1188</v>
      </c>
      <c r="M27" s="685"/>
      <c r="N27" s="685"/>
      <c r="O27" s="685"/>
      <c r="T27" s="685"/>
      <c r="U27" s="846" t="s">
        <v>1188</v>
      </c>
      <c r="AG27" s="641"/>
      <c r="AH27" s="641"/>
      <c r="AI27" s="641"/>
      <c r="AJ27" s="641"/>
      <c r="AK27" s="641"/>
    </row>
    <row r="28" spans="1:37" ht="15.75" thickBot="1" x14ac:dyDescent="0.3">
      <c r="A28" s="948"/>
      <c r="B28" s="774" t="s">
        <v>935</v>
      </c>
      <c r="C28" s="800"/>
      <c r="D28" s="823"/>
      <c r="E28" s="427"/>
      <c r="H28" s="802" t="s">
        <v>1189</v>
      </c>
      <c r="I28" s="802" t="s">
        <v>1190</v>
      </c>
      <c r="K28" s="404"/>
      <c r="L28" s="686"/>
      <c r="AB28" s="640"/>
      <c r="AF28" s="641"/>
      <c r="AG28" s="641"/>
      <c r="AH28" s="641"/>
      <c r="AI28" s="641"/>
      <c r="AJ28" s="641"/>
    </row>
    <row r="29" spans="1:37" x14ac:dyDescent="0.25">
      <c r="K29" s="404"/>
    </row>
    <row r="30" spans="1:37" ht="15.75" thickBot="1" x14ac:dyDescent="0.3">
      <c r="A30" s="619" t="s">
        <v>1191</v>
      </c>
    </row>
    <row r="31" spans="1:37" s="628" customFormat="1" ht="15.75" thickBot="1" x14ac:dyDescent="0.3">
      <c r="A31" s="404"/>
      <c r="B31" s="756" t="s">
        <v>1134</v>
      </c>
      <c r="C31" s="764" t="s">
        <v>965</v>
      </c>
      <c r="D31" s="764" t="s">
        <v>963</v>
      </c>
      <c r="K31" s="758"/>
      <c r="L31" s="759" t="s">
        <v>142</v>
      </c>
      <c r="M31" s="760" t="s">
        <v>1135</v>
      </c>
      <c r="N31" s="761" t="s">
        <v>1136</v>
      </c>
      <c r="P31" s="629"/>
      <c r="Q31" s="630"/>
      <c r="R31" s="631"/>
      <c r="S31" s="632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</row>
    <row r="32" spans="1:37" s="758" customFormat="1" x14ac:dyDescent="0.25">
      <c r="A32" s="762"/>
      <c r="B32" s="763"/>
      <c r="C32" s="764"/>
      <c r="D32" s="765"/>
      <c r="L32" s="766"/>
      <c r="M32" s="766"/>
      <c r="N32" s="767"/>
      <c r="Q32" s="671"/>
      <c r="R32" s="630"/>
      <c r="S32" s="631"/>
      <c r="T32" s="632"/>
      <c r="U32" s="686"/>
      <c r="V32" s="686"/>
      <c r="W32" s="686"/>
      <c r="X32" s="686"/>
      <c r="Y32" s="686"/>
      <c r="Z32" s="686"/>
      <c r="AA32" s="686"/>
      <c r="AB32" s="686"/>
      <c r="AC32" s="686"/>
      <c r="AD32" s="686"/>
    </row>
    <row r="33" spans="1:35" x14ac:dyDescent="0.25">
      <c r="A33" s="768">
        <v>0</v>
      </c>
      <c r="B33" s="769" t="s">
        <v>66</v>
      </c>
      <c r="C33" s="770" t="s">
        <v>66</v>
      </c>
      <c r="D33" s="771" t="s">
        <v>66</v>
      </c>
      <c r="E33" s="772">
        <v>0</v>
      </c>
      <c r="F33" s="772">
        <v>0</v>
      </c>
      <c r="G33" s="772">
        <v>0</v>
      </c>
      <c r="H33" s="772">
        <v>0</v>
      </c>
      <c r="I33" s="772"/>
      <c r="J33" s="772">
        <v>0</v>
      </c>
      <c r="K33" s="772">
        <v>17</v>
      </c>
      <c r="L33" s="773" t="s">
        <v>930</v>
      </c>
      <c r="M33" s="773" t="s">
        <v>84</v>
      </c>
      <c r="N33" s="773" t="s">
        <v>84</v>
      </c>
      <c r="O33" s="773" t="s">
        <v>964</v>
      </c>
      <c r="P33" s="773" t="s">
        <v>930</v>
      </c>
      <c r="Q33" s="773" t="s">
        <v>963</v>
      </c>
      <c r="R33" s="773" t="s">
        <v>81</v>
      </c>
      <c r="S33" s="773" t="s">
        <v>51</v>
      </c>
      <c r="T33" s="773" t="s">
        <v>81</v>
      </c>
      <c r="U33" s="773" t="s">
        <v>81</v>
      </c>
      <c r="V33" s="773" t="s">
        <v>81</v>
      </c>
      <c r="W33" s="773" t="s">
        <v>244</v>
      </c>
      <c r="X33" s="773" t="s">
        <v>60</v>
      </c>
      <c r="Y33" s="773" t="s">
        <v>244</v>
      </c>
      <c r="AA33" s="637"/>
      <c r="AB33" s="636"/>
    </row>
    <row r="34" spans="1:35" x14ac:dyDescent="0.25">
      <c r="A34" s="762"/>
      <c r="B34" s="769" t="s">
        <v>928</v>
      </c>
      <c r="C34" s="770"/>
      <c r="D34" s="771"/>
      <c r="E34" s="676"/>
      <c r="F34" s="676"/>
      <c r="G34" s="676"/>
      <c r="H34" s="676"/>
      <c r="I34" s="676"/>
      <c r="J34" s="676"/>
      <c r="K34" s="676"/>
      <c r="L34" s="671"/>
      <c r="M34" s="671"/>
      <c r="N34" s="671"/>
      <c r="O34" s="686"/>
      <c r="P34" s="686"/>
      <c r="Q34" s="671"/>
      <c r="R34" s="671"/>
      <c r="S34" s="671"/>
      <c r="T34" s="671"/>
      <c r="U34" s="671"/>
      <c r="V34" s="671"/>
      <c r="W34" s="686"/>
      <c r="X34" s="686"/>
      <c r="Y34" s="686"/>
      <c r="Z34" s="637"/>
      <c r="AA34" s="636"/>
    </row>
    <row r="35" spans="1:35" x14ac:dyDescent="0.25">
      <c r="A35" s="762"/>
      <c r="B35" s="769" t="s">
        <v>932</v>
      </c>
      <c r="C35" s="770"/>
      <c r="D35" s="771"/>
      <c r="E35" s="676"/>
      <c r="F35" s="676"/>
      <c r="G35" s="676"/>
      <c r="H35" s="676"/>
      <c r="I35" s="676"/>
      <c r="J35" s="676"/>
      <c r="K35" s="676"/>
      <c r="L35" s="671"/>
      <c r="M35" s="671"/>
      <c r="N35" s="671"/>
      <c r="O35" s="686"/>
      <c r="P35" s="686"/>
      <c r="Q35" s="671"/>
      <c r="R35" s="671"/>
      <c r="S35" s="671"/>
      <c r="T35" s="671"/>
      <c r="U35" s="671"/>
      <c r="V35" s="671"/>
      <c r="W35" s="686"/>
      <c r="X35" s="686"/>
      <c r="Y35" s="686"/>
      <c r="Z35" s="637"/>
      <c r="AA35" s="636"/>
    </row>
    <row r="36" spans="1:35" ht="15.75" thickBot="1" x14ac:dyDescent="0.3">
      <c r="A36" s="762"/>
      <c r="B36" s="774" t="s">
        <v>935</v>
      </c>
      <c r="C36" s="770"/>
      <c r="D36" s="771"/>
      <c r="E36" s="676"/>
      <c r="F36" s="676"/>
      <c r="G36" s="676"/>
      <c r="H36" s="676"/>
      <c r="I36" s="676"/>
      <c r="J36" s="676"/>
      <c r="K36" s="676"/>
      <c r="L36" s="671"/>
      <c r="M36" s="671"/>
      <c r="N36" s="671"/>
      <c r="O36" s="686"/>
      <c r="P36" s="686"/>
      <c r="Q36" s="671"/>
      <c r="R36" s="671"/>
      <c r="S36" s="671"/>
      <c r="T36" s="671"/>
      <c r="U36" s="671"/>
      <c r="V36" s="671"/>
      <c r="W36" s="686"/>
      <c r="X36" s="686"/>
      <c r="Y36" s="686"/>
      <c r="Z36" s="637"/>
      <c r="AA36" s="636"/>
    </row>
    <row r="37" spans="1:35" s="788" customFormat="1" ht="23.25" thickBot="1" x14ac:dyDescent="0.3">
      <c r="A37" s="946" t="s">
        <v>32</v>
      </c>
      <c r="B37" s="775" t="s">
        <v>1137</v>
      </c>
      <c r="C37" s="776" t="s">
        <v>1138</v>
      </c>
      <c r="D37" s="777"/>
      <c r="E37" s="433" t="s">
        <v>741</v>
      </c>
      <c r="F37" s="778" t="s">
        <v>52</v>
      </c>
      <c r="G37" s="778" t="s">
        <v>1139</v>
      </c>
      <c r="H37" s="779" t="s">
        <v>758</v>
      </c>
      <c r="I37" s="779"/>
      <c r="J37" s="434" t="s">
        <v>1140</v>
      </c>
      <c r="K37" s="780" t="s">
        <v>401</v>
      </c>
      <c r="L37" s="781" t="s">
        <v>1141</v>
      </c>
      <c r="M37" s="782" t="s">
        <v>36</v>
      </c>
      <c r="N37" s="782" t="s">
        <v>39</v>
      </c>
      <c r="O37" s="783" t="s">
        <v>743</v>
      </c>
      <c r="P37" s="782" t="s">
        <v>1142</v>
      </c>
      <c r="Q37" s="784" t="s">
        <v>752</v>
      </c>
      <c r="R37" s="951" t="s">
        <v>753</v>
      </c>
      <c r="S37" s="952"/>
      <c r="T37" s="785" t="s">
        <v>109</v>
      </c>
      <c r="U37" s="783" t="s">
        <v>758</v>
      </c>
      <c r="V37" s="785" t="s">
        <v>759</v>
      </c>
      <c r="W37" s="786" t="s">
        <v>760</v>
      </c>
      <c r="X37" s="787" t="s">
        <v>761</v>
      </c>
      <c r="Y37" s="785" t="s">
        <v>762</v>
      </c>
      <c r="Z37" s="404"/>
    </row>
    <row r="38" spans="1:35" s="788" customFormat="1" ht="15.75" thickBot="1" x14ac:dyDescent="0.3">
      <c r="A38" s="947"/>
      <c r="B38" s="789" t="s">
        <v>918</v>
      </c>
      <c r="C38" s="770" t="s">
        <v>1138</v>
      </c>
      <c r="D38" s="790"/>
      <c r="E38" s="662"/>
      <c r="F38" s="791"/>
      <c r="G38" s="404"/>
      <c r="H38" s="404"/>
      <c r="I38" s="404"/>
      <c r="J38" s="792"/>
      <c r="K38" s="793"/>
      <c r="L38" s="794">
        <f>HYPERLINK("https://eu1.salesforce.com/"&amp;E38,F38)</f>
        <v>0</v>
      </c>
      <c r="M38" s="663"/>
      <c r="N38" s="663"/>
      <c r="O38" s="795"/>
      <c r="P38" s="796">
        <v>1234567.8899999999</v>
      </c>
      <c r="Q38" s="796">
        <v>1234567.8899999999</v>
      </c>
      <c r="R38" s="953"/>
      <c r="S38" s="954"/>
      <c r="T38" s="797"/>
      <c r="U38" s="794">
        <f>HYPERLINK("https://eu1.salesforce.com/"&amp;G38,H38)</f>
        <v>0</v>
      </c>
      <c r="V38" s="798"/>
      <c r="W38" s="798"/>
      <c r="X38" s="798"/>
      <c r="Y38" s="798"/>
    </row>
    <row r="39" spans="1:35" x14ac:dyDescent="0.25">
      <c r="A39" s="947"/>
      <c r="B39" s="769" t="s">
        <v>924</v>
      </c>
      <c r="C39" s="770"/>
      <c r="D39" s="771"/>
      <c r="E39" s="676">
        <v>0.5</v>
      </c>
      <c r="F39" s="676"/>
      <c r="J39" s="676">
        <v>0.5</v>
      </c>
      <c r="K39" s="676">
        <v>17</v>
      </c>
      <c r="L39" s="671" t="s">
        <v>930</v>
      </c>
      <c r="M39" s="671" t="s">
        <v>84</v>
      </c>
      <c r="N39" s="671" t="s">
        <v>81</v>
      </c>
      <c r="O39" s="671" t="s">
        <v>929</v>
      </c>
      <c r="P39" s="671" t="s">
        <v>1143</v>
      </c>
      <c r="Q39" s="671" t="s">
        <v>1143</v>
      </c>
      <c r="R39" s="671" t="s">
        <v>1144</v>
      </c>
      <c r="S39" s="671"/>
      <c r="T39" s="671" t="s">
        <v>81</v>
      </c>
      <c r="U39" s="671" t="s">
        <v>186</v>
      </c>
      <c r="V39" s="671" t="s">
        <v>186</v>
      </c>
      <c r="W39" s="671" t="s">
        <v>1143</v>
      </c>
      <c r="X39" s="671" t="s">
        <v>60</v>
      </c>
      <c r="Y39" s="671" t="s">
        <v>244</v>
      </c>
      <c r="AA39" s="637"/>
      <c r="AB39" s="636"/>
    </row>
    <row r="40" spans="1:35" x14ac:dyDescent="0.25">
      <c r="A40" s="947"/>
      <c r="B40" s="769" t="s">
        <v>928</v>
      </c>
      <c r="C40" s="770"/>
      <c r="D40" s="771"/>
      <c r="E40" s="676">
        <v>1</v>
      </c>
      <c r="F40" s="676">
        <v>9</v>
      </c>
      <c r="G40" s="676">
        <v>25</v>
      </c>
      <c r="H40" s="792">
        <v>25</v>
      </c>
      <c r="I40" s="792"/>
      <c r="J40" s="676" t="s">
        <v>1087</v>
      </c>
      <c r="K40" s="676">
        <v>19</v>
      </c>
      <c r="L40" s="671"/>
      <c r="M40" s="671" t="s">
        <v>120</v>
      </c>
      <c r="N40" s="671" t="s">
        <v>34</v>
      </c>
      <c r="O40" s="671" t="s">
        <v>186</v>
      </c>
      <c r="P40" s="671" t="s">
        <v>81</v>
      </c>
      <c r="Q40" s="671" t="s">
        <v>929</v>
      </c>
      <c r="R40" s="671" t="s">
        <v>245</v>
      </c>
      <c r="S40" s="671"/>
      <c r="T40" s="671" t="s">
        <v>930</v>
      </c>
      <c r="U40" s="671"/>
      <c r="V40" s="671" t="s">
        <v>1145</v>
      </c>
      <c r="W40" s="671" t="s">
        <v>1006</v>
      </c>
      <c r="X40" s="671" t="s">
        <v>1007</v>
      </c>
      <c r="Y40" s="671" t="s">
        <v>1146</v>
      </c>
      <c r="AD40" s="641"/>
      <c r="AE40" s="641"/>
      <c r="AF40" s="641"/>
      <c r="AG40" s="641"/>
      <c r="AH40" s="641"/>
    </row>
    <row r="41" spans="1:35" x14ac:dyDescent="0.25">
      <c r="A41" s="947"/>
      <c r="B41" s="769" t="s">
        <v>932</v>
      </c>
      <c r="C41" s="770"/>
      <c r="D41" s="771"/>
      <c r="E41" s="676"/>
      <c r="F41" s="676"/>
      <c r="G41" s="676" t="s">
        <v>934</v>
      </c>
      <c r="H41" s="404" t="s">
        <v>1147</v>
      </c>
      <c r="J41" s="676"/>
      <c r="K41" s="799" t="s">
        <v>775</v>
      </c>
      <c r="L41" s="686"/>
      <c r="M41" s="686"/>
      <c r="N41" s="686"/>
      <c r="O41" s="686"/>
      <c r="P41" s="686"/>
      <c r="Q41" s="686"/>
      <c r="R41" s="686"/>
      <c r="S41" s="686"/>
      <c r="T41" s="686"/>
      <c r="U41" s="686"/>
      <c r="V41" s="686"/>
      <c r="W41" s="686"/>
      <c r="X41" s="686"/>
      <c r="Y41" s="686"/>
      <c r="AD41" s="641"/>
      <c r="AE41" s="641"/>
      <c r="AF41" s="641"/>
      <c r="AG41" s="641"/>
      <c r="AH41" s="641"/>
    </row>
    <row r="42" spans="1:35" ht="15.75" thickBot="1" x14ac:dyDescent="0.3">
      <c r="A42" s="948"/>
      <c r="B42" s="774" t="s">
        <v>935</v>
      </c>
      <c r="C42" s="800"/>
      <c r="D42" s="801"/>
      <c r="E42" s="802"/>
      <c r="F42" s="802"/>
      <c r="G42" s="802" t="s">
        <v>1148</v>
      </c>
      <c r="J42" s="802" t="s">
        <v>1149</v>
      </c>
      <c r="K42" s="802"/>
      <c r="L42" s="686"/>
      <c r="M42" s="686"/>
      <c r="N42" s="686"/>
      <c r="O42" s="686"/>
      <c r="P42" s="686"/>
      <c r="Q42" s="686"/>
      <c r="R42" s="686"/>
      <c r="S42" s="686"/>
      <c r="T42" s="686"/>
      <c r="U42" s="686"/>
      <c r="V42" s="686"/>
      <c r="W42" s="686"/>
      <c r="AB42" s="641"/>
      <c r="AC42" s="641"/>
      <c r="AD42" s="641"/>
      <c r="AE42" s="641"/>
      <c r="AF42" s="641"/>
    </row>
    <row r="43" spans="1:35" s="788" customFormat="1" ht="30.75" thickBot="1" x14ac:dyDescent="0.3">
      <c r="A43" s="946" t="s">
        <v>69</v>
      </c>
      <c r="B43" s="609" t="s">
        <v>895</v>
      </c>
      <c r="C43" s="776" t="s">
        <v>1138</v>
      </c>
      <c r="D43" s="777"/>
      <c r="E43" s="803" t="s">
        <v>742</v>
      </c>
      <c r="F43" s="803"/>
      <c r="G43" s="803"/>
      <c r="H43" s="804" t="s">
        <v>1150</v>
      </c>
      <c r="I43" s="804"/>
      <c r="J43" s="805" t="s">
        <v>118</v>
      </c>
      <c r="K43" s="806"/>
      <c r="L43" s="807" t="s">
        <v>1151</v>
      </c>
      <c r="M43" s="808" t="s">
        <v>1152</v>
      </c>
      <c r="N43" s="809" t="s">
        <v>1153</v>
      </c>
      <c r="O43" s="809" t="s">
        <v>1154</v>
      </c>
      <c r="P43" s="810" t="s">
        <v>1155</v>
      </c>
      <c r="Q43" s="810" t="s">
        <v>1156</v>
      </c>
      <c r="R43" s="955" t="s">
        <v>1157</v>
      </c>
      <c r="S43" s="956"/>
      <c r="T43" s="807" t="s">
        <v>1158</v>
      </c>
      <c r="W43" s="807" t="s">
        <v>1159</v>
      </c>
      <c r="X43" s="811"/>
    </row>
    <row r="44" spans="1:35" s="788" customFormat="1" ht="15.75" thickBot="1" x14ac:dyDescent="0.3">
      <c r="A44" s="947"/>
      <c r="B44" s="789" t="s">
        <v>918</v>
      </c>
      <c r="C44" s="770" t="s">
        <v>1160</v>
      </c>
      <c r="D44" s="812">
        <f>E38</f>
        <v>0</v>
      </c>
      <c r="H44" s="813"/>
      <c r="I44" s="813"/>
      <c r="J44" s="814"/>
      <c r="K44" s="815"/>
      <c r="L44" s="816"/>
      <c r="M44" s="817"/>
      <c r="N44" s="818"/>
      <c r="O44" s="818"/>
      <c r="P44" s="818"/>
      <c r="Q44" s="817"/>
      <c r="R44" s="957"/>
      <c r="S44" s="958"/>
      <c r="T44" s="819"/>
      <c r="W44" s="820"/>
      <c r="X44" s="811"/>
    </row>
    <row r="45" spans="1:35" x14ac:dyDescent="0.25">
      <c r="A45" s="947"/>
      <c r="B45" s="769" t="s">
        <v>924</v>
      </c>
      <c r="C45" s="770"/>
      <c r="D45" s="771"/>
      <c r="E45" s="451">
        <v>0.5</v>
      </c>
      <c r="F45" s="451"/>
      <c r="G45" s="451"/>
      <c r="H45" s="451">
        <v>0.5</v>
      </c>
      <c r="I45" s="451"/>
      <c r="J45" s="451">
        <v>0.5</v>
      </c>
      <c r="K45" s="676"/>
      <c r="L45" s="821">
        <v>14</v>
      </c>
      <c r="M45" s="821">
        <v>10</v>
      </c>
      <c r="N45" s="821">
        <v>10</v>
      </c>
      <c r="O45" s="821">
        <v>10</v>
      </c>
      <c r="P45" s="821">
        <v>30</v>
      </c>
      <c r="Q45" s="821">
        <v>10</v>
      </c>
      <c r="R45" s="821">
        <v>40</v>
      </c>
      <c r="S45" s="821"/>
      <c r="T45" s="821">
        <v>26</v>
      </c>
      <c r="W45" s="671" t="s">
        <v>1143</v>
      </c>
      <c r="X45" s="792"/>
    </row>
    <row r="46" spans="1:35" x14ac:dyDescent="0.25">
      <c r="A46" s="947"/>
      <c r="B46" s="769" t="s">
        <v>928</v>
      </c>
      <c r="C46" s="770"/>
      <c r="D46" s="771"/>
      <c r="E46" s="792">
        <v>4</v>
      </c>
      <c r="J46" s="686"/>
      <c r="K46" s="404"/>
      <c r="L46" s="792">
        <v>4</v>
      </c>
      <c r="M46" s="792">
        <v>4</v>
      </c>
      <c r="N46" s="821">
        <v>4</v>
      </c>
      <c r="O46" s="821">
        <v>4</v>
      </c>
      <c r="P46" s="821">
        <v>4</v>
      </c>
      <c r="Q46" s="821">
        <v>4</v>
      </c>
      <c r="R46" s="821">
        <v>4</v>
      </c>
      <c r="S46" s="821"/>
      <c r="T46" s="821">
        <v>4</v>
      </c>
      <c r="W46" s="821">
        <v>4</v>
      </c>
      <c r="X46" s="792"/>
    </row>
    <row r="47" spans="1:35" x14ac:dyDescent="0.25">
      <c r="A47" s="947"/>
      <c r="B47" s="769" t="s">
        <v>932</v>
      </c>
      <c r="C47" s="770"/>
      <c r="D47" s="771"/>
      <c r="E47" s="792"/>
      <c r="K47" s="404"/>
      <c r="L47" s="792"/>
      <c r="M47" s="792"/>
      <c r="N47" s="792"/>
      <c r="O47" s="792"/>
      <c r="P47" s="792"/>
      <c r="Q47" s="792"/>
      <c r="R47" s="792"/>
      <c r="S47" s="792"/>
      <c r="T47" s="792"/>
      <c r="W47" s="792"/>
      <c r="X47" s="792"/>
    </row>
    <row r="48" spans="1:35" s="628" customFormat="1" ht="15.75" thickBot="1" x14ac:dyDescent="0.3">
      <c r="A48" s="948"/>
      <c r="B48" s="774" t="s">
        <v>935</v>
      </c>
      <c r="C48" s="822"/>
      <c r="D48" s="823"/>
      <c r="E48" s="824" t="s">
        <v>1161</v>
      </c>
      <c r="F48" s="824"/>
      <c r="G48" s="404"/>
      <c r="H48" s="404"/>
      <c r="I48" s="404"/>
      <c r="J48" s="686"/>
      <c r="K48" s="802"/>
      <c r="L48" s="824" t="s">
        <v>1162</v>
      </c>
      <c r="M48" s="824" t="s">
        <v>1163</v>
      </c>
      <c r="N48" s="824" t="s">
        <v>1164</v>
      </c>
      <c r="O48" s="824" t="s">
        <v>1165</v>
      </c>
      <c r="P48" s="824" t="s">
        <v>1166</v>
      </c>
      <c r="Q48" s="824" t="s">
        <v>1167</v>
      </c>
      <c r="R48" s="824" t="s">
        <v>1168</v>
      </c>
      <c r="S48" s="821"/>
      <c r="T48" s="824" t="s">
        <v>1169</v>
      </c>
      <c r="W48" s="824" t="s">
        <v>1170</v>
      </c>
      <c r="X48" s="825"/>
      <c r="Y48" s="632"/>
      <c r="Z48" s="404"/>
      <c r="AA48" s="404"/>
      <c r="AB48" s="404"/>
      <c r="AC48" s="404"/>
      <c r="AD48" s="404"/>
      <c r="AE48" s="404"/>
      <c r="AF48" s="404"/>
      <c r="AG48" s="404"/>
      <c r="AH48" s="404"/>
      <c r="AI48" s="404"/>
    </row>
    <row r="49" spans="1:36" ht="30.75" thickBot="1" x14ac:dyDescent="0.3">
      <c r="A49" s="946" t="s">
        <v>65</v>
      </c>
      <c r="B49" s="826" t="s">
        <v>1171</v>
      </c>
      <c r="C49" s="776" t="s">
        <v>1138</v>
      </c>
      <c r="D49" s="777"/>
      <c r="E49" s="434" t="s">
        <v>947</v>
      </c>
      <c r="F49" s="434" t="s">
        <v>1172</v>
      </c>
      <c r="G49" s="434" t="s">
        <v>871</v>
      </c>
      <c r="H49" s="847" t="s">
        <v>758</v>
      </c>
      <c r="I49" s="847"/>
      <c r="J49" s="828" t="s">
        <v>118</v>
      </c>
      <c r="K49" s="829"/>
      <c r="L49" s="959" t="s">
        <v>871</v>
      </c>
      <c r="M49" s="960"/>
      <c r="N49" s="830" t="s">
        <v>1174</v>
      </c>
      <c r="O49" s="831" t="s">
        <v>1175</v>
      </c>
      <c r="P49" s="831" t="s">
        <v>1176</v>
      </c>
      <c r="Q49" s="831" t="s">
        <v>1177</v>
      </c>
      <c r="R49" s="831" t="s">
        <v>1178</v>
      </c>
      <c r="S49" s="831" t="s">
        <v>1179</v>
      </c>
      <c r="T49" s="831" t="s">
        <v>109</v>
      </c>
      <c r="U49" s="831" t="s">
        <v>102</v>
      </c>
      <c r="V49" s="831" t="s">
        <v>83</v>
      </c>
      <c r="W49" s="831" t="s">
        <v>1180</v>
      </c>
      <c r="X49" s="831" t="s">
        <v>127</v>
      </c>
      <c r="Y49" s="629"/>
      <c r="Z49" s="629"/>
      <c r="AA49" s="629"/>
    </row>
    <row r="50" spans="1:36" ht="15.75" thickBot="1" x14ac:dyDescent="0.3">
      <c r="A50" s="947"/>
      <c r="B50" s="789" t="s">
        <v>918</v>
      </c>
      <c r="C50" s="832" t="str">
        <f>IF(LEN(J38)=0,"",J38)</f>
        <v/>
      </c>
      <c r="D50" s="833">
        <v>1</v>
      </c>
      <c r="F50" s="834"/>
      <c r="G50" s="451"/>
      <c r="H50" s="835"/>
      <c r="I50" s="835"/>
      <c r="J50" s="836"/>
      <c r="K50" s="837" t="s">
        <v>1181</v>
      </c>
      <c r="L50" s="961">
        <f>HYPERLINK("https://eu1.salesforce.com/"&amp;F50,G50)</f>
        <v>0</v>
      </c>
      <c r="M50" s="962"/>
      <c r="N50" s="628"/>
      <c r="O50" s="628"/>
      <c r="P50" s="838"/>
      <c r="Q50" s="628"/>
      <c r="R50" s="628"/>
      <c r="S50" s="628"/>
      <c r="T50" s="628"/>
      <c r="U50" s="628"/>
      <c r="V50" s="628"/>
      <c r="W50" s="629"/>
      <c r="X50" s="629"/>
      <c r="Y50" s="629"/>
      <c r="Z50" s="629"/>
      <c r="AA50" s="629"/>
    </row>
    <row r="51" spans="1:36" x14ac:dyDescent="0.25">
      <c r="A51" s="947"/>
      <c r="B51" s="769" t="s">
        <v>924</v>
      </c>
      <c r="C51" s="770"/>
      <c r="D51" s="771"/>
      <c r="E51" s="451">
        <v>0.5</v>
      </c>
      <c r="F51" s="451"/>
      <c r="G51" s="451"/>
      <c r="H51" s="451">
        <v>0.5</v>
      </c>
      <c r="I51" s="451"/>
      <c r="J51" s="451">
        <v>0.5</v>
      </c>
      <c r="K51" s="676"/>
      <c r="L51" s="841" t="s">
        <v>930</v>
      </c>
      <c r="M51" s="841"/>
      <c r="N51" s="841" t="s">
        <v>81</v>
      </c>
      <c r="O51" s="841"/>
      <c r="P51" s="671" t="s">
        <v>1182</v>
      </c>
      <c r="Q51" s="671" t="s">
        <v>1183</v>
      </c>
      <c r="R51" s="841"/>
      <c r="S51" s="841"/>
      <c r="T51" s="841" t="s">
        <v>81</v>
      </c>
      <c r="U51" s="841" t="s">
        <v>81</v>
      </c>
      <c r="V51" s="841" t="s">
        <v>186</v>
      </c>
      <c r="W51" s="841" t="s">
        <v>186</v>
      </c>
      <c r="X51" s="841" t="s">
        <v>186</v>
      </c>
      <c r="AA51" s="636"/>
      <c r="AC51" s="637"/>
      <c r="AD51" s="636"/>
    </row>
    <row r="52" spans="1:36" x14ac:dyDescent="0.25">
      <c r="A52" s="947"/>
      <c r="B52" s="769" t="s">
        <v>928</v>
      </c>
      <c r="C52" s="770" t="s">
        <v>169</v>
      </c>
      <c r="D52" s="842" t="s">
        <v>186</v>
      </c>
      <c r="E52" s="843" t="s">
        <v>1184</v>
      </c>
      <c r="F52" s="792" t="s">
        <v>169</v>
      </c>
      <c r="G52" s="792">
        <v>3</v>
      </c>
      <c r="H52" s="821"/>
      <c r="I52" s="821"/>
      <c r="J52" s="821"/>
      <c r="K52" s="821"/>
      <c r="L52" s="792"/>
      <c r="M52" s="792"/>
      <c r="N52" s="821" t="s">
        <v>939</v>
      </c>
      <c r="O52" s="821">
        <v>26</v>
      </c>
      <c r="P52" s="821" t="s">
        <v>963</v>
      </c>
      <c r="Q52" s="792" t="s">
        <v>1186</v>
      </c>
      <c r="R52" s="792" t="s">
        <v>146</v>
      </c>
      <c r="S52" s="841" t="s">
        <v>929</v>
      </c>
      <c r="T52" s="821" t="s">
        <v>81</v>
      </c>
      <c r="U52" s="670"/>
      <c r="V52" s="670"/>
      <c r="W52" s="670"/>
      <c r="X52" s="670"/>
      <c r="Y52" s="674"/>
      <c r="AF52" s="641"/>
      <c r="AG52" s="641"/>
      <c r="AH52" s="641"/>
      <c r="AI52" s="641"/>
      <c r="AJ52" s="641"/>
    </row>
    <row r="53" spans="1:36" ht="45" x14ac:dyDescent="0.25">
      <c r="A53" s="947"/>
      <c r="B53" s="769" t="s">
        <v>932</v>
      </c>
      <c r="C53" s="770"/>
      <c r="D53" s="771"/>
      <c r="E53" s="845" t="s">
        <v>1192</v>
      </c>
      <c r="K53" s="846" t="s">
        <v>1188</v>
      </c>
      <c r="L53" s="846" t="s">
        <v>1188</v>
      </c>
      <c r="M53" s="685"/>
      <c r="N53" s="685"/>
      <c r="O53" s="685"/>
      <c r="T53" s="685"/>
      <c r="AF53" s="641"/>
      <c r="AG53" s="641"/>
      <c r="AH53" s="641"/>
      <c r="AI53" s="641"/>
      <c r="AJ53" s="641"/>
    </row>
    <row r="54" spans="1:36" ht="15.75" thickBot="1" x14ac:dyDescent="0.3">
      <c r="A54" s="948"/>
      <c r="B54" s="774" t="s">
        <v>935</v>
      </c>
      <c r="C54" s="800"/>
      <c r="D54" s="823"/>
      <c r="E54" s="427"/>
      <c r="H54" s="802"/>
      <c r="I54" s="802"/>
      <c r="K54" s="404"/>
      <c r="L54" s="686"/>
      <c r="AB54" s="640"/>
      <c r="AF54" s="641"/>
      <c r="AG54" s="641"/>
      <c r="AH54" s="641"/>
      <c r="AI54" s="641"/>
      <c r="AJ54" s="641"/>
    </row>
  </sheetData>
  <mergeCells count="18">
    <mergeCell ref="A43:A48"/>
    <mergeCell ref="R43:S43"/>
    <mergeCell ref="R44:S44"/>
    <mergeCell ref="A49:A54"/>
    <mergeCell ref="L49:M49"/>
    <mergeCell ref="L50:M50"/>
    <mergeCell ref="A23:A28"/>
    <mergeCell ref="L23:M23"/>
    <mergeCell ref="L24:M24"/>
    <mergeCell ref="A37:A42"/>
    <mergeCell ref="R37:S37"/>
    <mergeCell ref="R38:S38"/>
    <mergeCell ref="A11:A16"/>
    <mergeCell ref="R11:S11"/>
    <mergeCell ref="R12:S12"/>
    <mergeCell ref="A17:A22"/>
    <mergeCell ref="R17:S17"/>
    <mergeCell ref="R18:S18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2013-09-11T21:46:45Z</dcterms:modified>
</cp:coreProperties>
</file>