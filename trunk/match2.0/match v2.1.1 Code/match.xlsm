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7680" firstSheet="1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Process!$A$4:$O$149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Header!$B$196:$C$201</definedName>
    <definedName name="HDR_A_SN_2" comment="Sheet_для_загрузки_output.csv_с_SN_из_License_Inquiry_PartnerCenter.Autodesk">Header!$B$204:$R$210</definedName>
    <definedName name="HDR_A_SN_3" comment="16.08.13 HDR_A_SN_3 - Sheet для Upsert данных по SN Autodesk в SF -- SN_UPDATE">Header!$B$212:$R$218</definedName>
    <definedName name="HDR_AccntUpd" comment="18.6.12 HDR_AccntUpd шапка изменений Организаций SF, включая связь с 1С">Header!$A$166:$N$166</definedName>
    <definedName name="HDR_AdAcc" comment="11.6.12 - Шапка полей новой Организации">Header!$A$163:$V$163</definedName>
    <definedName name="HDR_BTOlog" comment="7.4.13 HDR_BTOlog шапка для журнала писем БТО">Header!$B$188:$N$193</definedName>
    <definedName name="HDR_ContractUpdate">Header!$A$157:$B$157</definedName>
    <definedName name="HDR_ContrLnk" comment="18.3.12 шапка для листа C_ContrLnk - связка Договора с Проектом">Header!$A$157:$B$157</definedName>
    <definedName name="HDR_DicAcc" comment="19.6.12 HDR_AccDic - шапка Словаря Организаций">Header!$A$169:$C$170</definedName>
    <definedName name="HDR_NewAcc" comment="HDR_NewAcc для занесения новых Организаций в SF">Header!$A$163:$V$163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Header!$C$141:$N$146</definedName>
    <definedName name="HDR_NewOppByPaidContr">Header!$C$149:$N$154</definedName>
    <definedName name="HDR_NewOrder" comment="25.4.12 HDR_NewOrder - шапка для новых Заказов">Header!$B$173:$N$178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Header!$A$185:$C$185</definedName>
    <definedName name="HDR_P_ADSKlink" comment="14/5/12 новые связи Платежей и Контрактов ADSK">Header!$A$182:$C$182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Header!$A$160:$B$160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Header!$C$141:$L$141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Process!$A$147:$L$150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9" i="3" l="1"/>
  <c r="K79" i="3" s="1"/>
  <c r="C79" i="3"/>
  <c r="F80" i="3"/>
  <c r="K80" i="3" s="1"/>
  <c r="N75" i="3"/>
  <c r="N74" i="3"/>
  <c r="M74" i="3"/>
  <c r="L74" i="3"/>
  <c r="N78" i="3" l="1"/>
  <c r="M78" i="3" l="1"/>
  <c r="L78" i="3"/>
  <c r="K76" i="3" l="1"/>
  <c r="F76" i="3" s="1"/>
  <c r="C76" i="3"/>
  <c r="AH9" i="6" l="1"/>
  <c r="AJ9" i="6" s="1"/>
  <c r="AK9" i="6"/>
  <c r="AI9" i="6" l="1"/>
  <c r="L75" i="3" l="1"/>
  <c r="M75" i="3"/>
  <c r="K75" i="3"/>
  <c r="C78" i="3"/>
  <c r="C75" i="3"/>
  <c r="K13" i="3"/>
  <c r="F13" i="3"/>
  <c r="C80" i="3"/>
  <c r="K74" i="3"/>
  <c r="K77" i="3" s="1"/>
  <c r="F77" i="3" s="1"/>
  <c r="F74" i="3"/>
  <c r="AE9" i="6"/>
  <c r="C41" i="3" l="1"/>
  <c r="C40" i="3"/>
  <c r="C39" i="3"/>
  <c r="C51" i="3"/>
  <c r="C50" i="3"/>
  <c r="C49" i="3"/>
  <c r="K48" i="3" l="1"/>
  <c r="F48" i="3"/>
  <c r="K56" i="3"/>
  <c r="F56" i="3"/>
  <c r="K47" i="3"/>
  <c r="F47" i="3"/>
  <c r="F38" i="3"/>
  <c r="K38" i="3"/>
  <c r="F12" i="3" l="1"/>
  <c r="K11" i="3"/>
  <c r="K12" i="3"/>
  <c r="K10" i="3"/>
  <c r="F11" i="3"/>
  <c r="F10" i="3"/>
  <c r="F9" i="3"/>
  <c r="F8" i="3"/>
  <c r="F7" i="3"/>
  <c r="K9" i="3"/>
  <c r="K8" i="3"/>
  <c r="K7" i="3"/>
  <c r="L58" i="3"/>
  <c r="L59" i="3"/>
  <c r="L60" i="3"/>
  <c r="K50" i="3" l="1"/>
  <c r="I44" i="6" l="1"/>
  <c r="K60" i="3" l="1"/>
  <c r="K59" i="3"/>
  <c r="K58" i="3"/>
  <c r="K57" i="3" l="1"/>
  <c r="C42" i="3" l="1"/>
  <c r="S42" i="3" l="1"/>
  <c r="L42" i="3" l="1"/>
  <c r="K41" i="3"/>
  <c r="K37" i="3"/>
  <c r="K40" i="3" s="1"/>
  <c r="N35" i="3"/>
  <c r="N34" i="3"/>
  <c r="N28" i="3"/>
  <c r="L27" i="3"/>
  <c r="M25" i="3"/>
  <c r="L25" i="3"/>
  <c r="N20" i="3"/>
  <c r="N17" i="3"/>
  <c r="M17" i="3"/>
  <c r="L17" i="3"/>
  <c r="K23" i="3"/>
  <c r="K26" i="3" s="1"/>
  <c r="K15" i="3"/>
  <c r="K45" i="3" l="1"/>
  <c r="L41" i="3"/>
  <c r="K27" i="3"/>
  <c r="K39" i="3"/>
  <c r="K44" i="3"/>
  <c r="K42" i="3"/>
  <c r="K24" i="3"/>
  <c r="K43" i="3"/>
  <c r="Y14" i="6"/>
  <c r="R14" i="6"/>
  <c r="AA14" i="6" s="1"/>
  <c r="C29" i="3" l="1"/>
  <c r="C21" i="3" l="1"/>
  <c r="K21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8" i="6"/>
  <c r="C1198" i="6"/>
  <c r="J1197" i="6"/>
  <c r="C1197" i="6"/>
  <c r="J1196" i="6"/>
  <c r="C1196" i="6"/>
  <c r="J1195" i="6"/>
  <c r="C1195" i="6"/>
  <c r="V1194" i="6"/>
  <c r="U1194" i="6"/>
  <c r="C119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G254" i="6"/>
  <c r="AF254" i="6"/>
  <c r="AD254" i="6"/>
  <c r="AC254" i="6"/>
  <c r="AB254" i="6"/>
  <c r="AA254" i="6"/>
  <c r="Z254" i="6"/>
  <c r="Y254" i="6"/>
  <c r="X254" i="6"/>
  <c r="W254" i="6"/>
  <c r="V254" i="6"/>
  <c r="U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F254" i="6"/>
  <c r="E254" i="6"/>
  <c r="D254" i="6"/>
  <c r="C254" i="6"/>
  <c r="AU253" i="6"/>
  <c r="AH253" i="6"/>
  <c r="T253" i="6"/>
  <c r="G253" i="6"/>
  <c r="AV253" i="6" s="1"/>
  <c r="AU252" i="6"/>
  <c r="AH252" i="6"/>
  <c r="T252" i="6"/>
  <c r="G252" i="6"/>
  <c r="AU251" i="6"/>
  <c r="AH251" i="6"/>
  <c r="T251" i="6"/>
  <c r="G251" i="6"/>
  <c r="AV251" i="6" s="1"/>
  <c r="AU250" i="6"/>
  <c r="AH250" i="6"/>
  <c r="T250" i="6"/>
  <c r="G250" i="6"/>
  <c r="AU249" i="6"/>
  <c r="AH249" i="6"/>
  <c r="T249" i="6"/>
  <c r="G249" i="6"/>
  <c r="AV249" i="6" s="1"/>
  <c r="AU248" i="6"/>
  <c r="AH248" i="6"/>
  <c r="T248" i="6"/>
  <c r="G248" i="6"/>
  <c r="AU247" i="6"/>
  <c r="AH247" i="6"/>
  <c r="T247" i="6"/>
  <c r="G247" i="6"/>
  <c r="AV247" i="6" s="1"/>
  <c r="AU246" i="6"/>
  <c r="AH246" i="6"/>
  <c r="T246" i="6"/>
  <c r="G246" i="6"/>
  <c r="AU245" i="6"/>
  <c r="AH245" i="6"/>
  <c r="T245" i="6"/>
  <c r="G245" i="6"/>
  <c r="AV245" i="6" s="1"/>
  <c r="AU244" i="6"/>
  <c r="AH244" i="6"/>
  <c r="T244" i="6"/>
  <c r="G244" i="6"/>
  <c r="AU243" i="6"/>
  <c r="AH243" i="6"/>
  <c r="T243" i="6"/>
  <c r="G243" i="6"/>
  <c r="AV243" i="6" s="1"/>
  <c r="AU242" i="6"/>
  <c r="AH242" i="6"/>
  <c r="T242" i="6"/>
  <c r="G242" i="6"/>
  <c r="AU241" i="6"/>
  <c r="AH241" i="6"/>
  <c r="T241" i="6"/>
  <c r="G241" i="6"/>
  <c r="AV241" i="6" s="1"/>
  <c r="AU240" i="6"/>
  <c r="AH240" i="6"/>
  <c r="T240" i="6"/>
  <c r="G240" i="6"/>
  <c r="AV240" i="6" s="1"/>
  <c r="AU239" i="6"/>
  <c r="AH239" i="6"/>
  <c r="T239" i="6"/>
  <c r="G239" i="6"/>
  <c r="AV239" i="6" s="1"/>
  <c r="AU238" i="6"/>
  <c r="AH238" i="6"/>
  <c r="T238" i="6"/>
  <c r="G238" i="6"/>
  <c r="AV238" i="6" s="1"/>
  <c r="AU237" i="6"/>
  <c r="AH237" i="6"/>
  <c r="T237" i="6"/>
  <c r="G237" i="6"/>
  <c r="AV237" i="6" s="1"/>
  <c r="AU236" i="6"/>
  <c r="AH236" i="6"/>
  <c r="T236" i="6"/>
  <c r="G236" i="6"/>
  <c r="AU235" i="6"/>
  <c r="AH235" i="6"/>
  <c r="T235" i="6"/>
  <c r="G235" i="6"/>
  <c r="AV235" i="6" s="1"/>
  <c r="AU234" i="6"/>
  <c r="AH234" i="6"/>
  <c r="T234" i="6"/>
  <c r="G234" i="6"/>
  <c r="AU233" i="6"/>
  <c r="AH233" i="6"/>
  <c r="T233" i="6"/>
  <c r="G233" i="6"/>
  <c r="AU232" i="6"/>
  <c r="AH232" i="6"/>
  <c r="T232" i="6"/>
  <c r="G232" i="6"/>
  <c r="AU231" i="6"/>
  <c r="AH231" i="6"/>
  <c r="T231" i="6"/>
  <c r="G231" i="6"/>
  <c r="AU230" i="6"/>
  <c r="AH230" i="6"/>
  <c r="T230" i="6"/>
  <c r="G230" i="6"/>
  <c r="AU229" i="6"/>
  <c r="AH229" i="6"/>
  <c r="T229" i="6"/>
  <c r="G229" i="6"/>
  <c r="AU228" i="6"/>
  <c r="AH228" i="6"/>
  <c r="T228" i="6"/>
  <c r="G228" i="6"/>
  <c r="AU227" i="6"/>
  <c r="AH227" i="6"/>
  <c r="T227" i="6"/>
  <c r="G227" i="6"/>
  <c r="AU226" i="6"/>
  <c r="AH226" i="6"/>
  <c r="T226" i="6"/>
  <c r="G226" i="6"/>
  <c r="AU225" i="6"/>
  <c r="AH225" i="6"/>
  <c r="T225" i="6"/>
  <c r="G225" i="6"/>
  <c r="AU224" i="6"/>
  <c r="AH224" i="6"/>
  <c r="T224" i="6"/>
  <c r="G224" i="6"/>
  <c r="AU223" i="6"/>
  <c r="AH223" i="6"/>
  <c r="T223" i="6"/>
  <c r="G223" i="6"/>
  <c r="AU222" i="6"/>
  <c r="AH222" i="6"/>
  <c r="T222" i="6"/>
  <c r="G222" i="6"/>
  <c r="AU221" i="6"/>
  <c r="AH221" i="6"/>
  <c r="T221" i="6"/>
  <c r="G221" i="6"/>
  <c r="L189" i="6"/>
  <c r="G181" i="6"/>
  <c r="C181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J31" i="6"/>
  <c r="C31" i="6"/>
  <c r="J30" i="6"/>
  <c r="C30" i="6"/>
  <c r="J29" i="6"/>
  <c r="C29" i="6"/>
  <c r="J28" i="6"/>
  <c r="C28" i="6"/>
  <c r="V27" i="6"/>
  <c r="U27" i="6"/>
  <c r="T27" i="6"/>
  <c r="J1194" i="6" s="1"/>
  <c r="J27" i="6"/>
  <c r="C27" i="6"/>
  <c r="I19" i="6"/>
  <c r="G19" i="6"/>
  <c r="F19" i="6"/>
  <c r="AB14" i="6"/>
  <c r="AC14" i="6" s="1"/>
  <c r="F7" i="6"/>
  <c r="C7" i="6"/>
  <c r="M66" i="4"/>
  <c r="M67" i="4" s="1"/>
  <c r="M62" i="4"/>
  <c r="M63" i="4" s="1"/>
  <c r="P61" i="4"/>
  <c r="P65" i="4" s="1"/>
  <c r="M60" i="4"/>
  <c r="C159" i="3"/>
  <c r="F141" i="3"/>
  <c r="K141" i="3" s="1"/>
  <c r="C141" i="3"/>
  <c r="C140" i="3"/>
  <c r="C138" i="3"/>
  <c r="K137" i="3"/>
  <c r="K140" i="3"/>
  <c r="K134" i="3"/>
  <c r="C134" i="3"/>
  <c r="K133" i="3"/>
  <c r="C133" i="3"/>
  <c r="C132" i="3"/>
  <c r="K131" i="3"/>
  <c r="K130" i="3"/>
  <c r="F129" i="3"/>
  <c r="C129" i="3"/>
  <c r="F128" i="3"/>
  <c r="F127" i="3"/>
  <c r="C127" i="3"/>
  <c r="H126" i="3"/>
  <c r="G126" i="3"/>
  <c r="F126" i="3"/>
  <c r="K125" i="3"/>
  <c r="K132" i="3" s="1"/>
  <c r="F123" i="3"/>
  <c r="K123" i="3" s="1"/>
  <c r="C123" i="3"/>
  <c r="C121" i="3"/>
  <c r="L120" i="3"/>
  <c r="K121" i="3" s="1"/>
  <c r="K120" i="3"/>
  <c r="G120" i="3"/>
  <c r="C117" i="3"/>
  <c r="F117" i="3"/>
  <c r="K117" i="3" s="1"/>
  <c r="C113" i="3"/>
  <c r="K113" i="3"/>
  <c r="C106" i="3"/>
  <c r="F106" i="3"/>
  <c r="H105" i="3" s="1"/>
  <c r="C105" i="3"/>
  <c r="C102" i="3"/>
  <c r="F102" i="3"/>
  <c r="K102" i="3" s="1"/>
  <c r="C101" i="3"/>
  <c r="K101" i="3"/>
  <c r="F98" i="3"/>
  <c r="K98" i="3" s="1"/>
  <c r="C98" i="3"/>
  <c r="C97" i="3"/>
  <c r="F94" i="3"/>
  <c r="K94" i="3" s="1"/>
  <c r="C94" i="3"/>
  <c r="C93" i="3"/>
  <c r="K93" i="3"/>
  <c r="K90" i="3"/>
  <c r="C90" i="3"/>
  <c r="H89" i="3"/>
  <c r="C89" i="3"/>
  <c r="K89" i="3"/>
  <c r="G89" i="3" s="1"/>
  <c r="C86" i="3"/>
  <c r="C85" i="3"/>
  <c r="K84" i="3"/>
  <c r="K85" i="3"/>
  <c r="L71" i="3"/>
  <c r="F71" i="3"/>
  <c r="C71" i="3"/>
  <c r="C69" i="3"/>
  <c r="K159" i="3"/>
  <c r="C65" i="3"/>
  <c r="C64" i="3"/>
  <c r="K64" i="3"/>
  <c r="F60" i="3"/>
  <c r="F59" i="3"/>
  <c r="F58" i="3"/>
  <c r="F53" i="3"/>
  <c r="C53" i="3"/>
  <c r="C52" i="3"/>
  <c r="F41" i="3"/>
  <c r="C35" i="3"/>
  <c r="C34" i="3"/>
  <c r="C33" i="3"/>
  <c r="K33" i="3"/>
  <c r="C28" i="3"/>
  <c r="C27" i="3"/>
  <c r="C26" i="3"/>
  <c r="C25" i="3"/>
  <c r="K20" i="3"/>
  <c r="C20" i="3"/>
  <c r="K19" i="3"/>
  <c r="C19" i="3"/>
  <c r="K18" i="3"/>
  <c r="C18" i="3"/>
  <c r="K17" i="3"/>
  <c r="C17" i="3"/>
  <c r="K16" i="3"/>
  <c r="I41" i="2"/>
  <c r="I29" i="2"/>
  <c r="I23" i="2"/>
  <c r="H22" i="2"/>
  <c r="H21" i="2"/>
  <c r="H20" i="2"/>
  <c r="H19" i="2"/>
  <c r="H18" i="2"/>
  <c r="H17" i="2"/>
  <c r="H16" i="2"/>
  <c r="H15" i="2"/>
  <c r="H14" i="2"/>
  <c r="AV227" i="6" l="1"/>
  <c r="AV236" i="6"/>
  <c r="AV252" i="6"/>
  <c r="AV223" i="6"/>
  <c r="AV225" i="6"/>
  <c r="AV222" i="6"/>
  <c r="AV224" i="6"/>
  <c r="AV226" i="6"/>
  <c r="AV229" i="6"/>
  <c r="C1199" i="6"/>
  <c r="D1198" i="6" s="1"/>
  <c r="T254" i="6"/>
  <c r="AV228" i="6"/>
  <c r="AV230" i="6"/>
  <c r="AV232" i="6"/>
  <c r="AV234" i="6"/>
  <c r="G254" i="6"/>
  <c r="AU254" i="6"/>
  <c r="AV242" i="6"/>
  <c r="AH254" i="6"/>
  <c r="AV231" i="6"/>
  <c r="AV233" i="6"/>
  <c r="AV244" i="6"/>
  <c r="AV246" i="6"/>
  <c r="AV248" i="6"/>
  <c r="AV250" i="6"/>
  <c r="AV221" i="6"/>
  <c r="K96" i="3"/>
  <c r="K97" i="3" s="1"/>
  <c r="K29" i="3"/>
  <c r="K28" i="3"/>
  <c r="K71" i="3"/>
  <c r="K25" i="3"/>
  <c r="J1199" i="6"/>
  <c r="L1195" i="6" s="1"/>
  <c r="C32" i="6"/>
  <c r="D27" i="6" s="1"/>
  <c r="J32" i="6"/>
  <c r="L27" i="6" s="1"/>
  <c r="K34" i="3"/>
  <c r="K63" i="3"/>
  <c r="K65" i="3" s="1"/>
  <c r="K68" i="3"/>
  <c r="K32" i="3"/>
  <c r="K69" i="3"/>
  <c r="K35" i="3"/>
  <c r="K106" i="3"/>
  <c r="D1194" i="6" l="1"/>
  <c r="AV254" i="6"/>
  <c r="D1195" i="6"/>
  <c r="D1197" i="6"/>
  <c r="D1196" i="6"/>
  <c r="L1194" i="6"/>
  <c r="L1197" i="6"/>
  <c r="L1198" i="6"/>
  <c r="L1196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<sst xmlns="http://schemas.openxmlformats.org/spreadsheetml/2006/main" count="3001" uniqueCount="1290">
  <si>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</si>
  <si>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</si>
  <si>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</si>
  <si>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</si>
  <si>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</si>
  <si>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</si>
  <si>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</si>
  <si>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</si>
  <si>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</si>
  <si>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</si>
  <si>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</si>
  <si>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</si>
  <si>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</si>
  <si>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</si>
  <si>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</si>
  <si>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</si>
  <si>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</si>
  <si>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</si>
  <si>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</si>
  <si>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</si>
  <si>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</si>
  <si>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</si>
  <si>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</si>
  <si>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</si>
  <si>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</si>
  <si>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</si>
  <si>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</si>
  <si>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</si>
  <si>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</si>
  <si>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</si>
  <si>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</si>
  <si>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</si>
  <si>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</si>
  <si>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</si>
  <si>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</si>
  <si>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</si>
  <si>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</si>
  <si>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</si>
  <si>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</si>
  <si>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</si>
  <si>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</si>
  <si>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</si>
  <si>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</si>
  <si>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</si>
  <si>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</si>
  <si>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</si>
  <si>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</si>
  <si>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</si>
  <si>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</si>
  <si>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</si>
  <si>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</si>
  <si>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</si>
  <si>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</si>
  <si>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</si>
  <si>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</si>
  <si>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</si>
  <si>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</si>
  <si>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</si>
  <si>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</si>
  <si>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</si>
  <si>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</si>
  <si>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</si>
  <si>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</si>
  <si>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</si>
  <si>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</si>
  <si>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</si>
  <si>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</si>
  <si>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</si>
  <si>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</si>
  <si>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</si>
  <si>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</si>
  <si>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</si>
  <si>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</si>
  <si>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</si>
  <si>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</si>
  <si>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</si>
  <si>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</si>
  <si>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</si>
  <si>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</si>
  <si>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</si>
  <si>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</si>
  <si>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</si>
  <si>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</si>
  <si>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</si>
  <si>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</si>
  <si>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</si>
  <si>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</si>
  <si>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</si>
  <si>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</si>
  <si>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</si>
  <si>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</si>
  <si>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</si>
  <si>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</si>
  <si>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</si>
  <si>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</si>
  <si>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</si>
  <si>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</si>
  <si>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</si>
  <si>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</si>
  <si>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</si>
  <si>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</si>
  <si>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</si>
  <si>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</si>
  <si>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</si>
  <si>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</si>
  <si>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</si>
  <si>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</si>
  <si>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</si>
  <si>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</si>
  <si>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</si>
  <si>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</si>
  <si>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</si>
  <si>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</si>
  <si>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</si>
  <si>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</si>
  <si>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</si>
  <si>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</si>
  <si>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</si>
  <si>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</si>
  <si>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</si>
  <si>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</si>
  <si>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</si>
  <si>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</si>
  <si>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</si>
  <si>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</si>
  <si>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</si>
  <si>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</si>
  <si>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</si>
  <si>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</si>
  <si>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</si>
  <si>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</si>
  <si>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</si>
  <si>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</si>
  <si>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</si>
  <si>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</si>
  <si>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</si>
  <si>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</si>
  <si>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</si>
  <si>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</si>
  <si>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</si>
  <si>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</si>
  <si>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</si>
  <si>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</si>
  <si>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</si>
  <si>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</si>
  <si>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</si>
  <si>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</si>
  <si>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</si>
  <si>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</si>
  <si>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</si>
  <si>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</si>
  <si>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</si>
  <si>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</si>
  <si>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</si>
  <si>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</si>
  <si>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</si>
  <si>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</si>
  <si>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</si>
  <si>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</si>
  <si>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</si>
  <si>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</si>
  <si>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</si>
  <si>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</si>
  <si>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</si>
  <si>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</si>
  <si>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</si>
  <si>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</si>
  <si>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</si>
  <si>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</si>
  <si>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</si>
  <si>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</si>
  <si>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</si>
  <si>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</si>
  <si>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</si>
  <si>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</si>
  <si>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</si>
  <si>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</si>
  <si>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</si>
  <si>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</si>
  <si>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</si>
  <si>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</si>
  <si>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</si>
  <si>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</si>
  <si>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</si>
  <si>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</si>
  <si>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</si>
  <si>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</si>
  <si>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</si>
  <si>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</si>
  <si>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</si>
  <si>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</si>
  <si>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</si>
  <si>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</si>
  <si>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</si>
  <si>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</si>
  <si>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</si>
  <si>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</si>
  <si>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</si>
  <si>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</si>
  <si>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</si>
  <si>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</si>
  <si>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</si>
  <si>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</si>
  <si>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</si>
  <si>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</si>
  <si>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</si>
  <si>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</si>
  <si>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</si>
  <si>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</si>
  <si>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</si>
  <si>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</si>
  <si>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</si>
  <si>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</si>
  <si>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</si>
  <si>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</si>
  <si>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</si>
  <si>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</si>
  <si>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</si>
  <si>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</si>
  <si>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</si>
  <si>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</si>
  <si>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</si>
  <si>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</si>
  <si>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</si>
  <si>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</si>
  <si>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</si>
  <si>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</si>
  <si>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</si>
  <si>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</si>
  <si>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</si>
  <si>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</si>
  <si>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</si>
  <si>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</si>
  <si>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</si>
  <si>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</si>
  <si>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</si>
  <si>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</si>
  <si>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</si>
  <si>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</si>
  <si>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</si>
  <si>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</si>
  <si>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</si>
  <si>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</si>
  <si>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</si>
  <si>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</si>
  <si>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</si>
  <si>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</si>
  <si>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</si>
  <si>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</si>
  <si>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</si>
  <si>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</si>
  <si>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</si>
  <si>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</si>
  <si>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</si>
  <si>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</si>
  <si>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</si>
  <si>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</si>
  <si>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</si>
  <si>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</si>
  <si>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</si>
  <si>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</si>
  <si>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</si>
  <si>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</si>
  <si>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</si>
  <si>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</si>
  <si>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</si>
  <si>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</si>
  <si>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</si>
  <si>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</si>
  <si>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</si>
  <si>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</si>
  <si>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</si>
  <si>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</si>
  <si>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</si>
  <si>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</si>
  <si>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</si>
  <si>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</si>
  <si>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</si>
  <si>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</si>
  <si>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</si>
  <si>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</si>
  <si>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</si>
  <si>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</si>
  <si>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</si>
  <si>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</si>
  <si>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</si>
  <si>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</si>
  <si>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</si>
  <si>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</si>
  <si>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</si>
  <si>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</si>
  <si>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</si>
  <si>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</si>
  <si>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</si>
  <si>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</si>
  <si>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</si>
  <si>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</si>
  <si>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</si>
  <si>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</si>
  <si>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</si>
  <si>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</si>
  <si>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</si>
  <si>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</si>
  <si>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</si>
  <si>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</si>
  <si>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</si>
  <si>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</si>
  <si>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</si>
  <si>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</si>
  <si>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</si>
  <si>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</si>
  <si>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</si>
  <si>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</si>
  <si>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</si>
  <si>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</si>
  <si>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</si>
  <si>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</si>
  <si>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</si>
  <si>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</si>
  <si>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</si>
  <si>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</si>
  <si>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</si>
  <si>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</si>
  <si>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</si>
  <si>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</si>
  <si>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</si>
  <si>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</si>
  <si>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</si>
  <si>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</si>
  <si>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</si>
  <si>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</si>
  <si>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</si>
  <si>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</si>
  <si>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</si>
  <si>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</si>
  <si>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</si>
  <si>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</si>
  <si>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</si>
  <si>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</si>
  <si>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</si>
  <si>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</si>
  <si>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</si>
  <si>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</si>
  <si>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</si>
  <si>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</si>
  <si>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</si>
  <si>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</si>
  <si>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</si>
  <si>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</si>
  <si>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</si>
  <si>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</si>
  <si>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</si>
  <si>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</si>
  <si>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</si>
  <si>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</si>
  <si>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</si>
  <si>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</si>
  <si>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</si>
  <si>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</si>
  <si>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</si>
  <si>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</si>
  <si>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</si>
  <si>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</si>
  <si>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</si>
  <si>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</si>
  <si>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</si>
  <si>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</si>
  <si>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</si>
  <si>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</si>
  <si>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</si>
  <si>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</si>
  <si>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</si>
  <si>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</si>
  <si>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</si>
  <si>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</si>
  <si>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</si>
  <si>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</si>
  <si>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</si>
  <si>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</si>
  <si>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</si>
  <si>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</si>
  <si>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</si>
  <si>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</si>
  <si>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</si>
  <si>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</si>
  <si>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</si>
  <si>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</si>
  <si>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</si>
  <si>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</si>
  <si>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</si>
  <si>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</si>
  <si>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</si>
  <si>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</si>
  <si>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</si>
  <si>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</si>
  <si>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</si>
  <si>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</si>
  <si>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</si>
  <si>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</si>
  <si>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</si>
  <si>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</si>
  <si>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</si>
  <si>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</si>
  <si>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</si>
  <si>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</si>
  <si>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</si>
  <si>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</si>
  <si>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</si>
  <si>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</si>
  <si>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</si>
  <si>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</si>
  <si>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</si>
  <si>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</si>
  <si>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</si>
  <si>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</si>
  <si>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</si>
  <si>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</si>
  <si>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</si>
  <si>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</si>
  <si>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</si>
  <si>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</si>
  <si>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</si>
  <si>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</si>
  <si>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</si>
  <si>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</si>
  <si>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</si>
  <si>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</si>
  <si>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</si>
  <si>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</si>
  <si>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</si>
  <si>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</si>
  <si>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</si>
  <si>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</si>
  <si>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</si>
  <si>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</si>
  <si>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</si>
  <si>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</si>
  <si>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</si>
  <si>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</si>
  <si>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</si>
  <si>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</si>
  <si>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</si>
  <si>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</si>
  <si>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</si>
  <si>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</si>
  <si>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</si>
  <si>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</si>
  <si>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</si>
  <si>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</si>
  <si>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</si>
  <si>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</si>
  <si>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</si>
  <si>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</si>
  <si>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</si>
  <si>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</si>
  <si>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</si>
  <si>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</si>
  <si>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</si>
  <si>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</si>
  <si>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</si>
  <si>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</si>
  <si>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</si>
  <si>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</si>
  <si>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</si>
  <si>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</si>
  <si>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</si>
  <si>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</si>
  <si>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</si>
  <si>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</si>
  <si>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</si>
  <si>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</si>
  <si>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</si>
  <si>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</si>
  <si>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</si>
  <si>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</si>
  <si>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</si>
  <si>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</si>
  <si>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</si>
  <si>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</si>
  <si>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</si>
  <si>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</si>
  <si>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</si>
  <si>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</si>
  <si>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</si>
  <si>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</si>
  <si>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</si>
  <si>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</si>
  <si>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</si>
  <si>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</si>
  <si>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</si>
  <si>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</si>
  <si>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</si>
  <si>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</si>
  <si>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</si>
  <si>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</si>
  <si>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</si>
  <si>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</si>
  <si>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</si>
  <si>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</si>
  <si>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</si>
  <si>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</si>
  <si>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</si>
  <si>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</si>
  <si>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</si>
  <si>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</si>
  <si>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</si>
  <si>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</si>
  <si>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</si>
  <si>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</si>
  <si>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</si>
  <si>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</si>
  <si>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</si>
  <si>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</si>
  <si>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</si>
  <si>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</si>
  <si>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</si>
  <si>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</si>
  <si>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</si>
  <si>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</si>
  <si>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</si>
  <si>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</si>
  <si>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</si>
  <si>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</si>
  <si>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</si>
  <si>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</si>
  <si>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</si>
  <si>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</si>
  <si>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</si>
  <si>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</si>
  <si>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</si>
  <si>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</si>
  <si>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</si>
  <si>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</si>
  <si>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</si>
  <si>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</si>
  <si>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</si>
  <si>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</si>
  <si>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</si>
  <si>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</si>
  <si>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</si>
  <si>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</si>
  <si>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</si>
  <si>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</si>
  <si>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</si>
  <si>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</si>
  <si>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</si>
  <si>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</si>
  <si>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</si>
  <si>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</si>
  <si>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</si>
  <si>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</si>
  <si>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</si>
  <si>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</si>
  <si>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</si>
  <si>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</si>
  <si>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</si>
  <si>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</si>
  <si>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</si>
  <si>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</si>
  <si>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</si>
  <si>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</si>
  <si>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</si>
  <si>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</si>
  <si>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</si>
  <si>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</si>
  <si>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</si>
  <si>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</si>
  <si>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</si>
  <si>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</si>
  <si>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</si>
  <si>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</si>
  <si>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</si>
  <si>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</si>
  <si>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</si>
  <si>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</si>
  <si>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</si>
  <si>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</si>
  <si>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</si>
  <si>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</si>
  <si>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</si>
  <si>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</si>
  <si>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</si>
  <si>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</si>
  <si>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</si>
  <si>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</si>
  <si>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</si>
  <si>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</si>
  <si>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</si>
  <si>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</si>
  <si>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</si>
  <si>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</si>
  <si>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</si>
  <si>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</si>
  <si>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</si>
  <si>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</si>
  <si>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</si>
  <si>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</si>
  <si>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</si>
  <si>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</si>
  <si>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</si>
  <si>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</si>
  <si>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</si>
  <si>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</si>
  <si>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</si>
  <si>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</si>
  <si>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</si>
  <si>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</si>
  <si>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</si>
  <si>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</si>
  <si>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</si>
  <si>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</si>
  <si>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</si>
  <si>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</si>
  <si>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</si>
  <si>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</si>
  <si>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</si>
  <si>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</si>
  <si>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</si>
  <si>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</si>
  <si>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</si>
  <si>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</si>
  <si>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</si>
  <si>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</si>
  <si>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</si>
  <si>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</si>
  <si>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</si>
  <si>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</si>
  <si>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</si>
  <si>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</si>
  <si>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</si>
  <si>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</si>
  <si>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</si>
  <si>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</si>
  <si>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</si>
  <si>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</si>
  <si>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</si>
  <si>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</si>
  <si>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</si>
  <si>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</si>
  <si>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</si>
  <si>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</si>
  <si>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</si>
  <si>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</si>
  <si>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</si>
  <si>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</si>
  <si>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</si>
  <si>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</si>
  <si>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</si>
  <si>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</si>
  <si>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</si>
  <si>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</si>
  <si>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</si>
  <si>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</si>
  <si>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</si>
  <si>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</si>
  <si>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</si>
  <si>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</si>
  <si>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</si>
  <si>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</si>
  <si>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</si>
  <si>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</si>
  <si>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</si>
  <si>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</si>
  <si>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</si>
  <si>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</si>
  <si>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</si>
  <si>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</si>
  <si>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</si>
  <si>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</si>
  <si>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</si>
  <si>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</si>
  <si>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</si>
  <si>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</si>
  <si>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</si>
  <si>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</si>
  <si>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</si>
  <si>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</si>
  <si>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</si>
  <si>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</si>
  <si>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</si>
  <si>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</si>
  <si>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</si>
  <si>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</si>
  <si>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</si>
  <si>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</si>
  <si>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</si>
  <si>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</si>
  <si>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</si>
  <si>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</si>
  <si>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</si>
  <si>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</si>
  <si>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</si>
  <si>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</si>
  <si>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</si>
  <si>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</si>
  <si>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</si>
  <si>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</si>
  <si>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</si>
  <si>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</si>
  <si>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</si>
  <si>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</si>
  <si>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</si>
  <si>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</si>
  <si>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</si>
  <si>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</si>
  <si>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</si>
  <si>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</si>
  <si>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</si>
  <si>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</si>
  <si>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</si>
  <si>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</si>
  <si>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</si>
  <si>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</si>
  <si>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</si>
  <si>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</si>
  <si>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</si>
  <si>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</si>
  <si>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</si>
  <si>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</si>
  <si>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</si>
  <si>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</si>
  <si>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</si>
  <si>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</si>
  <si>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</si>
  <si>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</si>
  <si>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</si>
  <si>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</si>
  <si>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</si>
  <si>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</si>
  <si>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</si>
  <si>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</si>
  <si>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</si>
  <si>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</si>
  <si>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</si>
  <si>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</si>
  <si>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</si>
  <si>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</si>
  <si>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</si>
  <si>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</si>
  <si>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</si>
  <si>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</si>
  <si>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</si>
  <si>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</si>
  <si>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</si>
  <si>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</si>
  <si>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</si>
  <si>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</si>
  <si>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</si>
  <si>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</si>
  <si>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</si>
  <si>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</si>
  <si>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</si>
  <si>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</si>
  <si>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</si>
  <si>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</si>
  <si>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</si>
  <si>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</si>
  <si>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</si>
  <si>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</si>
  <si>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</si>
  <si>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</si>
  <si>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</si>
  <si>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</si>
  <si>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</si>
  <si>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</si>
  <si>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</si>
  <si>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</si>
  <si>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</si>
  <si>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</si>
  <si>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</si>
  <si>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</si>
  <si>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</si>
  <si>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</si>
  <si>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</si>
  <si>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</si>
  <si>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</si>
  <si>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</si>
  <si>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</si>
  <si>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</si>
  <si>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</si>
  <si>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</si>
  <si>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</si>
  <si>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</si>
  <si>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</si>
  <si>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</si>
  <si>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</si>
  <si>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</si>
  <si>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</si>
  <si>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</si>
  <si>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</si>
  <si>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</si>
  <si>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</si>
  <si>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</si>
  <si>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</si>
  <si>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</si>
  <si>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</si>
  <si>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</si>
  <si>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</si>
  <si>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</si>
  <si>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</si>
  <si>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</si>
  <si>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</si>
  <si>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</si>
  <si>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</si>
  <si>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</si>
  <si>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</si>
  <si>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</si>
  <si>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</si>
  <si>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</si>
  <si>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</si>
  <si>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</si>
  <si>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</si>
  <si>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</si>
  <si>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</si>
  <si>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</si>
  <si>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</si>
  <si>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</si>
  <si>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</si>
  <si>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</si>
  <si>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</si>
  <si>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</si>
  <si>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</si>
  <si>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</si>
  <si>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</si>
  <si>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</si>
  <si>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</si>
  <si>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</si>
  <si>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</si>
  <si>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</si>
  <si>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</si>
  <si>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</si>
  <si>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</si>
  <si>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</si>
  <si>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</si>
  <si>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</si>
  <si>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</si>
  <si>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</si>
  <si>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</si>
  <si>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</si>
  <si>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</si>
  <si>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</si>
  <si>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</si>
  <si>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</si>
  <si>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</si>
  <si>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</si>
  <si>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</si>
  <si>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</si>
  <si>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</si>
  <si>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</si>
  <si>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</si>
  <si>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</si>
  <si>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</si>
  <si>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</si>
  <si>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</si>
  <si>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</si>
  <si>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</si>
  <si>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</si>
  <si>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</si>
  <si>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</si>
  <si>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</si>
  <si>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</si>
  <si>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</si>
  <si>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</si>
  <si>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</si>
  <si>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</si>
  <si>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</si>
  <si>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</si>
  <si>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</si>
  <si>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</si>
  <si>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</si>
  <si>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</si>
  <si>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</si>
  <si>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</si>
  <si>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</si>
  <si>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</si>
  <si>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</si>
  <si>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</si>
  <si>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</si>
  <si>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</si>
  <si>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</si>
  <si>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</si>
  <si>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</si>
  <si>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</si>
  <si>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</si>
  <si>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</si>
  <si>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</si>
  <si>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</si>
  <si>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</si>
  <si>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</si>
  <si>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</si>
  <si>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</si>
  <si>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</si>
  <si>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</si>
  <si>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</si>
  <si>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</si>
  <si>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</si>
  <si>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</si>
  <si>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</si>
  <si>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</si>
  <si>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</si>
  <si>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</si>
  <si>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</si>
  <si>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</si>
  <si>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</si>
  <si>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</si>
  <si>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</si>
  <si>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</si>
  <si>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</si>
  <si>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</si>
  <si>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</si>
  <si>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</si>
  <si>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</si>
  <si>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</si>
  <si>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</si>
  <si>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</si>
  <si>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</si>
  <si>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</si>
  <si>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</si>
  <si>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</si>
  <si>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</si>
  <si>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</si>
  <si>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</si>
  <si>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</si>
  <si>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</si>
  <si>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</si>
  <si>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</si>
  <si>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</si>
  <si>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</si>
  <si>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</si>
  <si>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</si>
  <si>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</si>
  <si>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</si>
  <si>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</si>
  <si>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</si>
  <si>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</si>
  <si>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</si>
  <si>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</si>
  <si>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</si>
  <si>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</si>
  <si>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</si>
  <si>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</si>
  <si>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</si>
  <si>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</si>
  <si>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</si>
  <si>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</si>
  <si>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</si>
  <si>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</si>
  <si>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</si>
  <si>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</si>
  <si>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</si>
  <si>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</si>
  <si>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</si>
  <si>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</si>
  <si>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</si>
  <si>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</si>
  <si>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</si>
  <si>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</si>
  <si>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</si>
  <si>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</si>
  <si>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</si>
  <si>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</si>
  <si>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</si>
  <si>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</si>
  <si>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</si>
  <si>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</si>
  <si>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</si>
  <si>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</si>
  <si>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</si>
  <si>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</si>
  <si>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</si>
  <si>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</si>
  <si>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</si>
  <si>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</si>
  <si>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</si>
  <si>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</si>
  <si>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</si>
  <si>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</si>
  <si>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</si>
  <si>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</si>
  <si>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</si>
  <si>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</si>
  <si>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</si>
  <si>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</si>
  <si>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</si>
  <si>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</si>
  <si>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</si>
  <si>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</si>
  <si>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</si>
  <si>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</si>
  <si>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</si>
  <si>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</si>
  <si>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</si>
  <si>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</si>
  <si>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</si>
  <si>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</si>
  <si>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</si>
  <si>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</si>
  <si>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</si>
  <si>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</si>
  <si>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</si>
  <si>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</si>
  <si>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</si>
  <si>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</si>
  <si>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</si>
  <si>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</si>
  <si>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</si>
  <si>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</si>
  <si>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</si>
  <si>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</si>
  <si>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</si>
  <si>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</si>
  <si>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</si>
  <si>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</si>
  <si>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</si>
  <si>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</si>
  <si>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</si>
  <si>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</si>
  <si>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</si>
  <si>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</si>
  <si>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</si>
  <si>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</si>
  <si>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</si>
  <si>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</si>
  <si>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</si>
  <si>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</si>
  <si>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</si>
  <si>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</si>
  <si>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</si>
  <si>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</si>
  <si>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</si>
  <si>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</si>
  <si>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</si>
  <si>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</si>
  <si>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</si>
  <si>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</si>
  <si>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</si>
  <si>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</si>
  <si>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</si>
  <si>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</si>
  <si>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</si>
  <si>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</si>
  <si>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</si>
  <si>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</si>
  <si>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</si>
  <si>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</si>
  <si>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</si>
  <si>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</si>
  <si>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</si>
  <si>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</si>
  <si>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</si>
  <si>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</si>
  <si>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</si>
  <si>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</si>
  <si>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</si>
  <si>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</si>
  <si>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</si>
  <si>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</si>
  <si>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</si>
  <si>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</si>
  <si>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</si>
  <si>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</si>
  <si>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</si>
  <si>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</si>
  <si>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</si>
  <si>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</si>
  <si>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</si>
  <si>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</si>
  <si>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</si>
  <si>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</si>
  <si>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</si>
  <si>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</si>
  <si>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</si>
  <si>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</si>
  <si>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</si>
  <si>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</si>
  <si>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</si>
  <si>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</si>
  <si>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</si>
  <si>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</si>
  <si>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</si>
  <si>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</si>
  <si>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</si>
  <si>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</si>
  <si>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</si>
  <si>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</si>
  <si>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</si>
  <si>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</si>
  <si>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</si>
  <si>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</si>
  <si>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</si>
  <si>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</si>
  <si>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</si>
  <si>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</si>
  <si>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</si>
  <si>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</si>
  <si>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</si>
  <si>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</si>
  <si>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</si>
  <si>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</si>
  <si>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</si>
  <si>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</si>
  <si>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</si>
  <si>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</si>
  <si>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</si>
  <si>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</si>
  <si>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</si>
  <si>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</si>
  <si>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</si>
  <si>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</si>
  <si>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</si>
  <si>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</si>
  <si>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</si>
  <si>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</si>
  <si>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</si>
  <si>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</si>
  <si>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</si>
  <si>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</si>
  <si>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</si>
  <si>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</si>
  <si>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</si>
  <si>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</si>
  <si>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</si>
  <si>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</si>
  <si>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</si>
  <si>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</si>
  <si>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</si>
  <si>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</si>
  <si>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</si>
  <si>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</si>
  <si>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</si>
  <si>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</si>
  <si>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</si>
  <si>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</si>
  <si>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</si>
  <si>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</si>
  <si>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</si>
  <si>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</si>
  <si>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</si>
  <si>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</si>
  <si>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</si>
  <si>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</si>
  <si>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</si>
  <si>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</si>
  <si>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</si>
  <si>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</si>
  <si>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</si>
  <si>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</si>
  <si>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</si>
  <si>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</si>
  <si>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</si>
  <si>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</si>
  <si>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</si>
  <si>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</si>
  <si>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</si>
  <si>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</si>
  <si>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</si>
  <si>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</si>
  <si>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</si>
  <si>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</si>
  <si>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</si>
  <si>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</si>
  <si>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</si>
  <si>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</si>
  <si>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</si>
  <si>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</si>
  <si>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</si>
  <si>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</si>
  <si>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</si>
  <si>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</si>
  <si>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</si>
  <si>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</si>
  <si>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</si>
  <si>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</si>
  <si>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</si>
  <si>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</si>
  <si>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</si>
  <si>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</si>
  <si>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</si>
  <si>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</si>
  <si>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</si>
  <si>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</si>
  <si>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</si>
  <si>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</si>
  <si>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</si>
  <si>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</si>
  <si>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</si>
  <si>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</si>
  <si>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</si>
  <si>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</si>
  <si>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</si>
  <si>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</si>
  <si>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</si>
  <si>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</si>
  <si>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</si>
  <si>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</si>
  <si>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</si>
  <si>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</si>
  <si>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</si>
  <si>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</si>
  <si>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</si>
  <si>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</si>
  <si>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</si>
  <si>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</si>
  <si>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</si>
  <si>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</si>
  <si>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</si>
  <si>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</si>
  <si>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</si>
  <si>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</si>
  <si>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</si>
  <si>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</si>
  <si>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</si>
  <si>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</si>
  <si>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</si>
  <si>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</si>
  <si>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</si>
  <si>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0 /3</t>
  </si>
  <si>
    <t>-1</t>
  </si>
  <si>
    <t>Список клиентов 1С на 29.08.13</t>
  </si>
  <si>
    <t>Рассматриваются документы с даты 01.01.07 по дату 29.08.13</t>
  </si>
  <si>
    <t>LOADER</t>
  </si>
  <si>
    <t>CheckRepDate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</si>
  <si>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</si>
  <si>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</si>
  <si>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</si>
  <si>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</si>
  <si>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</si>
  <si>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</si>
  <si>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</si>
  <si>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&lt;ForProcess&gt;</t>
  </si>
  <si>
    <t>2)Value</t>
  </si>
  <si>
    <t>Paid1C</t>
  </si>
  <si>
    <t>SheetSort</t>
  </si>
  <si>
    <t>Descend</t>
  </si>
  <si>
    <t>&lt; WARNING &gt; Адаптер&gt; ссылка SFacc/3:6(0012000000MXkEp) не работает, результат &lt;пусто&gt;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</si>
  <si>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</si>
  <si>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</si>
  <si>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&lt; WARNING &gt; Адаптер&gt; ссылка SFD/4:15(2013-2-26) не работает, результат &lt;пусто&gt;</t>
  </si>
  <si>
    <t>&lt; WARNING &gt; В строке 820Платежей 1С ссылка на Договор 2008-1-048,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</si>
  <si>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</si>
  <si>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WrCSV&gt; в 'Payment.txt' записано 12 строк.</t>
  </si>
  <si>
    <t>&lt; WARNING &gt; В строке 705Платежей 1С ссылка на Договор 2008-2-008, которого нет в листе Договоров 1С</t>
  </si>
  <si>
    <t>&lt; WARNING &gt; В строке 722Платежей 1С ссылка на Договор 1311-07, которого нет в листе Договоров 1С</t>
  </si>
  <si>
    <t>&lt; WARNING &gt; В строке 818Платежей 1С ссылка на Договор 2008-1-048, которого нет в листе Договоров 1С</t>
  </si>
  <si>
    <t>&lt; WARNING &gt; В строке 819Платежей 1С ссылка на Договор 2008-1-048, которого нет в листе Договоров 1С</t>
  </si>
  <si>
    <t>&lt; WARNING &gt; В строке 959Платежей 1С ссылка на Договор 0107-07/2с, которого нет в листе Договоров 1С</t>
  </si>
  <si>
    <t>&lt; WARNING &gt; В строке 960Платежей 1С ссылка на Договор 0107-07/2с, которого нет в листе Договоров 1С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</si>
  <si>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</si>
  <si>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</si>
  <si>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</si>
  <si>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</si>
  <si>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</si>
  <si>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</si>
  <si>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</si>
  <si>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ВНИМАНИЕ:WrNewSheet: Ошибка при записи в лист 'NewContract'_x000D_
 из листа 'Договоры' строки=1310_x000D_
 в колонке=4 =13 X=ООО "ПетроСАПР"_x000D_
 Адаптер=Мы/2 Fetch =</t>
  </si>
  <si>
    <t>001D000001Bsfmi</t>
  </si>
  <si>
    <t>ООО "ПетроСАПР"</t>
  </si>
  <si>
    <t>ВНИМАНИЕ:WrNewSheet: Ошибка при записи в лист 'NewContract'_x000D_
 из листа 'Договоры' строки=1377_x000D_
 в колонке=6 =14 X=Хабаров Алексей Валерьевич_x000D_
 Адаптер=Продавец_в_SF/3 Fetch =</t>
  </si>
  <si>
    <t>Хабаров Алексей Валерьевич</t>
  </si>
  <si>
    <t>Хабаров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</si>
  <si>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</si>
  <si>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</si>
  <si>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</si>
  <si>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В строке 465Платежей 1С ссылка на Договор №105-06/1с, которого нет в листе Договоров 1С</t>
  </si>
  <si>
    <t>&lt; WARNING &gt; В строке 508Платежей 1С ссылка на Договор №105-06/1с, которого нет в листе Договоров 1С</t>
  </si>
  <si>
    <t>&lt; WARNING &gt; В строке 591Платежей 1С ссылка на Договор №105-06/1с, которого нет в листе Договоров 1С</t>
  </si>
  <si>
    <t>&lt; WARNING &gt; В строке 626Платежей 1С ссылка на Договор №105-06/1с, которого нет в листе Договоров 1С</t>
  </si>
  <si>
    <t>&lt; WARNING &gt; В строке 678Платежей 1С ссылка на Договор №105-06/1с, которого нет в листе Договоров 1С</t>
  </si>
  <si>
    <t>&lt; WARNING &gt; В строке 704Платежей 1С ссылка на Договор 2008-2-008, которого нет в листе Договоров 1С</t>
  </si>
  <si>
    <t>&lt; WARNING &gt; В строке 709Платежей 1С ссылка на Договор №105-06/1с,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</si>
  <si>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</si>
  <si>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720Платежей 1С ссылка на Договор 2008-2-050, которого нет в листе Договоров 1С</t>
  </si>
  <si>
    <t>&lt; WARNING &gt; В строке 721Платежей 1С ссылка на Договор 1311-07, которого нет в листе Договоров 1С</t>
  </si>
  <si>
    <t>&lt; WARNING &gt; В строке 743Платежей 1С ссылка на Договор №105-06/1с, которого нет в листе Договоров 1С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</si>
  <si>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</si>
  <si>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В строке 814Платежей 1С ссылка на Договор №105-06/1с,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</si>
  <si>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</si>
  <si>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822Платежей 1С ссылка на Договор №105-06/1с, которого нет в листе Договоров 1С</t>
  </si>
  <si>
    <t>&lt; WARNING &gt; В строке 831Платежей 1С ссылка на Договор №105-06/1с, которого нет в листе Договоров 1С</t>
  </si>
  <si>
    <t>&lt; WARNING &gt; В строке 855Платежей 1С ссылка на Договор №105-06/1с, которого нет в листе Договоров 1С</t>
  </si>
  <si>
    <t>&lt; WARNING &gt; В строке 892Платежей 1С ссылка на Договор №105-06/1с, которого нет в листе Договоров 1С</t>
  </si>
  <si>
    <t>&lt; WARNING &gt; В строке 958Платежей 1С ссылка на Договор 0107-07/2с, которого нет в листе Договоров 1С</t>
  </si>
  <si>
    <t>&lt; WARNING &gt; В строке 1048Платежей 1С ссылка на Договор №105-06/1с, которого нет в листе Договоров 1С</t>
  </si>
  <si>
    <t>WrCSV&gt; в 'Dogovor.txt' записано 10 строк.</t>
  </si>
  <si>
    <t>&lt; WARNING &gt; Адаптер&gt; ссылка SFopp/4:№(ОАО 58-й Центральный проектный институт) не работает, результат &lt;пусто&gt;</t>
  </si>
  <si>
    <t>ВНИМАНИЕ:OppSelect&gt; Не найдено ни одного Проекта</t>
  </si>
  <si>
    <t>&lt;! ERROR !&gt; OppSelect&gt; Внутренняя ошибка FetchDoс- нечисловой незультат по №</t>
  </si>
  <si>
    <t>&lt; WARNING &gt; Адаптер&gt; ссылка SFopp/4:№(ОАО "ЦКБ МТ "Рубин")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</si>
  <si>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</si>
  <si>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&lt;! ERROR !&gt; GetRep &gt; Не найден Штамп в Документе 'В Salesforce нет подходящих Проектов. '_x000D_
_x000D_
Этот Документ надо загрузить в match заново или _x000D_
исправить параметры в TOCmatch.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</si>
</sst>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80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6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38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0" fontId="63" fillId="0" borderId="0" xfId="44" applyFont="1"/>
    <xf numFmtId="0" fontId="66" fillId="0" borderId="0" xfId="44" applyFont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164" fontId="1" fillId="20" borderId="0" xfId="1" applyFill="1" applyAlignment="1">
      <alignment wrapText="1"/>
    </xf>
    <xf numFmtId="49" fontId="0" fillId="20" borderId="3" xfId="1" applyNumberFormat="1" applyFont="1" applyFill="1" applyBorder="1" applyAlignment="1">
      <alignment horizontal="center" vertical="center"/>
    </xf>
    <xf numFmtId="164" fontId="0" fillId="0" borderId="16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3" xfId="1" applyNumberFormat="1" applyFont="1" applyFill="1" applyBorder="1" applyAlignment="1">
      <alignment horizontal="center" vertical="center"/>
    </xf>
    <xf numFmtId="0" fontId="1" fillId="20" borderId="0" xfId="1" applyNumberFormat="1" applyFill="1" applyBorder="1" applyAlignment="1">
      <alignment horizontal="left" vertical="center"/>
    </xf>
    <xf numFmtId="49" fontId="1" fillId="44" borderId="2" xfId="1" applyNumberFormat="1" applyFill="1" applyBorder="1" applyAlignment="1">
      <alignment horizontal="center" vertical="center" wrapText="1"/>
    </xf>
    <xf numFmtId="49" fontId="1" fillId="44" borderId="2" xfId="1" applyNumberFormat="1" applyFill="1" applyBorder="1" applyAlignment="1">
      <alignment horizontal="left" vertical="center" wrapText="1"/>
    </xf>
    <xf numFmtId="49" fontId="0" fillId="0" borderId="0" xfId="11" applyNumberFormat="1" applyFont="1" applyAlignment="1">
      <alignment wrapText="1"/>
    </xf>
    <xf numFmtId="164" fontId="7" fillId="0" borderId="0" xfId="1" applyFont="1" applyAlignment="1">
      <alignment horizontal="center" textRotation="90"/>
    </xf>
    <xf numFmtId="164" fontId="1" fillId="0" borderId="0" xfId="1" applyAlignment="1">
      <alignment horizontal="center"/>
    </xf>
    <xf numFmtId="164" fontId="1" fillId="0" borderId="0" xfId="1" applyAlignment="1"/>
    <xf numFmtId="164" fontId="7" fillId="0" borderId="0" xfId="1" applyFont="1" applyAlignment="1">
      <alignment textRotation="90"/>
    </xf>
    <xf numFmtId="164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</cellXfs>
  <cellStyles count="46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22" activePane="bottomRight" state="frozen"/>
      <selection pane="topRight" activeCell="C1" sqref="C1"/>
      <selection pane="bottomLeft" activeCell="A4" sqref="A4"/>
      <selection pane="bottomRight" activeCell="C52" sqref="C5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41524.089803240742</v>
      </c>
      <c r="C1" s="3" t="s">
        <v>0</v>
      </c>
      <c r="J1" s="4" t="s">
        <v>1</v>
      </c>
      <c r="K1" s="5"/>
      <c r="L1" s="6"/>
      <c r="M1" s="6"/>
      <c r="N1" s="6"/>
      <c r="O1" s="910" t="s">
        <v>2</v>
      </c>
      <c r="P1" s="911" t="s">
        <v>1205</v>
      </c>
      <c r="Q1" s="911" t="s">
        <v>1204</v>
      </c>
      <c r="R1" s="907" t="s">
        <v>3</v>
      </c>
      <c r="S1" s="907" t="s">
        <v>4</v>
      </c>
      <c r="V1" s="907" t="s">
        <v>1199</v>
      </c>
      <c r="W1" s="907" t="s">
        <v>1200</v>
      </c>
      <c r="X1" s="907" t="s">
        <v>1201</v>
      </c>
      <c r="Y1" s="907" t="s">
        <v>1202</v>
      </c>
      <c r="Z1" s="907" t="s">
        <v>1203</v>
      </c>
    </row>
    <row r="2" spans="1:27" ht="29.25" customHeight="1" x14ac:dyDescent="0.25">
      <c r="O2" s="909"/>
      <c r="P2" s="908"/>
      <c r="Q2" s="908"/>
      <c r="R2" s="908"/>
      <c r="S2" s="908"/>
      <c r="V2" s="908"/>
      <c r="W2" s="908"/>
      <c r="X2" s="908"/>
      <c r="Y2" s="908"/>
      <c r="Z2" s="908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909"/>
      <c r="W3" s="909"/>
      <c r="X3" s="909"/>
      <c r="Y3" s="909"/>
      <c r="Z3" s="909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71" t="s">
        <v>1217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41523.758668981478</v>
      </c>
      <c r="B8" s="22" t="s">
        <v>32</v>
      </c>
      <c r="C8" s="23">
        <v>5798</v>
      </c>
      <c r="D8" s="23">
        <v>5</v>
      </c>
      <c r="E8" s="23">
        <v>2</v>
      </c>
      <c r="F8" s="2" t="s">
        <v>33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41517</v>
      </c>
      <c r="O8" s="29" t="s">
        <v>29</v>
      </c>
      <c r="P8" s="30" t="s">
        <v>171</v>
      </c>
      <c r="Q8" s="30" t="s">
        <v>172</v>
      </c>
      <c r="R8" s="30">
        <v>41500</v>
      </c>
      <c r="S8" s="30">
        <v>41515</v>
      </c>
      <c r="T8" s="22" t="s">
        <v>38</v>
      </c>
      <c r="V8" s="27">
        <v>2</v>
      </c>
      <c r="W8" s="27" t="s">
        <v>7</v>
      </c>
      <c r="X8" s="27">
        <v>2</v>
      </c>
      <c r="Y8" s="30">
        <v>41514</v>
      </c>
      <c r="Z8" s="30">
        <v>41516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41522.086319444446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183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41516</v>
      </c>
      <c r="O10" s="47" t="s">
        <v>29</v>
      </c>
      <c r="P10" s="853" t="s">
        <v>175</v>
      </c>
      <c r="Q10" s="196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41456</v>
      </c>
      <c r="Z10" s="38">
        <v>41514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41522.086342592593</v>
      </c>
      <c r="B12" s="2" t="s">
        <v>49</v>
      </c>
      <c r="C12" s="41">
        <v>2017</v>
      </c>
      <c r="D12" s="41">
        <v>1</v>
      </c>
      <c r="E12" s="868" t="s">
        <v>1216</v>
      </c>
      <c r="F12" s="2" t="s">
        <v>183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41515</v>
      </c>
      <c r="O12" s="47" t="s">
        <v>29</v>
      </c>
      <c r="P12" s="853" t="s">
        <v>1214</v>
      </c>
      <c r="Q12" s="854" t="s">
        <v>1213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41522.114259259259</v>
      </c>
      <c r="B14" s="22" t="s">
        <v>58</v>
      </c>
      <c r="C14" s="23">
        <v>4913</v>
      </c>
      <c r="D14" s="23">
        <v>2</v>
      </c>
      <c r="E14" s="23">
        <v>6</v>
      </c>
      <c r="F14" s="22" t="s">
        <v>33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75">
        <v>41522.11041666667</v>
      </c>
      <c r="O14" s="29"/>
      <c r="P14" s="29" t="s">
        <v>181</v>
      </c>
      <c r="Q14" s="29" t="s">
        <v>182</v>
      </c>
      <c r="T14" s="22" t="s">
        <v>180</v>
      </c>
      <c r="Y14" s="55"/>
      <c r="Z14" s="55"/>
      <c r="AA14" s="55"/>
    </row>
    <row r="15" spans="1:27" ht="15.75" customHeight="1" x14ac:dyDescent="0.25">
      <c r="A15" s="12">
        <v>41522.086377314816</v>
      </c>
      <c r="B15" s="2" t="s">
        <v>63</v>
      </c>
      <c r="C15" s="41">
        <v>1172</v>
      </c>
      <c r="D15" s="42">
        <v>2</v>
      </c>
      <c r="E15" s="42">
        <v>6</v>
      </c>
      <c r="F15" s="2" t="s">
        <v>183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41522.084027777775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41522.084201388891</v>
      </c>
      <c r="B16" s="2" t="s">
        <v>65</v>
      </c>
      <c r="C16" s="41">
        <v>3555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41522.083333333336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41522.086388888885</v>
      </c>
      <c r="B17" s="2" t="s">
        <v>69</v>
      </c>
      <c r="C17" s="41">
        <v>4522</v>
      </c>
      <c r="D17" s="42" t="s">
        <v>66</v>
      </c>
      <c r="E17" s="42">
        <v>6</v>
      </c>
      <c r="F17" s="2" t="s">
        <v>183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41522.019444444442</v>
      </c>
      <c r="O17" s="47"/>
      <c r="Q17" s="47"/>
      <c r="T17" s="2" t="s">
        <v>188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0" customFormat="1" x14ac:dyDescent="0.25">
      <c r="A29" s="104">
        <v>41506.983391203707</v>
      </c>
      <c r="B29" s="90" t="s">
        <v>100</v>
      </c>
      <c r="C29" s="91">
        <v>339</v>
      </c>
      <c r="D29" s="92">
        <v>8</v>
      </c>
      <c r="E29" s="92">
        <v>19</v>
      </c>
      <c r="F29" s="90" t="s">
        <v>101</v>
      </c>
      <c r="G29" s="92">
        <v>10</v>
      </c>
      <c r="H29" s="90" t="s">
        <v>86</v>
      </c>
      <c r="I29" s="93" t="str">
        <f>B29</f>
        <v>Заказы</v>
      </c>
      <c r="J29" s="94" t="s">
        <v>102</v>
      </c>
      <c r="K29" s="95" t="s">
        <v>31</v>
      </c>
      <c r="L29" s="96" t="s">
        <v>62</v>
      </c>
      <c r="M29" s="96" t="s">
        <v>103</v>
      </c>
      <c r="N29" s="97">
        <v>41463.504687499997</v>
      </c>
      <c r="O29" s="90" t="s">
        <v>29</v>
      </c>
      <c r="P29" s="98"/>
      <c r="Q29" s="99" t="s">
        <v>104</v>
      </c>
      <c r="R29" s="32"/>
      <c r="S29" s="32"/>
      <c r="T29" s="90" t="s">
        <v>105</v>
      </c>
    </row>
    <row r="30" spans="1:27" s="32" customFormat="1" x14ac:dyDescent="0.25">
      <c r="A30" s="100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1"/>
    </row>
    <row r="31" spans="1:27" x14ac:dyDescent="0.25">
      <c r="A31" s="102"/>
      <c r="C31" s="103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1"/>
    </row>
    <row r="32" spans="1:27" x14ac:dyDescent="0.25">
      <c r="A32" s="102"/>
      <c r="C32" s="103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1"/>
    </row>
    <row r="33" spans="1:20" x14ac:dyDescent="0.25">
      <c r="A33" s="102"/>
      <c r="C33" s="103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1"/>
    </row>
    <row r="34" spans="1:20" s="90" customFormat="1" x14ac:dyDescent="0.25">
      <c r="A34" s="104">
        <v>41370.590057870373</v>
      </c>
      <c r="B34" s="90" t="s">
        <v>113</v>
      </c>
      <c r="C34" s="91" t="s">
        <v>114</v>
      </c>
      <c r="F34" s="90" t="s">
        <v>67</v>
      </c>
      <c r="G34" s="92">
        <v>10</v>
      </c>
      <c r="H34" s="90" t="s">
        <v>86</v>
      </c>
      <c r="I34" s="105" t="s">
        <v>113</v>
      </c>
      <c r="J34" s="94" t="s">
        <v>115</v>
      </c>
      <c r="K34" s="95" t="s">
        <v>23</v>
      </c>
      <c r="L34" s="96">
        <v>2</v>
      </c>
      <c r="M34" s="96">
        <v>1</v>
      </c>
      <c r="N34" s="97">
        <v>41370.585509259261</v>
      </c>
      <c r="O34" s="29" t="s">
        <v>29</v>
      </c>
      <c r="P34" s="98"/>
      <c r="T34" s="90" t="s">
        <v>226</v>
      </c>
    </row>
    <row r="35" spans="1:20" s="32" customFormat="1" x14ac:dyDescent="0.25">
      <c r="A35" s="100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1"/>
    </row>
    <row r="36" spans="1:20" s="32" customFormat="1" x14ac:dyDescent="0.25">
      <c r="A36" s="100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1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6"/>
      <c r="H37" s="22" t="s">
        <v>121</v>
      </c>
      <c r="I37" s="107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8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09"/>
      <c r="C40" s="110"/>
      <c r="J40" s="111" t="s">
        <v>127</v>
      </c>
      <c r="K40" s="67" t="s">
        <v>31</v>
      </c>
      <c r="L40" s="112">
        <v>3</v>
      </c>
      <c r="M40" s="112">
        <v>21</v>
      </c>
    </row>
    <row r="41" spans="1:20" s="114" customFormat="1" x14ac:dyDescent="0.25">
      <c r="A41" s="113">
        <v>0</v>
      </c>
      <c r="B41" s="114" t="s">
        <v>128</v>
      </c>
      <c r="C41" s="115">
        <v>1</v>
      </c>
      <c r="D41" s="115"/>
      <c r="E41" s="115"/>
      <c r="H41" s="114" t="s">
        <v>129</v>
      </c>
      <c r="I41" s="116" t="str">
        <f>B41</f>
        <v>DicAcc</v>
      </c>
      <c r="J41" s="117"/>
      <c r="K41" s="118" t="s">
        <v>130</v>
      </c>
      <c r="L41" s="119"/>
      <c r="M41" s="119"/>
      <c r="N41" s="120">
        <v>41237.062407407408</v>
      </c>
      <c r="O41" s="121"/>
      <c r="P41" s="114" t="s">
        <v>131</v>
      </c>
      <c r="Q41" s="121"/>
      <c r="R41" s="122"/>
    </row>
    <row r="42" spans="1:20" s="124" customFormat="1" x14ac:dyDescent="0.25">
      <c r="A42" s="123">
        <v>0</v>
      </c>
      <c r="B42" s="124" t="s">
        <v>132</v>
      </c>
      <c r="C42" s="125">
        <v>76</v>
      </c>
      <c r="D42" s="125"/>
      <c r="E42" s="125"/>
      <c r="F42" s="124" t="s">
        <v>133</v>
      </c>
      <c r="H42" s="124" t="s">
        <v>129</v>
      </c>
      <c r="I42" s="126" t="s">
        <v>132</v>
      </c>
      <c r="J42" s="127"/>
      <c r="K42" s="128" t="s">
        <v>130</v>
      </c>
      <c r="L42" s="129"/>
      <c r="M42" s="129"/>
      <c r="N42" s="130">
        <v>41410.834999999999</v>
      </c>
      <c r="O42" s="131"/>
      <c r="P42" s="124" t="s">
        <v>134</v>
      </c>
      <c r="Q42" s="131"/>
      <c r="R42" s="132"/>
    </row>
    <row r="43" spans="1:20" s="32" customFormat="1" x14ac:dyDescent="0.25">
      <c r="A43" s="133">
        <v>41523.758703703701</v>
      </c>
      <c r="B43" s="32" t="s">
        <v>135</v>
      </c>
      <c r="C43" s="79">
        <v>1</v>
      </c>
      <c r="D43" s="79"/>
      <c r="E43" s="79"/>
      <c r="F43" s="32" t="s">
        <v>136</v>
      </c>
      <c r="H43" s="32" t="s">
        <v>129</v>
      </c>
      <c r="I43" s="134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3">
        <v>41523.758692129632</v>
      </c>
      <c r="B44" s="32" t="s">
        <v>138</v>
      </c>
      <c r="C44" s="79">
        <v>1</v>
      </c>
      <c r="D44" s="79"/>
      <c r="E44" s="79"/>
      <c r="F44" s="32" t="s">
        <v>136</v>
      </c>
      <c r="H44" s="32" t="s">
        <v>129</v>
      </c>
      <c r="I44" s="134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3">
        <v>41344.979027777779</v>
      </c>
      <c r="B45" s="32" t="s">
        <v>140</v>
      </c>
      <c r="C45" s="79">
        <v>1</v>
      </c>
      <c r="D45" s="79"/>
      <c r="E45" s="79"/>
      <c r="F45" s="32" t="s">
        <v>101</v>
      </c>
      <c r="H45" s="32" t="s">
        <v>129</v>
      </c>
      <c r="I45" s="134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>
        <v>0</v>
      </c>
      <c r="B46" s="32" t="s">
        <v>142</v>
      </c>
      <c r="C46" s="79">
        <v>1</v>
      </c>
      <c r="D46" s="79"/>
      <c r="E46" s="79"/>
      <c r="H46" s="32" t="s">
        <v>129</v>
      </c>
      <c r="I46" s="134" t="s">
        <v>142</v>
      </c>
      <c r="J46" s="34"/>
      <c r="K46" s="35" t="s">
        <v>130</v>
      </c>
      <c r="L46" s="17"/>
      <c r="M46" s="17"/>
      <c r="N46" s="80">
        <v>41520.529861111114</v>
      </c>
      <c r="O46" s="37"/>
      <c r="P46" s="901" t="s">
        <v>1236</v>
      </c>
      <c r="Q46" s="37"/>
      <c r="R46" s="77"/>
    </row>
    <row r="47" spans="1:20" s="32" customFormat="1" x14ac:dyDescent="0.25">
      <c r="A47" s="133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4" t="s">
        <v>143</v>
      </c>
      <c r="J47" s="34"/>
      <c r="K47" s="35" t="s">
        <v>130</v>
      </c>
      <c r="L47" s="17"/>
      <c r="M47" s="17"/>
      <c r="N47" s="80">
        <v>41430.73814814815</v>
      </c>
      <c r="O47" s="138"/>
      <c r="P47" s="39" t="s">
        <v>144</v>
      </c>
      <c r="Q47" s="37"/>
      <c r="R47" s="77"/>
    </row>
    <row r="48" spans="1:20" s="140" customFormat="1" x14ac:dyDescent="0.25">
      <c r="A48" s="139"/>
      <c r="B48" s="140" t="s">
        <v>145</v>
      </c>
      <c r="C48" s="141" t="s">
        <v>146</v>
      </c>
      <c r="D48" s="141"/>
      <c r="E48" s="141"/>
      <c r="H48" s="140" t="s">
        <v>129</v>
      </c>
      <c r="I48" s="142" t="s">
        <v>147</v>
      </c>
      <c r="J48" s="143"/>
      <c r="K48" s="144" t="s">
        <v>130</v>
      </c>
      <c r="L48" s="145"/>
      <c r="M48" s="145"/>
      <c r="N48" s="146"/>
      <c r="O48" s="147"/>
      <c r="P48" s="148" t="s">
        <v>148</v>
      </c>
      <c r="Q48" s="149"/>
      <c r="R48" s="150"/>
      <c r="S48" s="148"/>
      <c r="T48" s="148"/>
    </row>
    <row r="49" spans="1:20" s="152" customFormat="1" x14ac:dyDescent="0.25">
      <c r="A49" s="151">
        <v>41499.705324074072</v>
      </c>
      <c r="B49" s="152" t="s">
        <v>149</v>
      </c>
      <c r="C49" s="153">
        <v>804</v>
      </c>
      <c r="D49" s="153"/>
      <c r="E49" s="153"/>
      <c r="F49" s="152" t="s">
        <v>101</v>
      </c>
      <c r="H49" s="152" t="s">
        <v>129</v>
      </c>
      <c r="I49" s="154" t="s">
        <v>149</v>
      </c>
      <c r="J49" s="155"/>
      <c r="K49" s="156" t="s">
        <v>130</v>
      </c>
      <c r="L49" s="157"/>
      <c r="M49" s="157"/>
      <c r="N49" s="158">
        <v>41499.704513888886</v>
      </c>
      <c r="O49" s="159"/>
      <c r="P49" s="160" t="s">
        <v>150</v>
      </c>
      <c r="Q49" s="161"/>
      <c r="R49" s="162"/>
      <c r="S49" s="160"/>
      <c r="T49" s="160"/>
    </row>
    <row r="50" spans="1:20" s="32" customFormat="1" x14ac:dyDescent="0.25">
      <c r="A50" s="133">
        <v>41502.225682870368</v>
      </c>
      <c r="B50" s="32" t="s">
        <v>151</v>
      </c>
      <c r="C50" s="79">
        <v>2</v>
      </c>
      <c r="D50" s="79"/>
      <c r="E50" s="79"/>
      <c r="F50" s="32" t="s">
        <v>152</v>
      </c>
      <c r="H50" s="32" t="s">
        <v>129</v>
      </c>
      <c r="I50" s="163" t="s">
        <v>151</v>
      </c>
      <c r="J50" s="34"/>
      <c r="K50" s="35" t="s">
        <v>130</v>
      </c>
      <c r="L50" s="17"/>
      <c r="M50" s="17"/>
      <c r="N50" s="80">
        <v>41502.225682870368</v>
      </c>
      <c r="O50" s="37"/>
      <c r="P50" s="160" t="s">
        <v>153</v>
      </c>
      <c r="Q50" s="161"/>
      <c r="R50" s="137"/>
      <c r="S50" s="135"/>
      <c r="T50" s="135"/>
    </row>
    <row r="51" spans="1:20" s="140" customFormat="1" x14ac:dyDescent="0.25">
      <c r="A51" s="164">
        <v>41502.225682870368</v>
      </c>
      <c r="B51" s="140" t="s">
        <v>154</v>
      </c>
      <c r="C51" s="141">
        <v>794</v>
      </c>
      <c r="D51" s="141"/>
      <c r="E51" s="141"/>
      <c r="F51" s="140" t="s">
        <v>155</v>
      </c>
      <c r="H51" s="140" t="s">
        <v>129</v>
      </c>
      <c r="I51" s="165" t="s">
        <v>154</v>
      </c>
      <c r="J51" s="143"/>
      <c r="K51" s="144" t="s">
        <v>130</v>
      </c>
      <c r="L51" s="145"/>
      <c r="M51" s="145"/>
      <c r="N51" s="146">
        <v>41502.225682870368</v>
      </c>
      <c r="O51" s="147"/>
      <c r="P51" s="135" t="s">
        <v>156</v>
      </c>
      <c r="Q51" s="136"/>
      <c r="R51" s="150"/>
      <c r="S51" s="148"/>
      <c r="T51" s="148"/>
    </row>
    <row r="52" spans="1:20" s="70" customFormat="1" x14ac:dyDescent="0.25">
      <c r="A52" s="166"/>
      <c r="B52" s="70" t="s">
        <v>157</v>
      </c>
      <c r="C52" s="167" t="s">
        <v>158</v>
      </c>
      <c r="D52" s="167"/>
      <c r="E52" s="167"/>
      <c r="H52" s="70" t="s">
        <v>129</v>
      </c>
      <c r="I52" s="168" t="s">
        <v>157</v>
      </c>
      <c r="J52" s="111"/>
      <c r="K52" s="67" t="s">
        <v>130</v>
      </c>
      <c r="L52" s="112"/>
      <c r="M52" s="112"/>
      <c r="N52" s="169"/>
      <c r="O52" s="69"/>
      <c r="P52" s="70" t="s">
        <v>159</v>
      </c>
      <c r="Q52" s="69"/>
      <c r="R52" s="170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59"/>
  <sheetViews>
    <sheetView tabSelected="1" zoomScale="90" zoomScaleNormal="90" workbookViewId="0">
      <pane ySplit="1" topLeftCell="A46" activePane="bottomLeft" state="frozen"/>
      <selection pane="bottomLeft" activeCell="B73" sqref="B73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1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41523.758715277778</v>
      </c>
      <c r="C1" s="3" t="s">
        <v>160</v>
      </c>
      <c r="D1" s="3"/>
      <c r="G1" s="172" t="s">
        <v>196</v>
      </c>
      <c r="H1" s="172"/>
      <c r="I1" s="172" t="s">
        <v>1231</v>
      </c>
    </row>
    <row r="2" spans="1:15" ht="15" customHeight="1" thickBot="1" x14ac:dyDescent="0.35">
      <c r="B2" s="3"/>
    </row>
    <row r="3" spans="1:15" ht="15.75" customHeight="1" x14ac:dyDescent="0.25">
      <c r="E3" s="912" t="s">
        <v>161</v>
      </c>
      <c r="F3" s="914" t="s">
        <v>162</v>
      </c>
      <c r="G3" s="915"/>
      <c r="H3" s="915"/>
      <c r="I3" s="915"/>
      <c r="J3" s="916"/>
      <c r="K3" s="914" t="s">
        <v>163</v>
      </c>
      <c r="L3" s="915"/>
      <c r="M3" s="915"/>
      <c r="N3" s="915"/>
      <c r="O3" s="916"/>
    </row>
    <row r="4" spans="1:15" s="8" customFormat="1" ht="15.75" thickBot="1" x14ac:dyDescent="0.3">
      <c r="B4" s="9" t="s">
        <v>164</v>
      </c>
      <c r="C4" s="8" t="s">
        <v>165</v>
      </c>
      <c r="E4" s="913"/>
      <c r="F4" s="173">
        <v>1</v>
      </c>
      <c r="G4" s="174" t="s">
        <v>166</v>
      </c>
      <c r="H4" s="174" t="s">
        <v>167</v>
      </c>
      <c r="I4" s="174" t="s">
        <v>168</v>
      </c>
      <c r="J4" s="175" t="s">
        <v>60</v>
      </c>
      <c r="K4" s="173">
        <v>1</v>
      </c>
      <c r="L4" s="174" t="s">
        <v>166</v>
      </c>
      <c r="M4" s="174" t="s">
        <v>167</v>
      </c>
      <c r="N4" s="174" t="s">
        <v>168</v>
      </c>
      <c r="O4" s="175" t="s">
        <v>60</v>
      </c>
    </row>
    <row r="5" spans="1:15" s="8" customFormat="1" ht="6" customHeight="1" thickBot="1" x14ac:dyDescent="0.3">
      <c r="A5" s="176"/>
      <c r="B5" s="177" t="s">
        <v>67</v>
      </c>
      <c r="C5" s="176"/>
      <c r="D5" s="176"/>
      <c r="E5" s="178"/>
      <c r="F5" s="179"/>
      <c r="G5" s="180"/>
      <c r="H5" s="180"/>
      <c r="I5" s="180"/>
      <c r="J5" s="181"/>
      <c r="K5" s="179"/>
      <c r="L5" s="180"/>
      <c r="M5" s="180"/>
      <c r="N5" s="180"/>
      <c r="O5" s="181"/>
    </row>
    <row r="6" spans="1:15" s="184" customFormat="1" ht="16.5" thickTop="1" thickBot="1" x14ac:dyDescent="0.3">
      <c r="A6" s="258"/>
      <c r="B6" s="902" t="s">
        <v>169</v>
      </c>
      <c r="C6" s="260"/>
      <c r="D6" s="221"/>
      <c r="E6" s="264" t="s">
        <v>66</v>
      </c>
      <c r="F6" s="879" t="s">
        <v>1220</v>
      </c>
      <c r="G6" s="221"/>
      <c r="H6" s="221"/>
      <c r="I6" s="221"/>
      <c r="J6" s="224"/>
      <c r="K6" s="225"/>
      <c r="L6" s="226"/>
      <c r="M6" s="221"/>
      <c r="N6" s="226"/>
      <c r="O6" s="224"/>
    </row>
    <row r="7" spans="1:15" ht="15.75" outlineLevel="1" thickTop="1" x14ac:dyDescent="0.25">
      <c r="A7" s="190">
        <v>41522.08630787037</v>
      </c>
      <c r="B7" s="191" t="s">
        <v>183</v>
      </c>
      <c r="C7" s="192"/>
      <c r="D7" s="205"/>
      <c r="E7" s="877" t="s">
        <v>170</v>
      </c>
      <c r="F7" s="199" t="str">
        <f>F15</f>
        <v>LOAD_1C_P</v>
      </c>
      <c r="G7" s="202"/>
      <c r="H7" s="209"/>
      <c r="I7" s="209"/>
      <c r="J7" s="210"/>
      <c r="K7" s="199" t="str">
        <f>TOCmatch!B8</f>
        <v>Платежи</v>
      </c>
      <c r="L7" s="202"/>
      <c r="M7" s="202"/>
      <c r="N7" s="209"/>
      <c r="O7" s="210"/>
    </row>
    <row r="8" spans="1:15" outlineLevel="1" x14ac:dyDescent="0.25">
      <c r="A8" s="190">
        <v>41522.086331018516</v>
      </c>
      <c r="B8" s="191" t="s">
        <v>183</v>
      </c>
      <c r="C8" s="192"/>
      <c r="D8" s="205"/>
      <c r="E8" s="877" t="s">
        <v>170</v>
      </c>
      <c r="F8" s="199" t="str">
        <f>F23</f>
        <v>LOAD_1C_DOG</v>
      </c>
      <c r="G8" s="202"/>
      <c r="H8" s="209"/>
      <c r="I8" s="209"/>
      <c r="J8" s="210"/>
      <c r="K8" s="199" t="str">
        <f>TOCmatch!B10</f>
        <v>Договоры</v>
      </c>
      <c r="L8" s="202"/>
      <c r="M8" s="202"/>
      <c r="N8" s="209"/>
      <c r="O8" s="210"/>
    </row>
    <row r="9" spans="1:15" outlineLevel="1" x14ac:dyDescent="0.25">
      <c r="A9" s="190">
        <v>41522.086342592593</v>
      </c>
      <c r="B9" s="191" t="s">
        <v>183</v>
      </c>
      <c r="C9" s="192"/>
      <c r="D9" s="205"/>
      <c r="E9" s="877" t="s">
        <v>170</v>
      </c>
      <c r="F9" s="199" t="str">
        <f>F31</f>
        <v>LOAD_1C_ACC</v>
      </c>
      <c r="G9" s="202"/>
      <c r="H9" s="209"/>
      <c r="I9" s="209"/>
      <c r="J9" s="210"/>
      <c r="K9" s="199" t="str">
        <f>TOCmatch!B12</f>
        <v>Список клиентов 1C</v>
      </c>
      <c r="L9" s="202"/>
      <c r="M9" s="202"/>
      <c r="N9" s="209"/>
      <c r="O9" s="210"/>
    </row>
    <row r="10" spans="1:15" outlineLevel="1" x14ac:dyDescent="0.25">
      <c r="A10" s="252">
        <v>41522.086365740739</v>
      </c>
      <c r="B10" s="193" t="s">
        <v>183</v>
      </c>
      <c r="C10" s="253"/>
      <c r="D10" s="205"/>
      <c r="E10" s="877" t="s">
        <v>174</v>
      </c>
      <c r="F10" s="199" t="str">
        <f>F37</f>
        <v>LOAD_SF</v>
      </c>
      <c r="G10" s="202"/>
      <c r="H10" s="209"/>
      <c r="I10" s="209"/>
      <c r="J10" s="210"/>
      <c r="K10" s="199" t="str">
        <f>TOCmatch!B14</f>
        <v>SF</v>
      </c>
      <c r="L10" s="202"/>
      <c r="M10" s="202"/>
      <c r="N10" s="209"/>
      <c r="O10" s="210"/>
    </row>
    <row r="11" spans="1:15" outlineLevel="1" x14ac:dyDescent="0.25">
      <c r="A11" s="190">
        <v>41522.086388888885</v>
      </c>
      <c r="B11" s="191" t="s">
        <v>183</v>
      </c>
      <c r="C11" s="192"/>
      <c r="D11" s="205"/>
      <c r="E11" s="877" t="s">
        <v>170</v>
      </c>
      <c r="F11" s="199" t="str">
        <f>F46</f>
        <v>LOAD_SFD</v>
      </c>
      <c r="G11" s="202"/>
      <c r="H11" s="209"/>
      <c r="I11" s="209"/>
      <c r="J11" s="210"/>
      <c r="K11" s="199" t="str">
        <f>TOCmatch!B15</f>
        <v>SFD</v>
      </c>
      <c r="L11" s="202"/>
      <c r="M11" s="202"/>
      <c r="N11" s="209"/>
      <c r="O11" s="210"/>
    </row>
    <row r="12" spans="1:15" outlineLevel="1" x14ac:dyDescent="0.25">
      <c r="A12" s="190">
        <v>41522.086400462962</v>
      </c>
      <c r="B12" s="191" t="s">
        <v>183</v>
      </c>
      <c r="C12" s="192"/>
      <c r="D12" s="205"/>
      <c r="E12" s="877" t="s">
        <v>170</v>
      </c>
      <c r="F12" s="199" t="str">
        <f>F55</f>
        <v>LOAD_SFacc</v>
      </c>
      <c r="G12" s="202"/>
      <c r="H12" s="209"/>
      <c r="I12" s="209"/>
      <c r="J12" s="210"/>
      <c r="K12" s="199" t="str">
        <f>TOCmatch!B17</f>
        <v>SFacc</v>
      </c>
      <c r="L12" s="202"/>
      <c r="M12" s="202"/>
      <c r="N12" s="209"/>
      <c r="O12" s="210"/>
    </row>
    <row r="13" spans="1:15" outlineLevel="1" x14ac:dyDescent="0.25">
      <c r="A13" s="190">
        <v>41522.087291666663</v>
      </c>
      <c r="B13" s="873" t="s">
        <v>232</v>
      </c>
      <c r="C13" s="192"/>
      <c r="D13" s="205"/>
      <c r="E13" s="877" t="s">
        <v>170</v>
      </c>
      <c r="F13" s="199" t="str">
        <f>F73</f>
        <v>HANDL_Payment</v>
      </c>
      <c r="G13" s="202"/>
      <c r="H13" s="209"/>
      <c r="I13" s="209"/>
      <c r="J13" s="210"/>
      <c r="K13" s="199" t="str">
        <f>TOCmatch!B8</f>
        <v>Платежи</v>
      </c>
      <c r="L13" s="202"/>
      <c r="M13" s="202"/>
      <c r="N13" s="209"/>
      <c r="O13" s="210"/>
    </row>
    <row r="14" spans="1:15" s="240" customFormat="1" ht="15.75" outlineLevel="1" thickBot="1" x14ac:dyDescent="0.3">
      <c r="A14" s="295"/>
      <c r="B14" s="233" t="s">
        <v>33</v>
      </c>
      <c r="C14" s="867"/>
      <c r="D14" s="233"/>
      <c r="E14" s="878" t="s">
        <v>174</v>
      </c>
      <c r="F14" s="235"/>
      <c r="G14" s="236"/>
      <c r="H14" s="236"/>
      <c r="I14" s="236"/>
      <c r="J14" s="237"/>
      <c r="K14" s="238"/>
      <c r="L14" s="239"/>
      <c r="M14" s="236"/>
      <c r="N14" s="239"/>
      <c r="O14" s="237"/>
    </row>
    <row r="15" spans="1:15" s="184" customFormat="1" ht="15.75" thickTop="1" x14ac:dyDescent="0.25">
      <c r="A15" s="182"/>
      <c r="B15" s="872" t="s">
        <v>169</v>
      </c>
      <c r="C15" s="182"/>
      <c r="E15" s="185"/>
      <c r="F15" s="186" t="s">
        <v>38</v>
      </c>
      <c r="G15" s="187"/>
      <c r="H15" s="187"/>
      <c r="I15" s="187"/>
      <c r="J15" s="188"/>
      <c r="K15" s="189" t="str">
        <f>TOCmatch!B8</f>
        <v>Платежи</v>
      </c>
      <c r="L15" s="187"/>
      <c r="M15" s="187"/>
      <c r="N15" s="187"/>
      <c r="O15" s="188"/>
    </row>
    <row r="16" spans="1:15" s="184" customFormat="1" hidden="1" outlineLevel="1" x14ac:dyDescent="0.25">
      <c r="A16" s="190">
        <v>41517.588842592595</v>
      </c>
      <c r="B16" s="191" t="s">
        <v>85</v>
      </c>
      <c r="C16" s="192" t="s">
        <v>67</v>
      </c>
      <c r="D16" s="193"/>
      <c r="E16" s="194" t="s">
        <v>170</v>
      </c>
      <c r="F16" s="195"/>
      <c r="G16" s="196"/>
      <c r="H16" s="197"/>
      <c r="I16" s="197"/>
      <c r="J16" s="198"/>
      <c r="K16" s="199" t="str">
        <f>K15</f>
        <v>Платежи</v>
      </c>
      <c r="O16" s="198"/>
    </row>
    <row r="17" spans="1:15" s="184" customFormat="1" hidden="1" outlineLevel="1" x14ac:dyDescent="0.25">
      <c r="A17" s="190">
        <v>41522.113738425927</v>
      </c>
      <c r="B17" s="191" t="s">
        <v>101</v>
      </c>
      <c r="C17" s="192" t="str">
        <f>B16</f>
        <v>InsMyCol</v>
      </c>
      <c r="D17" s="193"/>
      <c r="E17" s="194" t="s">
        <v>170</v>
      </c>
      <c r="F17" s="195"/>
      <c r="G17" s="196"/>
      <c r="H17" s="197"/>
      <c r="I17" s="197"/>
      <c r="J17" s="198"/>
      <c r="K17" s="199" t="str">
        <f>K15</f>
        <v>Платежи</v>
      </c>
      <c r="L17" s="200" t="str">
        <f>TOCmatch!B17</f>
        <v>SFacc</v>
      </c>
      <c r="M17" s="200" t="str">
        <f>TOCmatch!B14</f>
        <v>SF</v>
      </c>
      <c r="N17" s="200" t="str">
        <f>TOCmatch!B21</f>
        <v>SF_PA</v>
      </c>
      <c r="O17" s="198"/>
    </row>
    <row r="18" spans="1:15" s="184" customFormat="1" hidden="1" outlineLevel="1" x14ac:dyDescent="0.25">
      <c r="A18" s="190">
        <v>41522.113749999997</v>
      </c>
      <c r="B18" s="191" t="s">
        <v>59</v>
      </c>
      <c r="C18" s="192" t="str">
        <f>B17</f>
        <v>Adapt</v>
      </c>
      <c r="D18" s="193"/>
      <c r="E18" s="194" t="s">
        <v>170</v>
      </c>
      <c r="F18" s="855">
        <v>7</v>
      </c>
      <c r="G18" s="201"/>
      <c r="H18" s="197"/>
      <c r="I18" s="197"/>
      <c r="J18" s="198"/>
      <c r="K18" s="199" t="str">
        <f>K15</f>
        <v>Платежи</v>
      </c>
      <c r="L18" s="202"/>
      <c r="M18" s="197"/>
      <c r="N18" s="202"/>
      <c r="O18" s="198"/>
    </row>
    <row r="19" spans="1:15" s="187" customFormat="1" hidden="1" outlineLevel="1" x14ac:dyDescent="0.25">
      <c r="A19" s="203">
        <v>41522.113819444443</v>
      </c>
      <c r="B19" s="204" t="s">
        <v>173</v>
      </c>
      <c r="C19" s="192" t="str">
        <f>B18</f>
        <v>DateSort</v>
      </c>
      <c r="D19" s="205"/>
      <c r="E19" s="206" t="s">
        <v>170</v>
      </c>
      <c r="F19" s="199"/>
      <c r="G19" s="197"/>
      <c r="H19" s="197"/>
      <c r="I19" s="197"/>
      <c r="J19" s="198"/>
      <c r="K19" s="199" t="str">
        <f>K15</f>
        <v>Платежи</v>
      </c>
      <c r="L19" s="202"/>
      <c r="M19" s="197"/>
      <c r="N19" s="202"/>
      <c r="O19" s="198"/>
    </row>
    <row r="20" spans="1:15" hidden="1" outlineLevel="1" x14ac:dyDescent="0.25">
      <c r="A20" s="190">
        <v>41522.113842592589</v>
      </c>
      <c r="B20" s="191" t="s">
        <v>50</v>
      </c>
      <c r="C20" s="207" t="str">
        <f>B19</f>
        <v>PaymentPaint</v>
      </c>
      <c r="D20" s="205"/>
      <c r="E20" s="208" t="s">
        <v>170</v>
      </c>
      <c r="G20" s="202"/>
      <c r="H20" s="209"/>
      <c r="I20" s="209"/>
      <c r="J20" s="210"/>
      <c r="K20" s="199" t="str">
        <f>K15</f>
        <v>Платежи</v>
      </c>
      <c r="L20" s="202"/>
      <c r="M20" s="202"/>
      <c r="N20" s="200" t="str">
        <f>TOCmatch!B17</f>
        <v>SFacc</v>
      </c>
      <c r="O20" s="210"/>
    </row>
    <row r="21" spans="1:15" hidden="1" outlineLevel="1" x14ac:dyDescent="0.25">
      <c r="A21" s="190">
        <v>41522.113854166666</v>
      </c>
      <c r="B21" s="873" t="s">
        <v>1198</v>
      </c>
      <c r="C21" s="207" t="str">
        <f>B20</f>
        <v>AccPaint</v>
      </c>
      <c r="D21" s="205"/>
      <c r="E21" s="208" t="s">
        <v>170</v>
      </c>
      <c r="G21" s="202"/>
      <c r="H21" s="209"/>
      <c r="I21" s="209"/>
      <c r="J21" s="210"/>
      <c r="K21" s="199" t="str">
        <f>K15</f>
        <v>Платежи</v>
      </c>
      <c r="L21" s="202"/>
      <c r="M21" s="202"/>
      <c r="N21" s="202"/>
      <c r="O21" s="210"/>
    </row>
    <row r="22" spans="1:15" s="218" customFormat="1" hidden="1" outlineLevel="1" x14ac:dyDescent="0.25">
      <c r="A22" s="874">
        <v>41509.164409722223</v>
      </c>
      <c r="B22" s="875" t="s">
        <v>33</v>
      </c>
      <c r="C22" s="257"/>
      <c r="D22" s="211"/>
      <c r="E22" s="212"/>
      <c r="F22" s="213"/>
      <c r="G22" s="214"/>
      <c r="H22" s="214"/>
      <c r="I22" s="214"/>
      <c r="J22" s="215"/>
      <c r="K22" s="216"/>
      <c r="L22" s="217"/>
      <c r="M22" s="214"/>
      <c r="N22" s="217"/>
      <c r="O22" s="215"/>
    </row>
    <row r="23" spans="1:15" s="184" customFormat="1" collapsed="1" x14ac:dyDescent="0.25">
      <c r="A23" s="219"/>
      <c r="B23" s="876" t="s">
        <v>169</v>
      </c>
      <c r="C23" s="220"/>
      <c r="D23" s="221"/>
      <c r="E23" s="222" t="s">
        <v>174</v>
      </c>
      <c r="F23" s="223" t="s">
        <v>46</v>
      </c>
      <c r="G23" s="221"/>
      <c r="H23" s="221"/>
      <c r="I23" s="221"/>
      <c r="J23" s="224"/>
      <c r="K23" s="225" t="str">
        <f>TOCmatch!B10</f>
        <v>Договоры</v>
      </c>
      <c r="L23" s="226"/>
      <c r="M23" s="221"/>
      <c r="N23" s="226"/>
      <c r="O23" s="224"/>
    </row>
    <row r="24" spans="1:15" s="32" customFormat="1" hidden="1" outlineLevel="1" x14ac:dyDescent="0.25">
      <c r="A24" s="190">
        <v>41516.110150462962</v>
      </c>
      <c r="B24" s="191" t="s">
        <v>85</v>
      </c>
      <c r="C24" s="192" t="s">
        <v>67</v>
      </c>
      <c r="D24" s="193"/>
      <c r="E24" s="194" t="s">
        <v>170</v>
      </c>
      <c r="F24" s="195"/>
      <c r="G24" s="196"/>
      <c r="H24" s="197"/>
      <c r="I24" s="197"/>
      <c r="J24" s="210"/>
      <c r="K24" s="199" t="str">
        <f>K23</f>
        <v>Договоры</v>
      </c>
      <c r="N24" s="209"/>
      <c r="O24" s="210"/>
    </row>
    <row r="25" spans="1:15" s="32" customFormat="1" hidden="1" outlineLevel="1" x14ac:dyDescent="0.25">
      <c r="A25" s="190">
        <v>41522.085081018522</v>
      </c>
      <c r="B25" s="191" t="s">
        <v>101</v>
      </c>
      <c r="C25" s="192" t="str">
        <f>B24</f>
        <v>InsMyCol</v>
      </c>
      <c r="D25" s="193"/>
      <c r="E25" s="194" t="s">
        <v>170</v>
      </c>
      <c r="F25" s="195"/>
      <c r="J25" s="210"/>
      <c r="K25" s="199" t="str">
        <f>K23</f>
        <v>Договоры</v>
      </c>
      <c r="L25" s="200" t="str">
        <f>TOCmatch!B17</f>
        <v>SFacc</v>
      </c>
      <c r="M25" s="200" t="str">
        <f>TOCmatch!B15</f>
        <v>SFD</v>
      </c>
      <c r="N25" s="209"/>
      <c r="O25" s="210"/>
    </row>
    <row r="26" spans="1:15" s="32" customFormat="1" hidden="1" outlineLevel="1" x14ac:dyDescent="0.25">
      <c r="A26" s="203">
        <v>41522.085092592592</v>
      </c>
      <c r="B26" s="191" t="s">
        <v>59</v>
      </c>
      <c r="C26" s="192" t="str">
        <f>B25</f>
        <v>Adapt</v>
      </c>
      <c r="D26" s="193"/>
      <c r="E26" s="194" t="s">
        <v>170</v>
      </c>
      <c r="F26" s="855">
        <v>12</v>
      </c>
      <c r="G26" s="201"/>
      <c r="H26" s="209"/>
      <c r="I26" s="209"/>
      <c r="J26" s="210"/>
      <c r="K26" s="199" t="str">
        <f>K23</f>
        <v>Договоры</v>
      </c>
      <c r="L26" s="209"/>
      <c r="M26" s="209"/>
      <c r="N26" s="209"/>
      <c r="O26" s="210"/>
    </row>
    <row r="27" spans="1:15" s="32" customFormat="1" hidden="1" outlineLevel="1" x14ac:dyDescent="0.25">
      <c r="A27" s="203">
        <v>41522.085115740738</v>
      </c>
      <c r="B27" s="204" t="s">
        <v>178</v>
      </c>
      <c r="C27" s="192" t="str">
        <f>B26</f>
        <v>DateSort</v>
      </c>
      <c r="D27" s="205"/>
      <c r="E27" s="228" t="s">
        <v>170</v>
      </c>
      <c r="F27" s="229"/>
      <c r="G27" s="209"/>
      <c r="H27" s="209"/>
      <c r="I27" s="209"/>
      <c r="J27" s="210"/>
      <c r="K27" s="199" t="str">
        <f>K23</f>
        <v>Договоры</v>
      </c>
      <c r="L27" s="200" t="str">
        <f>TOCmatch!B15</f>
        <v>SFD</v>
      </c>
      <c r="N27" s="209"/>
      <c r="O27" s="210"/>
    </row>
    <row r="28" spans="1:15" hidden="1" outlineLevel="1" x14ac:dyDescent="0.25">
      <c r="A28" s="190">
        <v>41522.085127314815</v>
      </c>
      <c r="B28" s="191" t="s">
        <v>50</v>
      </c>
      <c r="C28" s="192" t="str">
        <f>B27</f>
        <v>ContractPaint</v>
      </c>
      <c r="D28" s="205"/>
      <c r="E28" s="230" t="s">
        <v>170</v>
      </c>
      <c r="F28" s="227"/>
      <c r="G28" s="202"/>
      <c r="H28" s="209"/>
      <c r="I28" s="209"/>
      <c r="J28" s="210"/>
      <c r="K28" s="199" t="str">
        <f>K23</f>
        <v>Договоры</v>
      </c>
      <c r="L28" s="202"/>
      <c r="M28" s="202"/>
      <c r="N28" s="200" t="str">
        <f>TOCmatch!B17</f>
        <v>SFacc</v>
      </c>
      <c r="O28" s="210"/>
    </row>
    <row r="29" spans="1:15" hidden="1" outlineLevel="1" x14ac:dyDescent="0.25">
      <c r="A29" s="190">
        <v>41522.085138888891</v>
      </c>
      <c r="B29" s="873" t="s">
        <v>1198</v>
      </c>
      <c r="C29" s="207" t="str">
        <f>B28</f>
        <v>AccPaint</v>
      </c>
      <c r="D29" s="205"/>
      <c r="E29" s="208" t="s">
        <v>170</v>
      </c>
      <c r="G29" s="202"/>
      <c r="H29" s="209"/>
      <c r="I29" s="209"/>
      <c r="J29" s="210"/>
      <c r="K29" s="199" t="str">
        <f>K23</f>
        <v>Договоры</v>
      </c>
      <c r="L29" s="202"/>
      <c r="M29" s="202"/>
      <c r="N29" s="202"/>
      <c r="O29" s="210"/>
    </row>
    <row r="30" spans="1:15" s="218" customFormat="1" hidden="1" outlineLevel="1" x14ac:dyDescent="0.25">
      <c r="A30" s="874">
        <v>41509.162106481483</v>
      </c>
      <c r="B30" s="875" t="s">
        <v>33</v>
      </c>
      <c r="C30" s="257"/>
      <c r="D30" s="211"/>
      <c r="E30" s="212" t="s">
        <v>174</v>
      </c>
      <c r="F30" s="213"/>
      <c r="G30" s="214"/>
      <c r="H30" s="214"/>
      <c r="I30" s="214"/>
      <c r="J30" s="215"/>
      <c r="K30" s="216"/>
      <c r="L30" s="217"/>
      <c r="M30" s="214"/>
      <c r="N30" s="217"/>
      <c r="O30" s="215"/>
    </row>
    <row r="31" spans="1:15" s="184" customFormat="1" ht="15.75" collapsed="1" thickBot="1" x14ac:dyDescent="0.3">
      <c r="A31" s="219"/>
      <c r="B31" s="876" t="s">
        <v>169</v>
      </c>
      <c r="C31" s="220"/>
      <c r="D31" s="221"/>
      <c r="E31" s="222"/>
      <c r="F31" s="231" t="s">
        <v>55</v>
      </c>
      <c r="G31" s="221"/>
      <c r="H31" s="221"/>
      <c r="I31" s="221"/>
      <c r="J31" s="224"/>
      <c r="K31" s="225" t="s">
        <v>49</v>
      </c>
      <c r="L31" s="226"/>
      <c r="M31" s="221"/>
      <c r="N31" s="226"/>
      <c r="O31" s="224"/>
    </row>
    <row r="32" spans="1:15" s="184" customFormat="1" hidden="1" outlineLevel="1" x14ac:dyDescent="0.25">
      <c r="A32" s="190">
        <v>41516.092997685184</v>
      </c>
      <c r="B32" s="191" t="s">
        <v>179</v>
      </c>
      <c r="C32" s="192" t="s">
        <v>67</v>
      </c>
      <c r="D32" s="205"/>
      <c r="E32" s="194" t="s">
        <v>170</v>
      </c>
      <c r="F32" s="227"/>
      <c r="G32" s="201"/>
      <c r="H32" s="197"/>
      <c r="I32" s="197"/>
      <c r="J32" s="198"/>
      <c r="K32" s="199" t="str">
        <f>K31</f>
        <v>Список клиентов 1C</v>
      </c>
      <c r="L32" s="202"/>
      <c r="M32" s="197"/>
      <c r="N32" s="202"/>
      <c r="O32" s="198"/>
    </row>
    <row r="33" spans="1:19" s="32" customFormat="1" hidden="1" outlineLevel="1" x14ac:dyDescent="0.25">
      <c r="A33" s="190">
        <v>41516.093217592592</v>
      </c>
      <c r="B33" s="191" t="s">
        <v>85</v>
      </c>
      <c r="C33" s="232" t="str">
        <f>B32</f>
        <v>Acc1C_Bottom</v>
      </c>
      <c r="D33" s="193"/>
      <c r="E33" s="194" t="s">
        <v>170</v>
      </c>
      <c r="F33" s="199"/>
      <c r="G33" s="202"/>
      <c r="H33" s="197"/>
      <c r="I33" s="197"/>
      <c r="J33" s="210"/>
      <c r="K33" s="199" t="str">
        <f>K31</f>
        <v>Список клиентов 1C</v>
      </c>
      <c r="L33" s="209"/>
      <c r="M33" s="209"/>
      <c r="O33" s="210"/>
    </row>
    <row r="34" spans="1:19" s="32" customFormat="1" hidden="1" outlineLevel="1" x14ac:dyDescent="0.25">
      <c r="A34" s="190">
        <v>41522.022013888891</v>
      </c>
      <c r="B34" s="191" t="s">
        <v>101</v>
      </c>
      <c r="C34" s="232" t="str">
        <f>B33</f>
        <v>InsMyCol</v>
      </c>
      <c r="D34" s="193"/>
      <c r="E34" s="194" t="s">
        <v>170</v>
      </c>
      <c r="F34" s="199"/>
      <c r="G34" s="202"/>
      <c r="H34" s="197"/>
      <c r="I34" s="197"/>
      <c r="J34" s="210"/>
      <c r="K34" s="199" t="str">
        <f>K31</f>
        <v>Список клиентов 1C</v>
      </c>
      <c r="L34" s="209"/>
      <c r="M34" s="209"/>
      <c r="N34" s="200" t="str">
        <f>TOCmatch!B17</f>
        <v>SFacc</v>
      </c>
      <c r="O34" s="210"/>
    </row>
    <row r="35" spans="1:19" hidden="1" outlineLevel="1" x14ac:dyDescent="0.25">
      <c r="A35" s="190">
        <v>41522.02202546296</v>
      </c>
      <c r="B35" s="191" t="s">
        <v>50</v>
      </c>
      <c r="C35" s="232" t="str">
        <f>B34</f>
        <v>Adapt</v>
      </c>
      <c r="D35" s="205"/>
      <c r="E35" s="230" t="s">
        <v>170</v>
      </c>
      <c r="F35" s="199"/>
      <c r="G35" s="202"/>
      <c r="H35" s="209"/>
      <c r="I35" s="209"/>
      <c r="J35" s="210"/>
      <c r="K35" s="199" t="str">
        <f>K31</f>
        <v>Список клиентов 1C</v>
      </c>
      <c r="L35" s="202"/>
      <c r="M35" s="202"/>
      <c r="N35" s="200" t="str">
        <f>TOCmatch!B17</f>
        <v>SFacc</v>
      </c>
      <c r="O35" s="210"/>
    </row>
    <row r="36" spans="1:19" s="240" customFormat="1" ht="15.75" hidden="1" outlineLevel="1" thickBot="1" x14ac:dyDescent="0.3">
      <c r="A36" s="883">
        <v>41507.01185185185</v>
      </c>
      <c r="B36" s="884" t="s">
        <v>33</v>
      </c>
      <c r="C36" s="867"/>
      <c r="D36" s="233"/>
      <c r="E36" s="234" t="s">
        <v>170</v>
      </c>
      <c r="F36" s="235"/>
      <c r="G36" s="236"/>
      <c r="H36" s="236"/>
      <c r="I36" s="236"/>
      <c r="J36" s="237"/>
      <c r="K36" s="238"/>
      <c r="L36" s="239"/>
      <c r="M36" s="236"/>
      <c r="N36" s="239"/>
      <c r="O36" s="237"/>
    </row>
    <row r="37" spans="1:19" s="184" customFormat="1" ht="15.75" collapsed="1" thickTop="1" x14ac:dyDescent="0.25">
      <c r="A37" s="267"/>
      <c r="B37" s="268" t="s">
        <v>169</v>
      </c>
      <c r="C37" s="269"/>
      <c r="D37" s="244"/>
      <c r="E37" s="245" t="s">
        <v>174</v>
      </c>
      <c r="F37" s="246" t="s">
        <v>180</v>
      </c>
      <c r="G37" s="244"/>
      <c r="H37" s="244"/>
      <c r="I37" s="244"/>
      <c r="J37" s="247"/>
      <c r="K37" s="248" t="str">
        <f>TOCmatch!B14</f>
        <v>SF</v>
      </c>
      <c r="L37" s="249"/>
      <c r="M37" s="244"/>
      <c r="N37" s="249"/>
      <c r="O37" s="247"/>
    </row>
    <row r="38" spans="1:19" s="184" customFormat="1" hidden="1" outlineLevel="1" x14ac:dyDescent="0.25">
      <c r="A38" s="203">
        <v>41518.954976851855</v>
      </c>
      <c r="B38" s="865" t="s">
        <v>1221</v>
      </c>
      <c r="C38" s="864"/>
      <c r="D38" s="197"/>
      <c r="E38" s="206" t="s">
        <v>170</v>
      </c>
      <c r="F38" s="880" t="str">
        <f>TOCmatch!B14</f>
        <v>SF</v>
      </c>
      <c r="G38" s="197"/>
      <c r="H38" s="197"/>
      <c r="I38" s="197"/>
      <c r="J38" s="198"/>
      <c r="K38" s="199" t="str">
        <f>TOCmatch!B8</f>
        <v>Платежи</v>
      </c>
      <c r="L38" s="202"/>
      <c r="M38" s="197"/>
      <c r="N38" s="202"/>
      <c r="O38" s="198"/>
    </row>
    <row r="39" spans="1:19" hidden="1" outlineLevel="1" x14ac:dyDescent="0.25">
      <c r="A39" s="190">
        <v>41522.112476851849</v>
      </c>
      <c r="B39" s="191" t="s">
        <v>85</v>
      </c>
      <c r="C39" s="192" t="str">
        <f>B38</f>
        <v>CheckRepDate</v>
      </c>
      <c r="D39" s="193"/>
      <c r="E39" s="194" t="s">
        <v>170</v>
      </c>
      <c r="F39" s="199"/>
      <c r="G39" s="202"/>
      <c r="H39" s="209"/>
      <c r="I39" s="209"/>
      <c r="J39" s="250"/>
      <c r="K39" s="199" t="str">
        <f>K37</f>
        <v>SF</v>
      </c>
      <c r="L39" s="209"/>
      <c r="M39" s="209"/>
      <c r="N39" s="209"/>
      <c r="O39" s="250"/>
    </row>
    <row r="40" spans="1:19" s="184" customFormat="1" hidden="1" outlineLevel="1" x14ac:dyDescent="0.25">
      <c r="A40" s="203">
        <v>41522.112523148149</v>
      </c>
      <c r="B40" s="865" t="s">
        <v>1215</v>
      </c>
      <c r="C40" s="192" t="str">
        <f>B39</f>
        <v>InsMyCol</v>
      </c>
      <c r="D40" s="197"/>
      <c r="E40" s="206" t="s">
        <v>170</v>
      </c>
      <c r="F40" s="866">
        <v>3</v>
      </c>
      <c r="G40" s="197"/>
      <c r="H40" s="197"/>
      <c r="I40" s="197"/>
      <c r="J40" s="198"/>
      <c r="K40" s="199" t="str">
        <f>K37</f>
        <v>SF</v>
      </c>
      <c r="L40" s="202"/>
      <c r="M40" s="197"/>
      <c r="N40" s="202"/>
      <c r="O40" s="198"/>
    </row>
    <row r="41" spans="1:19" hidden="1" outlineLevel="1" x14ac:dyDescent="0.25">
      <c r="A41" s="190">
        <v>41522.113865740743</v>
      </c>
      <c r="B41" s="204" t="s">
        <v>183</v>
      </c>
      <c r="C41" s="192" t="str">
        <f>B40</f>
        <v>SFaccSplit</v>
      </c>
      <c r="D41" s="205"/>
      <c r="E41" s="230" t="s">
        <v>170</v>
      </c>
      <c r="F41" s="199" t="str">
        <f>F15</f>
        <v>LOAD_1C_P</v>
      </c>
      <c r="G41" s="202"/>
      <c r="H41" s="209"/>
      <c r="I41" s="209"/>
      <c r="J41" s="250"/>
      <c r="K41" s="199" t="str">
        <f>TOCmatch!B8</f>
        <v>Платежи</v>
      </c>
      <c r="L41" s="209" t="str">
        <f>K37</f>
        <v>SF</v>
      </c>
      <c r="M41" s="209"/>
      <c r="N41" s="209"/>
      <c r="O41" s="250"/>
    </row>
    <row r="42" spans="1:19" hidden="1" outlineLevel="1" x14ac:dyDescent="0.25">
      <c r="A42" s="190">
        <v>41522.114224537036</v>
      </c>
      <c r="B42" s="191" t="s">
        <v>101</v>
      </c>
      <c r="C42" s="894" t="str">
        <f>B41</f>
        <v>ProcStart</v>
      </c>
      <c r="D42" s="209"/>
      <c r="E42" s="230" t="s">
        <v>170</v>
      </c>
      <c r="F42" s="199"/>
      <c r="G42" s="202"/>
      <c r="H42" s="209"/>
      <c r="I42" s="209"/>
      <c r="J42" s="250"/>
      <c r="K42" s="199" t="str">
        <f>K37</f>
        <v>SF</v>
      </c>
      <c r="L42" s="209" t="str">
        <f>TOCmatch!B8</f>
        <v>Платежи</v>
      </c>
      <c r="M42" s="209"/>
      <c r="N42" s="209"/>
      <c r="O42" s="250"/>
      <c r="S42" s="2" t="str">
        <f>B39 &amp; ", " &amp; F15 &amp; "/" &amp; B21</f>
        <v>InsMyCol, LOAD_1C_P/MergeReps</v>
      </c>
    </row>
    <row r="43" spans="1:19" hidden="1" outlineLevel="1" x14ac:dyDescent="0.25">
      <c r="A43" s="190">
        <v>41522.114247685182</v>
      </c>
      <c r="B43" s="191" t="s">
        <v>59</v>
      </c>
      <c r="C43" s="192"/>
      <c r="D43" s="193"/>
      <c r="E43" s="194" t="s">
        <v>170</v>
      </c>
      <c r="F43" s="856">
        <v>5</v>
      </c>
      <c r="G43" s="202"/>
      <c r="H43" s="209"/>
      <c r="I43" s="209"/>
      <c r="J43" s="210"/>
      <c r="K43" s="199" t="str">
        <f>K37</f>
        <v>SF</v>
      </c>
      <c r="L43" s="209"/>
      <c r="M43" s="209"/>
      <c r="N43" s="209"/>
      <c r="O43" s="210"/>
    </row>
    <row r="44" spans="1:19" hidden="1" outlineLevel="1" x14ac:dyDescent="0.25">
      <c r="A44" s="190">
        <v>41522.114259259259</v>
      </c>
      <c r="B44" s="873" t="s">
        <v>1207</v>
      </c>
      <c r="C44" s="192"/>
      <c r="D44" s="193"/>
      <c r="E44" s="194" t="s">
        <v>170</v>
      </c>
      <c r="F44" s="254"/>
      <c r="G44" s="202"/>
      <c r="H44" s="209"/>
      <c r="I44" s="209"/>
      <c r="J44" s="210"/>
      <c r="K44" s="199" t="str">
        <f>K37</f>
        <v>SF</v>
      </c>
      <c r="L44" s="209"/>
      <c r="M44" s="209"/>
      <c r="N44" s="209"/>
      <c r="O44" s="210"/>
    </row>
    <row r="45" spans="1:19" s="218" customFormat="1" hidden="1" outlineLevel="1" x14ac:dyDescent="0.25">
      <c r="A45" s="874">
        <v>41509.160416666666</v>
      </c>
      <c r="B45" s="875" t="s">
        <v>33</v>
      </c>
      <c r="C45" s="257"/>
      <c r="D45" s="211"/>
      <c r="E45" s="212" t="s">
        <v>174</v>
      </c>
      <c r="F45" s="213"/>
      <c r="G45" s="214"/>
      <c r="H45" s="214"/>
      <c r="I45" s="214"/>
      <c r="J45" s="215"/>
      <c r="K45" s="216" t="str">
        <f>K37</f>
        <v>SF</v>
      </c>
      <c r="L45" s="217"/>
      <c r="M45" s="214"/>
      <c r="N45" s="217"/>
      <c r="O45" s="215"/>
    </row>
    <row r="46" spans="1:19" s="184" customFormat="1" collapsed="1" x14ac:dyDescent="0.25">
      <c r="A46" s="219"/>
      <c r="B46" s="876" t="s">
        <v>169</v>
      </c>
      <c r="C46" s="220"/>
      <c r="D46" s="221"/>
      <c r="E46" s="222" t="s">
        <v>174</v>
      </c>
      <c r="F46" s="223" t="s">
        <v>184</v>
      </c>
      <c r="G46" s="221"/>
      <c r="H46" s="221"/>
      <c r="I46" s="221"/>
      <c r="J46" s="224"/>
      <c r="K46" s="225" t="s">
        <v>63</v>
      </c>
      <c r="L46" s="226"/>
      <c r="M46" s="221"/>
      <c r="N46" s="226"/>
      <c r="O46" s="224"/>
    </row>
    <row r="47" spans="1:19" s="184" customFormat="1" hidden="1" outlineLevel="1" x14ac:dyDescent="0.25">
      <c r="A47" s="203">
        <v>41516.128148148149</v>
      </c>
      <c r="B47" s="865" t="s">
        <v>1221</v>
      </c>
      <c r="C47" s="864"/>
      <c r="D47" s="197"/>
      <c r="E47" s="206" t="s">
        <v>170</v>
      </c>
      <c r="F47" s="880" t="str">
        <f>TOCmatch!B15</f>
        <v>SFD</v>
      </c>
      <c r="G47" s="197"/>
      <c r="H47" s="197"/>
      <c r="I47" s="197"/>
      <c r="J47" s="198"/>
      <c r="K47" s="199" t="str">
        <f>TOCmatch!B10</f>
        <v>Договоры</v>
      </c>
      <c r="L47" s="2"/>
      <c r="M47" s="197"/>
      <c r="N47" s="202"/>
      <c r="O47" s="198"/>
    </row>
    <row r="48" spans="1:19" s="184" customFormat="1" hidden="1" outlineLevel="1" x14ac:dyDescent="0.25">
      <c r="A48" s="203">
        <v>41522.084814814814</v>
      </c>
      <c r="B48" s="865" t="s">
        <v>1221</v>
      </c>
      <c r="C48" s="864"/>
      <c r="D48" s="197"/>
      <c r="E48" s="206" t="s">
        <v>170</v>
      </c>
      <c r="F48" s="880" t="str">
        <f>TOCmatch!B16</f>
        <v>SFopp</v>
      </c>
      <c r="G48" s="197"/>
      <c r="H48" s="197"/>
      <c r="I48" s="197"/>
      <c r="J48" s="198"/>
      <c r="K48" s="199" t="str">
        <f>K46</f>
        <v>SFD</v>
      </c>
      <c r="L48" s="197"/>
      <c r="M48" s="197"/>
      <c r="N48" s="202"/>
      <c r="O48" s="198"/>
    </row>
    <row r="49" spans="1:15" hidden="1" outlineLevel="1" x14ac:dyDescent="0.25">
      <c r="A49" s="190">
        <v>41522.084837962961</v>
      </c>
      <c r="B49" s="191" t="s">
        <v>85</v>
      </c>
      <c r="C49" s="192" t="str">
        <f>B48</f>
        <v>CheckRepDate</v>
      </c>
      <c r="D49" s="193"/>
      <c r="E49" s="194" t="s">
        <v>170</v>
      </c>
      <c r="F49" s="199"/>
      <c r="G49" s="197"/>
      <c r="H49" s="209"/>
      <c r="I49" s="209"/>
      <c r="J49" s="250"/>
      <c r="K49" s="251" t="s">
        <v>63</v>
      </c>
      <c r="M49" s="209"/>
      <c r="N49" s="209"/>
      <c r="O49" s="250"/>
    </row>
    <row r="50" spans="1:15" s="184" customFormat="1" hidden="1" outlineLevel="1" x14ac:dyDescent="0.25">
      <c r="A50" s="203">
        <v>41522.084849537037</v>
      </c>
      <c r="B50" s="865" t="s">
        <v>1215</v>
      </c>
      <c r="C50" s="192" t="str">
        <f>B49</f>
        <v>InsMyCol</v>
      </c>
      <c r="D50" s="197"/>
      <c r="E50" s="206" t="s">
        <v>170</v>
      </c>
      <c r="F50" s="866">
        <v>6</v>
      </c>
      <c r="G50" s="197"/>
      <c r="H50" s="197"/>
      <c r="I50" s="197"/>
      <c r="J50" s="198"/>
      <c r="K50" s="199" t="str">
        <f>K46</f>
        <v>SFD</v>
      </c>
      <c r="L50" s="202"/>
      <c r="M50" s="197"/>
      <c r="N50" s="202"/>
      <c r="O50" s="198"/>
    </row>
    <row r="51" spans="1:15" hidden="1" outlineLevel="1" x14ac:dyDescent="0.25">
      <c r="A51" s="190">
        <v>41522.084965277776</v>
      </c>
      <c r="B51" s="191" t="s">
        <v>101</v>
      </c>
      <c r="C51" s="192" t="str">
        <f>B50</f>
        <v>SFaccSplit</v>
      </c>
      <c r="D51" s="193"/>
      <c r="E51" s="194" t="s">
        <v>170</v>
      </c>
      <c r="F51" s="199"/>
      <c r="G51" s="202"/>
      <c r="H51" s="209"/>
      <c r="I51" s="209"/>
      <c r="J51" s="250"/>
      <c r="K51" s="251" t="s">
        <v>63</v>
      </c>
      <c r="L51" s="205" t="s">
        <v>41</v>
      </c>
      <c r="M51" s="209"/>
      <c r="N51" s="200" t="s">
        <v>69</v>
      </c>
      <c r="O51" s="250"/>
    </row>
    <row r="52" spans="1:15" hidden="1" outlineLevel="1" x14ac:dyDescent="0.25">
      <c r="A52" s="190">
        <v>41522.084976851853</v>
      </c>
      <c r="B52" s="191" t="s">
        <v>59</v>
      </c>
      <c r="C52" s="192" t="str">
        <f>B51</f>
        <v>Adapt</v>
      </c>
      <c r="D52" s="193"/>
      <c r="E52" s="194" t="s">
        <v>170</v>
      </c>
      <c r="F52" s="866">
        <v>8</v>
      </c>
      <c r="G52" s="202"/>
      <c r="H52" s="209"/>
      <c r="I52" s="209"/>
      <c r="J52" s="210"/>
      <c r="K52" s="251" t="s">
        <v>63</v>
      </c>
      <c r="L52" s="209"/>
      <c r="M52" s="209"/>
      <c r="N52" s="209"/>
      <c r="O52" s="210"/>
    </row>
    <row r="53" spans="1:15" hidden="1" outlineLevel="1" x14ac:dyDescent="0.25">
      <c r="A53" s="190">
        <v>41522.085150462961</v>
      </c>
      <c r="B53" s="204" t="s">
        <v>183</v>
      </c>
      <c r="C53" s="232" t="str">
        <f>B52</f>
        <v>DateSort</v>
      </c>
      <c r="D53" s="205"/>
      <c r="E53" s="230" t="s">
        <v>170</v>
      </c>
      <c r="F53" s="199" t="str">
        <f>F23</f>
        <v>LOAD_1C_DOG</v>
      </c>
      <c r="G53" s="202"/>
      <c r="H53" s="209"/>
      <c r="I53" s="209"/>
      <c r="J53" s="250"/>
      <c r="K53" s="251" t="s">
        <v>41</v>
      </c>
      <c r="L53" s="209"/>
      <c r="M53" s="209"/>
      <c r="N53" s="209"/>
      <c r="O53" s="250"/>
    </row>
    <row r="54" spans="1:15" s="218" customFormat="1" hidden="1" outlineLevel="1" x14ac:dyDescent="0.25">
      <c r="A54" s="874">
        <v>41507.005196759259</v>
      </c>
      <c r="B54" s="875" t="s">
        <v>33</v>
      </c>
      <c r="C54" s="257"/>
      <c r="D54" s="211"/>
      <c r="E54" s="212" t="s">
        <v>170</v>
      </c>
      <c r="F54" s="213"/>
      <c r="G54" s="214"/>
      <c r="H54" s="214"/>
      <c r="I54" s="214"/>
      <c r="J54" s="215"/>
      <c r="K54" s="216"/>
      <c r="L54" s="217"/>
      <c r="M54" s="214"/>
      <c r="N54" s="217"/>
      <c r="O54" s="215"/>
    </row>
    <row r="55" spans="1:15" s="184" customFormat="1" collapsed="1" x14ac:dyDescent="0.25">
      <c r="A55" s="219"/>
      <c r="B55" s="895" t="s">
        <v>169</v>
      </c>
      <c r="C55" s="220"/>
      <c r="D55" s="221"/>
      <c r="E55" s="222" t="s">
        <v>174</v>
      </c>
      <c r="F55" s="223" t="s">
        <v>188</v>
      </c>
      <c r="G55" s="221"/>
      <c r="H55" s="221"/>
      <c r="I55" s="221"/>
      <c r="J55" s="224"/>
      <c r="K55" s="225" t="s">
        <v>69</v>
      </c>
      <c r="L55" s="226"/>
      <c r="M55" s="221"/>
      <c r="N55" s="226"/>
      <c r="O55" s="224"/>
    </row>
    <row r="56" spans="1:15" s="184" customFormat="1" hidden="1" outlineLevel="1" x14ac:dyDescent="0.25">
      <c r="A56" s="203">
        <v>41516.13795138889</v>
      </c>
      <c r="B56" s="865" t="s">
        <v>1221</v>
      </c>
      <c r="C56" s="864"/>
      <c r="D56" s="197"/>
      <c r="E56" s="206" t="s">
        <v>170</v>
      </c>
      <c r="F56" s="880" t="str">
        <f>TOCmatch!B17</f>
        <v>SFacc</v>
      </c>
      <c r="G56" s="197"/>
      <c r="H56" s="197"/>
      <c r="I56" s="197"/>
      <c r="J56" s="198"/>
      <c r="K56" s="199" t="str">
        <f>TOCmatch!B12</f>
        <v>Список клиентов 1C</v>
      </c>
      <c r="L56" s="202"/>
      <c r="M56" s="197"/>
      <c r="N56" s="202"/>
      <c r="O56" s="198"/>
    </row>
    <row r="57" spans="1:15" s="184" customFormat="1" hidden="1" outlineLevel="1" x14ac:dyDescent="0.25">
      <c r="A57" s="203">
        <v>41522.02107638889</v>
      </c>
      <c r="B57" s="865" t="s">
        <v>1215</v>
      </c>
      <c r="C57" s="864"/>
      <c r="D57" s="197"/>
      <c r="E57" s="206" t="s">
        <v>170</v>
      </c>
      <c r="F57" s="866">
        <v>2</v>
      </c>
      <c r="G57" s="197"/>
      <c r="H57" s="197"/>
      <c r="I57" s="197"/>
      <c r="J57" s="198"/>
      <c r="K57" s="199" t="str">
        <f>K55</f>
        <v>SFacc</v>
      </c>
      <c r="L57" s="202"/>
      <c r="M57" s="197"/>
      <c r="N57" s="202"/>
      <c r="O57" s="198"/>
    </row>
    <row r="58" spans="1:15" hidden="1" outlineLevel="1" x14ac:dyDescent="0.25">
      <c r="A58" s="190">
        <v>41522.021782407406</v>
      </c>
      <c r="B58" s="191" t="s">
        <v>183</v>
      </c>
      <c r="C58" s="192"/>
      <c r="D58" s="205"/>
      <c r="E58" s="230" t="s">
        <v>170</v>
      </c>
      <c r="F58" s="199" t="str">
        <f>F15</f>
        <v>LOAD_1C_P</v>
      </c>
      <c r="G58" s="202"/>
      <c r="H58" s="209"/>
      <c r="I58" s="209"/>
      <c r="J58" s="210"/>
      <c r="K58" s="199" t="str">
        <f>K55</f>
        <v>SFacc</v>
      </c>
      <c r="L58" s="202" t="str">
        <f>TOCmatch!B8</f>
        <v>Платежи</v>
      </c>
      <c r="M58" s="202"/>
      <c r="N58" s="209"/>
      <c r="O58" s="210"/>
    </row>
    <row r="59" spans="1:15" hidden="1" outlineLevel="1" x14ac:dyDescent="0.25">
      <c r="A59" s="190">
        <v>41522.021921296298</v>
      </c>
      <c r="B59" s="191" t="s">
        <v>183</v>
      </c>
      <c r="C59" s="192"/>
      <c r="D59" s="205"/>
      <c r="E59" s="230" t="s">
        <v>170</v>
      </c>
      <c r="F59" s="199" t="str">
        <f>F23</f>
        <v>LOAD_1C_DOG</v>
      </c>
      <c r="G59" s="202"/>
      <c r="H59" s="209"/>
      <c r="I59" s="209"/>
      <c r="J59" s="210"/>
      <c r="K59" s="199" t="str">
        <f>K55</f>
        <v>SFacc</v>
      </c>
      <c r="L59" s="202" t="str">
        <f>TOCmatch!B10</f>
        <v>Договоры</v>
      </c>
      <c r="M59" s="202"/>
      <c r="N59" s="209"/>
      <c r="O59" s="210"/>
    </row>
    <row r="60" spans="1:15" hidden="1" outlineLevel="1" x14ac:dyDescent="0.25">
      <c r="A60" s="190">
        <v>41522.022037037037</v>
      </c>
      <c r="B60" s="191" t="s">
        <v>183</v>
      </c>
      <c r="C60" s="192"/>
      <c r="D60" s="205"/>
      <c r="E60" s="230" t="s">
        <v>170</v>
      </c>
      <c r="F60" s="199" t="str">
        <f>F31</f>
        <v>LOAD_1C_ACC</v>
      </c>
      <c r="G60" s="202"/>
      <c r="H60" s="209"/>
      <c r="I60" s="209"/>
      <c r="J60" s="210"/>
      <c r="K60" s="199" t="str">
        <f>K55</f>
        <v>SFacc</v>
      </c>
      <c r="L60" s="202" t="str">
        <f>TOCmatch!B12</f>
        <v>Список клиентов 1C</v>
      </c>
      <c r="M60" s="202"/>
      <c r="N60" s="209"/>
      <c r="O60" s="210"/>
    </row>
    <row r="61" spans="1:15" s="240" customFormat="1" ht="15.75" hidden="1" outlineLevel="1" thickBot="1" x14ac:dyDescent="0.3">
      <c r="A61" s="883">
        <v>41507.01185185185</v>
      </c>
      <c r="B61" s="884" t="s">
        <v>33</v>
      </c>
      <c r="C61" s="867"/>
      <c r="D61" s="233"/>
      <c r="E61" s="234" t="s">
        <v>170</v>
      </c>
      <c r="F61" s="235"/>
      <c r="G61" s="236"/>
      <c r="H61" s="236"/>
      <c r="I61" s="236"/>
      <c r="J61" s="237"/>
      <c r="K61" s="238"/>
      <c r="L61" s="239"/>
      <c r="M61" s="236"/>
      <c r="N61" s="239"/>
      <c r="O61" s="237"/>
    </row>
    <row r="62" spans="1:15" s="184" customFormat="1" ht="15.75" collapsed="1" thickBot="1" x14ac:dyDescent="0.3">
      <c r="A62" s="182"/>
      <c r="B62" s="183" t="s">
        <v>169</v>
      </c>
      <c r="C62" s="182"/>
      <c r="E62" s="185"/>
      <c r="F62" s="186" t="s">
        <v>105</v>
      </c>
      <c r="G62" s="187"/>
      <c r="H62" s="187"/>
      <c r="I62" s="187"/>
      <c r="J62" s="188"/>
      <c r="K62" s="189" t="s">
        <v>100</v>
      </c>
      <c r="L62" s="187"/>
      <c r="M62" s="187"/>
      <c r="N62" s="187"/>
      <c r="O62" s="188"/>
    </row>
    <row r="63" spans="1:15" s="184" customFormat="1" hidden="1" outlineLevel="1" x14ac:dyDescent="0.25">
      <c r="A63" s="190">
        <v>41473.017916666664</v>
      </c>
      <c r="B63" s="191" t="s">
        <v>189</v>
      </c>
      <c r="C63" s="192" t="s">
        <v>67</v>
      </c>
      <c r="D63" s="193"/>
      <c r="E63" s="194" t="s">
        <v>170</v>
      </c>
      <c r="F63" s="261" t="s">
        <v>190</v>
      </c>
      <c r="G63" s="201"/>
      <c r="H63" s="197"/>
      <c r="I63" s="197"/>
      <c r="J63" s="198"/>
      <c r="K63" s="199" t="str">
        <f>K62</f>
        <v>Заказы</v>
      </c>
      <c r="L63" s="202"/>
      <c r="M63" s="197"/>
      <c r="N63" s="202"/>
      <c r="O63" s="198"/>
    </row>
    <row r="64" spans="1:15" s="184" customFormat="1" hidden="1" outlineLevel="1" x14ac:dyDescent="0.25">
      <c r="A64" s="190">
        <v>41473.017928240741</v>
      </c>
      <c r="B64" s="191" t="s">
        <v>85</v>
      </c>
      <c r="C64" s="207" t="str">
        <f>B63</f>
        <v>RowDel</v>
      </c>
      <c r="D64" s="193"/>
      <c r="E64" s="194" t="s">
        <v>170</v>
      </c>
      <c r="F64" s="199" t="s">
        <v>191</v>
      </c>
      <c r="G64" s="196"/>
      <c r="H64" s="197"/>
      <c r="I64" s="197"/>
      <c r="J64" s="198"/>
      <c r="K64" s="199" t="str">
        <f>K62</f>
        <v>Заказы</v>
      </c>
      <c r="L64" s="202"/>
      <c r="M64" s="197"/>
      <c r="N64" s="202"/>
      <c r="O64" s="198"/>
    </row>
    <row r="65" spans="1:16" s="184" customFormat="1" hidden="1" outlineLevel="1" x14ac:dyDescent="0.25">
      <c r="A65" s="252">
        <v>41506.983391203707</v>
      </c>
      <c r="B65" s="193" t="s">
        <v>101</v>
      </c>
      <c r="C65" s="262" t="str">
        <f>B64</f>
        <v>InsMyCol</v>
      </c>
      <c r="D65" s="193"/>
      <c r="E65" s="194" t="s">
        <v>174</v>
      </c>
      <c r="F65" s="186" t="s">
        <v>191</v>
      </c>
      <c r="G65" s="201"/>
      <c r="H65" s="201"/>
      <c r="I65" s="201"/>
      <c r="J65" s="263"/>
      <c r="K65" s="199" t="str">
        <f>K63</f>
        <v>Заказы</v>
      </c>
      <c r="L65" s="202" t="s">
        <v>32</v>
      </c>
      <c r="M65" s="197"/>
      <c r="N65" s="200" t="s">
        <v>80</v>
      </c>
      <c r="O65" s="198"/>
    </row>
    <row r="66" spans="1:16" s="218" customFormat="1" ht="15.75" hidden="1" outlineLevel="1" thickBot="1" x14ac:dyDescent="0.3">
      <c r="A66" s="256">
        <v>41506.983391203707</v>
      </c>
      <c r="B66" s="211" t="s">
        <v>33</v>
      </c>
      <c r="C66" s="257"/>
      <c r="D66" s="211"/>
      <c r="E66" s="212" t="s">
        <v>170</v>
      </c>
      <c r="F66" s="213"/>
      <c r="G66" s="214"/>
      <c r="H66" s="214"/>
      <c r="I66" s="214"/>
      <c r="J66" s="215"/>
      <c r="K66" s="216"/>
      <c r="L66" s="217"/>
      <c r="M66" s="214"/>
      <c r="N66" s="217"/>
      <c r="O66" s="215"/>
    </row>
    <row r="67" spans="1:16" s="184" customFormat="1" ht="16.5" collapsed="1" thickTop="1" thickBot="1" x14ac:dyDescent="0.3">
      <c r="A67" s="182"/>
      <c r="B67" s="183" t="s">
        <v>169</v>
      </c>
      <c r="C67" s="182"/>
      <c r="E67" s="264" t="s">
        <v>66</v>
      </c>
      <c r="F67" s="186" t="s">
        <v>89</v>
      </c>
      <c r="G67" s="187"/>
      <c r="H67" s="187"/>
      <c r="I67" s="187"/>
      <c r="J67" s="188"/>
      <c r="K67" s="189" t="s">
        <v>83</v>
      </c>
      <c r="L67" s="187"/>
      <c r="M67" s="187"/>
      <c r="N67" s="187"/>
      <c r="O67" s="188"/>
    </row>
    <row r="68" spans="1:16" s="184" customFormat="1" ht="15.75" hidden="1" outlineLevel="1" thickTop="1" x14ac:dyDescent="0.25">
      <c r="A68" s="252"/>
      <c r="B68" s="193" t="s">
        <v>189</v>
      </c>
      <c r="C68" s="253" t="s">
        <v>67</v>
      </c>
      <c r="D68" s="193"/>
      <c r="E68" s="194" t="s">
        <v>174</v>
      </c>
      <c r="F68" s="261" t="s">
        <v>192</v>
      </c>
      <c r="G68" s="201"/>
      <c r="H68" s="197"/>
      <c r="I68" s="197"/>
      <c r="J68" s="198"/>
      <c r="K68" s="265" t="str">
        <f>K67</f>
        <v>Склад</v>
      </c>
      <c r="L68" s="202"/>
      <c r="M68" s="197"/>
      <c r="N68" s="202"/>
      <c r="O68" s="198"/>
    </row>
    <row r="69" spans="1:16" s="184" customFormat="1" hidden="1" outlineLevel="1" x14ac:dyDescent="0.25">
      <c r="A69" s="252"/>
      <c r="B69" s="193" t="s">
        <v>85</v>
      </c>
      <c r="C69" s="262" t="str">
        <f>B68</f>
        <v>RowDel</v>
      </c>
      <c r="D69" s="193"/>
      <c r="E69" s="194" t="s">
        <v>174</v>
      </c>
      <c r="F69" s="199" t="s">
        <v>193</v>
      </c>
      <c r="G69" s="201"/>
      <c r="H69" s="197"/>
      <c r="I69" s="197"/>
      <c r="J69" s="198"/>
      <c r="K69" s="199" t="str">
        <f>K67</f>
        <v>Склад</v>
      </c>
      <c r="L69" s="202"/>
      <c r="M69" s="197"/>
      <c r="N69" s="202"/>
      <c r="O69" s="198"/>
    </row>
    <row r="70" spans="1:16" s="184" customFormat="1" hidden="1" outlineLevel="1" x14ac:dyDescent="0.25">
      <c r="A70" s="252"/>
      <c r="B70" s="193" t="s">
        <v>194</v>
      </c>
      <c r="C70" s="266"/>
      <c r="D70" s="193"/>
      <c r="E70" s="194" t="s">
        <v>174</v>
      </c>
      <c r="F70" s="261" t="s">
        <v>170</v>
      </c>
      <c r="G70" s="201" t="s">
        <v>195</v>
      </c>
      <c r="H70" s="197"/>
      <c r="I70" s="197"/>
      <c r="J70" s="198"/>
      <c r="K70" s="199"/>
      <c r="L70" s="202"/>
      <c r="M70" s="197"/>
      <c r="N70" s="202"/>
      <c r="O70" s="198"/>
    </row>
    <row r="71" spans="1:16" s="184" customFormat="1" hidden="1" outlineLevel="1" x14ac:dyDescent="0.25">
      <c r="A71" s="252"/>
      <c r="B71" s="193" t="s">
        <v>101</v>
      </c>
      <c r="C71" s="262" t="str">
        <f>B69</f>
        <v>InsMyCol</v>
      </c>
      <c r="D71" s="193"/>
      <c r="E71" s="194" t="s">
        <v>174</v>
      </c>
      <c r="F71" s="186" t="str">
        <f>F69</f>
        <v>Stock_MyCol</v>
      </c>
      <c r="G71" s="201"/>
      <c r="H71" s="197"/>
      <c r="I71" s="197"/>
      <c r="J71" s="198"/>
      <c r="K71" s="199" t="str">
        <f>K67</f>
        <v>Склад</v>
      </c>
      <c r="L71" s="202" t="str">
        <f>L159</f>
        <v>Платежи</v>
      </c>
      <c r="M71" s="197"/>
      <c r="N71" s="200" t="s">
        <v>58</v>
      </c>
      <c r="O71" s="198"/>
    </row>
    <row r="72" spans="1:16" s="218" customFormat="1" ht="15.75" hidden="1" outlineLevel="1" thickBot="1" x14ac:dyDescent="0.3">
      <c r="A72" s="256"/>
      <c r="B72" s="211" t="s">
        <v>33</v>
      </c>
      <c r="C72" s="257"/>
      <c r="D72" s="211"/>
      <c r="E72" s="212" t="s">
        <v>174</v>
      </c>
      <c r="F72" s="213"/>
      <c r="G72" s="214"/>
      <c r="H72" s="214"/>
      <c r="I72" s="214"/>
      <c r="J72" s="215"/>
      <c r="K72" s="216"/>
      <c r="L72" s="217"/>
      <c r="M72" s="214"/>
      <c r="N72" s="217"/>
      <c r="O72" s="215"/>
    </row>
    <row r="73" spans="1:16" s="184" customFormat="1" ht="16.5" collapsed="1" thickTop="1" thickBot="1" x14ac:dyDescent="0.3">
      <c r="A73" s="267"/>
      <c r="B73" s="268" t="s">
        <v>169</v>
      </c>
      <c r="C73" s="269"/>
      <c r="D73" s="244"/>
      <c r="E73" s="264" t="s">
        <v>66</v>
      </c>
      <c r="F73" s="246" t="s">
        <v>196</v>
      </c>
      <c r="G73" s="244"/>
      <c r="H73" s="244"/>
      <c r="I73" s="244"/>
      <c r="J73" s="247"/>
      <c r="K73" s="270" t="s">
        <v>32</v>
      </c>
      <c r="L73" s="249"/>
      <c r="M73" s="244"/>
      <c r="N73" s="249"/>
      <c r="O73" s="247"/>
      <c r="P73" s="891"/>
    </row>
    <row r="74" spans="1:16" ht="15.75" thickTop="1" x14ac:dyDescent="0.25">
      <c r="A74" s="190">
        <v>41523.680798611109</v>
      </c>
      <c r="B74" s="191" t="s">
        <v>183</v>
      </c>
      <c r="C74" s="192"/>
      <c r="D74" s="205"/>
      <c r="E74" s="194" t="s">
        <v>170</v>
      </c>
      <c r="F74" s="199" t="str">
        <f>F15</f>
        <v>LOAD_1C_P</v>
      </c>
      <c r="G74" s="202"/>
      <c r="H74" s="209"/>
      <c r="I74" s="209"/>
      <c r="J74" s="210"/>
      <c r="K74" s="199" t="str">
        <f>K73</f>
        <v>Платежи</v>
      </c>
      <c r="L74" s="200" t="str">
        <f>TOCmatch!B14</f>
        <v>SF</v>
      </c>
      <c r="M74" s="200" t="str">
        <f>TOCmatch!B15</f>
        <v>SFD</v>
      </c>
      <c r="N74" s="200" t="str">
        <f>TOCmatch!B16</f>
        <v>SFopp</v>
      </c>
      <c r="O74" s="210"/>
      <c r="P74" s="892"/>
    </row>
    <row r="75" spans="1:16" x14ac:dyDescent="0.25">
      <c r="A75" s="190">
        <v>41523.681446759256</v>
      </c>
      <c r="B75" s="873" t="s">
        <v>101</v>
      </c>
      <c r="C75" s="207" t="str">
        <f>B74</f>
        <v>ProcStart</v>
      </c>
      <c r="D75" s="205"/>
      <c r="E75" s="194" t="s">
        <v>170</v>
      </c>
      <c r="F75" s="199"/>
      <c r="G75" s="202"/>
      <c r="H75" s="209"/>
      <c r="I75" s="209"/>
      <c r="J75" s="210"/>
      <c r="K75" s="199" t="str">
        <f>K73</f>
        <v>Платежи</v>
      </c>
      <c r="L75" s="200" t="str">
        <f>TOCmatch!B16</f>
        <v>SFopp</v>
      </c>
      <c r="M75" s="200" t="str">
        <f>TOCmatch!B14</f>
        <v>SF</v>
      </c>
      <c r="N75" s="200" t="str">
        <f>TOCmatch!B17</f>
        <v>SFacc</v>
      </c>
      <c r="O75" s="210"/>
      <c r="P75" s="892"/>
    </row>
    <row r="76" spans="1:16" x14ac:dyDescent="0.25">
      <c r="A76" s="190">
        <v>41523.681458333333</v>
      </c>
      <c r="B76" s="873" t="s">
        <v>1232</v>
      </c>
      <c r="C76" s="287" t="str">
        <f>B75</f>
        <v>Adapt</v>
      </c>
      <c r="D76" s="205"/>
      <c r="E76" s="194" t="s">
        <v>170</v>
      </c>
      <c r="F76" s="896" t="str">
        <f>K76</f>
        <v>Платежи</v>
      </c>
      <c r="G76" s="897">
        <v>18</v>
      </c>
      <c r="H76" s="202" t="s">
        <v>1233</v>
      </c>
      <c r="I76" s="209"/>
      <c r="J76" s="210"/>
      <c r="K76" s="199" t="str">
        <f>K73</f>
        <v>Платежи</v>
      </c>
      <c r="L76" s="202"/>
      <c r="M76" s="197"/>
      <c r="N76" s="209"/>
      <c r="O76" s="210"/>
      <c r="P76" s="892"/>
    </row>
    <row r="77" spans="1:16" x14ac:dyDescent="0.25">
      <c r="A77" s="190">
        <v>41523.681481481479</v>
      </c>
      <c r="B77" s="873" t="s">
        <v>1232</v>
      </c>
      <c r="C77" s="287"/>
      <c r="D77" s="205"/>
      <c r="E77" s="194" t="s">
        <v>170</v>
      </c>
      <c r="F77" s="896" t="str">
        <f t="shared" ref="F77" si="0">K77</f>
        <v>Платежи</v>
      </c>
      <c r="G77" s="897">
        <v>2</v>
      </c>
      <c r="H77" s="202" t="s">
        <v>1233</v>
      </c>
      <c r="I77" s="209"/>
      <c r="J77" s="210"/>
      <c r="K77" s="199" t="str">
        <f>K74</f>
        <v>Платежи</v>
      </c>
      <c r="L77" s="202"/>
      <c r="M77" s="197"/>
      <c r="N77" s="209"/>
      <c r="O77" s="210"/>
      <c r="P77" s="892"/>
    </row>
    <row r="78" spans="1:16" x14ac:dyDescent="0.25">
      <c r="A78" s="190">
        <v>41523.758692129632</v>
      </c>
      <c r="B78" s="865" t="s">
        <v>1231</v>
      </c>
      <c r="C78" s="207" t="str">
        <f>B75</f>
        <v>Adapt</v>
      </c>
      <c r="D78" s="205"/>
      <c r="E78" s="194"/>
      <c r="F78" s="199"/>
      <c r="G78" s="202"/>
      <c r="H78" s="209"/>
      <c r="I78" s="209"/>
      <c r="J78" s="250"/>
      <c r="K78" s="251" t="s">
        <v>32</v>
      </c>
      <c r="L78" s="200" t="str">
        <f>TOCmatch!B15</f>
        <v>SFD</v>
      </c>
      <c r="M78" s="200" t="str">
        <f>TOCmatch!B16</f>
        <v>SFopp</v>
      </c>
      <c r="N78" s="209" t="str">
        <f>TOCmatch!B10</f>
        <v>Договоры</v>
      </c>
      <c r="O78" s="250"/>
      <c r="P78" s="900"/>
    </row>
    <row r="79" spans="1:16" s="184" customFormat="1" x14ac:dyDescent="0.25">
      <c r="A79" s="190">
        <v>41523.758703703701</v>
      </c>
      <c r="B79" s="204" t="s">
        <v>136</v>
      </c>
      <c r="C79" s="287" t="str">
        <f>B78</f>
        <v>Paid1C</v>
      </c>
      <c r="D79" s="193"/>
      <c r="E79" s="194"/>
      <c r="F79" s="285" t="str">
        <f>TOCmatch!B44</f>
        <v>NewContract</v>
      </c>
      <c r="G79" s="202" t="s">
        <v>204</v>
      </c>
      <c r="H79" s="209" t="s">
        <v>212</v>
      </c>
      <c r="I79" s="209" t="s">
        <v>213</v>
      </c>
      <c r="J79" s="198"/>
      <c r="K79" s="277" t="str">
        <f>F79</f>
        <v>NewContract</v>
      </c>
      <c r="M79" s="197"/>
      <c r="N79" s="202"/>
      <c r="O79" s="198"/>
      <c r="P79" s="892"/>
    </row>
    <row r="80" spans="1:16" x14ac:dyDescent="0.25">
      <c r="A80" s="190">
        <v>41523.758715277778</v>
      </c>
      <c r="B80" s="204" t="s">
        <v>136</v>
      </c>
      <c r="C80" s="207" t="str">
        <f>B78</f>
        <v>Paid1C</v>
      </c>
      <c r="D80" s="205"/>
      <c r="E80" s="230"/>
      <c r="F80" s="285" t="str">
        <f>TOCmatch!B43</f>
        <v>NewPayment</v>
      </c>
      <c r="G80" s="202" t="s">
        <v>204</v>
      </c>
      <c r="H80" s="209" t="s">
        <v>205</v>
      </c>
      <c r="I80" s="209" t="s">
        <v>206</v>
      </c>
      <c r="J80" s="198"/>
      <c r="K80" s="277" t="str">
        <f>F80</f>
        <v>NewPayment</v>
      </c>
      <c r="L80" s="209"/>
      <c r="M80" s="209"/>
      <c r="N80" s="209"/>
      <c r="O80" s="250"/>
      <c r="P80" s="892"/>
    </row>
    <row r="81" spans="1:16" s="218" customFormat="1" ht="15.75" thickBot="1" x14ac:dyDescent="0.3">
      <c r="A81" s="874"/>
      <c r="B81" s="875" t="s">
        <v>33</v>
      </c>
      <c r="C81" s="905">
        <v>11</v>
      </c>
      <c r="D81" s="211"/>
      <c r="E81" s="212"/>
      <c r="F81" s="213"/>
      <c r="G81" s="214"/>
      <c r="H81" s="214"/>
      <c r="I81" s="214"/>
      <c r="J81" s="215"/>
      <c r="K81" s="216"/>
      <c r="L81" s="217"/>
      <c r="M81" s="214"/>
      <c r="N81" s="217"/>
      <c r="O81" s="215"/>
      <c r="P81" s="893"/>
    </row>
    <row r="82" spans="1:16" s="184" customFormat="1" ht="16.5" thickTop="1" thickBot="1" x14ac:dyDescent="0.3">
      <c r="A82" s="190"/>
      <c r="B82" s="191" t="s">
        <v>169</v>
      </c>
      <c r="C82" s="276"/>
      <c r="D82" s="274"/>
      <c r="E82" s="264" t="s">
        <v>66</v>
      </c>
      <c r="F82" s="275" t="s">
        <v>201</v>
      </c>
      <c r="G82" s="197"/>
      <c r="H82" s="197"/>
      <c r="I82" s="197"/>
      <c r="J82" s="198"/>
      <c r="K82" s="189" t="s">
        <v>32</v>
      </c>
      <c r="L82" s="202"/>
      <c r="M82" s="197"/>
      <c r="N82" s="202"/>
      <c r="O82" s="198"/>
    </row>
    <row r="83" spans="1:16" s="184" customFormat="1" ht="15.75" thickTop="1" x14ac:dyDescent="0.25">
      <c r="A83" s="252"/>
      <c r="B83" s="193" t="s">
        <v>194</v>
      </c>
      <c r="C83" s="266"/>
      <c r="D83" s="193"/>
      <c r="E83" s="194" t="s">
        <v>174</v>
      </c>
      <c r="F83" s="261" t="s">
        <v>170</v>
      </c>
      <c r="G83" s="201"/>
      <c r="H83" s="197"/>
      <c r="I83" s="197"/>
      <c r="J83" s="198"/>
      <c r="K83" s="199"/>
      <c r="L83" s="202"/>
      <c r="M83" s="197"/>
      <c r="N83" s="202"/>
      <c r="O83" s="198"/>
    </row>
    <row r="84" spans="1:16" s="184" customFormat="1" x14ac:dyDescent="0.25">
      <c r="A84" s="252"/>
      <c r="B84" s="193" t="s">
        <v>202</v>
      </c>
      <c r="C84" s="273"/>
      <c r="D84" s="274"/>
      <c r="E84" s="194" t="s">
        <v>174</v>
      </c>
      <c r="F84" s="277" t="s">
        <v>135</v>
      </c>
      <c r="G84" s="197"/>
      <c r="H84" s="197"/>
      <c r="I84" s="197"/>
      <c r="J84" s="198"/>
      <c r="K84" s="277" t="str">
        <f>F84</f>
        <v>NewPayment</v>
      </c>
      <c r="L84" s="202"/>
      <c r="M84" s="197"/>
      <c r="N84" s="202"/>
      <c r="O84" s="198"/>
    </row>
    <row r="85" spans="1:16" s="184" customFormat="1" x14ac:dyDescent="0.25">
      <c r="A85" s="252"/>
      <c r="B85" s="193" t="s">
        <v>203</v>
      </c>
      <c r="C85" s="278" t="str">
        <f>B84</f>
        <v>NewSheet</v>
      </c>
      <c r="D85" s="193"/>
      <c r="E85" s="194" t="s">
        <v>174</v>
      </c>
      <c r="F85" s="261"/>
      <c r="G85" s="201"/>
      <c r="H85" s="197"/>
      <c r="I85" s="197"/>
      <c r="J85" s="198"/>
      <c r="K85" s="199" t="str">
        <f>K82</f>
        <v>Платежи</v>
      </c>
      <c r="L85" s="200" t="s">
        <v>65</v>
      </c>
      <c r="M85" s="197"/>
      <c r="N85" s="202"/>
      <c r="O85" s="198"/>
    </row>
    <row r="86" spans="1:16" s="184" customFormat="1" x14ac:dyDescent="0.25">
      <c r="A86" s="252"/>
      <c r="B86" s="255" t="s">
        <v>136</v>
      </c>
      <c r="C86" s="278" t="str">
        <f>B85</f>
        <v>NewPaidOpp</v>
      </c>
      <c r="D86" s="193"/>
      <c r="E86" s="194" t="s">
        <v>174</v>
      </c>
      <c r="F86" s="277" t="s">
        <v>135</v>
      </c>
      <c r="G86" s="202" t="s">
        <v>204</v>
      </c>
      <c r="H86" s="209" t="s">
        <v>205</v>
      </c>
      <c r="I86" s="209" t="s">
        <v>206</v>
      </c>
      <c r="J86" s="198"/>
      <c r="K86" s="199"/>
      <c r="L86" s="202"/>
      <c r="M86" s="197"/>
      <c r="N86" s="202"/>
      <c r="O86" s="198"/>
    </row>
    <row r="87" spans="1:16" s="218" customFormat="1" ht="15.75" thickBot="1" x14ac:dyDescent="0.3">
      <c r="A87" s="256"/>
      <c r="B87" s="211" t="s">
        <v>33</v>
      </c>
      <c r="C87" s="257">
        <v>224</v>
      </c>
      <c r="D87" s="211"/>
      <c r="E87" s="212" t="s">
        <v>174</v>
      </c>
      <c r="F87" s="213"/>
      <c r="G87" s="214"/>
      <c r="H87" s="214"/>
      <c r="I87" s="214"/>
      <c r="J87" s="215"/>
      <c r="K87" s="216"/>
      <c r="L87" s="217"/>
      <c r="M87" s="214"/>
      <c r="N87" s="217"/>
      <c r="O87" s="215"/>
    </row>
    <row r="88" spans="1:16" s="184" customFormat="1" ht="16.5" thickTop="1" thickBot="1" x14ac:dyDescent="0.3">
      <c r="A88" s="252"/>
      <c r="B88" s="193" t="s">
        <v>169</v>
      </c>
      <c r="C88" s="273"/>
      <c r="D88" s="274"/>
      <c r="E88" s="264" t="s">
        <v>66</v>
      </c>
      <c r="F88" s="275" t="s">
        <v>207</v>
      </c>
      <c r="G88" s="197"/>
      <c r="H88" s="197"/>
      <c r="I88" s="197"/>
      <c r="J88" s="198"/>
      <c r="K88" s="189" t="s">
        <v>32</v>
      </c>
      <c r="L88" s="202"/>
      <c r="M88" s="197"/>
      <c r="N88" s="202"/>
      <c r="O88" s="198"/>
      <c r="P88" s="279"/>
    </row>
    <row r="89" spans="1:16" s="184" customFormat="1" ht="15.75" thickTop="1" x14ac:dyDescent="0.25">
      <c r="A89" s="252">
        <v>41506.038622685184</v>
      </c>
      <c r="B89" s="193" t="s">
        <v>101</v>
      </c>
      <c r="C89" s="280" t="str">
        <f>F15&amp;"/"&amp;B19</f>
        <v>LOAD_1C_P/PaymentPaint</v>
      </c>
      <c r="D89" s="193"/>
      <c r="E89" s="194" t="s">
        <v>174</v>
      </c>
      <c r="F89" s="885" t="s">
        <v>208</v>
      </c>
      <c r="G89" s="281" t="str">
        <f>K89</f>
        <v>Платежи</v>
      </c>
      <c r="H89" s="282" t="str">
        <f>F90</f>
        <v>NewPayment</v>
      </c>
      <c r="I89" s="197"/>
      <c r="J89" s="198"/>
      <c r="K89" s="199" t="str">
        <f>K88</f>
        <v>Платежи</v>
      </c>
      <c r="L89" s="200" t="s">
        <v>65</v>
      </c>
      <c r="N89" s="202"/>
      <c r="O89" s="198"/>
      <c r="P89" s="279"/>
    </row>
    <row r="90" spans="1:16" s="184" customFormat="1" x14ac:dyDescent="0.25">
      <c r="A90" s="252">
        <v>41506.038622685184</v>
      </c>
      <c r="B90" s="255" t="s">
        <v>136</v>
      </c>
      <c r="C90" s="278" t="str">
        <f>B89</f>
        <v>Adapt</v>
      </c>
      <c r="D90" s="193"/>
      <c r="E90" s="194" t="s">
        <v>174</v>
      </c>
      <c r="F90" s="277" t="s">
        <v>135</v>
      </c>
      <c r="G90" s="202" t="s">
        <v>204</v>
      </c>
      <c r="H90" s="209" t="s">
        <v>205</v>
      </c>
      <c r="I90" s="209" t="s">
        <v>206</v>
      </c>
      <c r="J90" s="198"/>
      <c r="K90" s="277" t="str">
        <f>F90</f>
        <v>NewPayment</v>
      </c>
      <c r="M90" s="197"/>
      <c r="N90" s="202"/>
      <c r="O90" s="198"/>
      <c r="P90" s="279"/>
    </row>
    <row r="91" spans="1:16" s="218" customFormat="1" ht="15.75" thickBot="1" x14ac:dyDescent="0.3">
      <c r="A91" s="256">
        <v>41506.038634259261</v>
      </c>
      <c r="B91" s="211" t="s">
        <v>33</v>
      </c>
      <c r="C91" s="283">
        <v>67</v>
      </c>
      <c r="D91" s="211"/>
      <c r="E91" s="206" t="s">
        <v>170</v>
      </c>
      <c r="F91" s="213"/>
      <c r="G91" s="214"/>
      <c r="H91" s="214"/>
      <c r="I91" s="214"/>
      <c r="J91" s="215"/>
      <c r="K91" s="216"/>
      <c r="L91" s="217"/>
      <c r="M91" s="214"/>
      <c r="N91" s="217"/>
      <c r="O91" s="215"/>
      <c r="P91" s="284"/>
    </row>
    <row r="92" spans="1:16" s="184" customFormat="1" ht="16.5" thickTop="1" thickBot="1" x14ac:dyDescent="0.3">
      <c r="A92" s="190"/>
      <c r="B92" s="191" t="s">
        <v>169</v>
      </c>
      <c r="C92" s="276"/>
      <c r="D92" s="274"/>
      <c r="E92" s="264" t="s">
        <v>66</v>
      </c>
      <c r="F92" s="275" t="s">
        <v>209</v>
      </c>
      <c r="G92" s="197"/>
      <c r="H92" s="197"/>
      <c r="I92" s="197"/>
      <c r="J92" s="198"/>
      <c r="K92" s="189" t="s">
        <v>32</v>
      </c>
      <c r="L92" s="202"/>
      <c r="M92" s="197"/>
      <c r="N92" s="202"/>
      <c r="O92" s="198"/>
    </row>
    <row r="93" spans="1:16" s="184" customFormat="1" ht="15.75" thickTop="1" x14ac:dyDescent="0.25">
      <c r="A93" s="190">
        <v>41522.105624999997</v>
      </c>
      <c r="B93" s="873" t="s">
        <v>210</v>
      </c>
      <c r="C93" s="903" t="str">
        <f>F15&amp;"/"&amp;B19</f>
        <v>LOAD_1C_P/PaymentPaint</v>
      </c>
      <c r="D93" s="193"/>
      <c r="E93" s="194" t="s">
        <v>170</v>
      </c>
      <c r="F93" s="277" t="s">
        <v>135</v>
      </c>
      <c r="G93" s="201"/>
      <c r="H93" s="197"/>
      <c r="I93" s="197"/>
      <c r="J93" s="198"/>
      <c r="K93" s="199" t="str">
        <f>K92</f>
        <v>Платежи</v>
      </c>
      <c r="L93" s="200" t="s">
        <v>63</v>
      </c>
      <c r="M93" s="200" t="s">
        <v>65</v>
      </c>
      <c r="N93" s="202"/>
      <c r="O93" s="198"/>
    </row>
    <row r="94" spans="1:16" s="184" customFormat="1" x14ac:dyDescent="0.25">
      <c r="A94" s="190">
        <v>41522.105636574073</v>
      </c>
      <c r="B94" s="204" t="s">
        <v>136</v>
      </c>
      <c r="C94" s="287" t="str">
        <f>B93</f>
        <v>PaidContr</v>
      </c>
      <c r="D94" s="193"/>
      <c r="E94" s="194" t="s">
        <v>170</v>
      </c>
      <c r="F94" s="285" t="str">
        <f>F93</f>
        <v>NewPayment</v>
      </c>
      <c r="G94" s="202" t="s">
        <v>204</v>
      </c>
      <c r="H94" s="209" t="s">
        <v>205</v>
      </c>
      <c r="I94" s="209" t="s">
        <v>206</v>
      </c>
      <c r="J94" s="198"/>
      <c r="K94" s="277" t="str">
        <f>F94</f>
        <v>NewPayment</v>
      </c>
      <c r="M94" s="197"/>
      <c r="N94" s="202"/>
      <c r="O94" s="198"/>
    </row>
    <row r="95" spans="1:16" s="218" customFormat="1" ht="15.75" thickBot="1" x14ac:dyDescent="0.3">
      <c r="A95" s="874"/>
      <c r="B95" s="875" t="s">
        <v>33</v>
      </c>
      <c r="C95" s="904">
        <v>0</v>
      </c>
      <c r="D95" s="211"/>
      <c r="E95" s="206" t="s">
        <v>174</v>
      </c>
      <c r="F95" s="213"/>
      <c r="G95" s="214"/>
      <c r="H95" s="214"/>
      <c r="I95" s="214"/>
      <c r="J95" s="215"/>
      <c r="K95" s="216"/>
      <c r="L95" s="217"/>
      <c r="M95" s="214"/>
      <c r="N95" s="217"/>
      <c r="O95" s="215"/>
    </row>
    <row r="96" spans="1:16" s="184" customFormat="1" ht="16.5" thickTop="1" thickBot="1" x14ac:dyDescent="0.3">
      <c r="A96" s="252"/>
      <c r="B96" s="193" t="s">
        <v>169</v>
      </c>
      <c r="C96" s="273"/>
      <c r="D96" s="274"/>
      <c r="E96" s="264" t="s">
        <v>66</v>
      </c>
      <c r="F96" s="286" t="s">
        <v>211</v>
      </c>
      <c r="G96" s="197"/>
      <c r="H96" s="197"/>
      <c r="I96" s="197"/>
      <c r="J96" s="198"/>
      <c r="K96" s="189" t="str">
        <f>K23</f>
        <v>Договоры</v>
      </c>
      <c r="L96" s="202"/>
      <c r="M96" s="197"/>
      <c r="N96" s="202"/>
      <c r="O96" s="198"/>
    </row>
    <row r="97" spans="1:16" s="184" customFormat="1" ht="15.75" thickTop="1" x14ac:dyDescent="0.25">
      <c r="A97" s="252">
        <v>41521.6721875</v>
      </c>
      <c r="B97" s="193" t="s">
        <v>43</v>
      </c>
      <c r="C97" s="280" t="str">
        <f>F23&amp;"/"&amp;B24</f>
        <v>LOAD_1C_DOG/InsMyCol</v>
      </c>
      <c r="D97" s="193"/>
      <c r="E97" s="194" t="s">
        <v>174</v>
      </c>
      <c r="F97" s="277" t="s">
        <v>138</v>
      </c>
      <c r="G97" s="201"/>
      <c r="H97" s="197"/>
      <c r="I97" s="197"/>
      <c r="J97" s="198"/>
      <c r="K97" s="199" t="str">
        <f>K96</f>
        <v>Договоры</v>
      </c>
      <c r="L97" s="200" t="s">
        <v>63</v>
      </c>
      <c r="M97" s="200" t="s">
        <v>69</v>
      </c>
      <c r="N97" s="202"/>
      <c r="O97" s="198"/>
    </row>
    <row r="98" spans="1:16" s="184" customFormat="1" x14ac:dyDescent="0.25">
      <c r="A98" s="252">
        <v>41521.6721875</v>
      </c>
      <c r="B98" s="255" t="s">
        <v>136</v>
      </c>
      <c r="C98" s="278" t="str">
        <f>B97</f>
        <v>NewContr</v>
      </c>
      <c r="D98" s="193"/>
      <c r="E98" s="194" t="s">
        <v>174</v>
      </c>
      <c r="F98" s="285" t="str">
        <f>F97</f>
        <v>NewContract</v>
      </c>
      <c r="G98" s="202" t="s">
        <v>204</v>
      </c>
      <c r="H98" s="209" t="s">
        <v>212</v>
      </c>
      <c r="I98" s="209" t="s">
        <v>213</v>
      </c>
      <c r="J98" s="198"/>
      <c r="K98" s="277" t="str">
        <f>F98</f>
        <v>NewContract</v>
      </c>
      <c r="M98" s="197"/>
      <c r="N98" s="202"/>
      <c r="O98" s="198"/>
    </row>
    <row r="99" spans="1:16" s="218" customFormat="1" ht="15.75" thickBot="1" x14ac:dyDescent="0.3">
      <c r="A99" s="256"/>
      <c r="B99" s="211" t="s">
        <v>33</v>
      </c>
      <c r="C99" s="283">
        <v>13</v>
      </c>
      <c r="D99" s="211"/>
      <c r="E99" s="212" t="s">
        <v>174</v>
      </c>
      <c r="F99" s="213"/>
      <c r="G99" s="214"/>
      <c r="H99" s="214"/>
      <c r="I99" s="214"/>
      <c r="J99" s="215"/>
      <c r="K99" s="216"/>
      <c r="L99" s="217"/>
      <c r="M99" s="214"/>
      <c r="N99" s="217"/>
      <c r="O99" s="215"/>
    </row>
    <row r="100" spans="1:16" s="184" customFormat="1" ht="16.5" thickTop="1" thickBot="1" x14ac:dyDescent="0.3">
      <c r="A100" s="252"/>
      <c r="B100" s="193" t="s">
        <v>169</v>
      </c>
      <c r="C100" s="273"/>
      <c r="D100" s="274"/>
      <c r="E100" s="264" t="s">
        <v>66</v>
      </c>
      <c r="F100" s="286" t="s">
        <v>214</v>
      </c>
      <c r="G100" s="197"/>
      <c r="H100" s="197"/>
      <c r="I100" s="197"/>
      <c r="J100" s="198"/>
      <c r="K100" s="189" t="s">
        <v>100</v>
      </c>
      <c r="L100" s="202"/>
      <c r="M100" s="197"/>
      <c r="N100" s="202"/>
      <c r="O100" s="198"/>
      <c r="P100" s="288"/>
    </row>
    <row r="101" spans="1:16" s="184" customFormat="1" ht="15.75" thickTop="1" x14ac:dyDescent="0.25">
      <c r="A101" s="252">
        <v>41430.738321759258</v>
      </c>
      <c r="B101" s="193" t="s">
        <v>143</v>
      </c>
      <c r="C101" s="280" t="str">
        <f>F62&amp;"/"&amp;B65</f>
        <v>LOAD_Order/Adapt</v>
      </c>
      <c r="D101" s="193"/>
      <c r="E101" s="194" t="s">
        <v>174</v>
      </c>
      <c r="F101" s="277" t="s">
        <v>143</v>
      </c>
      <c r="G101" s="201"/>
      <c r="H101" s="197"/>
      <c r="I101" s="197"/>
      <c r="J101" s="198"/>
      <c r="K101" s="199" t="str">
        <f>K100</f>
        <v>Заказы</v>
      </c>
      <c r="L101" s="24" t="s">
        <v>32</v>
      </c>
      <c r="M101" s="200" t="s">
        <v>80</v>
      </c>
      <c r="N101" s="200" t="s">
        <v>58</v>
      </c>
      <c r="O101" s="198"/>
      <c r="P101" s="288"/>
    </row>
    <row r="102" spans="1:16" s="184" customFormat="1" x14ac:dyDescent="0.25">
      <c r="A102" s="252">
        <v>41430.738321759258</v>
      </c>
      <c r="B102" s="255" t="s">
        <v>136</v>
      </c>
      <c r="C102" s="278" t="str">
        <f>B101</f>
        <v>NewOrder</v>
      </c>
      <c r="D102" s="193"/>
      <c r="E102" s="194" t="s">
        <v>174</v>
      </c>
      <c r="F102" s="285" t="str">
        <f>F101</f>
        <v>NewOrder</v>
      </c>
      <c r="G102" s="202" t="s">
        <v>204</v>
      </c>
      <c r="H102" s="209" t="s">
        <v>215</v>
      </c>
      <c r="I102" s="209" t="s">
        <v>216</v>
      </c>
      <c r="J102" s="198"/>
      <c r="K102" s="277" t="str">
        <f>F102</f>
        <v>NewOrder</v>
      </c>
      <c r="M102" s="197"/>
      <c r="N102" s="202"/>
      <c r="O102" s="198"/>
      <c r="P102" s="288"/>
    </row>
    <row r="103" spans="1:16" s="218" customFormat="1" ht="15.75" thickBot="1" x14ac:dyDescent="0.3">
      <c r="A103" s="256"/>
      <c r="B103" s="211" t="s">
        <v>33</v>
      </c>
      <c r="C103" s="283">
        <v>0</v>
      </c>
      <c r="D103" s="211"/>
      <c r="E103" s="212" t="s">
        <v>174</v>
      </c>
      <c r="F103" s="213"/>
      <c r="G103" s="214"/>
      <c r="H103" s="214"/>
      <c r="I103" s="214"/>
      <c r="J103" s="215"/>
      <c r="K103" s="216"/>
      <c r="L103" s="217"/>
      <c r="M103" s="214"/>
      <c r="N103" s="217"/>
      <c r="O103" s="215"/>
      <c r="P103" s="289"/>
    </row>
    <row r="104" spans="1:16" s="184" customFormat="1" ht="16.5" thickTop="1" thickBot="1" x14ac:dyDescent="0.3">
      <c r="A104" s="252"/>
      <c r="B104" s="193" t="s">
        <v>169</v>
      </c>
      <c r="C104" s="273"/>
      <c r="D104" s="274"/>
      <c r="E104" s="264" t="s">
        <v>66</v>
      </c>
      <c r="F104" s="286" t="s">
        <v>217</v>
      </c>
      <c r="G104" s="197"/>
      <c r="H104" s="197"/>
      <c r="I104" s="197"/>
      <c r="J104" s="198"/>
      <c r="K104" s="189" t="s">
        <v>32</v>
      </c>
      <c r="L104" s="202"/>
      <c r="M104" s="197"/>
      <c r="N104" s="202"/>
      <c r="O104" s="198"/>
      <c r="P104" s="290"/>
    </row>
    <row r="105" spans="1:16" s="184" customFormat="1" ht="30.75" thickTop="1" x14ac:dyDescent="0.25">
      <c r="A105" s="252">
        <v>41344.979027777779</v>
      </c>
      <c r="B105" s="193" t="s">
        <v>101</v>
      </c>
      <c r="C105" s="291" t="str">
        <f>F96&amp;"/"&amp;B98</f>
        <v>HANDL_NewContract/WrCSV</v>
      </c>
      <c r="D105" s="193"/>
      <c r="E105" s="194" t="s">
        <v>174</v>
      </c>
      <c r="F105" s="292" t="s">
        <v>218</v>
      </c>
      <c r="G105" s="278" t="s">
        <v>32</v>
      </c>
      <c r="H105" s="293" t="str">
        <f>F106</f>
        <v>NewOpp</v>
      </c>
      <c r="I105" s="197"/>
      <c r="J105" s="198"/>
      <c r="K105" s="277" t="s">
        <v>140</v>
      </c>
      <c r="L105" s="202" t="s">
        <v>32</v>
      </c>
      <c r="M105" s="200" t="s">
        <v>63</v>
      </c>
      <c r="N105" s="200" t="s">
        <v>65</v>
      </c>
      <c r="O105" s="198"/>
      <c r="P105" s="290"/>
    </row>
    <row r="106" spans="1:16" s="184" customFormat="1" x14ac:dyDescent="0.25">
      <c r="A106" s="252">
        <v>41344.938113425924</v>
      </c>
      <c r="B106" s="255" t="s">
        <v>136</v>
      </c>
      <c r="C106" s="278" t="str">
        <f>B105</f>
        <v>Adapt</v>
      </c>
      <c r="D106" s="193"/>
      <c r="E106" s="194" t="s">
        <v>174</v>
      </c>
      <c r="F106" s="285" t="str">
        <f>K105</f>
        <v>NewOpp</v>
      </c>
      <c r="G106" s="202" t="s">
        <v>204</v>
      </c>
      <c r="H106" s="209" t="s">
        <v>219</v>
      </c>
      <c r="I106" s="209" t="s">
        <v>220</v>
      </c>
      <c r="J106" s="198"/>
      <c r="K106" s="277" t="str">
        <f>F106</f>
        <v>NewOpp</v>
      </c>
      <c r="M106" s="197"/>
      <c r="N106" s="202"/>
      <c r="O106" s="198"/>
      <c r="P106" s="290"/>
    </row>
    <row r="107" spans="1:16" s="218" customFormat="1" x14ac:dyDescent="0.25">
      <c r="A107" s="256"/>
      <c r="B107" s="211" t="s">
        <v>33</v>
      </c>
      <c r="C107" s="283">
        <v>217</v>
      </c>
      <c r="D107" s="211"/>
      <c r="E107" s="212" t="s">
        <v>174</v>
      </c>
      <c r="F107" s="213"/>
      <c r="G107" s="214"/>
      <c r="H107" s="214"/>
      <c r="I107" s="214"/>
      <c r="J107" s="215"/>
      <c r="K107" s="216"/>
      <c r="L107" s="217"/>
      <c r="M107" s="214"/>
      <c r="N107" s="217"/>
      <c r="O107" s="215"/>
      <c r="P107" s="294"/>
    </row>
    <row r="108" spans="1:16" s="184" customFormat="1" x14ac:dyDescent="0.25">
      <c r="A108" s="190"/>
      <c r="B108" s="191" t="s">
        <v>169</v>
      </c>
      <c r="C108" s="276"/>
      <c r="D108" s="274"/>
      <c r="E108" s="194" t="s">
        <v>174</v>
      </c>
      <c r="F108" s="275" t="s">
        <v>221</v>
      </c>
      <c r="G108" s="197"/>
      <c r="H108" s="197"/>
      <c r="I108" s="197"/>
      <c r="J108" s="198"/>
      <c r="K108" s="189" t="s">
        <v>41</v>
      </c>
      <c r="L108" s="202"/>
      <c r="M108" s="197"/>
      <c r="N108" s="202"/>
      <c r="O108" s="198"/>
    </row>
    <row r="109" spans="1:16" x14ac:dyDescent="0.25">
      <c r="A109" s="271"/>
      <c r="B109" s="255" t="s">
        <v>222</v>
      </c>
      <c r="C109" s="253" t="s">
        <v>43</v>
      </c>
      <c r="D109" s="205"/>
      <c r="E109" s="230" t="s">
        <v>174</v>
      </c>
      <c r="F109" s="199"/>
      <c r="G109" s="202"/>
      <c r="H109" s="209"/>
      <c r="I109" s="209"/>
      <c r="J109" s="250"/>
      <c r="K109" s="251" t="s">
        <v>41</v>
      </c>
      <c r="L109" s="209"/>
      <c r="M109" s="209"/>
      <c r="N109" s="209"/>
      <c r="O109" s="250"/>
    </row>
    <row r="110" spans="1:16" x14ac:dyDescent="0.25">
      <c r="A110" s="271"/>
      <c r="B110" s="255" t="s">
        <v>136</v>
      </c>
      <c r="C110" s="272" t="s">
        <v>222</v>
      </c>
      <c r="D110" s="205"/>
      <c r="E110" s="230"/>
      <c r="F110" s="199" t="s">
        <v>223</v>
      </c>
      <c r="G110" s="202" t="s">
        <v>198</v>
      </c>
      <c r="H110" s="209" t="s">
        <v>199</v>
      </c>
      <c r="I110" s="209" t="s">
        <v>200</v>
      </c>
      <c r="J110" s="250"/>
      <c r="K110" s="251"/>
      <c r="L110" s="209"/>
      <c r="M110" s="209"/>
      <c r="N110" s="209"/>
      <c r="O110" s="250"/>
    </row>
    <row r="111" spans="1:16" s="240" customFormat="1" ht="15.75" thickBot="1" x14ac:dyDescent="0.3">
      <c r="A111" s="295"/>
      <c r="B111" s="233" t="s">
        <v>33</v>
      </c>
      <c r="C111" s="295"/>
      <c r="D111" s="233"/>
      <c r="E111" s="234" t="s">
        <v>174</v>
      </c>
      <c r="F111" s="235"/>
      <c r="G111" s="236"/>
      <c r="H111" s="236"/>
      <c r="I111" s="236"/>
      <c r="J111" s="237"/>
      <c r="K111" s="238"/>
      <c r="L111" s="239"/>
      <c r="M111" s="236"/>
      <c r="N111" s="239"/>
      <c r="O111" s="237"/>
    </row>
    <row r="112" spans="1:16" s="184" customFormat="1" ht="16.5" thickTop="1" thickBot="1" x14ac:dyDescent="0.3">
      <c r="A112" s="252"/>
      <c r="B112" s="193" t="s">
        <v>169</v>
      </c>
      <c r="C112" s="273"/>
      <c r="D112" s="274"/>
      <c r="E112" s="264" t="s">
        <v>66</v>
      </c>
      <c r="F112" s="275" t="s">
        <v>224</v>
      </c>
      <c r="G112" s="197"/>
      <c r="H112" s="197"/>
      <c r="I112" s="197"/>
      <c r="J112" s="198"/>
      <c r="K112" s="189" t="s">
        <v>49</v>
      </c>
      <c r="L112" s="202"/>
      <c r="M112" s="197"/>
      <c r="N112" s="202"/>
      <c r="O112" s="198"/>
    </row>
    <row r="113" spans="1:16" ht="15.75" thickTop="1" x14ac:dyDescent="0.25">
      <c r="A113" s="252">
        <v>41237.062696759262</v>
      </c>
      <c r="B113" s="255" t="s">
        <v>225</v>
      </c>
      <c r="C113" s="39" t="str">
        <f>F31&amp;"/"&amp;B33</f>
        <v>LOAD_1C_ACC/InsMyCol</v>
      </c>
      <c r="D113" s="205"/>
      <c r="E113" s="230" t="s">
        <v>174</v>
      </c>
      <c r="F113" s="199" t="s">
        <v>128</v>
      </c>
      <c r="G113" s="202"/>
      <c r="H113" s="209"/>
      <c r="I113" s="209"/>
      <c r="J113" s="250"/>
      <c r="K113" s="2" t="str">
        <f>K112</f>
        <v>Список клиентов 1C</v>
      </c>
      <c r="L113" s="209"/>
      <c r="M113" s="209"/>
      <c r="N113" s="200" t="s">
        <v>69</v>
      </c>
      <c r="O113" s="250"/>
    </row>
    <row r="114" spans="1:16" s="218" customFormat="1" ht="15.75" thickBot="1" x14ac:dyDescent="0.3">
      <c r="A114" s="256"/>
      <c r="B114" s="211" t="s">
        <v>33</v>
      </c>
      <c r="C114" s="257"/>
      <c r="D114" s="211"/>
      <c r="E114" s="212" t="s">
        <v>174</v>
      </c>
      <c r="F114" s="213"/>
      <c r="G114" s="214"/>
      <c r="H114" s="214"/>
      <c r="I114" s="214"/>
      <c r="J114" s="215"/>
      <c r="K114" s="216"/>
      <c r="L114" s="217"/>
      <c r="M114" s="214"/>
      <c r="N114" s="217"/>
      <c r="O114" s="215"/>
    </row>
    <row r="115" spans="1:16" s="184" customFormat="1" ht="16.5" thickTop="1" thickBot="1" x14ac:dyDescent="0.3">
      <c r="A115" s="252"/>
      <c r="B115" s="193" t="s">
        <v>169</v>
      </c>
      <c r="C115" s="273"/>
      <c r="D115" s="274"/>
      <c r="E115" s="264" t="s">
        <v>66</v>
      </c>
      <c r="F115" s="275" t="s">
        <v>226</v>
      </c>
      <c r="G115" s="197"/>
      <c r="H115" s="197"/>
      <c r="I115" s="197"/>
      <c r="J115" s="198"/>
      <c r="K115" s="189" t="s">
        <v>113</v>
      </c>
      <c r="L115" s="202"/>
      <c r="M115" s="197"/>
      <c r="N115" s="202"/>
      <c r="O115" s="198"/>
      <c r="P115" s="296"/>
    </row>
    <row r="116" spans="1:16" ht="15.75" thickTop="1" x14ac:dyDescent="0.25">
      <c r="A116" s="252">
        <v>41410.835046296299</v>
      </c>
      <c r="B116" s="255" t="s">
        <v>227</v>
      </c>
      <c r="C116" s="39" t="s">
        <v>67</v>
      </c>
      <c r="D116" s="205"/>
      <c r="E116" s="230" t="s">
        <v>174</v>
      </c>
      <c r="F116" s="297" t="s">
        <v>132</v>
      </c>
      <c r="G116" s="202"/>
      <c r="H116" s="209"/>
      <c r="I116" s="209"/>
      <c r="J116" s="250"/>
      <c r="K116" s="93" t="s">
        <v>100</v>
      </c>
      <c r="L116" s="298" t="s">
        <v>113</v>
      </c>
      <c r="M116" s="200" t="s">
        <v>80</v>
      </c>
      <c r="N116" s="200" t="s">
        <v>72</v>
      </c>
      <c r="O116" s="250"/>
      <c r="P116" s="299"/>
    </row>
    <row r="117" spans="1:16" s="184" customFormat="1" x14ac:dyDescent="0.25">
      <c r="A117" s="252"/>
      <c r="B117" s="255" t="s">
        <v>136</v>
      </c>
      <c r="C117" s="278" t="str">
        <f>B116</f>
        <v>BTO_Mail_track</v>
      </c>
      <c r="D117" s="193"/>
      <c r="E117" s="194" t="s">
        <v>174</v>
      </c>
      <c r="F117" s="297" t="str">
        <f>F116</f>
        <v>BTOlog</v>
      </c>
      <c r="G117" s="202" t="s">
        <v>204</v>
      </c>
      <c r="H117" s="209" t="s">
        <v>228</v>
      </c>
      <c r="I117" s="209" t="s">
        <v>229</v>
      </c>
      <c r="J117" s="198"/>
      <c r="K117" s="297" t="str">
        <f>F117</f>
        <v>BTOlog</v>
      </c>
      <c r="M117" s="197"/>
      <c r="N117" s="202"/>
      <c r="O117" s="198"/>
      <c r="P117" s="299"/>
    </row>
    <row r="118" spans="1:16" s="218" customFormat="1" ht="15.75" thickBot="1" x14ac:dyDescent="0.3">
      <c r="A118" s="256"/>
      <c r="B118" s="211" t="s">
        <v>33</v>
      </c>
      <c r="C118" s="257"/>
      <c r="D118" s="211"/>
      <c r="E118" s="212" t="s">
        <v>174</v>
      </c>
      <c r="F118" s="213"/>
      <c r="G118" s="214"/>
      <c r="H118" s="214"/>
      <c r="I118" s="214"/>
      <c r="J118" s="215"/>
      <c r="K118" s="216"/>
      <c r="L118" s="217"/>
      <c r="M118" s="214"/>
      <c r="N118" s="217"/>
      <c r="O118" s="215"/>
      <c r="P118" s="300"/>
    </row>
    <row r="119" spans="1:16" s="184" customFormat="1" ht="16.5" thickTop="1" thickBot="1" x14ac:dyDescent="0.3">
      <c r="A119" s="190"/>
      <c r="B119" s="191" t="s">
        <v>169</v>
      </c>
      <c r="C119" s="276"/>
      <c r="D119" s="274"/>
      <c r="E119" s="264" t="s">
        <v>66</v>
      </c>
      <c r="F119" s="275" t="s">
        <v>230</v>
      </c>
      <c r="G119" s="197"/>
      <c r="H119" s="197"/>
      <c r="I119" s="197"/>
      <c r="J119" s="198"/>
      <c r="K119" s="189" t="s">
        <v>72</v>
      </c>
      <c r="L119" s="202"/>
      <c r="M119" s="197"/>
      <c r="N119" s="202"/>
      <c r="O119" s="198"/>
      <c r="P119" s="301"/>
    </row>
    <row r="120" spans="1:16" ht="15.75" thickTop="1" x14ac:dyDescent="0.25">
      <c r="A120" s="190">
        <v>41499.705324074072</v>
      </c>
      <c r="B120" s="204" t="s">
        <v>101</v>
      </c>
      <c r="C120" s="232"/>
      <c r="D120" s="205"/>
      <c r="E120" s="230" t="s">
        <v>170</v>
      </c>
      <c r="F120" s="302" t="s">
        <v>150</v>
      </c>
      <c r="G120" s="303" t="str">
        <f>K119</f>
        <v>ADSKfrSF</v>
      </c>
      <c r="H120" s="304" t="s">
        <v>149</v>
      </c>
      <c r="J120" s="250"/>
      <c r="K120" s="304" t="str">
        <f>H120</f>
        <v>A_SN_1</v>
      </c>
      <c r="L120" s="56" t="str">
        <f>K119</f>
        <v>ADSKfrSF</v>
      </c>
      <c r="N120" s="202"/>
      <c r="O120" s="250"/>
      <c r="P120" s="305"/>
    </row>
    <row r="121" spans="1:16" x14ac:dyDescent="0.25">
      <c r="A121" s="190">
        <v>41502.225694444445</v>
      </c>
      <c r="B121" s="204" t="s">
        <v>73</v>
      </c>
      <c r="C121" s="232" t="str">
        <f>B120</f>
        <v>Adapt</v>
      </c>
      <c r="D121" s="205"/>
      <c r="E121" s="230" t="s">
        <v>170</v>
      </c>
      <c r="F121" s="306"/>
      <c r="G121" s="202"/>
      <c r="H121" s="209"/>
      <c r="I121" s="209"/>
      <c r="J121" s="250"/>
      <c r="K121" s="56" t="str">
        <f>L120</f>
        <v>ADSKfrSF</v>
      </c>
      <c r="L121" s="304" t="s">
        <v>151</v>
      </c>
      <c r="M121" s="304" t="s">
        <v>154</v>
      </c>
      <c r="N121" s="202"/>
      <c r="O121" s="250"/>
      <c r="P121" s="305"/>
    </row>
    <row r="122" spans="1:16" s="184" customFormat="1" x14ac:dyDescent="0.25">
      <c r="A122" s="252"/>
      <c r="B122" s="193" t="s">
        <v>194</v>
      </c>
      <c r="C122" s="266"/>
      <c r="D122" s="193"/>
      <c r="E122" s="194" t="s">
        <v>174</v>
      </c>
      <c r="F122" s="261" t="s">
        <v>170</v>
      </c>
      <c r="G122" s="201"/>
      <c r="H122" s="197"/>
      <c r="I122" s="197"/>
      <c r="J122" s="198"/>
      <c r="K122" s="199"/>
      <c r="L122" s="202"/>
      <c r="M122" s="197"/>
      <c r="N122" s="202"/>
      <c r="O122" s="198"/>
      <c r="P122" s="301"/>
    </row>
    <row r="123" spans="1:16" s="184" customFormat="1" x14ac:dyDescent="0.25">
      <c r="A123" s="252"/>
      <c r="B123" s="255" t="s">
        <v>136</v>
      </c>
      <c r="C123" s="278" t="str">
        <f>B120</f>
        <v>Adapt</v>
      </c>
      <c r="D123" s="193"/>
      <c r="E123" s="194" t="s">
        <v>174</v>
      </c>
      <c r="F123" s="306" t="str">
        <f>M121</f>
        <v>A_SN_3</v>
      </c>
      <c r="G123" s="202" t="s">
        <v>204</v>
      </c>
      <c r="H123" s="307" t="s">
        <v>228</v>
      </c>
      <c r="I123" s="307" t="s">
        <v>229</v>
      </c>
      <c r="J123" s="198"/>
      <c r="K123" s="306" t="str">
        <f>F123</f>
        <v>A_SN_3</v>
      </c>
      <c r="M123" s="197"/>
      <c r="N123" s="202"/>
      <c r="O123" s="198"/>
      <c r="P123" s="305"/>
    </row>
    <row r="124" spans="1:16" s="218" customFormat="1" ht="15.75" thickBot="1" x14ac:dyDescent="0.3">
      <c r="A124" s="256"/>
      <c r="B124" s="211" t="s">
        <v>33</v>
      </c>
      <c r="C124" s="257"/>
      <c r="D124" s="211"/>
      <c r="E124" s="212" t="s">
        <v>174</v>
      </c>
      <c r="F124" s="213"/>
      <c r="G124" s="214"/>
      <c r="H124" s="214"/>
      <c r="I124" s="214"/>
      <c r="J124" s="215"/>
      <c r="K124" s="216"/>
      <c r="L124" s="217"/>
      <c r="M124" s="214"/>
      <c r="N124" s="217"/>
      <c r="O124" s="215"/>
      <c r="P124" s="308"/>
    </row>
    <row r="125" spans="1:16" s="311" customFormat="1" ht="16.5" thickTop="1" thickBot="1" x14ac:dyDescent="0.3">
      <c r="A125" s="241">
        <v>41201.045671296299</v>
      </c>
      <c r="B125" s="242" t="s">
        <v>169</v>
      </c>
      <c r="C125" s="243"/>
      <c r="D125" s="244"/>
      <c r="E125" s="309" t="s">
        <v>66</v>
      </c>
      <c r="F125" s="310" t="s">
        <v>231</v>
      </c>
      <c r="G125" s="244"/>
      <c r="H125" s="244"/>
      <c r="I125" s="244"/>
      <c r="J125" s="247"/>
      <c r="K125" s="270" t="str">
        <f>K15</f>
        <v>Платежи</v>
      </c>
      <c r="L125" s="249"/>
      <c r="M125" s="244"/>
      <c r="N125" s="249"/>
      <c r="O125" s="247"/>
    </row>
    <row r="126" spans="1:16" s="184" customFormat="1" ht="16.5" thickTop="1" thickBot="1" x14ac:dyDescent="0.3">
      <c r="A126" s="190">
        <v>41289.96565972222</v>
      </c>
      <c r="B126" s="204" t="s">
        <v>232</v>
      </c>
      <c r="C126" s="312"/>
      <c r="D126" s="193"/>
      <c r="E126" s="208" t="s">
        <v>170</v>
      </c>
      <c r="F126" s="199" t="str">
        <f>F96</f>
        <v>HANDL_NewContract</v>
      </c>
      <c r="G126" s="313" t="str">
        <f>F125</f>
        <v>WP_PaidOpp</v>
      </c>
      <c r="H126" s="313" t="str">
        <f>B132</f>
        <v>WP_Paid</v>
      </c>
      <c r="I126" s="314">
        <v>7</v>
      </c>
      <c r="J126" s="198"/>
      <c r="K126" s="199"/>
      <c r="L126" s="202"/>
      <c r="M126" s="197"/>
      <c r="N126" s="202"/>
      <c r="O126" s="198"/>
    </row>
    <row r="127" spans="1:16" s="184" customFormat="1" x14ac:dyDescent="0.25">
      <c r="A127" s="190">
        <v>41289.96565972222</v>
      </c>
      <c r="B127" s="191" t="s">
        <v>233</v>
      </c>
      <c r="C127" s="287" t="str">
        <f>B126</f>
        <v>ProcReset</v>
      </c>
      <c r="D127" s="193"/>
      <c r="E127" s="194" t="s">
        <v>170</v>
      </c>
      <c r="F127" s="315">
        <f>C99</f>
        <v>13</v>
      </c>
      <c r="G127" s="201"/>
      <c r="H127" s="197"/>
      <c r="I127" s="197"/>
      <c r="J127" s="198"/>
      <c r="K127" s="199"/>
      <c r="L127" s="202"/>
      <c r="M127" s="197"/>
      <c r="N127" s="202"/>
      <c r="O127" s="198"/>
    </row>
    <row r="128" spans="1:16" s="184" customFormat="1" x14ac:dyDescent="0.25">
      <c r="A128" s="190">
        <v>41289.965682870374</v>
      </c>
      <c r="B128" s="204" t="s">
        <v>232</v>
      </c>
      <c r="C128" s="312"/>
      <c r="D128" s="193"/>
      <c r="E128" s="208" t="s">
        <v>170</v>
      </c>
      <c r="F128" s="199" t="str">
        <f>F92</f>
        <v>HANDL_PaidContr</v>
      </c>
      <c r="G128" s="201"/>
      <c r="H128" s="197"/>
      <c r="I128" s="197"/>
      <c r="J128" s="198"/>
      <c r="K128" s="199"/>
      <c r="L128" s="202"/>
      <c r="M128" s="197"/>
      <c r="N128" s="202"/>
      <c r="O128" s="198"/>
    </row>
    <row r="129" spans="1:15" s="184" customFormat="1" x14ac:dyDescent="0.25">
      <c r="A129" s="252"/>
      <c r="B129" s="193" t="s">
        <v>233</v>
      </c>
      <c r="C129" s="278" t="str">
        <f>B127</f>
        <v>CheckProc0</v>
      </c>
      <c r="D129" s="193"/>
      <c r="E129" s="194" t="s">
        <v>174</v>
      </c>
      <c r="F129" s="316">
        <f>C95</f>
        <v>0</v>
      </c>
      <c r="G129" s="201"/>
      <c r="H129" s="197"/>
      <c r="I129" s="197"/>
      <c r="J129" s="198"/>
      <c r="K129" s="199"/>
      <c r="L129" s="202"/>
      <c r="M129" s="197"/>
      <c r="N129" s="202"/>
      <c r="O129" s="198"/>
    </row>
    <row r="130" spans="1:15" s="184" customFormat="1" x14ac:dyDescent="0.25">
      <c r="A130" s="252"/>
      <c r="B130" s="193" t="s">
        <v>202</v>
      </c>
      <c r="C130" s="273"/>
      <c r="D130" s="274"/>
      <c r="E130" s="194" t="s">
        <v>174</v>
      </c>
      <c r="F130" s="277" t="s">
        <v>140</v>
      </c>
      <c r="G130" s="197"/>
      <c r="H130" s="197"/>
      <c r="I130" s="197"/>
      <c r="J130" s="198"/>
      <c r="K130" s="277" t="str">
        <f>F130</f>
        <v>NewOpp</v>
      </c>
      <c r="L130" s="202"/>
      <c r="M130" s="197"/>
      <c r="N130" s="202"/>
      <c r="O130" s="198"/>
    </row>
    <row r="131" spans="1:15" s="184" customFormat="1" x14ac:dyDescent="0.25">
      <c r="A131" s="252"/>
      <c r="B131" s="193" t="s">
        <v>202</v>
      </c>
      <c r="C131" s="273"/>
      <c r="D131" s="274"/>
      <c r="E131" s="194" t="s">
        <v>174</v>
      </c>
      <c r="F131" s="277" t="s">
        <v>135</v>
      </c>
      <c r="G131" s="197"/>
      <c r="H131" s="197"/>
      <c r="I131" s="197"/>
      <c r="J131" s="198"/>
      <c r="K131" s="277" t="str">
        <f>F131</f>
        <v>NewPayment</v>
      </c>
      <c r="L131" s="202"/>
      <c r="M131" s="197"/>
      <c r="N131" s="202"/>
      <c r="O131" s="198"/>
    </row>
    <row r="132" spans="1:15" s="184" customFormat="1" ht="15.75" thickBot="1" x14ac:dyDescent="0.3">
      <c r="A132" s="317"/>
      <c r="B132" s="318" t="s">
        <v>234</v>
      </c>
      <c r="C132" s="319" t="str">
        <f>B127</f>
        <v>CheckProc0</v>
      </c>
      <c r="D132" s="318"/>
      <c r="E132" s="320" t="s">
        <v>174</v>
      </c>
      <c r="F132" s="321" t="s">
        <v>235</v>
      </c>
      <c r="G132" s="322" t="s">
        <v>174</v>
      </c>
      <c r="H132" s="323"/>
      <c r="I132" s="323"/>
      <c r="J132" s="324"/>
      <c r="K132" s="325" t="str">
        <f>K125</f>
        <v>Платежи</v>
      </c>
      <c r="L132" s="326" t="s">
        <v>69</v>
      </c>
      <c r="M132" s="326" t="s">
        <v>65</v>
      </c>
      <c r="N132" s="326" t="s">
        <v>63</v>
      </c>
      <c r="O132" s="324"/>
    </row>
    <row r="133" spans="1:15" s="184" customFormat="1" ht="15.75" thickTop="1" x14ac:dyDescent="0.25">
      <c r="A133" s="252"/>
      <c r="B133" s="255" t="s">
        <v>136</v>
      </c>
      <c r="C133" s="278" t="str">
        <f>B132</f>
        <v>WP_Paid</v>
      </c>
      <c r="D133" s="193"/>
      <c r="E133" s="194" t="s">
        <v>174</v>
      </c>
      <c r="F133" s="277" t="s">
        <v>140</v>
      </c>
      <c r="G133" s="202" t="s">
        <v>204</v>
      </c>
      <c r="H133" s="209" t="s">
        <v>219</v>
      </c>
      <c r="I133" s="209" t="s">
        <v>220</v>
      </c>
      <c r="J133" s="198"/>
      <c r="K133" s="277" t="str">
        <f>F133</f>
        <v>NewOpp</v>
      </c>
      <c r="L133" s="202"/>
      <c r="M133" s="197"/>
      <c r="N133" s="202"/>
      <c r="O133" s="198"/>
    </row>
    <row r="134" spans="1:15" s="184" customFormat="1" x14ac:dyDescent="0.25">
      <c r="A134" s="252"/>
      <c r="B134" s="255" t="s">
        <v>136</v>
      </c>
      <c r="C134" s="278" t="str">
        <f>B132</f>
        <v>WP_Paid</v>
      </c>
      <c r="D134" s="193"/>
      <c r="E134" s="194" t="s">
        <v>174</v>
      </c>
      <c r="F134" s="277" t="s">
        <v>135</v>
      </c>
      <c r="G134" s="202" t="s">
        <v>204</v>
      </c>
      <c r="H134" s="209" t="s">
        <v>205</v>
      </c>
      <c r="I134" s="209" t="s">
        <v>206</v>
      </c>
      <c r="J134" s="198"/>
      <c r="K134" s="277" t="str">
        <f>F134</f>
        <v>NewPayment</v>
      </c>
      <c r="L134" s="202"/>
      <c r="M134" s="197"/>
      <c r="N134" s="202"/>
      <c r="O134" s="198"/>
    </row>
    <row r="135" spans="1:15" s="187" customFormat="1" x14ac:dyDescent="0.25">
      <c r="A135" s="327"/>
      <c r="B135" s="255" t="s">
        <v>33</v>
      </c>
      <c r="C135" s="328">
        <v>0</v>
      </c>
      <c r="D135" s="255"/>
      <c r="E135" s="206" t="s">
        <v>174</v>
      </c>
      <c r="F135" s="329"/>
      <c r="G135" s="197"/>
      <c r="H135" s="197"/>
      <c r="I135" s="197"/>
      <c r="J135" s="198"/>
      <c r="K135" s="199"/>
      <c r="L135" s="202"/>
      <c r="M135" s="197"/>
      <c r="N135" s="202"/>
      <c r="O135" s="198"/>
    </row>
    <row r="136" spans="1:15" s="333" customFormat="1" ht="15.75" thickBot="1" x14ac:dyDescent="0.3">
      <c r="A136" s="258">
        <v>41201.045671296299</v>
      </c>
      <c r="B136" s="259" t="s">
        <v>169</v>
      </c>
      <c r="C136" s="260"/>
      <c r="D136" s="221"/>
      <c r="E136" s="330" t="s">
        <v>66</v>
      </c>
      <c r="F136" s="331" t="s">
        <v>236</v>
      </c>
      <c r="G136" s="221"/>
      <c r="H136" s="221"/>
      <c r="I136" s="221"/>
      <c r="J136" s="224"/>
      <c r="K136" s="332" t="s">
        <v>32</v>
      </c>
      <c r="L136" s="226"/>
      <c r="M136" s="221"/>
      <c r="N136" s="226"/>
      <c r="O136" s="224"/>
    </row>
    <row r="137" spans="1:15" s="184" customFormat="1" ht="15.75" thickTop="1" x14ac:dyDescent="0.25">
      <c r="A137" s="190">
        <v>41218.822870370372</v>
      </c>
      <c r="B137" s="191" t="s">
        <v>202</v>
      </c>
      <c r="C137" s="276"/>
      <c r="D137" s="274"/>
      <c r="E137" s="194"/>
      <c r="F137" s="277" t="s">
        <v>142</v>
      </c>
      <c r="G137" s="197"/>
      <c r="H137" s="197"/>
      <c r="I137" s="197"/>
      <c r="J137" s="198"/>
      <c r="K137" s="277" t="str">
        <f>F137</f>
        <v>NewAcc</v>
      </c>
      <c r="L137" s="202"/>
      <c r="M137" s="197"/>
      <c r="N137" s="202"/>
      <c r="O137" s="198"/>
    </row>
    <row r="138" spans="1:15" s="184" customFormat="1" x14ac:dyDescent="0.25">
      <c r="A138" s="190"/>
      <c r="B138" s="191" t="s">
        <v>237</v>
      </c>
      <c r="C138" s="278" t="str">
        <f>B137</f>
        <v>NewSheet</v>
      </c>
      <c r="D138" s="274"/>
      <c r="E138" s="194"/>
      <c r="F138" s="334"/>
      <c r="G138" s="197"/>
      <c r="H138" s="197"/>
      <c r="I138" s="197"/>
      <c r="J138" s="198"/>
      <c r="K138" s="277"/>
      <c r="L138" s="202"/>
      <c r="M138" s="197"/>
      <c r="N138" s="202"/>
      <c r="O138" s="198"/>
    </row>
    <row r="139" spans="1:15" s="184" customFormat="1" x14ac:dyDescent="0.25">
      <c r="A139" s="252"/>
      <c r="B139" s="193" t="s">
        <v>194</v>
      </c>
      <c r="C139" s="266"/>
      <c r="D139" s="193"/>
      <c r="E139" s="194" t="s">
        <v>174</v>
      </c>
      <c r="F139" s="261" t="s">
        <v>66</v>
      </c>
      <c r="G139" s="201" t="s">
        <v>195</v>
      </c>
      <c r="H139" s="197"/>
      <c r="I139" s="197"/>
      <c r="J139" s="198"/>
      <c r="K139" s="199"/>
      <c r="L139" s="202"/>
      <c r="M139" s="197"/>
      <c r="N139" s="202"/>
      <c r="O139" s="198"/>
    </row>
    <row r="140" spans="1:15" s="184" customFormat="1" ht="15.75" thickBot="1" x14ac:dyDescent="0.3">
      <c r="A140" s="317">
        <v>41218.824293981481</v>
      </c>
      <c r="B140" s="318" t="s">
        <v>234</v>
      </c>
      <c r="C140" s="319" t="str">
        <f>B138</f>
        <v>SFaccDicBuild</v>
      </c>
      <c r="D140" s="318"/>
      <c r="E140" s="320" t="s">
        <v>174</v>
      </c>
      <c r="F140" s="321" t="s">
        <v>238</v>
      </c>
      <c r="G140" s="335"/>
      <c r="H140" s="323"/>
      <c r="I140" s="323"/>
      <c r="J140" s="324"/>
      <c r="K140" s="325" t="str">
        <f>K136</f>
        <v>Платежи</v>
      </c>
      <c r="L140" s="326">
        <v>0</v>
      </c>
      <c r="M140" s="326">
        <v>0</v>
      </c>
      <c r="N140" s="326">
        <v>0</v>
      </c>
      <c r="O140" s="324"/>
    </row>
    <row r="141" spans="1:15" s="184" customFormat="1" ht="15.75" thickTop="1" x14ac:dyDescent="0.25">
      <c r="A141" s="252">
        <v>41218.824293981481</v>
      </c>
      <c r="B141" s="255" t="s">
        <v>136</v>
      </c>
      <c r="C141" s="278" t="str">
        <f>B140</f>
        <v>WP_Paid</v>
      </c>
      <c r="D141" s="193"/>
      <c r="E141" s="194" t="s">
        <v>174</v>
      </c>
      <c r="F141" s="277" t="str">
        <f>F137</f>
        <v>NewAcc</v>
      </c>
      <c r="G141" s="202" t="s">
        <v>204</v>
      </c>
      <c r="H141" s="209" t="s">
        <v>219</v>
      </c>
      <c r="I141" s="209" t="s">
        <v>220</v>
      </c>
      <c r="J141" s="198"/>
      <c r="K141" s="277" t="str">
        <f>F141</f>
        <v>NewAcc</v>
      </c>
      <c r="L141" s="202"/>
      <c r="M141" s="197"/>
      <c r="N141" s="202"/>
      <c r="O141" s="198"/>
    </row>
    <row r="142" spans="1:15" s="218" customFormat="1" x14ac:dyDescent="0.25">
      <c r="A142" s="256"/>
      <c r="B142" s="211" t="s">
        <v>33</v>
      </c>
      <c r="C142" s="257">
        <v>5</v>
      </c>
      <c r="D142" s="211"/>
      <c r="E142" s="212" t="s">
        <v>174</v>
      </c>
      <c r="F142" s="213"/>
      <c r="G142" s="214"/>
      <c r="H142" s="214"/>
      <c r="I142" s="214"/>
      <c r="J142" s="215"/>
      <c r="K142" s="216"/>
      <c r="L142" s="217"/>
      <c r="M142" s="214"/>
      <c r="N142" s="217"/>
      <c r="O142" s="215"/>
    </row>
    <row r="143" spans="1:15" s="184" customFormat="1" x14ac:dyDescent="0.25">
      <c r="A143" s="252"/>
      <c r="B143" s="193" t="s">
        <v>169</v>
      </c>
      <c r="C143" s="273"/>
      <c r="D143" s="274"/>
      <c r="E143" s="194" t="s">
        <v>174</v>
      </c>
      <c r="F143" s="275" t="s">
        <v>239</v>
      </c>
      <c r="G143" s="197"/>
      <c r="H143" s="197"/>
      <c r="I143" s="197"/>
      <c r="J143" s="198"/>
      <c r="K143" s="189" t="s">
        <v>32</v>
      </c>
      <c r="L143" s="202"/>
      <c r="M143" s="197"/>
      <c r="N143" s="202"/>
      <c r="O143" s="198"/>
    </row>
    <row r="144" spans="1:15" s="184" customFormat="1" x14ac:dyDescent="0.25">
      <c r="A144" s="271"/>
      <c r="B144" s="193" t="s">
        <v>194</v>
      </c>
      <c r="C144" s="266"/>
      <c r="D144" s="193"/>
      <c r="E144" s="194"/>
      <c r="F144" s="261" t="s">
        <v>170</v>
      </c>
      <c r="G144" s="201"/>
      <c r="H144" s="197"/>
      <c r="I144" s="197"/>
      <c r="J144" s="198"/>
      <c r="K144" s="199"/>
      <c r="L144" s="202"/>
      <c r="M144" s="197"/>
      <c r="N144" s="202"/>
      <c r="O144" s="198"/>
    </row>
    <row r="145" spans="1:15" ht="30" x14ac:dyDescent="0.25">
      <c r="A145" s="271"/>
      <c r="B145" s="255" t="s">
        <v>240</v>
      </c>
      <c r="C145" s="253" t="s">
        <v>197</v>
      </c>
      <c r="D145" s="205"/>
      <c r="E145" s="230" t="s">
        <v>174</v>
      </c>
      <c r="F145" s="199"/>
      <c r="G145" s="202"/>
      <c r="H145" s="209"/>
      <c r="I145" s="209"/>
      <c r="J145" s="250"/>
      <c r="K145" s="251" t="s">
        <v>32</v>
      </c>
      <c r="L145" s="209" t="s">
        <v>65</v>
      </c>
      <c r="M145" s="209"/>
      <c r="N145" s="209"/>
      <c r="O145" s="250"/>
    </row>
    <row r="146" spans="1:15" s="218" customFormat="1" x14ac:dyDescent="0.25">
      <c r="A146" s="256"/>
      <c r="B146" s="211" t="s">
        <v>33</v>
      </c>
      <c r="C146" s="257"/>
      <c r="D146" s="211"/>
      <c r="E146" s="212" t="s">
        <v>174</v>
      </c>
      <c r="F146" s="213"/>
      <c r="G146" s="214"/>
      <c r="H146" s="214"/>
      <c r="I146" s="214"/>
      <c r="J146" s="215"/>
      <c r="K146" s="216"/>
      <c r="L146" s="217"/>
      <c r="M146" s="214"/>
      <c r="N146" s="217"/>
      <c r="O146" s="215"/>
    </row>
    <row r="147" spans="1:15" s="22" customFormat="1" x14ac:dyDescent="0.25">
      <c r="A147" s="336"/>
      <c r="B147" s="337" t="s">
        <v>119</v>
      </c>
      <c r="C147" s="338" t="s">
        <v>120</v>
      </c>
      <c r="D147" s="259"/>
      <c r="E147" s="339"/>
      <c r="F147" s="340"/>
      <c r="G147" s="341"/>
      <c r="H147" s="341"/>
      <c r="I147" s="341"/>
      <c r="J147" s="342"/>
      <c r="K147" s="340" t="s">
        <v>241</v>
      </c>
      <c r="L147" s="341"/>
      <c r="M147" s="341"/>
      <c r="N147" s="341"/>
      <c r="O147" s="342"/>
    </row>
    <row r="148" spans="1:15" x14ac:dyDescent="0.25">
      <c r="A148" s="343"/>
      <c r="B148" s="344">
        <v>1043</v>
      </c>
      <c r="C148" s="345"/>
      <c r="D148" s="205"/>
      <c r="E148" s="194"/>
      <c r="F148" s="254"/>
      <c r="G148" s="209"/>
      <c r="H148" s="209"/>
      <c r="I148" s="209"/>
      <c r="J148" s="210"/>
      <c r="K148" s="254" t="s">
        <v>241</v>
      </c>
      <c r="L148" s="209"/>
      <c r="M148" s="209"/>
      <c r="N148" s="209"/>
      <c r="O148" s="210"/>
    </row>
    <row r="149" spans="1:15" s="22" customFormat="1" ht="15.75" thickBot="1" x14ac:dyDescent="0.3">
      <c r="A149" s="75"/>
      <c r="B149" s="346" t="s">
        <v>119</v>
      </c>
      <c r="C149" s="347" t="s">
        <v>120</v>
      </c>
      <c r="D149" s="72"/>
      <c r="E149" s="348"/>
      <c r="F149" s="349"/>
      <c r="G149" s="350"/>
      <c r="H149" s="350"/>
      <c r="I149" s="350"/>
      <c r="J149" s="351"/>
      <c r="K149" s="349" t="s">
        <v>121</v>
      </c>
      <c r="L149" s="350"/>
      <c r="M149" s="350"/>
      <c r="N149" s="350"/>
      <c r="O149" s="351"/>
    </row>
    <row r="150" spans="1:15" x14ac:dyDescent="0.25">
      <c r="A150" s="41"/>
    </row>
    <row r="151" spans="1:15" s="184" customFormat="1" x14ac:dyDescent="0.25">
      <c r="A151" s="252"/>
      <c r="B151" s="193" t="s">
        <v>194</v>
      </c>
      <c r="C151" s="266"/>
      <c r="D151" s="193"/>
      <c r="E151" s="194" t="s">
        <v>174</v>
      </c>
      <c r="F151" s="261" t="s">
        <v>66</v>
      </c>
      <c r="G151" s="201" t="s">
        <v>195</v>
      </c>
      <c r="H151" s="197"/>
      <c r="I151" s="197"/>
      <c r="J151" s="198"/>
      <c r="K151" s="199"/>
      <c r="L151" s="202"/>
      <c r="M151" s="197"/>
      <c r="N151" s="202"/>
      <c r="O151" s="198"/>
    </row>
    <row r="153" spans="1:15" ht="45" outlineLevel="1" x14ac:dyDescent="0.25">
      <c r="A153" s="252">
        <v>41217.705717592595</v>
      </c>
      <c r="B153" s="193" t="s">
        <v>242</v>
      </c>
      <c r="C153" s="253" t="s">
        <v>243</v>
      </c>
      <c r="D153" s="209"/>
      <c r="E153" s="230" t="s">
        <v>174</v>
      </c>
      <c r="F153" s="261" t="s">
        <v>63</v>
      </c>
      <c r="G153" s="202" t="s">
        <v>41</v>
      </c>
      <c r="H153" s="201" t="s">
        <v>166</v>
      </c>
      <c r="I153" s="201" t="s">
        <v>187</v>
      </c>
      <c r="J153" s="250"/>
      <c r="L153" s="200" t="s">
        <v>63</v>
      </c>
      <c r="M153" s="209"/>
      <c r="N153" s="209"/>
      <c r="O153" s="250"/>
    </row>
    <row r="156" spans="1:15" s="32" customFormat="1" outlineLevel="1" x14ac:dyDescent="0.25">
      <c r="A156" s="252">
        <v>41217.684374999997</v>
      </c>
      <c r="B156" s="193" t="s">
        <v>85</v>
      </c>
      <c r="C156" s="253" t="s">
        <v>67</v>
      </c>
      <c r="D156" s="193"/>
      <c r="E156" s="194" t="s">
        <v>174</v>
      </c>
      <c r="F156" s="195" t="s">
        <v>175</v>
      </c>
      <c r="G156" s="196" t="s">
        <v>176</v>
      </c>
      <c r="H156" s="197"/>
      <c r="I156" s="197"/>
      <c r="J156" s="210"/>
      <c r="K156" s="199">
        <v>0</v>
      </c>
      <c r="L156" s="200" t="s">
        <v>69</v>
      </c>
      <c r="M156" s="200" t="s">
        <v>63</v>
      </c>
      <c r="N156" s="209"/>
      <c r="O156" s="210"/>
    </row>
    <row r="159" spans="1:15" s="32" customFormat="1" outlineLevel="1" x14ac:dyDescent="0.25">
      <c r="A159" s="252">
        <v>41227.065937500003</v>
      </c>
      <c r="B159" s="193" t="s">
        <v>244</v>
      </c>
      <c r="C159" s="262" t="str">
        <f>B69</f>
        <v>InsMyCol</v>
      </c>
      <c r="D159" s="193"/>
      <c r="E159" s="194" t="s">
        <v>174</v>
      </c>
      <c r="F159" s="261" t="s">
        <v>187</v>
      </c>
      <c r="G159" s="201" t="s">
        <v>60</v>
      </c>
      <c r="H159" s="201" t="s">
        <v>245</v>
      </c>
      <c r="I159" s="201" t="s">
        <v>246</v>
      </c>
      <c r="J159" s="263"/>
      <c r="K159" s="265" t="str">
        <f>K67</f>
        <v>Склад</v>
      </c>
      <c r="L159" s="202" t="s">
        <v>32</v>
      </c>
      <c r="M159" s="209"/>
      <c r="N159" s="184"/>
      <c r="O159" s="198"/>
    </row>
  </sheetData>
  <autoFilter ref="A4:O149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19" workbookViewId="0">
      <selection activeCell="A43" sqref="A43"/>
    </sheetView>
  </sheetViews>
  <sheetFormatPr defaultColWidth="9.140625" defaultRowHeight="15" x14ac:dyDescent="0.25"/>
  <cols>
    <col min="1" max="1" width="19.28515625" style="354" customWidth="1"/>
    <col min="2" max="2" width="20.85546875" style="358" customWidth="1"/>
    <col min="3" max="3" width="30.28515625" style="354" customWidth="1"/>
    <col min="4" max="4" width="17.5703125" style="354" customWidth="1"/>
    <col min="5" max="5" width="32.7109375" style="354" customWidth="1"/>
    <col min="6" max="6" width="22.85546875" style="355" customWidth="1"/>
    <col min="7" max="7" width="16.28515625" style="356" hidden="1" customWidth="1"/>
    <col min="8" max="10" width="0" style="354" hidden="1" customWidth="1"/>
    <col min="11" max="11" width="13" style="354" hidden="1" customWidth="1"/>
    <col min="12" max="12" width="0" style="354" hidden="1" customWidth="1"/>
    <col min="13" max="13" width="19.42578125" style="354" customWidth="1"/>
    <col min="14" max="15" width="18.42578125" style="354" customWidth="1"/>
    <col min="16" max="16" width="19.140625" style="354" customWidth="1"/>
    <col min="17" max="16384" width="9.140625" style="354"/>
  </cols>
  <sheetData>
    <row r="1" spans="1:3" x14ac:dyDescent="0.25">
      <c r="A1" s="352" t="s">
        <v>247</v>
      </c>
      <c r="B1" s="353" t="s">
        <v>248</v>
      </c>
    </row>
    <row r="2" spans="1:3" x14ac:dyDescent="0.25">
      <c r="A2" s="357" t="s">
        <v>249</v>
      </c>
      <c r="B2" s="358" t="s">
        <v>250</v>
      </c>
    </row>
    <row r="3" spans="1:3" x14ac:dyDescent="0.25">
      <c r="A3" s="357" t="s">
        <v>251</v>
      </c>
      <c r="B3" s="359" t="s">
        <v>252</v>
      </c>
      <c r="C3" s="360" t="s">
        <v>253</v>
      </c>
    </row>
    <row r="4" spans="1:3" x14ac:dyDescent="0.25">
      <c r="A4" s="357" t="s">
        <v>254</v>
      </c>
      <c r="B4" s="358" t="s">
        <v>255</v>
      </c>
    </row>
    <row r="5" spans="1:3" x14ac:dyDescent="0.25">
      <c r="A5" s="360" t="s">
        <v>256</v>
      </c>
      <c r="B5" s="359" t="s">
        <v>257</v>
      </c>
    </row>
    <row r="6" spans="1:3" x14ac:dyDescent="0.25">
      <c r="A6" s="360" t="s">
        <v>1256</v>
      </c>
      <c r="B6" s="359" t="s">
        <v>1255</v>
      </c>
    </row>
    <row r="7" spans="1:3" x14ac:dyDescent="0.25">
      <c r="A7" s="360" t="s">
        <v>258</v>
      </c>
      <c r="B7" s="359" t="s">
        <v>259</v>
      </c>
    </row>
    <row r="8" spans="1:3" x14ac:dyDescent="0.25">
      <c r="A8" s="360"/>
      <c r="B8" s="361"/>
    </row>
    <row r="9" spans="1:3" x14ac:dyDescent="0.25">
      <c r="A9" s="360" t="s">
        <v>260</v>
      </c>
      <c r="B9" s="361"/>
    </row>
    <row r="10" spans="1:3" x14ac:dyDescent="0.25">
      <c r="A10" s="352" t="s">
        <v>261</v>
      </c>
      <c r="B10" s="353" t="s">
        <v>262</v>
      </c>
    </row>
    <row r="11" spans="1:3" x14ac:dyDescent="0.25">
      <c r="A11" s="357" t="s">
        <v>263</v>
      </c>
      <c r="B11" s="358" t="s">
        <v>264</v>
      </c>
    </row>
    <row r="12" spans="1:3" x14ac:dyDescent="0.25">
      <c r="A12" s="357" t="s">
        <v>265</v>
      </c>
      <c r="B12" s="358" t="s">
        <v>266</v>
      </c>
    </row>
    <row r="13" spans="1:3" x14ac:dyDescent="0.25">
      <c r="A13" s="357" t="s">
        <v>267</v>
      </c>
      <c r="B13" s="358" t="s">
        <v>264</v>
      </c>
    </row>
    <row r="14" spans="1:3" x14ac:dyDescent="0.25">
      <c r="A14" s="360" t="s">
        <v>268</v>
      </c>
      <c r="B14" s="359" t="s">
        <v>269</v>
      </c>
    </row>
    <row r="15" spans="1:3" x14ac:dyDescent="0.25">
      <c r="A15" s="360" t="s">
        <v>270</v>
      </c>
      <c r="B15" s="359" t="s">
        <v>271</v>
      </c>
    </row>
    <row r="16" spans="1:3" x14ac:dyDescent="0.25">
      <c r="A16" s="360"/>
      <c r="B16" s="361"/>
    </row>
    <row r="17" spans="1:7" x14ac:dyDescent="0.25">
      <c r="A17" s="362" t="s">
        <v>272</v>
      </c>
      <c r="B17" s="353" t="s">
        <v>273</v>
      </c>
      <c r="C17" s="362" t="s">
        <v>274</v>
      </c>
      <c r="D17" s="362" t="s">
        <v>275</v>
      </c>
      <c r="E17" s="362" t="s">
        <v>276</v>
      </c>
      <c r="F17" s="363" t="s">
        <v>277</v>
      </c>
      <c r="G17" s="364" t="s">
        <v>278</v>
      </c>
    </row>
    <row r="18" spans="1:7" x14ac:dyDescent="0.25">
      <c r="A18" s="365" t="s">
        <v>279</v>
      </c>
      <c r="B18" s="366" t="s">
        <v>280</v>
      </c>
      <c r="C18" s="367" t="s">
        <v>281</v>
      </c>
      <c r="D18" s="368" t="s">
        <v>282</v>
      </c>
      <c r="E18" s="369" t="s">
        <v>283</v>
      </c>
      <c r="F18" s="370" t="s">
        <v>284</v>
      </c>
      <c r="G18" s="356">
        <v>0</v>
      </c>
    </row>
    <row r="19" spans="1:7" x14ac:dyDescent="0.25">
      <c r="A19" s="365"/>
      <c r="B19" s="366" t="s">
        <v>1247</v>
      </c>
      <c r="C19" s="367"/>
      <c r="D19" s="368"/>
      <c r="E19" s="369"/>
      <c r="F19" s="370"/>
    </row>
    <row r="20" spans="1:7" ht="50.25" customHeight="1" x14ac:dyDescent="0.25">
      <c r="A20" s="371" t="s">
        <v>285</v>
      </c>
      <c r="B20" s="372" t="s">
        <v>286</v>
      </c>
      <c r="C20" s="373" t="s">
        <v>287</v>
      </c>
      <c r="D20" s="368" t="s">
        <v>288</v>
      </c>
      <c r="E20" s="374" t="s">
        <v>289</v>
      </c>
      <c r="F20" s="375" t="s">
        <v>290</v>
      </c>
      <c r="G20" s="376">
        <v>0</v>
      </c>
    </row>
    <row r="21" spans="1:7" x14ac:dyDescent="0.25">
      <c r="A21" s="365" t="s">
        <v>291</v>
      </c>
      <c r="B21" s="366"/>
      <c r="C21" s="367" t="s">
        <v>281</v>
      </c>
      <c r="D21" s="368" t="s">
        <v>282</v>
      </c>
      <c r="E21" s="374"/>
      <c r="F21" s="377" t="s">
        <v>292</v>
      </c>
      <c r="G21" s="376">
        <v>1</v>
      </c>
    </row>
    <row r="22" spans="1:7" x14ac:dyDescent="0.25">
      <c r="A22" s="365" t="s">
        <v>293</v>
      </c>
      <c r="B22" s="366" t="s">
        <v>294</v>
      </c>
      <c r="C22" s="367" t="s">
        <v>295</v>
      </c>
      <c r="D22" s="354" t="s">
        <v>296</v>
      </c>
      <c r="E22" s="367"/>
      <c r="F22" s="370" t="s">
        <v>297</v>
      </c>
      <c r="G22" s="356">
        <v>0</v>
      </c>
    </row>
    <row r="23" spans="1:7" x14ac:dyDescent="0.25">
      <c r="A23" s="365" t="s">
        <v>298</v>
      </c>
      <c r="B23" s="366" t="s">
        <v>299</v>
      </c>
      <c r="C23" s="367" t="s">
        <v>300</v>
      </c>
      <c r="D23" s="354" t="s">
        <v>301</v>
      </c>
      <c r="E23" s="367"/>
      <c r="F23" s="378" t="s">
        <v>302</v>
      </c>
      <c r="G23" s="356">
        <v>0</v>
      </c>
    </row>
    <row r="24" spans="1:7" x14ac:dyDescent="0.25">
      <c r="A24" s="365" t="s">
        <v>1249</v>
      </c>
      <c r="B24" s="366" t="s">
        <v>1248</v>
      </c>
      <c r="C24" s="367"/>
      <c r="E24" s="367"/>
      <c r="F24" s="378" t="s">
        <v>1250</v>
      </c>
    </row>
    <row r="25" spans="1:7" x14ac:dyDescent="0.25">
      <c r="A25" s="365" t="s">
        <v>303</v>
      </c>
      <c r="B25" s="366" t="s">
        <v>304</v>
      </c>
      <c r="C25" s="367" t="s">
        <v>305</v>
      </c>
      <c r="D25" s="354" t="s">
        <v>306</v>
      </c>
      <c r="E25" s="367" t="s">
        <v>307</v>
      </c>
      <c r="F25" s="378" t="s">
        <v>308</v>
      </c>
      <c r="G25" s="356">
        <v>0</v>
      </c>
    </row>
    <row r="26" spans="1:7" x14ac:dyDescent="0.25">
      <c r="A26" s="365" t="s">
        <v>309</v>
      </c>
      <c r="B26" s="366" t="s">
        <v>310</v>
      </c>
      <c r="C26" s="367" t="s">
        <v>311</v>
      </c>
      <c r="D26" s="354" t="s">
        <v>312</v>
      </c>
      <c r="E26" s="367" t="s">
        <v>313</v>
      </c>
      <c r="F26" s="378" t="s">
        <v>314</v>
      </c>
      <c r="G26" s="356">
        <v>0</v>
      </c>
    </row>
    <row r="27" spans="1:7" x14ac:dyDescent="0.25">
      <c r="A27" s="365" t="s">
        <v>315</v>
      </c>
      <c r="B27" s="372" t="s">
        <v>316</v>
      </c>
      <c r="C27" s="379" t="s">
        <v>317</v>
      </c>
      <c r="D27" s="369" t="s">
        <v>318</v>
      </c>
      <c r="E27" s="369"/>
      <c r="F27" s="378" t="s">
        <v>319</v>
      </c>
      <c r="G27" s="356">
        <v>0</v>
      </c>
    </row>
    <row r="28" spans="1:7" x14ac:dyDescent="0.25">
      <c r="A28" s="365" t="s">
        <v>320</v>
      </c>
      <c r="B28" s="366" t="s">
        <v>321</v>
      </c>
      <c r="C28" s="367" t="s">
        <v>322</v>
      </c>
      <c r="D28" s="354" t="s">
        <v>323</v>
      </c>
      <c r="E28" s="367" t="s">
        <v>313</v>
      </c>
      <c r="F28" s="378" t="s">
        <v>324</v>
      </c>
      <c r="G28" s="356">
        <v>0</v>
      </c>
    </row>
    <row r="29" spans="1:7" x14ac:dyDescent="0.25">
      <c r="A29" s="365" t="s">
        <v>325</v>
      </c>
      <c r="B29" s="380"/>
      <c r="C29" s="367" t="s">
        <v>326</v>
      </c>
      <c r="D29" s="354" t="s">
        <v>327</v>
      </c>
      <c r="E29" s="367"/>
      <c r="F29" s="378" t="s">
        <v>328</v>
      </c>
      <c r="G29" s="356">
        <v>0</v>
      </c>
    </row>
    <row r="30" spans="1:7" x14ac:dyDescent="0.25">
      <c r="A30" s="365" t="s">
        <v>329</v>
      </c>
      <c r="B30" s="366" t="s">
        <v>330</v>
      </c>
      <c r="C30" s="367" t="s">
        <v>331</v>
      </c>
      <c r="D30" s="354" t="s">
        <v>332</v>
      </c>
      <c r="E30" s="367" t="s">
        <v>333</v>
      </c>
      <c r="F30" s="378" t="s">
        <v>334</v>
      </c>
      <c r="G30" s="356">
        <v>0</v>
      </c>
    </row>
    <row r="31" spans="1:7" x14ac:dyDescent="0.25">
      <c r="A31" s="365" t="s">
        <v>335</v>
      </c>
      <c r="B31" s="380"/>
      <c r="C31" s="367" t="s">
        <v>336</v>
      </c>
      <c r="D31" s="354" t="s">
        <v>337</v>
      </c>
      <c r="E31" s="381" t="s">
        <v>333</v>
      </c>
      <c r="F31" s="378" t="s">
        <v>338</v>
      </c>
      <c r="G31" s="356">
        <v>0</v>
      </c>
    </row>
    <row r="32" spans="1:7" x14ac:dyDescent="0.25">
      <c r="A32" s="365" t="s">
        <v>339</v>
      </c>
      <c r="B32" s="366" t="s">
        <v>340</v>
      </c>
      <c r="C32" s="367" t="s">
        <v>341</v>
      </c>
      <c r="D32" s="369" t="s">
        <v>342</v>
      </c>
      <c r="E32" s="369" t="s">
        <v>343</v>
      </c>
      <c r="F32" s="378" t="s">
        <v>344</v>
      </c>
      <c r="G32" s="356">
        <v>0</v>
      </c>
    </row>
    <row r="33" spans="1:7" x14ac:dyDescent="0.25">
      <c r="A33" s="365" t="s">
        <v>345</v>
      </c>
      <c r="B33" s="366" t="s">
        <v>346</v>
      </c>
      <c r="C33" s="367" t="s">
        <v>313</v>
      </c>
      <c r="D33" s="354" t="s">
        <v>347</v>
      </c>
      <c r="E33" s="367" t="s">
        <v>313</v>
      </c>
      <c r="F33" s="378" t="s">
        <v>348</v>
      </c>
      <c r="G33" s="356">
        <v>0</v>
      </c>
    </row>
    <row r="34" spans="1:7" ht="30" x14ac:dyDescent="0.25">
      <c r="A34" s="371" t="s">
        <v>349</v>
      </c>
      <c r="B34" s="372" t="s">
        <v>350</v>
      </c>
      <c r="C34" s="373" t="s">
        <v>351</v>
      </c>
      <c r="D34" s="368" t="s">
        <v>352</v>
      </c>
      <c r="E34" s="374" t="s">
        <v>353</v>
      </c>
      <c r="F34" s="375" t="s">
        <v>354</v>
      </c>
      <c r="G34" s="356">
        <v>0</v>
      </c>
    </row>
    <row r="35" spans="1:7" x14ac:dyDescent="0.25">
      <c r="A35" s="365" t="s">
        <v>307</v>
      </c>
      <c r="B35" s="366" t="s">
        <v>355</v>
      </c>
      <c r="C35" s="367" t="s">
        <v>287</v>
      </c>
      <c r="D35" s="354" t="s">
        <v>288</v>
      </c>
      <c r="E35" s="367" t="s">
        <v>356</v>
      </c>
      <c r="F35" s="378" t="s">
        <v>357</v>
      </c>
      <c r="G35" s="356">
        <v>0</v>
      </c>
    </row>
    <row r="36" spans="1:7" x14ac:dyDescent="0.25">
      <c r="A36" s="365" t="s">
        <v>358</v>
      </c>
      <c r="B36" s="366" t="s">
        <v>355</v>
      </c>
      <c r="C36" s="367" t="s">
        <v>287</v>
      </c>
      <c r="D36" s="354" t="s">
        <v>288</v>
      </c>
      <c r="E36" s="369"/>
      <c r="F36" s="378" t="s">
        <v>359</v>
      </c>
      <c r="G36" s="356">
        <v>0</v>
      </c>
    </row>
    <row r="37" spans="1:7" x14ac:dyDescent="0.25">
      <c r="A37" s="365" t="s">
        <v>360</v>
      </c>
      <c r="B37" s="372" t="s">
        <v>361</v>
      </c>
      <c r="C37" s="367" t="s">
        <v>362</v>
      </c>
      <c r="D37" s="354" t="s">
        <v>363</v>
      </c>
      <c r="E37" s="369"/>
      <c r="F37" s="378" t="s">
        <v>319</v>
      </c>
      <c r="G37" s="356">
        <v>0</v>
      </c>
    </row>
    <row r="38" spans="1:7" x14ac:dyDescent="0.25">
      <c r="A38" s="365" t="s">
        <v>364</v>
      </c>
      <c r="B38" s="372" t="s">
        <v>365</v>
      </c>
      <c r="C38" s="379" t="s">
        <v>317</v>
      </c>
      <c r="D38" s="369" t="s">
        <v>318</v>
      </c>
      <c r="E38" s="369"/>
      <c r="F38" s="378" t="s">
        <v>319</v>
      </c>
      <c r="G38" s="356">
        <v>0</v>
      </c>
    </row>
    <row r="39" spans="1:7" x14ac:dyDescent="0.25">
      <c r="A39" s="365" t="s">
        <v>366</v>
      </c>
      <c r="B39" s="366" t="s">
        <v>367</v>
      </c>
      <c r="C39" s="367" t="s">
        <v>368</v>
      </c>
      <c r="D39" s="354" t="s">
        <v>369</v>
      </c>
      <c r="E39" s="369"/>
      <c r="F39" s="378" t="s">
        <v>370</v>
      </c>
      <c r="G39" s="356">
        <v>0</v>
      </c>
    </row>
    <row r="40" spans="1:7" x14ac:dyDescent="0.25">
      <c r="A40" s="365" t="s">
        <v>371</v>
      </c>
      <c r="B40" s="366" t="s">
        <v>372</v>
      </c>
      <c r="C40" s="367" t="s">
        <v>281</v>
      </c>
      <c r="D40" s="354" t="s">
        <v>282</v>
      </c>
      <c r="E40" s="369"/>
      <c r="F40" s="378" t="s">
        <v>373</v>
      </c>
      <c r="G40" s="356">
        <v>1</v>
      </c>
    </row>
    <row r="41" spans="1:7" x14ac:dyDescent="0.25">
      <c r="A41" s="365" t="s">
        <v>374</v>
      </c>
      <c r="B41" s="366" t="s">
        <v>375</v>
      </c>
      <c r="C41" s="367" t="s">
        <v>281</v>
      </c>
      <c r="D41" s="368" t="s">
        <v>282</v>
      </c>
      <c r="E41" s="369"/>
      <c r="F41" s="378" t="s">
        <v>359</v>
      </c>
      <c r="G41" s="356">
        <v>0</v>
      </c>
    </row>
    <row r="42" spans="1:7" x14ac:dyDescent="0.25">
      <c r="A42" s="365" t="s">
        <v>333</v>
      </c>
      <c r="B42" s="366" t="s">
        <v>376</v>
      </c>
      <c r="C42" s="367" t="s">
        <v>336</v>
      </c>
      <c r="D42" s="354" t="s">
        <v>337</v>
      </c>
      <c r="E42" s="369"/>
      <c r="F42" s="378" t="s">
        <v>377</v>
      </c>
      <c r="G42" s="356">
        <v>0</v>
      </c>
    </row>
    <row r="43" spans="1:7" x14ac:dyDescent="0.25">
      <c r="A43" s="365" t="s">
        <v>1259</v>
      </c>
      <c r="B43" s="366" t="s">
        <v>1258</v>
      </c>
      <c r="C43" s="367"/>
      <c r="E43" s="369"/>
      <c r="F43" s="378"/>
    </row>
    <row r="44" spans="1:7" x14ac:dyDescent="0.25">
      <c r="A44" s="365" t="s">
        <v>378</v>
      </c>
      <c r="B44" s="366" t="s">
        <v>379</v>
      </c>
      <c r="C44" s="367" t="s">
        <v>380</v>
      </c>
      <c r="D44" s="354" t="s">
        <v>381</v>
      </c>
      <c r="E44" s="367"/>
      <c r="F44" s="378" t="s">
        <v>382</v>
      </c>
      <c r="G44" s="356">
        <v>0</v>
      </c>
    </row>
    <row r="45" spans="1:7" x14ac:dyDescent="0.25">
      <c r="A45" s="365" t="s">
        <v>383</v>
      </c>
      <c r="B45" s="366" t="s">
        <v>384</v>
      </c>
      <c r="C45" s="367" t="s">
        <v>313</v>
      </c>
      <c r="D45" s="354" t="s">
        <v>347</v>
      </c>
      <c r="E45" s="369"/>
      <c r="F45" s="378" t="s">
        <v>385</v>
      </c>
      <c r="G45" s="356">
        <v>0</v>
      </c>
    </row>
    <row r="46" spans="1:7" x14ac:dyDescent="0.25">
      <c r="A46" s="365" t="s">
        <v>386</v>
      </c>
      <c r="B46" s="366" t="s">
        <v>387</v>
      </c>
      <c r="C46" s="367" t="s">
        <v>388</v>
      </c>
      <c r="D46" s="354" t="s">
        <v>389</v>
      </c>
      <c r="E46" s="369"/>
      <c r="F46" s="378" t="s">
        <v>390</v>
      </c>
      <c r="G46" s="356">
        <v>0</v>
      </c>
    </row>
    <row r="47" spans="1:7" x14ac:dyDescent="0.25">
      <c r="A47" s="365" t="s">
        <v>341</v>
      </c>
      <c r="B47" s="366"/>
      <c r="C47" s="367" t="s">
        <v>341</v>
      </c>
      <c r="D47" s="369" t="s">
        <v>342</v>
      </c>
      <c r="E47" s="369"/>
      <c r="F47" s="370"/>
      <c r="G47" s="356">
        <v>0</v>
      </c>
    </row>
    <row r="49" spans="1:17" x14ac:dyDescent="0.25">
      <c r="A49" s="362" t="s">
        <v>391</v>
      </c>
      <c r="B49" s="353" t="s">
        <v>392</v>
      </c>
      <c r="C49" s="362" t="s">
        <v>393</v>
      </c>
    </row>
    <row r="50" spans="1:17" ht="15" customHeight="1" x14ac:dyDescent="0.25">
      <c r="A50" s="382" t="s">
        <v>394</v>
      </c>
      <c r="B50" s="358" t="s">
        <v>395</v>
      </c>
      <c r="C50" s="358">
        <v>1</v>
      </c>
      <c r="Q50" s="369"/>
    </row>
    <row r="51" spans="1:17" x14ac:dyDescent="0.25">
      <c r="A51" s="382" t="s">
        <v>396</v>
      </c>
      <c r="B51" s="358" t="s">
        <v>397</v>
      </c>
      <c r="C51" s="359" t="s">
        <v>398</v>
      </c>
      <c r="M51" s="358"/>
      <c r="N51" s="359"/>
      <c r="O51" s="358"/>
      <c r="P51" s="358"/>
      <c r="Q51" s="359"/>
    </row>
    <row r="52" spans="1:17" x14ac:dyDescent="0.25">
      <c r="A52" s="382" t="s">
        <v>399</v>
      </c>
      <c r="B52" s="358" t="s">
        <v>400</v>
      </c>
      <c r="C52" s="359" t="s">
        <v>401</v>
      </c>
    </row>
    <row r="53" spans="1:17" x14ac:dyDescent="0.25">
      <c r="H53" s="917" t="s">
        <v>402</v>
      </c>
      <c r="I53" s="918"/>
      <c r="J53" s="918"/>
      <c r="K53" s="919"/>
      <c r="L53" s="369"/>
    </row>
    <row r="54" spans="1:17" ht="15.75" x14ac:dyDescent="0.25">
      <c r="A54" s="369" t="s">
        <v>403</v>
      </c>
      <c r="H54" s="383"/>
      <c r="I54" s="384"/>
      <c r="J54" s="384"/>
      <c r="K54" s="385"/>
      <c r="L54" s="369"/>
      <c r="M54" s="920" t="s">
        <v>402</v>
      </c>
      <c r="N54" s="921"/>
      <c r="O54" s="921"/>
      <c r="P54" s="921"/>
      <c r="Q54" s="922"/>
    </row>
    <row r="55" spans="1:17" ht="30" x14ac:dyDescent="0.25">
      <c r="A55" s="369" t="s">
        <v>404</v>
      </c>
      <c r="B55" s="359" t="s">
        <v>405</v>
      </c>
      <c r="C55" s="386" t="s">
        <v>406</v>
      </c>
      <c r="D55" s="386" t="s">
        <v>407</v>
      </c>
      <c r="E55" s="387" t="s">
        <v>408</v>
      </c>
      <c r="F55" s="388" t="s">
        <v>409</v>
      </c>
      <c r="G55" s="389" t="s">
        <v>410</v>
      </c>
      <c r="H55" s="390" t="s">
        <v>411</v>
      </c>
      <c r="I55" s="390" t="s">
        <v>412</v>
      </c>
      <c r="J55" s="390" t="s">
        <v>413</v>
      </c>
      <c r="K55" s="391" t="s">
        <v>414</v>
      </c>
      <c r="M55" s="392" t="s">
        <v>415</v>
      </c>
      <c r="N55" s="393" t="s">
        <v>410</v>
      </c>
      <c r="O55" s="393" t="s">
        <v>416</v>
      </c>
      <c r="P55" s="393" t="s">
        <v>413</v>
      </c>
      <c r="Q55" s="394" t="s">
        <v>414</v>
      </c>
    </row>
    <row r="56" spans="1:17" ht="15.75" x14ac:dyDescent="0.3">
      <c r="A56" s="369" t="s">
        <v>417</v>
      </c>
      <c r="B56" s="395" t="s">
        <v>418</v>
      </c>
      <c r="C56" s="381" t="s">
        <v>419</v>
      </c>
      <c r="D56" s="396" t="s">
        <v>417</v>
      </c>
      <c r="E56" s="397" t="s">
        <v>417</v>
      </c>
      <c r="F56" s="370" t="s">
        <v>420</v>
      </c>
      <c r="G56" s="389" t="s">
        <v>421</v>
      </c>
      <c r="H56" s="369" t="s">
        <v>410</v>
      </c>
      <c r="I56" s="369" t="s">
        <v>422</v>
      </c>
      <c r="J56" s="369"/>
      <c r="M56" s="369" t="s">
        <v>423</v>
      </c>
      <c r="N56" s="369" t="s">
        <v>421</v>
      </c>
      <c r="O56" s="369" t="s">
        <v>416</v>
      </c>
      <c r="P56" s="369" t="s">
        <v>424</v>
      </c>
    </row>
    <row r="57" spans="1:17" ht="45" x14ac:dyDescent="0.3">
      <c r="A57" s="369" t="s">
        <v>359</v>
      </c>
      <c r="B57" s="395" t="s">
        <v>425</v>
      </c>
      <c r="C57" s="381" t="s">
        <v>419</v>
      </c>
      <c r="D57" s="396" t="s">
        <v>359</v>
      </c>
      <c r="E57" s="397" t="s">
        <v>426</v>
      </c>
      <c r="F57" s="370" t="s">
        <v>427</v>
      </c>
      <c r="G57" s="389" t="s">
        <v>428</v>
      </c>
      <c r="H57" s="369" t="s">
        <v>410</v>
      </c>
      <c r="I57" s="369" t="s">
        <v>422</v>
      </c>
      <c r="J57" s="369"/>
      <c r="M57" s="398" t="s">
        <v>429</v>
      </c>
      <c r="N57" s="398" t="s">
        <v>430</v>
      </c>
      <c r="O57" s="398"/>
      <c r="P57" s="398" t="s">
        <v>431</v>
      </c>
    </row>
    <row r="58" spans="1:17" ht="15.75" x14ac:dyDescent="0.3">
      <c r="A58" s="369" t="s">
        <v>432</v>
      </c>
      <c r="B58" s="395" t="s">
        <v>433</v>
      </c>
      <c r="C58" s="381" t="s">
        <v>419</v>
      </c>
      <c r="D58" s="396" t="s">
        <v>432</v>
      </c>
      <c r="E58" s="397" t="s">
        <v>434</v>
      </c>
      <c r="F58" s="370" t="s">
        <v>420</v>
      </c>
      <c r="G58" s="356" t="b">
        <v>1</v>
      </c>
      <c r="M58" s="399"/>
      <c r="N58" s="398" t="s">
        <v>435</v>
      </c>
      <c r="O58" s="399"/>
      <c r="P58" s="399"/>
    </row>
    <row r="59" spans="1:17" ht="15.75" x14ac:dyDescent="0.3">
      <c r="A59" s="369" t="s">
        <v>436</v>
      </c>
      <c r="B59" s="395" t="s">
        <v>437</v>
      </c>
      <c r="C59" s="381" t="s">
        <v>419</v>
      </c>
      <c r="D59" s="396" t="s">
        <v>436</v>
      </c>
      <c r="E59" s="397" t="s">
        <v>438</v>
      </c>
      <c r="F59" s="370" t="s">
        <v>439</v>
      </c>
      <c r="H59" s="369" t="s">
        <v>410</v>
      </c>
      <c r="I59" s="369" t="s">
        <v>422</v>
      </c>
      <c r="J59" s="369"/>
      <c r="M59" s="399"/>
      <c r="N59" s="399"/>
      <c r="O59" s="399"/>
      <c r="P59" s="398" t="s">
        <v>440</v>
      </c>
    </row>
    <row r="60" spans="1:17" ht="15.75" x14ac:dyDescent="0.3">
      <c r="A60" s="369" t="s">
        <v>441</v>
      </c>
      <c r="B60" s="395" t="s">
        <v>442</v>
      </c>
      <c r="C60" s="381" t="s">
        <v>419</v>
      </c>
      <c r="D60" s="396" t="s">
        <v>441</v>
      </c>
      <c r="E60" s="397" t="s">
        <v>438</v>
      </c>
      <c r="F60" s="370" t="s">
        <v>439</v>
      </c>
      <c r="G60" s="389" t="s">
        <v>443</v>
      </c>
      <c r="H60" s="369" t="s">
        <v>410</v>
      </c>
      <c r="I60" s="369" t="s">
        <v>422</v>
      </c>
      <c r="J60" s="369"/>
      <c r="M60" s="399" t="str">
        <f>N58</f>
        <v>$.*</v>
      </c>
      <c r="N60" s="399"/>
      <c r="O60" s="399"/>
      <c r="P60" s="399"/>
    </row>
    <row r="61" spans="1:17" ht="15.75" x14ac:dyDescent="0.3">
      <c r="A61" s="369" t="s">
        <v>444</v>
      </c>
      <c r="B61" s="395" t="s">
        <v>445</v>
      </c>
      <c r="C61" s="396" t="s">
        <v>444</v>
      </c>
      <c r="D61" s="396" t="s">
        <v>446</v>
      </c>
      <c r="E61" s="397" t="s">
        <v>447</v>
      </c>
      <c r="F61" s="370" t="s">
        <v>439</v>
      </c>
      <c r="K61" s="369" t="s">
        <v>448</v>
      </c>
      <c r="M61" s="399"/>
      <c r="N61" s="399"/>
      <c r="O61" s="399"/>
      <c r="P61" s="398" t="str">
        <f>N58</f>
        <v>$.*</v>
      </c>
    </row>
    <row r="62" spans="1:17" x14ac:dyDescent="0.25">
      <c r="A62" s="369" t="s">
        <v>449</v>
      </c>
      <c r="B62" s="395" t="s">
        <v>450</v>
      </c>
      <c r="C62" s="381" t="s">
        <v>419</v>
      </c>
      <c r="D62" s="400" t="s">
        <v>451</v>
      </c>
      <c r="E62" s="397" t="s">
        <v>452</v>
      </c>
      <c r="F62" s="370" t="s">
        <v>427</v>
      </c>
      <c r="G62" s="389" t="s">
        <v>443</v>
      </c>
      <c r="H62" s="369" t="s">
        <v>410</v>
      </c>
      <c r="I62" s="369" t="s">
        <v>422</v>
      </c>
      <c r="J62" s="369"/>
      <c r="M62" s="399" t="str">
        <f>N58</f>
        <v>$.*</v>
      </c>
      <c r="N62" s="399"/>
      <c r="O62" s="399"/>
      <c r="P62" s="399"/>
    </row>
    <row r="63" spans="1:17" ht="15.75" x14ac:dyDescent="0.3">
      <c r="A63" s="369" t="s">
        <v>328</v>
      </c>
      <c r="B63" s="395" t="s">
        <v>453</v>
      </c>
      <c r="C63" s="381" t="s">
        <v>419</v>
      </c>
      <c r="D63" s="396" t="s">
        <v>328</v>
      </c>
      <c r="E63" s="397" t="s">
        <v>447</v>
      </c>
      <c r="F63" s="370" t="s">
        <v>439</v>
      </c>
      <c r="G63" s="389" t="s">
        <v>443</v>
      </c>
      <c r="H63" s="369" t="s">
        <v>410</v>
      </c>
      <c r="I63" s="369" t="s">
        <v>422</v>
      </c>
      <c r="J63" s="369"/>
      <c r="M63" s="399" t="str">
        <f>M62</f>
        <v>$.*</v>
      </c>
      <c r="N63" s="399"/>
      <c r="O63" s="399"/>
      <c r="P63" s="399"/>
    </row>
    <row r="64" spans="1:17" ht="191.25" x14ac:dyDescent="0.3">
      <c r="A64" s="369" t="s">
        <v>454</v>
      </c>
      <c r="B64" s="401" t="s">
        <v>455</v>
      </c>
      <c r="C64" s="396" t="s">
        <v>454</v>
      </c>
      <c r="D64" s="396" t="s">
        <v>456</v>
      </c>
      <c r="E64" s="397" t="s">
        <v>447</v>
      </c>
      <c r="F64" s="370" t="s">
        <v>439</v>
      </c>
      <c r="K64" s="369" t="s">
        <v>457</v>
      </c>
      <c r="M64" s="398" t="s">
        <v>458</v>
      </c>
      <c r="N64" s="399"/>
      <c r="O64" s="399"/>
      <c r="P64" s="398" t="s">
        <v>459</v>
      </c>
    </row>
    <row r="65" spans="1:17" ht="15.75" x14ac:dyDescent="0.3">
      <c r="A65" s="369" t="s">
        <v>413</v>
      </c>
      <c r="B65" s="395" t="s">
        <v>460</v>
      </c>
      <c r="C65" s="381" t="s">
        <v>461</v>
      </c>
      <c r="D65" s="396"/>
      <c r="E65" s="397"/>
      <c r="F65" s="370"/>
      <c r="G65" s="389"/>
      <c r="H65" s="369"/>
      <c r="I65" s="369"/>
      <c r="J65" s="369"/>
      <c r="K65" s="369" t="s">
        <v>448</v>
      </c>
      <c r="M65" s="399"/>
      <c r="N65" s="399"/>
      <c r="O65" s="399"/>
      <c r="P65" s="399" t="str">
        <f>P61</f>
        <v>$.*</v>
      </c>
    </row>
    <row r="66" spans="1:17" ht="15.75" x14ac:dyDescent="0.3">
      <c r="A66" s="369" t="s">
        <v>338</v>
      </c>
      <c r="B66" s="395" t="s">
        <v>462</v>
      </c>
      <c r="C66" s="396" t="s">
        <v>463</v>
      </c>
      <c r="D66" s="381" t="s">
        <v>464</v>
      </c>
      <c r="E66" s="397" t="s">
        <v>447</v>
      </c>
      <c r="F66" s="370" t="s">
        <v>439</v>
      </c>
      <c r="I66" s="369"/>
      <c r="J66" s="369"/>
      <c r="K66" s="354" t="s">
        <v>338</v>
      </c>
      <c r="L66" s="369"/>
      <c r="M66" s="402" t="str">
        <f>N58</f>
        <v>$.*</v>
      </c>
      <c r="N66" s="398" t="s">
        <v>465</v>
      </c>
      <c r="O66" s="399"/>
      <c r="P66" s="399"/>
    </row>
    <row r="67" spans="1:17" ht="15.75" x14ac:dyDescent="0.3">
      <c r="A67" s="369" t="s">
        <v>297</v>
      </c>
      <c r="B67" s="395" t="s">
        <v>466</v>
      </c>
      <c r="C67" s="381" t="s">
        <v>419</v>
      </c>
      <c r="D67" s="396" t="s">
        <v>297</v>
      </c>
      <c r="E67" s="397" t="s">
        <v>297</v>
      </c>
      <c r="F67" s="370" t="s">
        <v>420</v>
      </c>
      <c r="G67" s="389" t="s">
        <v>443</v>
      </c>
      <c r="H67" s="369" t="s">
        <v>410</v>
      </c>
      <c r="I67" s="369" t="s">
        <v>422</v>
      </c>
      <c r="J67" s="369"/>
      <c r="M67" s="399" t="str">
        <f>M66</f>
        <v>$.*</v>
      </c>
      <c r="N67" s="399"/>
      <c r="O67" s="399"/>
      <c r="P67" s="399"/>
    </row>
    <row r="68" spans="1:17" ht="15.75" x14ac:dyDescent="0.3">
      <c r="A68" s="369" t="s">
        <v>382</v>
      </c>
      <c r="B68" s="395" t="s">
        <v>382</v>
      </c>
      <c r="C68" s="381" t="s">
        <v>419</v>
      </c>
      <c r="D68" s="396" t="s">
        <v>382</v>
      </c>
      <c r="E68" s="397" t="s">
        <v>447</v>
      </c>
      <c r="F68" s="370" t="s">
        <v>439</v>
      </c>
      <c r="G68" s="389" t="s">
        <v>443</v>
      </c>
      <c r="H68" s="369" t="s">
        <v>410</v>
      </c>
      <c r="I68" s="369" t="s">
        <v>422</v>
      </c>
      <c r="J68" s="369"/>
      <c r="M68" s="398" t="s">
        <v>467</v>
      </c>
      <c r="N68" s="398" t="s">
        <v>468</v>
      </c>
      <c r="O68" s="399"/>
      <c r="P68" s="399"/>
    </row>
    <row r="69" spans="1:17" ht="15.75" x14ac:dyDescent="0.3">
      <c r="A69" s="369" t="s">
        <v>1251</v>
      </c>
      <c r="B69" s="395" t="s">
        <v>1251</v>
      </c>
      <c r="C69" s="381" t="s">
        <v>419</v>
      </c>
      <c r="D69" s="396" t="s">
        <v>1251</v>
      </c>
      <c r="E69" s="397" t="s">
        <v>447</v>
      </c>
      <c r="F69" s="370" t="s">
        <v>439</v>
      </c>
      <c r="G69" s="389"/>
      <c r="H69" s="369"/>
      <c r="I69" s="369"/>
      <c r="J69" s="369"/>
      <c r="M69" s="398" t="s">
        <v>467</v>
      </c>
      <c r="N69" s="398"/>
      <c r="O69" s="399"/>
      <c r="P69" s="399"/>
    </row>
    <row r="70" spans="1:17" x14ac:dyDescent="0.25">
      <c r="A70" s="403" t="s">
        <v>284</v>
      </c>
      <c r="B70" s="395" t="s">
        <v>469</v>
      </c>
      <c r="C70" s="381"/>
      <c r="D70" s="400"/>
      <c r="E70" s="397"/>
      <c r="F70" s="370"/>
      <c r="M70" s="398" t="s">
        <v>470</v>
      </c>
      <c r="N70" s="398" t="s">
        <v>470</v>
      </c>
      <c r="O70" s="399"/>
      <c r="P70" s="398" t="s">
        <v>470</v>
      </c>
    </row>
    <row r="71" spans="1:17" x14ac:dyDescent="0.25">
      <c r="C71" s="381"/>
      <c r="D71" s="381" t="s">
        <v>471</v>
      </c>
      <c r="E71" s="397" t="s">
        <v>447</v>
      </c>
      <c r="F71" s="370" t="s">
        <v>439</v>
      </c>
      <c r="M71" s="399"/>
      <c r="N71" s="399"/>
      <c r="O71" s="399"/>
      <c r="P71" s="399"/>
    </row>
    <row r="72" spans="1:17" x14ac:dyDescent="0.25">
      <c r="C72" s="381"/>
      <c r="D72" s="381" t="s">
        <v>472</v>
      </c>
      <c r="E72" s="397" t="s">
        <v>447</v>
      </c>
      <c r="F72" s="370" t="s">
        <v>439</v>
      </c>
      <c r="M72" s="399"/>
      <c r="N72" s="399"/>
      <c r="O72" s="399"/>
      <c r="P72" s="399"/>
    </row>
    <row r="73" spans="1:17" x14ac:dyDescent="0.25">
      <c r="C73" s="381"/>
      <c r="D73" s="381" t="s">
        <v>473</v>
      </c>
      <c r="E73" s="397"/>
      <c r="F73" s="370"/>
      <c r="M73" s="399"/>
      <c r="N73" s="399"/>
      <c r="O73" s="399"/>
      <c r="P73" s="399"/>
    </row>
    <row r="74" spans="1:17" x14ac:dyDescent="0.25">
      <c r="A74" s="369"/>
      <c r="C74" s="381"/>
      <c r="D74" s="381" t="s">
        <v>474</v>
      </c>
      <c r="E74" s="397" t="s">
        <v>447</v>
      </c>
      <c r="F74" s="370" t="s">
        <v>439</v>
      </c>
      <c r="M74" s="399"/>
      <c r="N74" s="399"/>
      <c r="O74" s="399"/>
      <c r="P74" s="399"/>
    </row>
    <row r="75" spans="1:17" x14ac:dyDescent="0.25">
      <c r="C75" s="400"/>
      <c r="D75" s="381" t="s">
        <v>475</v>
      </c>
      <c r="E75" s="397" t="s">
        <v>447</v>
      </c>
      <c r="F75" s="370" t="s">
        <v>439</v>
      </c>
      <c r="M75" s="399"/>
      <c r="N75" s="399"/>
      <c r="O75" s="399"/>
      <c r="P75" s="399"/>
    </row>
    <row r="76" spans="1:17" x14ac:dyDescent="0.25">
      <c r="A76" s="369" t="s">
        <v>476</v>
      </c>
      <c r="C76" s="400"/>
      <c r="D76" s="381"/>
      <c r="F76" s="370"/>
      <c r="Q76" s="369" t="s">
        <v>477</v>
      </c>
    </row>
    <row r="77" spans="1:17" x14ac:dyDescent="0.25">
      <c r="A77" s="369" t="s">
        <v>448</v>
      </c>
      <c r="B77" s="366" t="s">
        <v>478</v>
      </c>
      <c r="C77" s="400"/>
      <c r="D77" s="381"/>
      <c r="F77" s="370"/>
      <c r="Q77" s="404" t="s">
        <v>422</v>
      </c>
    </row>
    <row r="78" spans="1:17" x14ac:dyDescent="0.25">
      <c r="A78" s="369" t="s">
        <v>410</v>
      </c>
      <c r="B78" s="366" t="s">
        <v>479</v>
      </c>
      <c r="C78" s="400"/>
      <c r="D78" s="381"/>
      <c r="F78" s="370"/>
      <c r="Q78" s="404" t="s">
        <v>410</v>
      </c>
    </row>
    <row r="79" spans="1:17" x14ac:dyDescent="0.25">
      <c r="A79" s="369"/>
      <c r="B79" s="366"/>
      <c r="C79" s="400"/>
      <c r="D79" s="381"/>
      <c r="F79" s="370"/>
      <c r="Q79" s="404" t="s">
        <v>413</v>
      </c>
    </row>
    <row r="80" spans="1:17" x14ac:dyDescent="0.25">
      <c r="A80" s="369"/>
      <c r="B80" s="400"/>
      <c r="C80" s="400"/>
      <c r="D80" s="381"/>
      <c r="F80" s="370"/>
      <c r="Q80" s="404" t="s">
        <v>338</v>
      </c>
    </row>
    <row r="81" spans="1:17" x14ac:dyDescent="0.25">
      <c r="A81" s="369"/>
      <c r="B81" s="400"/>
      <c r="C81" s="400"/>
      <c r="D81" s="381"/>
      <c r="F81" s="370"/>
      <c r="Q81" s="404" t="s">
        <v>457</v>
      </c>
    </row>
    <row r="82" spans="1:17" x14ac:dyDescent="0.25">
      <c r="A82" s="369"/>
      <c r="B82" s="400"/>
      <c r="C82" s="400"/>
      <c r="D82" s="381"/>
      <c r="F82" s="370"/>
    </row>
    <row r="83" spans="1:17" x14ac:dyDescent="0.25">
      <c r="C83" s="400"/>
      <c r="D83" s="381"/>
      <c r="F83" s="370"/>
    </row>
    <row r="84" spans="1:17" x14ac:dyDescent="0.25">
      <c r="A84" s="405" t="s">
        <v>480</v>
      </c>
    </row>
    <row r="85" spans="1:17" x14ac:dyDescent="0.25">
      <c r="A85" s="369" t="s">
        <v>481</v>
      </c>
    </row>
    <row r="86" spans="1:17" x14ac:dyDescent="0.25">
      <c r="A86" s="369" t="s">
        <v>482</v>
      </c>
    </row>
    <row r="87" spans="1:17" x14ac:dyDescent="0.25">
      <c r="A87" s="369" t="s">
        <v>483</v>
      </c>
      <c r="B87" s="359" t="s">
        <v>170</v>
      </c>
    </row>
    <row r="88" spans="1:17" x14ac:dyDescent="0.25">
      <c r="A88" s="369" t="s">
        <v>484</v>
      </c>
      <c r="B88" s="358">
        <v>1</v>
      </c>
    </row>
    <row r="89" spans="1:17" x14ac:dyDescent="0.25">
      <c r="A89" s="369" t="s">
        <v>485</v>
      </c>
      <c r="B89" s="358">
        <v>1</v>
      </c>
    </row>
    <row r="90" spans="1:17" x14ac:dyDescent="0.25">
      <c r="A90" s="369" t="s">
        <v>486</v>
      </c>
      <c r="B90" s="358">
        <v>1</v>
      </c>
    </row>
    <row r="91" spans="1:17" x14ac:dyDescent="0.25">
      <c r="A91" s="369" t="s">
        <v>487</v>
      </c>
    </row>
    <row r="92" spans="1:17" x14ac:dyDescent="0.25">
      <c r="A92" s="369" t="s">
        <v>488</v>
      </c>
    </row>
    <row r="93" spans="1:17" x14ac:dyDescent="0.25">
      <c r="A93" s="369" t="s">
        <v>489</v>
      </c>
      <c r="B93" s="359" t="s">
        <v>170</v>
      </c>
    </row>
    <row r="94" spans="1:17" x14ac:dyDescent="0.25">
      <c r="A94" s="369" t="s">
        <v>490</v>
      </c>
      <c r="F94" s="354"/>
      <c r="G94" s="354"/>
    </row>
    <row r="95" spans="1:17" x14ac:dyDescent="0.25">
      <c r="A95" s="369" t="s">
        <v>491</v>
      </c>
      <c r="F95" s="354"/>
      <c r="G95" s="354"/>
    </row>
    <row r="96" spans="1:17" x14ac:dyDescent="0.25">
      <c r="A96" s="369" t="s">
        <v>492</v>
      </c>
      <c r="F96" s="354"/>
      <c r="G96" s="354"/>
    </row>
    <row r="97" spans="1:7" x14ac:dyDescent="0.25">
      <c r="A97" s="369" t="s">
        <v>493</v>
      </c>
      <c r="F97" s="354"/>
      <c r="G97" s="354"/>
    </row>
    <row r="98" spans="1:7" x14ac:dyDescent="0.25">
      <c r="A98" s="369" t="s">
        <v>494</v>
      </c>
      <c r="B98" s="358">
        <v>1</v>
      </c>
      <c r="F98" s="354"/>
      <c r="G98" s="354"/>
    </row>
    <row r="99" spans="1:7" x14ac:dyDescent="0.25">
      <c r="A99" s="369" t="s">
        <v>495</v>
      </c>
      <c r="B99" s="358">
        <v>1</v>
      </c>
      <c r="F99" s="354"/>
      <c r="G99" s="354"/>
    </row>
    <row r="100" spans="1:7" x14ac:dyDescent="0.25">
      <c r="A100" s="369" t="s">
        <v>496</v>
      </c>
      <c r="F100" s="354"/>
      <c r="G100" s="354"/>
    </row>
    <row r="101" spans="1:7" x14ac:dyDescent="0.25">
      <c r="A101" s="369" t="s">
        <v>497</v>
      </c>
      <c r="F101" s="354"/>
      <c r="G101" s="354"/>
    </row>
    <row r="102" spans="1:7" x14ac:dyDescent="0.25">
      <c r="A102" s="369" t="s">
        <v>498</v>
      </c>
      <c r="F102" s="354"/>
      <c r="G102" s="354"/>
    </row>
    <row r="103" spans="1:7" x14ac:dyDescent="0.25">
      <c r="A103" s="369" t="s">
        <v>499</v>
      </c>
      <c r="F103" s="354"/>
      <c r="G103" s="354"/>
    </row>
    <row r="104" spans="1:7" x14ac:dyDescent="0.25">
      <c r="A104" s="369" t="s">
        <v>500</v>
      </c>
      <c r="B104" s="358">
        <v>1</v>
      </c>
      <c r="F104" s="354"/>
      <c r="G104" s="354"/>
    </row>
    <row r="105" spans="1:7" x14ac:dyDescent="0.25">
      <c r="A105" s="369" t="s">
        <v>501</v>
      </c>
      <c r="B105" s="358">
        <v>1</v>
      </c>
      <c r="F105" s="354"/>
      <c r="G105" s="354"/>
    </row>
    <row r="106" spans="1:7" x14ac:dyDescent="0.25">
      <c r="A106" s="369" t="s">
        <v>502</v>
      </c>
      <c r="F106" s="354"/>
      <c r="G106" s="354"/>
    </row>
    <row r="107" spans="1:7" x14ac:dyDescent="0.25">
      <c r="A107" s="369" t="s">
        <v>503</v>
      </c>
      <c r="B107" s="358">
        <v>1</v>
      </c>
      <c r="F107" s="354"/>
      <c r="G107" s="354"/>
    </row>
    <row r="108" spans="1:7" x14ac:dyDescent="0.25">
      <c r="A108" s="369" t="s">
        <v>504</v>
      </c>
      <c r="F108" s="354"/>
      <c r="G108" s="354"/>
    </row>
    <row r="109" spans="1:7" x14ac:dyDescent="0.25">
      <c r="A109" s="369" t="s">
        <v>505</v>
      </c>
      <c r="B109" s="358">
        <v>1</v>
      </c>
      <c r="F109" s="354"/>
      <c r="G109" s="354"/>
    </row>
    <row r="110" spans="1:7" x14ac:dyDescent="0.25">
      <c r="A110" s="369" t="s">
        <v>506</v>
      </c>
      <c r="B110" s="358">
        <v>1</v>
      </c>
      <c r="F110" s="354"/>
      <c r="G110" s="354"/>
    </row>
    <row r="111" spans="1:7" x14ac:dyDescent="0.25">
      <c r="A111" s="369" t="s">
        <v>507</v>
      </c>
      <c r="F111" s="354"/>
      <c r="G111" s="354"/>
    </row>
    <row r="112" spans="1:7" x14ac:dyDescent="0.25">
      <c r="A112" s="369" t="s">
        <v>508</v>
      </c>
      <c r="F112" s="354"/>
      <c r="G112" s="354"/>
    </row>
    <row r="113" spans="1:7" x14ac:dyDescent="0.25">
      <c r="A113" s="369" t="s">
        <v>509</v>
      </c>
      <c r="F113" s="354"/>
      <c r="G113" s="354"/>
    </row>
    <row r="114" spans="1:7" x14ac:dyDescent="0.25">
      <c r="A114" s="369" t="s">
        <v>510</v>
      </c>
      <c r="F114" s="354"/>
      <c r="G114" s="354"/>
    </row>
    <row r="115" spans="1:7" x14ac:dyDescent="0.25">
      <c r="A115" s="369" t="s">
        <v>511</v>
      </c>
      <c r="F115" s="354"/>
      <c r="G115" s="354"/>
    </row>
    <row r="116" spans="1:7" x14ac:dyDescent="0.25">
      <c r="A116" s="369" t="s">
        <v>512</v>
      </c>
      <c r="F116" s="354"/>
      <c r="G116" s="354"/>
    </row>
    <row r="117" spans="1:7" x14ac:dyDescent="0.25">
      <c r="A117" s="369" t="s">
        <v>513</v>
      </c>
      <c r="B117" s="358">
        <v>1</v>
      </c>
      <c r="F117" s="354"/>
      <c r="G117" s="354"/>
    </row>
    <row r="118" spans="1:7" x14ac:dyDescent="0.25">
      <c r="A118" s="369" t="s">
        <v>514</v>
      </c>
      <c r="F118" s="354"/>
      <c r="G118" s="354"/>
    </row>
    <row r="119" spans="1:7" x14ac:dyDescent="0.25">
      <c r="A119" s="369" t="s">
        <v>515</v>
      </c>
      <c r="F119" s="354"/>
      <c r="G119" s="354"/>
    </row>
    <row r="120" spans="1:7" x14ac:dyDescent="0.25">
      <c r="A120" s="369" t="s">
        <v>516</v>
      </c>
      <c r="F120" s="354"/>
      <c r="G120" s="354"/>
    </row>
    <row r="121" spans="1:7" x14ac:dyDescent="0.25">
      <c r="A121" s="369" t="s">
        <v>517</v>
      </c>
      <c r="B121" s="358">
        <v>1</v>
      </c>
      <c r="F121" s="354"/>
      <c r="G121" s="354"/>
    </row>
    <row r="122" spans="1:7" x14ac:dyDescent="0.25">
      <c r="A122" s="369" t="s">
        <v>518</v>
      </c>
      <c r="F122" s="354"/>
      <c r="G122" s="354"/>
    </row>
    <row r="123" spans="1:7" x14ac:dyDescent="0.25">
      <c r="A123" s="369" t="s">
        <v>519</v>
      </c>
      <c r="F123" s="354"/>
      <c r="G123" s="354"/>
    </row>
    <row r="124" spans="1:7" x14ac:dyDescent="0.25">
      <c r="A124" s="369" t="s">
        <v>520</v>
      </c>
      <c r="F124" s="354"/>
      <c r="G124" s="354"/>
    </row>
    <row r="125" spans="1:7" x14ac:dyDescent="0.25">
      <c r="A125" s="369" t="s">
        <v>521</v>
      </c>
      <c r="F125" s="354"/>
      <c r="G125" s="354"/>
    </row>
    <row r="126" spans="1:7" x14ac:dyDescent="0.25">
      <c r="A126" s="369" t="s">
        <v>522</v>
      </c>
      <c r="B126" s="358">
        <v>1</v>
      </c>
      <c r="F126" s="354"/>
      <c r="G126" s="354"/>
    </row>
    <row r="127" spans="1:7" x14ac:dyDescent="0.25">
      <c r="A127" s="369" t="s">
        <v>523</v>
      </c>
      <c r="B127" s="358">
        <v>1</v>
      </c>
      <c r="F127" s="354"/>
      <c r="G127" s="354"/>
    </row>
    <row r="128" spans="1:7" x14ac:dyDescent="0.25">
      <c r="A128" s="369" t="s">
        <v>524</v>
      </c>
      <c r="F128" s="354"/>
      <c r="G128" s="354"/>
    </row>
    <row r="129" spans="1:7" x14ac:dyDescent="0.25">
      <c r="A129" s="369" t="s">
        <v>525</v>
      </c>
      <c r="F129" s="354"/>
      <c r="G129" s="354"/>
    </row>
    <row r="130" spans="1:7" x14ac:dyDescent="0.25">
      <c r="A130" s="369" t="s">
        <v>526</v>
      </c>
      <c r="F130" s="354"/>
      <c r="G130" s="354"/>
    </row>
    <row r="131" spans="1:7" x14ac:dyDescent="0.25">
      <c r="A131" s="369" t="s">
        <v>527</v>
      </c>
      <c r="B131" s="358">
        <v>1</v>
      </c>
      <c r="F131" s="354"/>
      <c r="G131" s="354"/>
    </row>
    <row r="132" spans="1:7" x14ac:dyDescent="0.25">
      <c r="A132" s="369" t="s">
        <v>528</v>
      </c>
      <c r="F132" s="354"/>
      <c r="G132" s="354"/>
    </row>
    <row r="133" spans="1:7" x14ac:dyDescent="0.25">
      <c r="A133" s="369" t="s">
        <v>529</v>
      </c>
      <c r="F133" s="354"/>
      <c r="G133" s="354"/>
    </row>
    <row r="134" spans="1:7" x14ac:dyDescent="0.25">
      <c r="A134" s="369" t="s">
        <v>530</v>
      </c>
      <c r="B134" s="358">
        <v>1</v>
      </c>
      <c r="F134" s="354"/>
      <c r="G134" s="354"/>
    </row>
    <row r="135" spans="1:7" x14ac:dyDescent="0.25">
      <c r="A135" s="369" t="s">
        <v>531</v>
      </c>
      <c r="F135" s="354"/>
      <c r="G135" s="354"/>
    </row>
    <row r="136" spans="1:7" x14ac:dyDescent="0.25">
      <c r="A136" s="369" t="s">
        <v>532</v>
      </c>
      <c r="F136" s="354"/>
      <c r="G136" s="354"/>
    </row>
    <row r="137" spans="1:7" x14ac:dyDescent="0.25">
      <c r="A137" s="369" t="s">
        <v>533</v>
      </c>
      <c r="F137" s="354"/>
      <c r="G137" s="354"/>
    </row>
    <row r="138" spans="1:7" x14ac:dyDescent="0.25">
      <c r="A138" s="369" t="s">
        <v>534</v>
      </c>
      <c r="F138" s="354"/>
      <c r="G138" s="354"/>
    </row>
    <row r="139" spans="1:7" x14ac:dyDescent="0.25">
      <c r="A139" s="369" t="s">
        <v>535</v>
      </c>
      <c r="B139" s="358">
        <v>1</v>
      </c>
      <c r="F139" s="354"/>
      <c r="G139" s="354"/>
    </row>
    <row r="140" spans="1:7" x14ac:dyDescent="0.25">
      <c r="A140" s="369" t="s">
        <v>536</v>
      </c>
      <c r="B140" s="358">
        <v>1</v>
      </c>
      <c r="F140" s="354"/>
      <c r="G140" s="354"/>
    </row>
    <row r="141" spans="1:7" x14ac:dyDescent="0.25">
      <c r="A141" s="369" t="s">
        <v>537</v>
      </c>
      <c r="F141" s="354"/>
      <c r="G141" s="354"/>
    </row>
    <row r="142" spans="1:7" x14ac:dyDescent="0.25">
      <c r="A142" s="369" t="s">
        <v>538</v>
      </c>
      <c r="B142" s="358">
        <v>1</v>
      </c>
      <c r="F142" s="354"/>
      <c r="G142" s="354"/>
    </row>
    <row r="143" spans="1:7" x14ac:dyDescent="0.25">
      <c r="A143" s="369" t="s">
        <v>539</v>
      </c>
      <c r="F143" s="354"/>
      <c r="G143" s="354"/>
    </row>
    <row r="144" spans="1:7" x14ac:dyDescent="0.25">
      <c r="A144" s="369" t="s">
        <v>540</v>
      </c>
      <c r="B144" s="358">
        <v>1</v>
      </c>
      <c r="F144" s="354"/>
      <c r="G144" s="354"/>
    </row>
    <row r="145" spans="1:7" x14ac:dyDescent="0.25">
      <c r="A145" s="369" t="s">
        <v>541</v>
      </c>
      <c r="F145" s="354"/>
      <c r="G145" s="354"/>
    </row>
    <row r="146" spans="1:7" x14ac:dyDescent="0.25">
      <c r="A146" s="369" t="s">
        <v>542</v>
      </c>
      <c r="F146" s="354"/>
      <c r="G146" s="354"/>
    </row>
    <row r="147" spans="1:7" x14ac:dyDescent="0.25">
      <c r="A147" s="369" t="s">
        <v>543</v>
      </c>
      <c r="F147" s="354"/>
      <c r="G147" s="354"/>
    </row>
    <row r="148" spans="1:7" x14ac:dyDescent="0.25">
      <c r="A148" s="369" t="s">
        <v>544</v>
      </c>
      <c r="F148" s="354"/>
      <c r="G148" s="354"/>
    </row>
    <row r="149" spans="1:7" x14ac:dyDescent="0.25">
      <c r="A149" s="369" t="s">
        <v>545</v>
      </c>
      <c r="F149" s="354"/>
      <c r="G149" s="354"/>
    </row>
    <row r="150" spans="1:7" x14ac:dyDescent="0.25">
      <c r="A150" s="369" t="s">
        <v>546</v>
      </c>
      <c r="F150" s="354"/>
      <c r="G150" s="354"/>
    </row>
    <row r="151" spans="1:7" x14ac:dyDescent="0.25">
      <c r="A151" s="369" t="s">
        <v>547</v>
      </c>
      <c r="B151" s="358">
        <v>1</v>
      </c>
      <c r="F151" s="354"/>
      <c r="G151" s="354"/>
    </row>
    <row r="152" spans="1:7" x14ac:dyDescent="0.25">
      <c r="A152" s="369" t="s">
        <v>548</v>
      </c>
      <c r="B152" s="358">
        <v>1</v>
      </c>
      <c r="F152" s="354"/>
      <c r="G152" s="354"/>
    </row>
    <row r="153" spans="1:7" x14ac:dyDescent="0.25">
      <c r="A153" s="369" t="s">
        <v>549</v>
      </c>
      <c r="F153" s="354"/>
      <c r="G153" s="354"/>
    </row>
    <row r="154" spans="1:7" x14ac:dyDescent="0.25">
      <c r="A154" s="369" t="s">
        <v>550</v>
      </c>
      <c r="B154" s="358">
        <v>1</v>
      </c>
      <c r="F154" s="354"/>
      <c r="G154" s="354"/>
    </row>
    <row r="155" spans="1:7" x14ac:dyDescent="0.25">
      <c r="A155" s="369" t="s">
        <v>551</v>
      </c>
      <c r="B155" s="359" t="s">
        <v>170</v>
      </c>
      <c r="F155" s="354"/>
      <c r="G155" s="354"/>
    </row>
    <row r="156" spans="1:7" x14ac:dyDescent="0.25">
      <c r="A156" s="369" t="s">
        <v>552</v>
      </c>
      <c r="F156" s="354"/>
      <c r="G156" s="354"/>
    </row>
    <row r="157" spans="1:7" x14ac:dyDescent="0.25">
      <c r="A157" s="369" t="s">
        <v>553</v>
      </c>
      <c r="B157" s="358">
        <v>1</v>
      </c>
      <c r="F157" s="354"/>
      <c r="G157" s="354"/>
    </row>
    <row r="158" spans="1:7" x14ac:dyDescent="0.25">
      <c r="A158" s="369" t="s">
        <v>554</v>
      </c>
      <c r="F158" s="354"/>
      <c r="G158" s="354"/>
    </row>
    <row r="159" spans="1:7" x14ac:dyDescent="0.25">
      <c r="A159" s="369" t="s">
        <v>555</v>
      </c>
      <c r="F159" s="354"/>
      <c r="G159" s="354"/>
    </row>
    <row r="160" spans="1:7" x14ac:dyDescent="0.25">
      <c r="A160" s="369" t="s">
        <v>556</v>
      </c>
      <c r="F160" s="354"/>
      <c r="G160" s="354"/>
    </row>
    <row r="161" spans="1:7" x14ac:dyDescent="0.25">
      <c r="A161" s="369" t="s">
        <v>557</v>
      </c>
      <c r="F161" s="354"/>
      <c r="G161" s="354"/>
    </row>
    <row r="162" spans="1:7" x14ac:dyDescent="0.25">
      <c r="A162" s="369" t="s">
        <v>558</v>
      </c>
      <c r="F162" s="354"/>
      <c r="G162" s="354"/>
    </row>
    <row r="163" spans="1:7" x14ac:dyDescent="0.25">
      <c r="A163" s="369" t="s">
        <v>559</v>
      </c>
      <c r="B163" s="359" t="s">
        <v>170</v>
      </c>
      <c r="F163" s="354"/>
      <c r="G163" s="354"/>
    </row>
    <row r="164" spans="1:7" x14ac:dyDescent="0.25">
      <c r="A164" s="369" t="s">
        <v>560</v>
      </c>
      <c r="F164" s="354"/>
      <c r="G164" s="354"/>
    </row>
    <row r="165" spans="1:7" x14ac:dyDescent="0.25">
      <c r="A165" s="369" t="s">
        <v>561</v>
      </c>
      <c r="F165" s="354"/>
      <c r="G165" s="354"/>
    </row>
    <row r="166" spans="1:7" x14ac:dyDescent="0.25">
      <c r="A166" s="369" t="s">
        <v>562</v>
      </c>
      <c r="F166" s="354"/>
      <c r="G166" s="354"/>
    </row>
    <row r="167" spans="1:7" x14ac:dyDescent="0.25">
      <c r="A167" s="369" t="s">
        <v>563</v>
      </c>
      <c r="B167" s="358">
        <v>1</v>
      </c>
      <c r="F167" s="354"/>
      <c r="G167" s="354"/>
    </row>
    <row r="168" spans="1:7" x14ac:dyDescent="0.25">
      <c r="A168" s="369" t="s">
        <v>564</v>
      </c>
      <c r="B168" s="358">
        <v>1</v>
      </c>
      <c r="F168" s="354"/>
      <c r="G168" s="354"/>
    </row>
    <row r="169" spans="1:7" x14ac:dyDescent="0.25">
      <c r="A169" s="369" t="s">
        <v>565</v>
      </c>
      <c r="F169" s="354"/>
      <c r="G169" s="354"/>
    </row>
    <row r="170" spans="1:7" x14ac:dyDescent="0.25">
      <c r="A170" s="369" t="s">
        <v>566</v>
      </c>
      <c r="F170" s="354"/>
      <c r="G170" s="354"/>
    </row>
    <row r="171" spans="1:7" x14ac:dyDescent="0.25">
      <c r="A171" s="369" t="s">
        <v>567</v>
      </c>
      <c r="F171" s="354"/>
      <c r="G171" s="354"/>
    </row>
    <row r="172" spans="1:7" x14ac:dyDescent="0.25">
      <c r="A172" s="369" t="s">
        <v>568</v>
      </c>
      <c r="B172" s="359" t="s">
        <v>170</v>
      </c>
      <c r="F172" s="354"/>
      <c r="G172" s="354"/>
    </row>
    <row r="173" spans="1:7" x14ac:dyDescent="0.25">
      <c r="F173" s="354"/>
      <c r="G173" s="354"/>
    </row>
    <row r="174" spans="1:7" x14ac:dyDescent="0.25">
      <c r="A174" s="406" t="s">
        <v>569</v>
      </c>
      <c r="F174" s="354"/>
      <c r="G174" s="354"/>
    </row>
    <row r="175" spans="1:7" x14ac:dyDescent="0.25">
      <c r="A175" s="354" t="s">
        <v>570</v>
      </c>
      <c r="F175" s="354"/>
      <c r="G175" s="354"/>
    </row>
    <row r="176" spans="1:7" x14ac:dyDescent="0.25">
      <c r="A176" s="369" t="s">
        <v>571</v>
      </c>
      <c r="B176" s="359" t="s">
        <v>572</v>
      </c>
      <c r="F176" s="354"/>
      <c r="G176" s="354"/>
    </row>
    <row r="177" spans="1:7" x14ac:dyDescent="0.25">
      <c r="A177" s="354" t="s">
        <v>573</v>
      </c>
      <c r="F177" s="354"/>
      <c r="G177" s="354"/>
    </row>
    <row r="178" spans="1:7" x14ac:dyDescent="0.25">
      <c r="A178" s="369" t="s">
        <v>574</v>
      </c>
      <c r="F178" s="354"/>
      <c r="G178" s="354"/>
    </row>
    <row r="179" spans="1:7" x14ac:dyDescent="0.25">
      <c r="A179" s="354" t="s">
        <v>575</v>
      </c>
      <c r="B179" s="354"/>
      <c r="F179" s="354"/>
      <c r="G179" s="354"/>
    </row>
    <row r="180" spans="1:7" x14ac:dyDescent="0.25">
      <c r="A180" s="354" t="s">
        <v>576</v>
      </c>
      <c r="F180" s="354"/>
      <c r="G180" s="354"/>
    </row>
    <row r="181" spans="1:7" x14ac:dyDescent="0.25">
      <c r="A181" s="354" t="s">
        <v>577</v>
      </c>
      <c r="B181" s="407" t="s">
        <v>578</v>
      </c>
      <c r="F181" s="354"/>
      <c r="G181" s="354"/>
    </row>
    <row r="182" spans="1:7" x14ac:dyDescent="0.25">
      <c r="A182" s="369" t="s">
        <v>579</v>
      </c>
      <c r="B182" s="407" t="s">
        <v>580</v>
      </c>
      <c r="F182" s="354"/>
      <c r="G182" s="354"/>
    </row>
    <row r="183" spans="1:7" x14ac:dyDescent="0.25">
      <c r="A183" s="354" t="s">
        <v>581</v>
      </c>
      <c r="B183" s="369"/>
      <c r="F183" s="354"/>
      <c r="G183" s="354"/>
    </row>
    <row r="184" spans="1:7" x14ac:dyDescent="0.25">
      <c r="A184" s="354" t="s">
        <v>582</v>
      </c>
      <c r="F184" s="354"/>
      <c r="G184" s="354"/>
    </row>
    <row r="185" spans="1:7" x14ac:dyDescent="0.25">
      <c r="A185" s="354" t="s">
        <v>583</v>
      </c>
    </row>
    <row r="186" spans="1:7" x14ac:dyDescent="0.25">
      <c r="A186" s="354" t="s">
        <v>584</v>
      </c>
      <c r="F186" s="354"/>
      <c r="G186" s="354"/>
    </row>
    <row r="187" spans="1:7" x14ac:dyDescent="0.25">
      <c r="A187" s="354" t="s">
        <v>585</v>
      </c>
      <c r="F187" s="354"/>
      <c r="G187" s="354"/>
    </row>
    <row r="188" spans="1:7" x14ac:dyDescent="0.25">
      <c r="A188" s="354" t="s">
        <v>586</v>
      </c>
      <c r="F188" s="354"/>
      <c r="G188" s="354"/>
    </row>
    <row r="189" spans="1:7" x14ac:dyDescent="0.25">
      <c r="A189" s="354" t="s">
        <v>587</v>
      </c>
      <c r="F189" s="354"/>
      <c r="G189" s="354"/>
    </row>
    <row r="190" spans="1:7" x14ac:dyDescent="0.25">
      <c r="A190" s="354" t="s">
        <v>588</v>
      </c>
      <c r="B190" s="369"/>
    </row>
    <row r="191" spans="1:7" x14ac:dyDescent="0.25">
      <c r="A191" s="354" t="s">
        <v>589</v>
      </c>
      <c r="F191" s="354"/>
      <c r="G191" s="354"/>
    </row>
    <row r="192" spans="1:7" x14ac:dyDescent="0.25">
      <c r="A192" s="354" t="s">
        <v>590</v>
      </c>
      <c r="C192" s="369" t="s">
        <v>591</v>
      </c>
      <c r="F192" s="354"/>
      <c r="G192" s="354"/>
    </row>
    <row r="193" spans="1:7" x14ac:dyDescent="0.25">
      <c r="A193" s="354" t="s">
        <v>592</v>
      </c>
      <c r="C193" s="369"/>
      <c r="F193" s="354"/>
      <c r="G193" s="354"/>
    </row>
    <row r="194" spans="1:7" x14ac:dyDescent="0.25">
      <c r="A194" s="354" t="s">
        <v>593</v>
      </c>
      <c r="B194" s="354" t="s">
        <v>594</v>
      </c>
      <c r="F194" s="354"/>
      <c r="G194" s="354"/>
    </row>
    <row r="195" spans="1:7" x14ac:dyDescent="0.25">
      <c r="A195" s="354" t="s">
        <v>595</v>
      </c>
      <c r="F195" s="354"/>
      <c r="G195" s="354"/>
    </row>
    <row r="196" spans="1:7" x14ac:dyDescent="0.25">
      <c r="A196" s="354" t="s">
        <v>596</v>
      </c>
      <c r="F196" s="354"/>
      <c r="G196" s="354"/>
    </row>
    <row r="197" spans="1:7" x14ac:dyDescent="0.25">
      <c r="A197" s="354" t="s">
        <v>597</v>
      </c>
    </row>
    <row r="198" spans="1:7" x14ac:dyDescent="0.25">
      <c r="A198" s="354" t="s">
        <v>598</v>
      </c>
      <c r="B198" s="369"/>
      <c r="F198" s="354"/>
      <c r="G198" s="354"/>
    </row>
    <row r="199" spans="1:7" x14ac:dyDescent="0.25">
      <c r="A199" s="354" t="s">
        <v>599</v>
      </c>
      <c r="B199" s="369"/>
      <c r="F199" s="354"/>
      <c r="G199" s="354"/>
    </row>
    <row r="200" spans="1:7" x14ac:dyDescent="0.25">
      <c r="A200" s="354" t="s">
        <v>600</v>
      </c>
      <c r="B200" s="369"/>
      <c r="F200" s="354"/>
      <c r="G200" s="354"/>
    </row>
    <row r="201" spans="1:7" x14ac:dyDescent="0.25">
      <c r="A201" s="354" t="s">
        <v>601</v>
      </c>
      <c r="F201" s="354"/>
      <c r="G201" s="354"/>
    </row>
    <row r="202" spans="1:7" x14ac:dyDescent="0.25">
      <c r="F202" s="354"/>
      <c r="G202" s="354"/>
    </row>
    <row r="203" spans="1:7" x14ac:dyDescent="0.25">
      <c r="A203" s="406" t="s">
        <v>602</v>
      </c>
      <c r="E203" s="407"/>
      <c r="F203" s="354"/>
      <c r="G203" s="354"/>
    </row>
    <row r="204" spans="1:7" x14ac:dyDescent="0.25">
      <c r="A204" s="369" t="s">
        <v>603</v>
      </c>
      <c r="E204" s="408"/>
      <c r="F204" s="354"/>
      <c r="G204" s="354"/>
    </row>
    <row r="205" spans="1:7" x14ac:dyDescent="0.25">
      <c r="A205" s="369" t="s">
        <v>604</v>
      </c>
      <c r="E205" s="408"/>
      <c r="F205" s="354"/>
      <c r="G205" s="354"/>
    </row>
    <row r="206" spans="1:7" x14ac:dyDescent="0.25">
      <c r="A206" s="369" t="s">
        <v>605</v>
      </c>
      <c r="E206" s="408"/>
      <c r="F206" s="354"/>
      <c r="G206" s="354"/>
    </row>
    <row r="207" spans="1:7" x14ac:dyDescent="0.25">
      <c r="A207" s="369" t="s">
        <v>606</v>
      </c>
      <c r="E207" s="408"/>
      <c r="F207" s="354"/>
      <c r="G207" s="354"/>
    </row>
    <row r="208" spans="1:7" x14ac:dyDescent="0.25">
      <c r="A208" s="354" t="s">
        <v>607</v>
      </c>
      <c r="E208" s="408"/>
      <c r="F208" s="354"/>
      <c r="G208" s="354"/>
    </row>
    <row r="209" spans="1:7" x14ac:dyDescent="0.25">
      <c r="D209" s="407"/>
      <c r="E209" s="408"/>
      <c r="F209" s="354"/>
      <c r="G209" s="354"/>
    </row>
    <row r="210" spans="1:7" x14ac:dyDescent="0.25">
      <c r="A210" s="405" t="s">
        <v>608</v>
      </c>
      <c r="D210" s="407"/>
      <c r="E210" s="407"/>
      <c r="F210" s="354"/>
      <c r="G210" s="354"/>
    </row>
    <row r="211" spans="1:7" x14ac:dyDescent="0.25">
      <c r="A211" s="369" t="s">
        <v>609</v>
      </c>
      <c r="D211" s="407"/>
      <c r="E211" s="408"/>
    </row>
    <row r="212" spans="1:7" x14ac:dyDescent="0.25">
      <c r="A212" s="369" t="s">
        <v>610</v>
      </c>
      <c r="D212" s="407"/>
      <c r="E212" s="408"/>
      <c r="F212" s="354"/>
      <c r="G212" s="354"/>
    </row>
    <row r="213" spans="1:7" x14ac:dyDescent="0.25">
      <c r="A213" s="369" t="s">
        <v>611</v>
      </c>
      <c r="D213" s="407"/>
      <c r="E213" s="408"/>
      <c r="F213" s="354"/>
      <c r="G213" s="354"/>
    </row>
    <row r="214" spans="1:7" x14ac:dyDescent="0.25">
      <c r="F214" s="354"/>
      <c r="G214" s="354"/>
    </row>
    <row r="215" spans="1:7" x14ac:dyDescent="0.25">
      <c r="A215" s="406" t="s">
        <v>612</v>
      </c>
      <c r="F215" s="354"/>
      <c r="G215" s="354"/>
    </row>
    <row r="216" spans="1:7" x14ac:dyDescent="0.25">
      <c r="A216" s="369" t="s">
        <v>613</v>
      </c>
      <c r="F216" s="354"/>
      <c r="G216" s="354"/>
    </row>
    <row r="217" spans="1:7" x14ac:dyDescent="0.25">
      <c r="A217" s="369" t="s">
        <v>614</v>
      </c>
      <c r="F217" s="354"/>
      <c r="G217" s="354"/>
    </row>
    <row r="218" spans="1:7" x14ac:dyDescent="0.25">
      <c r="A218" s="369" t="s">
        <v>615</v>
      </c>
    </row>
    <row r="219" spans="1:7" x14ac:dyDescent="0.25">
      <c r="A219" s="369" t="s">
        <v>616</v>
      </c>
    </row>
    <row r="220" spans="1:7" x14ac:dyDescent="0.25">
      <c r="A220" s="369" t="s">
        <v>617</v>
      </c>
    </row>
    <row r="221" spans="1:7" x14ac:dyDescent="0.25">
      <c r="A221" s="369" t="s">
        <v>618</v>
      </c>
    </row>
    <row r="222" spans="1:7" x14ac:dyDescent="0.25">
      <c r="A222" s="369" t="s">
        <v>619</v>
      </c>
    </row>
    <row r="223" spans="1:7" x14ac:dyDescent="0.25">
      <c r="A223" s="369" t="s">
        <v>620</v>
      </c>
    </row>
    <row r="224" spans="1:7" x14ac:dyDescent="0.25">
      <c r="A224" s="369" t="s">
        <v>621</v>
      </c>
    </row>
    <row r="225" spans="1:7" ht="15.75" thickBot="1" x14ac:dyDescent="0.3"/>
    <row r="226" spans="1:7" x14ac:dyDescent="0.25">
      <c r="A226" s="409" t="s">
        <v>622</v>
      </c>
      <c r="B226" s="410"/>
      <c r="C226" s="411" t="s">
        <v>623</v>
      </c>
      <c r="D226" s="412" t="s">
        <v>624</v>
      </c>
      <c r="E226" s="413"/>
      <c r="F226" s="414"/>
      <c r="G226" s="354"/>
    </row>
    <row r="227" spans="1:7" x14ac:dyDescent="0.25">
      <c r="A227" s="415" t="s">
        <v>625</v>
      </c>
      <c r="B227" s="416" t="s">
        <v>626</v>
      </c>
      <c r="C227" s="417" t="s">
        <v>627</v>
      </c>
      <c r="D227" s="418" t="s">
        <v>628</v>
      </c>
      <c r="E227" s="418"/>
      <c r="F227" s="419"/>
      <c r="G227" s="354"/>
    </row>
    <row r="228" spans="1:7" x14ac:dyDescent="0.25">
      <c r="A228" s="415" t="s">
        <v>629</v>
      </c>
      <c r="B228" s="416" t="s">
        <v>626</v>
      </c>
      <c r="C228" s="417" t="s">
        <v>630</v>
      </c>
      <c r="D228" s="418" t="s">
        <v>631</v>
      </c>
      <c r="E228" s="418"/>
      <c r="F228" s="419"/>
      <c r="G228" s="354"/>
    </row>
    <row r="229" spans="1:7" x14ac:dyDescent="0.25">
      <c r="A229" s="415" t="s">
        <v>632</v>
      </c>
      <c r="B229" s="416" t="s">
        <v>626</v>
      </c>
      <c r="C229" s="417" t="s">
        <v>630</v>
      </c>
      <c r="D229" s="418" t="s">
        <v>633</v>
      </c>
      <c r="E229" s="418"/>
      <c r="F229" s="419"/>
      <c r="G229" s="354"/>
    </row>
    <row r="230" spans="1:7" x14ac:dyDescent="0.25">
      <c r="A230" s="415" t="s">
        <v>634</v>
      </c>
      <c r="B230" s="420" t="s">
        <v>626</v>
      </c>
      <c r="C230" s="417" t="s">
        <v>630</v>
      </c>
      <c r="D230" s="418" t="s">
        <v>635</v>
      </c>
      <c r="E230" s="418"/>
      <c r="F230" s="419"/>
      <c r="G230" s="354"/>
    </row>
    <row r="231" spans="1:7" x14ac:dyDescent="0.25">
      <c r="A231" s="415" t="s">
        <v>636</v>
      </c>
      <c r="B231" s="416" t="s">
        <v>626</v>
      </c>
      <c r="C231" s="417" t="s">
        <v>637</v>
      </c>
      <c r="D231" s="418" t="s">
        <v>638</v>
      </c>
      <c r="E231" s="418"/>
      <c r="F231" s="419"/>
      <c r="G231" s="354"/>
    </row>
    <row r="232" spans="1:7" x14ac:dyDescent="0.25">
      <c r="A232" s="415" t="s">
        <v>639</v>
      </c>
      <c r="B232" s="416" t="s">
        <v>626</v>
      </c>
      <c r="C232" s="417" t="s">
        <v>640</v>
      </c>
      <c r="D232" s="418" t="s">
        <v>641</v>
      </c>
      <c r="E232" s="418"/>
      <c r="F232" s="419"/>
      <c r="G232" s="354"/>
    </row>
    <row r="233" spans="1:7" x14ac:dyDescent="0.25">
      <c r="A233" s="415" t="s">
        <v>642</v>
      </c>
      <c r="B233" s="416" t="s">
        <v>626</v>
      </c>
      <c r="C233" s="417" t="s">
        <v>643</v>
      </c>
      <c r="D233" s="418" t="s">
        <v>644</v>
      </c>
      <c r="E233" s="418"/>
      <c r="F233" s="419"/>
      <c r="G233" s="354"/>
    </row>
    <row r="234" spans="1:7" x14ac:dyDescent="0.25">
      <c r="A234" s="415" t="s">
        <v>637</v>
      </c>
      <c r="B234" s="416" t="s">
        <v>626</v>
      </c>
      <c r="C234" s="417" t="s">
        <v>645</v>
      </c>
      <c r="D234" s="418" t="s">
        <v>646</v>
      </c>
      <c r="E234" s="418"/>
      <c r="F234" s="419"/>
      <c r="G234" s="354"/>
    </row>
    <row r="235" spans="1:7" x14ac:dyDescent="0.25">
      <c r="A235" s="415" t="s">
        <v>647</v>
      </c>
      <c r="B235" s="416" t="s">
        <v>626</v>
      </c>
      <c r="C235" s="417" t="s">
        <v>645</v>
      </c>
      <c r="D235" s="418" t="s">
        <v>648</v>
      </c>
      <c r="E235" s="418"/>
      <c r="F235" s="419"/>
      <c r="G235" s="354"/>
    </row>
    <row r="236" spans="1:7" x14ac:dyDescent="0.25">
      <c r="A236" s="415" t="s">
        <v>649</v>
      </c>
      <c r="B236" s="416" t="s">
        <v>626</v>
      </c>
      <c r="C236" s="417" t="s">
        <v>645</v>
      </c>
      <c r="D236" s="418" t="s">
        <v>650</v>
      </c>
      <c r="E236" s="418"/>
      <c r="F236" s="419"/>
      <c r="G236" s="354"/>
    </row>
    <row r="237" spans="1:7" x14ac:dyDescent="0.25">
      <c r="A237" s="415" t="s">
        <v>651</v>
      </c>
      <c r="B237" s="416" t="s">
        <v>626</v>
      </c>
      <c r="C237" s="417" t="s">
        <v>632</v>
      </c>
      <c r="D237" s="420" t="s">
        <v>652</v>
      </c>
      <c r="E237" s="418"/>
      <c r="F237" s="419"/>
      <c r="G237" s="354"/>
    </row>
    <row r="238" spans="1:7" x14ac:dyDescent="0.25">
      <c r="A238" s="415" t="s">
        <v>653</v>
      </c>
      <c r="B238" s="416" t="s">
        <v>626</v>
      </c>
      <c r="C238" s="417" t="s">
        <v>632</v>
      </c>
      <c r="D238" s="418" t="s">
        <v>654</v>
      </c>
      <c r="E238" s="418"/>
      <c r="F238" s="419"/>
      <c r="G238" s="354"/>
    </row>
    <row r="239" spans="1:7" x14ac:dyDescent="0.25">
      <c r="A239" s="415" t="s">
        <v>655</v>
      </c>
      <c r="B239" s="416" t="s">
        <v>656</v>
      </c>
      <c r="C239" s="417" t="s">
        <v>657</v>
      </c>
      <c r="D239" s="418" t="s">
        <v>658</v>
      </c>
      <c r="E239" s="418"/>
      <c r="F239" s="419"/>
      <c r="G239" s="354"/>
    </row>
    <row r="240" spans="1:7" x14ac:dyDescent="0.25">
      <c r="A240" s="415" t="s">
        <v>659</v>
      </c>
      <c r="B240" s="416" t="s">
        <v>656</v>
      </c>
      <c r="C240" s="417" t="s">
        <v>634</v>
      </c>
      <c r="D240" s="418" t="s">
        <v>660</v>
      </c>
      <c r="E240" s="418"/>
      <c r="F240" s="419"/>
      <c r="G240" s="354"/>
    </row>
    <row r="241" spans="1:7" x14ac:dyDescent="0.25">
      <c r="A241" s="415" t="s">
        <v>661</v>
      </c>
      <c r="B241" s="416" t="s">
        <v>662</v>
      </c>
      <c r="C241" s="417" t="s">
        <v>642</v>
      </c>
      <c r="D241" s="418" t="s">
        <v>663</v>
      </c>
      <c r="E241" s="418"/>
      <c r="F241" s="419"/>
      <c r="G241" s="354"/>
    </row>
    <row r="242" spans="1:7" x14ac:dyDescent="0.25">
      <c r="A242" s="415" t="s">
        <v>657</v>
      </c>
      <c r="B242" s="420" t="s">
        <v>662</v>
      </c>
      <c r="C242" s="417" t="s">
        <v>659</v>
      </c>
      <c r="D242" s="418" t="s">
        <v>664</v>
      </c>
      <c r="E242" s="418"/>
      <c r="F242" s="419"/>
      <c r="G242" s="354"/>
    </row>
    <row r="243" spans="1:7" x14ac:dyDescent="0.25">
      <c r="A243" s="415" t="s">
        <v>643</v>
      </c>
      <c r="B243" s="420" t="s">
        <v>662</v>
      </c>
      <c r="C243" s="417" t="s">
        <v>659</v>
      </c>
      <c r="D243" s="418" t="s">
        <v>665</v>
      </c>
      <c r="E243" s="418"/>
      <c r="F243" s="419"/>
      <c r="G243" s="354"/>
    </row>
    <row r="244" spans="1:7" x14ac:dyDescent="0.25">
      <c r="A244" s="415" t="s">
        <v>666</v>
      </c>
      <c r="B244" s="420" t="s">
        <v>662</v>
      </c>
      <c r="C244" s="417" t="s">
        <v>639</v>
      </c>
      <c r="D244" s="418" t="s">
        <v>667</v>
      </c>
      <c r="E244" s="418"/>
      <c r="F244" s="419"/>
      <c r="G244" s="354"/>
    </row>
    <row r="245" spans="1:7" x14ac:dyDescent="0.25">
      <c r="A245" s="415" t="s">
        <v>668</v>
      </c>
      <c r="B245" s="416" t="s">
        <v>662</v>
      </c>
      <c r="C245" s="417" t="s">
        <v>668</v>
      </c>
      <c r="D245" s="418" t="s">
        <v>669</v>
      </c>
      <c r="E245" s="418"/>
      <c r="F245" s="419"/>
      <c r="G245" s="354"/>
    </row>
    <row r="246" spans="1:7" x14ac:dyDescent="0.25">
      <c r="A246" s="415" t="s">
        <v>670</v>
      </c>
      <c r="B246" s="416" t="s">
        <v>662</v>
      </c>
      <c r="C246" s="417" t="s">
        <v>629</v>
      </c>
      <c r="D246" s="418" t="s">
        <v>671</v>
      </c>
      <c r="E246" s="418"/>
      <c r="F246" s="419"/>
      <c r="G246" s="354"/>
    </row>
    <row r="247" spans="1:7" x14ac:dyDescent="0.25">
      <c r="A247" s="415" t="s">
        <v>672</v>
      </c>
      <c r="B247" s="416" t="s">
        <v>662</v>
      </c>
      <c r="C247" s="417" t="s">
        <v>634</v>
      </c>
      <c r="D247" s="418" t="s">
        <v>673</v>
      </c>
      <c r="E247" s="418"/>
      <c r="F247" s="419"/>
      <c r="G247" s="354"/>
    </row>
    <row r="248" spans="1:7" x14ac:dyDescent="0.25">
      <c r="A248" s="415" t="s">
        <v>674</v>
      </c>
      <c r="B248" s="420" t="s">
        <v>662</v>
      </c>
      <c r="C248" s="417" t="s">
        <v>636</v>
      </c>
      <c r="D248" s="418" t="s">
        <v>675</v>
      </c>
      <c r="E248" s="418"/>
      <c r="F248" s="419"/>
      <c r="G248" s="354"/>
    </row>
    <row r="249" spans="1:7" x14ac:dyDescent="0.25">
      <c r="A249" s="415" t="s">
        <v>676</v>
      </c>
      <c r="B249" s="416" t="s">
        <v>662</v>
      </c>
      <c r="C249" s="417" t="s">
        <v>636</v>
      </c>
      <c r="D249" s="418" t="s">
        <v>677</v>
      </c>
      <c r="E249" s="418"/>
      <c r="F249" s="419"/>
      <c r="G249" s="354"/>
    </row>
    <row r="250" spans="1:7" x14ac:dyDescent="0.25">
      <c r="A250" s="415" t="s">
        <v>678</v>
      </c>
      <c r="B250" s="416" t="s">
        <v>679</v>
      </c>
      <c r="C250" s="417" t="s">
        <v>625</v>
      </c>
      <c r="D250" s="418" t="s">
        <v>680</v>
      </c>
      <c r="E250" s="418"/>
      <c r="F250" s="419"/>
      <c r="G250" s="354"/>
    </row>
    <row r="251" spans="1:7" x14ac:dyDescent="0.25">
      <c r="A251" s="415" t="s">
        <v>627</v>
      </c>
      <c r="B251" s="416" t="s">
        <v>679</v>
      </c>
      <c r="C251" s="417" t="s">
        <v>625</v>
      </c>
      <c r="D251" s="418" t="s">
        <v>681</v>
      </c>
      <c r="E251" s="418"/>
      <c r="F251" s="419"/>
      <c r="G251" s="354"/>
    </row>
    <row r="252" spans="1:7" x14ac:dyDescent="0.25">
      <c r="A252" s="415" t="s">
        <v>682</v>
      </c>
      <c r="B252" s="416" t="s">
        <v>679</v>
      </c>
      <c r="C252" s="417" t="s">
        <v>625</v>
      </c>
      <c r="D252" s="418" t="s">
        <v>683</v>
      </c>
      <c r="E252" s="418"/>
      <c r="F252" s="419"/>
      <c r="G252" s="354"/>
    </row>
    <row r="253" spans="1:7" x14ac:dyDescent="0.25">
      <c r="A253" s="415" t="s">
        <v>684</v>
      </c>
      <c r="B253" s="416" t="s">
        <v>679</v>
      </c>
      <c r="C253" s="417" t="s">
        <v>647</v>
      </c>
      <c r="D253" s="418" t="s">
        <v>685</v>
      </c>
      <c r="E253" s="418"/>
      <c r="F253" s="419"/>
      <c r="G253" s="354"/>
    </row>
    <row r="254" spans="1:7" x14ac:dyDescent="0.25">
      <c r="A254" s="415" t="s">
        <v>640</v>
      </c>
      <c r="B254" s="416" t="s">
        <v>679</v>
      </c>
      <c r="C254" s="417" t="s">
        <v>651</v>
      </c>
      <c r="D254" s="418" t="s">
        <v>686</v>
      </c>
      <c r="E254" s="418"/>
      <c r="F254" s="419"/>
      <c r="G254" s="354"/>
    </row>
    <row r="255" spans="1:7" x14ac:dyDescent="0.25">
      <c r="A255" s="415" t="s">
        <v>687</v>
      </c>
      <c r="B255" s="416" t="s">
        <v>679</v>
      </c>
      <c r="C255" s="417" t="s">
        <v>651</v>
      </c>
      <c r="D255" s="418" t="s">
        <v>688</v>
      </c>
      <c r="E255" s="418"/>
      <c r="F255" s="419"/>
      <c r="G255" s="354"/>
    </row>
    <row r="256" spans="1:7" x14ac:dyDescent="0.25">
      <c r="A256" s="415" t="s">
        <v>689</v>
      </c>
      <c r="B256" s="416" t="s">
        <v>679</v>
      </c>
      <c r="C256" s="417" t="s">
        <v>651</v>
      </c>
      <c r="D256" s="418" t="s">
        <v>690</v>
      </c>
      <c r="E256" s="418"/>
      <c r="F256" s="419"/>
      <c r="G256" s="354"/>
    </row>
    <row r="257" spans="1:7" x14ac:dyDescent="0.25">
      <c r="A257" s="415" t="s">
        <v>691</v>
      </c>
      <c r="B257" s="416" t="s">
        <v>691</v>
      </c>
      <c r="C257" s="417" t="s">
        <v>655</v>
      </c>
      <c r="D257" s="418" t="s">
        <v>692</v>
      </c>
      <c r="E257" s="418"/>
      <c r="F257" s="419"/>
      <c r="G257" s="354"/>
    </row>
    <row r="258" spans="1:7" x14ac:dyDescent="0.25">
      <c r="A258" s="415" t="s">
        <v>630</v>
      </c>
      <c r="B258" s="416" t="s">
        <v>630</v>
      </c>
      <c r="C258" s="417" t="s">
        <v>655</v>
      </c>
      <c r="D258" s="418" t="s">
        <v>693</v>
      </c>
      <c r="E258" s="418"/>
      <c r="F258" s="419"/>
      <c r="G258" s="354"/>
    </row>
    <row r="259" spans="1:7" ht="15.75" thickBot="1" x14ac:dyDescent="0.3">
      <c r="A259" s="421" t="s">
        <v>645</v>
      </c>
      <c r="B259" s="422" t="s">
        <v>645</v>
      </c>
      <c r="C259" s="417" t="s">
        <v>655</v>
      </c>
      <c r="D259" s="418" t="s">
        <v>694</v>
      </c>
      <c r="E259" s="418"/>
      <c r="F259" s="419"/>
      <c r="G259" s="354"/>
    </row>
    <row r="260" spans="1:7" x14ac:dyDescent="0.25">
      <c r="C260" s="417" t="s">
        <v>629</v>
      </c>
      <c r="D260" s="418" t="s">
        <v>695</v>
      </c>
      <c r="E260" s="418"/>
      <c r="F260" s="419"/>
      <c r="G260" s="354"/>
    </row>
    <row r="261" spans="1:7" x14ac:dyDescent="0.25">
      <c r="C261" s="417" t="s">
        <v>629</v>
      </c>
      <c r="D261" s="418" t="s">
        <v>696</v>
      </c>
      <c r="E261" s="418"/>
      <c r="F261" s="419"/>
      <c r="G261" s="354"/>
    </row>
    <row r="262" spans="1:7" x14ac:dyDescent="0.25">
      <c r="C262" s="417" t="s">
        <v>629</v>
      </c>
      <c r="D262" s="418" t="s">
        <v>697</v>
      </c>
      <c r="E262" s="418"/>
      <c r="F262" s="419"/>
      <c r="G262" s="354"/>
    </row>
    <row r="263" spans="1:7" x14ac:dyDescent="0.25">
      <c r="C263" s="417" t="s">
        <v>653</v>
      </c>
      <c r="D263" s="418" t="s">
        <v>698</v>
      </c>
      <c r="E263" s="418"/>
      <c r="F263" s="419"/>
      <c r="G263" s="354"/>
    </row>
    <row r="264" spans="1:7" x14ac:dyDescent="0.25">
      <c r="C264" s="417" t="s">
        <v>634</v>
      </c>
      <c r="D264" s="418" t="s">
        <v>699</v>
      </c>
      <c r="E264" s="418"/>
      <c r="F264" s="419"/>
      <c r="G264" s="354"/>
    </row>
    <row r="265" spans="1:7" x14ac:dyDescent="0.25">
      <c r="C265" s="417" t="s">
        <v>649</v>
      </c>
      <c r="D265" s="418" t="s">
        <v>700</v>
      </c>
      <c r="E265" s="418"/>
      <c r="F265" s="419"/>
      <c r="G265" s="354"/>
    </row>
    <row r="266" spans="1:7" x14ac:dyDescent="0.25">
      <c r="C266" s="417" t="s">
        <v>657</v>
      </c>
      <c r="D266" s="418" t="s">
        <v>701</v>
      </c>
      <c r="E266" s="418"/>
      <c r="F266" s="419"/>
      <c r="G266" s="354"/>
    </row>
    <row r="267" spans="1:7" x14ac:dyDescent="0.25">
      <c r="C267" s="417" t="s">
        <v>630</v>
      </c>
      <c r="D267" s="418" t="s">
        <v>702</v>
      </c>
      <c r="E267" s="418"/>
      <c r="F267" s="419"/>
      <c r="G267" s="354"/>
    </row>
    <row r="268" spans="1:7" x14ac:dyDescent="0.25">
      <c r="C268" s="417" t="s">
        <v>630</v>
      </c>
      <c r="D268" s="418" t="s">
        <v>703</v>
      </c>
      <c r="E268" s="418"/>
      <c r="F268" s="419"/>
      <c r="G268" s="354"/>
    </row>
    <row r="269" spans="1:7" x14ac:dyDescent="0.25">
      <c r="B269" s="354"/>
      <c r="C269" s="417" t="s">
        <v>643</v>
      </c>
      <c r="D269" s="418" t="s">
        <v>704</v>
      </c>
      <c r="E269" s="418"/>
      <c r="F269" s="419"/>
      <c r="G269" s="354"/>
    </row>
    <row r="270" spans="1:7" x14ac:dyDescent="0.25">
      <c r="B270" s="354"/>
      <c r="C270" s="417" t="s">
        <v>643</v>
      </c>
      <c r="D270" s="418" t="s">
        <v>705</v>
      </c>
      <c r="E270" s="418"/>
      <c r="F270" s="419"/>
      <c r="G270" s="354"/>
    </row>
    <row r="271" spans="1:7" x14ac:dyDescent="0.25">
      <c r="B271" s="354"/>
      <c r="C271" s="417" t="s">
        <v>674</v>
      </c>
      <c r="D271" s="418" t="s">
        <v>706</v>
      </c>
      <c r="E271" s="418"/>
      <c r="F271" s="419"/>
      <c r="G271" s="354"/>
    </row>
    <row r="272" spans="1:7" x14ac:dyDescent="0.25">
      <c r="B272" s="354"/>
      <c r="C272" s="417" t="s">
        <v>672</v>
      </c>
      <c r="D272" s="418" t="s">
        <v>707</v>
      </c>
      <c r="E272" s="418"/>
      <c r="F272" s="419"/>
      <c r="G272" s="354"/>
    </row>
    <row r="273" spans="2:7" x14ac:dyDescent="0.25">
      <c r="B273" s="354"/>
      <c r="C273" s="417" t="s">
        <v>672</v>
      </c>
      <c r="D273" s="418" t="s">
        <v>708</v>
      </c>
      <c r="E273" s="418"/>
      <c r="F273" s="419"/>
      <c r="G273" s="354"/>
    </row>
    <row r="274" spans="2:7" x14ac:dyDescent="0.25">
      <c r="B274" s="354"/>
      <c r="C274" s="417" t="s">
        <v>672</v>
      </c>
      <c r="D274" s="418" t="s">
        <v>709</v>
      </c>
      <c r="E274" s="418"/>
      <c r="F274" s="419"/>
      <c r="G274" s="354"/>
    </row>
    <row r="275" spans="2:7" x14ac:dyDescent="0.25">
      <c r="B275" s="354"/>
      <c r="C275" s="417" t="s">
        <v>661</v>
      </c>
      <c r="D275" s="418" t="s">
        <v>710</v>
      </c>
      <c r="E275" s="418"/>
      <c r="F275" s="419"/>
      <c r="G275" s="354"/>
    </row>
    <row r="276" spans="2:7" x14ac:dyDescent="0.25">
      <c r="B276" s="354"/>
      <c r="C276" s="417" t="s">
        <v>661</v>
      </c>
      <c r="D276" s="418" t="s">
        <v>711</v>
      </c>
      <c r="E276" s="418"/>
      <c r="F276" s="419"/>
      <c r="G276" s="354"/>
    </row>
    <row r="277" spans="2:7" x14ac:dyDescent="0.25">
      <c r="B277" s="354"/>
      <c r="C277" s="417" t="s">
        <v>661</v>
      </c>
      <c r="D277" s="418" t="s">
        <v>712</v>
      </c>
      <c r="E277" s="418"/>
      <c r="F277" s="419"/>
      <c r="G277" s="354"/>
    </row>
    <row r="278" spans="2:7" x14ac:dyDescent="0.25">
      <c r="B278" s="354"/>
      <c r="C278" s="417" t="s">
        <v>666</v>
      </c>
      <c r="D278" s="418" t="s">
        <v>713</v>
      </c>
      <c r="E278" s="418"/>
      <c r="F278" s="419"/>
      <c r="G278" s="354"/>
    </row>
    <row r="279" spans="2:7" x14ac:dyDescent="0.25">
      <c r="B279" s="354"/>
      <c r="C279" s="417" t="s">
        <v>666</v>
      </c>
      <c r="D279" s="418" t="s">
        <v>714</v>
      </c>
      <c r="E279" s="418"/>
      <c r="F279" s="419"/>
      <c r="G279" s="354"/>
    </row>
    <row r="280" spans="2:7" x14ac:dyDescent="0.25">
      <c r="B280" s="354"/>
      <c r="C280" s="417" t="s">
        <v>666</v>
      </c>
      <c r="D280" s="418" t="s">
        <v>715</v>
      </c>
      <c r="E280" s="418"/>
      <c r="F280" s="419"/>
      <c r="G280" s="354"/>
    </row>
    <row r="281" spans="2:7" x14ac:dyDescent="0.25">
      <c r="B281" s="354"/>
      <c r="C281" s="417" t="s">
        <v>670</v>
      </c>
      <c r="D281" s="418" t="s">
        <v>716</v>
      </c>
      <c r="E281" s="418"/>
      <c r="F281" s="419"/>
      <c r="G281" s="354"/>
    </row>
    <row r="282" spans="2:7" x14ac:dyDescent="0.25">
      <c r="B282" s="354"/>
      <c r="C282" s="417" t="s">
        <v>670</v>
      </c>
      <c r="D282" s="418" t="s">
        <v>717</v>
      </c>
      <c r="E282" s="418"/>
      <c r="F282" s="419"/>
      <c r="G282" s="354"/>
    </row>
    <row r="283" spans="2:7" x14ac:dyDescent="0.25">
      <c r="B283" s="354"/>
      <c r="C283" s="417" t="s">
        <v>670</v>
      </c>
      <c r="D283" s="418" t="s">
        <v>718</v>
      </c>
      <c r="E283" s="418"/>
      <c r="F283" s="419"/>
      <c r="G283" s="354"/>
    </row>
    <row r="284" spans="2:7" x14ac:dyDescent="0.25">
      <c r="B284" s="354"/>
      <c r="C284" s="417" t="s">
        <v>687</v>
      </c>
      <c r="D284" s="418" t="s">
        <v>719</v>
      </c>
      <c r="E284" s="418"/>
      <c r="F284" s="419"/>
      <c r="G284" s="354"/>
    </row>
    <row r="285" spans="2:7" x14ac:dyDescent="0.25">
      <c r="B285" s="354"/>
      <c r="C285" s="417" t="s">
        <v>676</v>
      </c>
      <c r="D285" s="418" t="s">
        <v>720</v>
      </c>
      <c r="E285" s="418"/>
      <c r="F285" s="419"/>
      <c r="G285" s="354"/>
    </row>
    <row r="286" spans="2:7" x14ac:dyDescent="0.25">
      <c r="B286" s="354"/>
      <c r="C286" s="417" t="s">
        <v>676</v>
      </c>
      <c r="D286" s="418" t="s">
        <v>721</v>
      </c>
      <c r="E286" s="418"/>
      <c r="F286" s="419"/>
      <c r="G286" s="354"/>
    </row>
    <row r="287" spans="2:7" x14ac:dyDescent="0.25">
      <c r="B287" s="354"/>
      <c r="C287" s="417" t="s">
        <v>676</v>
      </c>
      <c r="D287" s="418" t="s">
        <v>722</v>
      </c>
      <c r="E287" s="418"/>
      <c r="F287" s="419"/>
      <c r="G287" s="354"/>
    </row>
    <row r="288" spans="2:7" x14ac:dyDescent="0.25">
      <c r="B288" s="354"/>
      <c r="C288" s="417" t="s">
        <v>676</v>
      </c>
      <c r="D288" s="418" t="s">
        <v>723</v>
      </c>
      <c r="E288" s="418"/>
      <c r="F288" s="419"/>
      <c r="G288" s="354"/>
    </row>
    <row r="289" spans="2:7" x14ac:dyDescent="0.25">
      <c r="B289" s="354"/>
      <c r="C289" s="417" t="s">
        <v>676</v>
      </c>
      <c r="D289" s="418" t="s">
        <v>724</v>
      </c>
      <c r="E289" s="418"/>
      <c r="F289" s="419"/>
      <c r="G289" s="354"/>
    </row>
    <row r="290" spans="2:7" x14ac:dyDescent="0.25">
      <c r="B290" s="354"/>
      <c r="C290" s="417" t="s">
        <v>676</v>
      </c>
      <c r="D290" s="418" t="s">
        <v>725</v>
      </c>
      <c r="E290" s="418"/>
      <c r="F290" s="419"/>
      <c r="G290" s="354"/>
    </row>
    <row r="291" spans="2:7" x14ac:dyDescent="0.25">
      <c r="B291" s="354"/>
      <c r="C291" s="417" t="s">
        <v>657</v>
      </c>
      <c r="D291" s="418" t="s">
        <v>726</v>
      </c>
      <c r="E291" s="418"/>
      <c r="F291" s="419"/>
      <c r="G291" s="354"/>
    </row>
    <row r="292" spans="2:7" x14ac:dyDescent="0.25">
      <c r="B292" s="354"/>
      <c r="C292" s="417" t="s">
        <v>657</v>
      </c>
      <c r="D292" s="418" t="s">
        <v>727</v>
      </c>
      <c r="E292" s="418"/>
      <c r="F292" s="419"/>
      <c r="G292" s="354"/>
    </row>
    <row r="293" spans="2:7" x14ac:dyDescent="0.25">
      <c r="B293" s="354"/>
      <c r="C293" s="417" t="s">
        <v>657</v>
      </c>
      <c r="D293" s="418" t="s">
        <v>728</v>
      </c>
      <c r="E293" s="418"/>
      <c r="F293" s="419"/>
      <c r="G293" s="354"/>
    </row>
    <row r="294" spans="2:7" x14ac:dyDescent="0.25">
      <c r="B294" s="354"/>
      <c r="C294" s="417" t="s">
        <v>640</v>
      </c>
      <c r="D294" s="418" t="s">
        <v>729</v>
      </c>
      <c r="E294" s="418"/>
      <c r="F294" s="419"/>
      <c r="G294" s="354"/>
    </row>
    <row r="295" spans="2:7" x14ac:dyDescent="0.25">
      <c r="B295" s="354"/>
      <c r="C295" s="417" t="s">
        <v>640</v>
      </c>
      <c r="D295" s="418" t="s">
        <v>730</v>
      </c>
      <c r="E295" s="418"/>
      <c r="F295" s="419"/>
      <c r="G295" s="354"/>
    </row>
    <row r="296" spans="2:7" x14ac:dyDescent="0.25">
      <c r="B296" s="354"/>
      <c r="C296" s="417" t="s">
        <v>640</v>
      </c>
      <c r="D296" s="418" t="s">
        <v>731</v>
      </c>
      <c r="E296" s="418"/>
      <c r="F296" s="419"/>
      <c r="G296" s="354"/>
    </row>
    <row r="297" spans="2:7" x14ac:dyDescent="0.25">
      <c r="B297" s="354"/>
      <c r="C297" s="417" t="s">
        <v>684</v>
      </c>
      <c r="D297" s="418" t="s">
        <v>732</v>
      </c>
      <c r="E297" s="418"/>
      <c r="F297" s="419"/>
      <c r="G297" s="354"/>
    </row>
    <row r="298" spans="2:7" x14ac:dyDescent="0.25">
      <c r="B298" s="354"/>
      <c r="C298" s="417" t="s">
        <v>684</v>
      </c>
      <c r="D298" s="418" t="s">
        <v>733</v>
      </c>
      <c r="E298" s="418"/>
      <c r="F298" s="419"/>
      <c r="G298" s="354"/>
    </row>
    <row r="299" spans="2:7" x14ac:dyDescent="0.25">
      <c r="B299" s="354"/>
      <c r="C299" s="417" t="s">
        <v>684</v>
      </c>
      <c r="D299" s="418" t="s">
        <v>734</v>
      </c>
      <c r="E299" s="418"/>
      <c r="F299" s="419"/>
      <c r="G299" s="354"/>
    </row>
    <row r="300" spans="2:7" x14ac:dyDescent="0.25">
      <c r="B300" s="354"/>
      <c r="C300" s="417" t="s">
        <v>678</v>
      </c>
      <c r="D300" s="420" t="s">
        <v>735</v>
      </c>
      <c r="E300" s="418"/>
      <c r="F300" s="419"/>
      <c r="G300" s="354"/>
    </row>
    <row r="301" spans="2:7" x14ac:dyDescent="0.25">
      <c r="B301" s="354"/>
      <c r="C301" s="417" t="s">
        <v>682</v>
      </c>
      <c r="D301" s="420" t="s">
        <v>736</v>
      </c>
      <c r="E301" s="418"/>
      <c r="F301" s="419"/>
      <c r="G301" s="354"/>
    </row>
    <row r="302" spans="2:7" ht="15.75" thickBot="1" x14ac:dyDescent="0.3">
      <c r="B302" s="354"/>
      <c r="C302" s="423" t="s">
        <v>689</v>
      </c>
      <c r="D302" s="424" t="s">
        <v>737</v>
      </c>
      <c r="E302" s="425"/>
      <c r="F302" s="426"/>
      <c r="G302" s="354"/>
    </row>
    <row r="303" spans="2:7" x14ac:dyDescent="0.25">
      <c r="B303" s="354"/>
      <c r="F303" s="354"/>
      <c r="G303" s="354"/>
    </row>
    <row r="304" spans="2:7" x14ac:dyDescent="0.25">
      <c r="B304" s="354"/>
      <c r="G304" s="354"/>
    </row>
    <row r="305" spans="1:7" x14ac:dyDescent="0.25">
      <c r="A305" s="369"/>
      <c r="B305" s="354"/>
      <c r="F305" s="354"/>
      <c r="G305" s="354"/>
    </row>
    <row r="306" spans="1:7" x14ac:dyDescent="0.25">
      <c r="B306" s="354"/>
      <c r="F306" s="354"/>
      <c r="G306" s="354"/>
    </row>
    <row r="307" spans="1:7" x14ac:dyDescent="0.25">
      <c r="A307" s="369"/>
      <c r="B307" s="354"/>
    </row>
    <row r="308" spans="1:7" x14ac:dyDescent="0.25">
      <c r="B308" s="354"/>
    </row>
    <row r="309" spans="1:7" x14ac:dyDescent="0.25">
      <c r="A309" s="369"/>
      <c r="B309" s="354"/>
    </row>
    <row r="310" spans="1:7" x14ac:dyDescent="0.25">
      <c r="A310" s="369"/>
      <c r="B310" s="354"/>
    </row>
    <row r="311" spans="1:7" x14ac:dyDescent="0.25">
      <c r="A311" s="369"/>
      <c r="B311" s="354"/>
    </row>
    <row r="312" spans="1:7" x14ac:dyDescent="0.25">
      <c r="A312" s="369"/>
      <c r="B312" s="354"/>
    </row>
    <row r="313" spans="1:7" x14ac:dyDescent="0.25">
      <c r="A313" s="369"/>
      <c r="B313" s="354"/>
    </row>
    <row r="314" spans="1:7" x14ac:dyDescent="0.25">
      <c r="A314" s="369"/>
      <c r="B314" s="35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84"/>
  <sheetViews>
    <sheetView workbookViewId="0">
      <selection activeCell="C8" sqref="C8"/>
    </sheetView>
  </sheetViews>
  <sheetFormatPr defaultRowHeight="15" x14ac:dyDescent="0.25"/>
  <cols>
    <col min="1" max="1" width="10.140625" style="427" bestFit="1" customWidth="1"/>
    <col min="2" max="2" width="8.42578125" style="428" customWidth="1"/>
    <col min="3" max="3" width="87.85546875" style="431" customWidth="1"/>
    <col min="4" max="4" width="6.5703125" style="408" customWidth="1"/>
    <col min="5" max="6" width="9.140625" style="408"/>
    <col min="7" max="7" width="10.5703125" style="408" bestFit="1" customWidth="1"/>
    <col min="8" max="16384" width="9.140625" style="408"/>
  </cols>
  <sheetData>
    <row r="1" spans="1:4" ht="15.75" x14ac:dyDescent="0.25">
      <c r="A1" s="852">
        <v>41523</v>
      </c>
      <c r="C1" s="429" t="s">
        <v>738</v>
      </c>
      <c r="D1" s="430">
        <v>84</v>
      </c>
    </row>
    <row r="2" spans="1:4" x14ac:dyDescent="0.25">
      <c r="A2" s="427">
        <v>41523</v>
      </c>
      <c r="B2" s="428">
        <v>0.72687500000000005</v>
      </c>
      <c r="C2" s="431" t="s">
        <v>739</v>
      </c>
    </row>
    <row r="3" spans="1:4" x14ac:dyDescent="0.25">
      <c r="A3" s="427">
        <v>41523</v>
      </c>
      <c r="B3" s="428">
        <v>0.72771990740740744</v>
      </c>
      <c r="C3" s="431" t="s">
        <v>1252</v>
      </c>
    </row>
    <row r="4" spans="1:4" ht="60" x14ac:dyDescent="0.25">
      <c r="A4" s="427">
        <v>41523</v>
      </c>
      <c r="B4" s="428">
        <v>0.72771990740740744</v>
      </c>
      <c r="C4" s="432" t="s">
        <v>1253</v>
      </c>
    </row>
    <row r="5" spans="1:4" x14ac:dyDescent="0.25">
      <c r="A5" s="427">
        <v>41523</v>
      </c>
      <c r="B5" s="428">
        <v>0.73761574074074077</v>
      </c>
      <c r="C5" s="431" t="s">
        <v>1222</v>
      </c>
    </row>
    <row r="6" spans="1:4" ht="60" x14ac:dyDescent="0.25">
      <c r="A6" s="427">
        <v>41523</v>
      </c>
      <c r="B6" s="428">
        <v>0.73761574074074077</v>
      </c>
      <c r="C6" s="432" t="s">
        <v>1254</v>
      </c>
    </row>
    <row r="7" spans="1:4" x14ac:dyDescent="0.25">
      <c r="A7" s="427">
        <v>41523</v>
      </c>
      <c r="B7" s="428">
        <v>0.75233796296296296</v>
      </c>
      <c r="C7" s="431" t="s">
        <v>1226</v>
      </c>
    </row>
    <row r="8" spans="1:4" ht="60" x14ac:dyDescent="0.25">
      <c r="A8" s="427">
        <v>41523</v>
      </c>
      <c r="B8" s="428">
        <v>0.75233796296296296</v>
      </c>
      <c r="C8" s="432" t="s">
        <v>1257</v>
      </c>
    </row>
    <row r="9" spans="1:4" x14ac:dyDescent="0.25">
      <c r="A9" s="427">
        <v>41523</v>
      </c>
      <c r="B9" s="428">
        <v>0.75582175925925921</v>
      </c>
      <c r="C9" s="431" t="s">
        <v>1224</v>
      </c>
    </row>
    <row r="10" spans="1:4" ht="60" x14ac:dyDescent="0.25">
      <c r="A10" s="427">
        <v>41523</v>
      </c>
      <c r="B10" s="428">
        <v>0.75582175925925921</v>
      </c>
      <c r="C10" s="906" t="s">
        <v>1260</v>
      </c>
    </row>
    <row r="11" spans="1:4" x14ac:dyDescent="0.25">
      <c r="A11" s="427">
        <v>41523</v>
      </c>
      <c r="B11" s="428">
        <v>0.75703703703703706</v>
      </c>
      <c r="C11" s="431" t="s">
        <v>1237</v>
      </c>
    </row>
    <row r="12" spans="1:4" ht="60" x14ac:dyDescent="0.25">
      <c r="A12" s="427">
        <v>41523</v>
      </c>
      <c r="B12" s="428">
        <v>0.75703703703703706</v>
      </c>
      <c r="C12" s="432" t="s">
        <v>1261</v>
      </c>
    </row>
    <row r="13" spans="1:4" x14ac:dyDescent="0.25">
      <c r="A13" s="427">
        <v>41523</v>
      </c>
      <c r="B13" s="428">
        <v>0.75818287037037047</v>
      </c>
      <c r="C13" s="431" t="s">
        <v>1225</v>
      </c>
    </row>
    <row r="14" spans="1:4" ht="60" x14ac:dyDescent="0.25">
      <c r="A14" s="427">
        <v>41523</v>
      </c>
      <c r="B14" s="428">
        <v>0.75818287037037047</v>
      </c>
      <c r="C14" s="432" t="s">
        <v>1262</v>
      </c>
    </row>
    <row r="15" spans="1:4" x14ac:dyDescent="0.25">
      <c r="A15" s="427">
        <v>41523</v>
      </c>
      <c r="B15" s="428">
        <v>0.75836805555555553</v>
      </c>
      <c r="C15" s="431" t="s">
        <v>1263</v>
      </c>
    </row>
    <row r="16" spans="1:4" x14ac:dyDescent="0.25">
      <c r="A16" s="427">
        <v>41523</v>
      </c>
      <c r="B16" s="428">
        <v>0.75837962962962957</v>
      </c>
      <c r="C16" s="431" t="s">
        <v>1264</v>
      </c>
    </row>
    <row r="17" spans="1:3" x14ac:dyDescent="0.25">
      <c r="A17" s="427">
        <v>41523</v>
      </c>
      <c r="B17" s="428">
        <v>0.75842592592592595</v>
      </c>
      <c r="C17" s="431" t="s">
        <v>1265</v>
      </c>
    </row>
    <row r="18" spans="1:3" x14ac:dyDescent="0.25">
      <c r="A18" s="427">
        <v>41523</v>
      </c>
      <c r="B18" s="428">
        <v>0.75843749999999999</v>
      </c>
      <c r="C18" s="431" t="s">
        <v>1266</v>
      </c>
    </row>
    <row r="19" spans="1:3" x14ac:dyDescent="0.25">
      <c r="A19" s="427">
        <v>41523</v>
      </c>
      <c r="B19" s="428">
        <v>0.75853009259259263</v>
      </c>
      <c r="C19" s="431" t="s">
        <v>1267</v>
      </c>
    </row>
    <row r="20" spans="1:3" x14ac:dyDescent="0.25">
      <c r="A20" s="427">
        <v>41523</v>
      </c>
      <c r="B20" s="428">
        <v>0.75853009259259263</v>
      </c>
      <c r="C20" s="431" t="s">
        <v>1268</v>
      </c>
    </row>
    <row r="21" spans="1:3" x14ac:dyDescent="0.25">
      <c r="A21" s="427">
        <v>41523</v>
      </c>
      <c r="B21" s="428">
        <v>0.75853009259259263</v>
      </c>
      <c r="C21" s="431" t="s">
        <v>1241</v>
      </c>
    </row>
    <row r="22" spans="1:3" x14ac:dyDescent="0.25">
      <c r="A22" s="427">
        <v>41523</v>
      </c>
      <c r="B22" s="428">
        <v>0.75853009259259263</v>
      </c>
      <c r="C22" s="431" t="s">
        <v>1269</v>
      </c>
    </row>
    <row r="23" spans="1:3" x14ac:dyDescent="0.25">
      <c r="A23" s="427">
        <v>41523</v>
      </c>
      <c r="B23" s="428">
        <v>0.75853009259259263</v>
      </c>
      <c r="C23" s="431" t="s">
        <v>1270</v>
      </c>
    </row>
    <row r="24" spans="1:3" x14ac:dyDescent="0.25">
      <c r="A24" s="427">
        <v>41523</v>
      </c>
      <c r="B24" s="428">
        <v>0.75853009259259263</v>
      </c>
      <c r="C24" s="431" t="s">
        <v>1271</v>
      </c>
    </row>
    <row r="25" spans="1:3" x14ac:dyDescent="0.25">
      <c r="A25" s="427">
        <v>41523</v>
      </c>
      <c r="B25" s="428">
        <v>0.75853009259259263</v>
      </c>
      <c r="C25" s="431" t="s">
        <v>1272</v>
      </c>
    </row>
    <row r="26" spans="1:3" x14ac:dyDescent="0.25">
      <c r="A26" s="427">
        <v>41523</v>
      </c>
      <c r="B26" s="428">
        <v>0.75853009259259263</v>
      </c>
      <c r="C26" s="431" t="s">
        <v>1242</v>
      </c>
    </row>
    <row r="27" spans="1:3" x14ac:dyDescent="0.25">
      <c r="A27" s="427">
        <v>41523</v>
      </c>
      <c r="B27" s="428">
        <v>0.75853009259259263</v>
      </c>
      <c r="C27" s="431" t="s">
        <v>1273</v>
      </c>
    </row>
    <row r="28" spans="1:3" x14ac:dyDescent="0.25">
      <c r="A28" s="427">
        <v>41523</v>
      </c>
      <c r="B28" s="428">
        <v>0.75853009259259263</v>
      </c>
      <c r="C28" s="431" t="s">
        <v>1223</v>
      </c>
    </row>
    <row r="29" spans="1:3" ht="60" x14ac:dyDescent="0.25">
      <c r="A29" s="427">
        <v>41523</v>
      </c>
      <c r="B29" s="428">
        <v>0.75853009259259263</v>
      </c>
      <c r="C29" s="432" t="s">
        <v>1274</v>
      </c>
    </row>
    <row r="30" spans="1:3" x14ac:dyDescent="0.25">
      <c r="A30" s="427">
        <v>41523</v>
      </c>
      <c r="B30" s="428">
        <v>0.75865740740740739</v>
      </c>
      <c r="C30" s="431" t="s">
        <v>1275</v>
      </c>
    </row>
    <row r="31" spans="1:3" x14ac:dyDescent="0.25">
      <c r="A31" s="427">
        <v>41523</v>
      </c>
      <c r="B31" s="428">
        <v>0.75865740740740739</v>
      </c>
      <c r="C31" s="431" t="s">
        <v>1276</v>
      </c>
    </row>
    <row r="32" spans="1:3" x14ac:dyDescent="0.25">
      <c r="A32" s="427">
        <v>41523</v>
      </c>
      <c r="B32" s="428">
        <v>0.75865740740740739</v>
      </c>
      <c r="C32" s="431" t="s">
        <v>1243</v>
      </c>
    </row>
    <row r="33" spans="1:3" x14ac:dyDescent="0.25">
      <c r="A33" s="427">
        <v>41523</v>
      </c>
      <c r="B33" s="428">
        <v>0.75865740740740739</v>
      </c>
      <c r="C33" s="431" t="s">
        <v>1244</v>
      </c>
    </row>
    <row r="34" spans="1:3" x14ac:dyDescent="0.25">
      <c r="A34" s="427">
        <v>41523</v>
      </c>
      <c r="B34" s="428">
        <v>0.75865740740740739</v>
      </c>
      <c r="C34" s="431" t="s">
        <v>1238</v>
      </c>
    </row>
    <row r="35" spans="1:3" x14ac:dyDescent="0.25">
      <c r="A35" s="427">
        <v>41523</v>
      </c>
      <c r="B35" s="428">
        <v>0.75865740740740739</v>
      </c>
      <c r="C35" s="431" t="s">
        <v>1277</v>
      </c>
    </row>
    <row r="36" spans="1:3" x14ac:dyDescent="0.25">
      <c r="A36" s="427">
        <v>41523</v>
      </c>
      <c r="B36" s="428">
        <v>0.75865740740740739</v>
      </c>
      <c r="C36" s="431" t="s">
        <v>1278</v>
      </c>
    </row>
    <row r="37" spans="1:3" x14ac:dyDescent="0.25">
      <c r="A37" s="427">
        <v>41523</v>
      </c>
      <c r="B37" s="428">
        <v>0.75865740740740739</v>
      </c>
      <c r="C37" s="431" t="s">
        <v>1279</v>
      </c>
    </row>
    <row r="38" spans="1:3" x14ac:dyDescent="0.25">
      <c r="A38" s="427">
        <v>41523</v>
      </c>
      <c r="B38" s="428">
        <v>0.75865740740740739</v>
      </c>
      <c r="C38" s="431" t="s">
        <v>1280</v>
      </c>
    </row>
    <row r="39" spans="1:3" x14ac:dyDescent="0.25">
      <c r="A39" s="427">
        <v>41523</v>
      </c>
      <c r="B39" s="428">
        <v>0.75865740740740739</v>
      </c>
      <c r="C39" s="431" t="s">
        <v>1281</v>
      </c>
    </row>
    <row r="40" spans="1:3" x14ac:dyDescent="0.25">
      <c r="A40" s="427">
        <v>41523</v>
      </c>
      <c r="B40" s="428">
        <v>0.75865740740740739</v>
      </c>
      <c r="C40" s="431" t="s">
        <v>1245</v>
      </c>
    </row>
    <row r="41" spans="1:3" x14ac:dyDescent="0.25">
      <c r="A41" s="427">
        <v>41523</v>
      </c>
      <c r="B41" s="428">
        <v>0.75865740740740739</v>
      </c>
      <c r="C41" s="431" t="s">
        <v>1246</v>
      </c>
    </row>
    <row r="42" spans="1:3" x14ac:dyDescent="0.25">
      <c r="A42" s="427">
        <v>41523</v>
      </c>
      <c r="B42" s="428">
        <v>0.75865740740740739</v>
      </c>
      <c r="C42" s="431" t="s">
        <v>1239</v>
      </c>
    </row>
    <row r="43" spans="1:3" x14ac:dyDescent="0.25">
      <c r="A43" s="427">
        <v>41523</v>
      </c>
      <c r="B43" s="428">
        <v>0.75865740740740739</v>
      </c>
      <c r="C43" s="431" t="s">
        <v>1282</v>
      </c>
    </row>
    <row r="44" spans="1:3" x14ac:dyDescent="0.25">
      <c r="A44" s="427">
        <v>41523</v>
      </c>
      <c r="B44" s="428">
        <v>0.75869212962962962</v>
      </c>
      <c r="C44" s="431" t="s">
        <v>1283</v>
      </c>
    </row>
    <row r="45" spans="1:3" x14ac:dyDescent="0.25">
      <c r="A45" s="427">
        <v>41523</v>
      </c>
      <c r="B45" s="428">
        <v>0.75870370370370377</v>
      </c>
      <c r="C45" s="431" t="s">
        <v>1240</v>
      </c>
    </row>
    <row r="46" spans="1:3" x14ac:dyDescent="0.25">
      <c r="A46" s="427">
        <v>41523</v>
      </c>
      <c r="B46" s="428">
        <v>0.7704050925925926</v>
      </c>
      <c r="C46" s="431" t="s">
        <v>1234</v>
      </c>
    </row>
    <row r="47" spans="1:3" x14ac:dyDescent="0.25">
      <c r="A47" s="427">
        <v>41523</v>
      </c>
      <c r="B47" s="428">
        <v>0.7819328703703704</v>
      </c>
      <c r="C47" s="431" t="s">
        <v>1234</v>
      </c>
    </row>
    <row r="48" spans="1:3" x14ac:dyDescent="0.25">
      <c r="A48" s="427">
        <v>41523</v>
      </c>
      <c r="B48" s="428">
        <v>0.78495370370370365</v>
      </c>
      <c r="C48" s="431" t="s">
        <v>1234</v>
      </c>
    </row>
    <row r="49" spans="1:3" x14ac:dyDescent="0.25">
      <c r="A49" s="427">
        <v>41523</v>
      </c>
      <c r="B49" s="428">
        <v>0.78707175925925921</v>
      </c>
      <c r="C49" s="431" t="s">
        <v>1234</v>
      </c>
    </row>
    <row r="50" spans="1:3" x14ac:dyDescent="0.25">
      <c r="A50" s="427">
        <v>41523</v>
      </c>
      <c r="B50" s="428">
        <v>0.80488425925925933</v>
      </c>
      <c r="C50" s="431" t="s">
        <v>1234</v>
      </c>
    </row>
    <row r="51" spans="1:3" x14ac:dyDescent="0.25">
      <c r="A51" s="427">
        <v>41523</v>
      </c>
      <c r="B51" s="428">
        <v>0.80890046296296303</v>
      </c>
      <c r="C51" s="431" t="s">
        <v>1234</v>
      </c>
    </row>
    <row r="52" spans="1:3" x14ac:dyDescent="0.25">
      <c r="A52" s="427">
        <v>41523</v>
      </c>
      <c r="B52" s="428">
        <v>0.82743055555555556</v>
      </c>
      <c r="C52" s="431" t="s">
        <v>1234</v>
      </c>
    </row>
    <row r="53" spans="1:3" x14ac:dyDescent="0.25">
      <c r="A53" s="427">
        <v>41523</v>
      </c>
      <c r="B53" s="428">
        <v>0.87572916666666656</v>
      </c>
      <c r="C53" s="431" t="s">
        <v>1284</v>
      </c>
    </row>
    <row r="54" spans="1:3" x14ac:dyDescent="0.25">
      <c r="A54" s="427">
        <v>41523</v>
      </c>
      <c r="B54" s="428">
        <v>0.87572916666666656</v>
      </c>
      <c r="C54" s="431" t="s">
        <v>1285</v>
      </c>
    </row>
    <row r="55" spans="1:3" x14ac:dyDescent="0.25">
      <c r="A55" s="427">
        <v>41523</v>
      </c>
      <c r="B55" s="428">
        <v>0.88071759259259252</v>
      </c>
      <c r="C55" s="431" t="s">
        <v>1284</v>
      </c>
    </row>
    <row r="56" spans="1:3" x14ac:dyDescent="0.25">
      <c r="A56" s="427">
        <v>41523</v>
      </c>
      <c r="B56" s="428">
        <v>0.88071759259259252</v>
      </c>
      <c r="C56" s="431" t="s">
        <v>1286</v>
      </c>
    </row>
    <row r="57" spans="1:3" x14ac:dyDescent="0.25">
      <c r="A57" s="427">
        <v>41523</v>
      </c>
      <c r="B57" s="428">
        <v>0.88244212962962953</v>
      </c>
      <c r="C57" s="431" t="s">
        <v>1284</v>
      </c>
    </row>
    <row r="58" spans="1:3" x14ac:dyDescent="0.25">
      <c r="A58" s="427">
        <v>41523</v>
      </c>
      <c r="B58" s="428">
        <v>0.88244212962962953</v>
      </c>
      <c r="C58" s="431" t="s">
        <v>1287</v>
      </c>
    </row>
    <row r="59" spans="1:3" x14ac:dyDescent="0.25">
      <c r="A59" s="427">
        <v>41523</v>
      </c>
      <c r="B59" s="428">
        <v>0.88249999999999995</v>
      </c>
      <c r="C59" s="431" t="s">
        <v>1284</v>
      </c>
    </row>
    <row r="60" spans="1:3" x14ac:dyDescent="0.25">
      <c r="A60" s="427">
        <v>41523</v>
      </c>
      <c r="B60" s="428">
        <v>0.88249999999999995</v>
      </c>
      <c r="C60" s="431" t="s">
        <v>1287</v>
      </c>
    </row>
    <row r="61" spans="1:3" x14ac:dyDescent="0.25">
      <c r="A61" s="427">
        <v>41523</v>
      </c>
      <c r="B61" s="428">
        <v>0.88289351851851849</v>
      </c>
      <c r="C61" s="431" t="s">
        <v>1284</v>
      </c>
    </row>
    <row r="62" spans="1:3" x14ac:dyDescent="0.25">
      <c r="A62" s="427">
        <v>41523</v>
      </c>
      <c r="B62" s="428">
        <v>0.88425925925925919</v>
      </c>
      <c r="C62" s="431" t="s">
        <v>1284</v>
      </c>
    </row>
    <row r="63" spans="1:3" x14ac:dyDescent="0.25">
      <c r="A63" s="427">
        <v>41523</v>
      </c>
      <c r="B63" s="428">
        <v>0.88425925925925919</v>
      </c>
      <c r="C63" s="431" t="s">
        <v>1287</v>
      </c>
    </row>
    <row r="64" spans="1:3" x14ac:dyDescent="0.25">
      <c r="A64" s="427">
        <v>41523</v>
      </c>
      <c r="B64" s="428">
        <v>0.8843981481481481</v>
      </c>
      <c r="C64" s="431" t="s">
        <v>1284</v>
      </c>
    </row>
    <row r="65" spans="1:3" x14ac:dyDescent="0.25">
      <c r="A65" s="427">
        <v>41523</v>
      </c>
      <c r="B65" s="428">
        <v>0.8843981481481481</v>
      </c>
      <c r="C65" s="431" t="s">
        <v>1287</v>
      </c>
    </row>
    <row r="66" spans="1:3" x14ac:dyDescent="0.25">
      <c r="A66" s="427">
        <v>41523</v>
      </c>
      <c r="B66" s="428">
        <v>0.88447916666666659</v>
      </c>
      <c r="C66" s="431" t="s">
        <v>1284</v>
      </c>
    </row>
    <row r="67" spans="1:3" x14ac:dyDescent="0.25">
      <c r="A67" s="427">
        <v>41523</v>
      </c>
      <c r="B67" s="428">
        <v>0.88511574074074073</v>
      </c>
      <c r="C67" s="431" t="s">
        <v>1284</v>
      </c>
    </row>
    <row r="68" spans="1:3" x14ac:dyDescent="0.25">
      <c r="A68" s="427">
        <v>41523</v>
      </c>
      <c r="B68" s="428">
        <v>0.88515046296296296</v>
      </c>
      <c r="C68" s="431" t="s">
        <v>1287</v>
      </c>
    </row>
    <row r="69" spans="1:3" x14ac:dyDescent="0.25">
      <c r="A69" s="427">
        <v>41523</v>
      </c>
      <c r="B69" s="428">
        <v>0.97414351851851855</v>
      </c>
      <c r="C69" s="431" t="s">
        <v>1287</v>
      </c>
    </row>
    <row r="70" spans="1:3" x14ac:dyDescent="0.25">
      <c r="A70" s="427">
        <v>41523</v>
      </c>
      <c r="B70" s="428">
        <v>0.97414351851851855</v>
      </c>
      <c r="C70" s="431" t="s">
        <v>1288</v>
      </c>
    </row>
    <row r="71" spans="1:3" x14ac:dyDescent="0.25">
      <c r="A71" s="427">
        <v>41523</v>
      </c>
      <c r="B71" s="428">
        <v>0.97428240740740746</v>
      </c>
      <c r="C71" s="431" t="s">
        <v>1287</v>
      </c>
    </row>
    <row r="72" spans="1:3" x14ac:dyDescent="0.25">
      <c r="A72" s="427">
        <v>41523</v>
      </c>
      <c r="B72" s="428">
        <v>0.97452546296296294</v>
      </c>
      <c r="C72" s="431" t="s">
        <v>1288</v>
      </c>
    </row>
    <row r="73" spans="1:3" x14ac:dyDescent="0.25">
      <c r="A73" s="427">
        <v>41523</v>
      </c>
      <c r="B73" s="428">
        <v>0.97533564814814822</v>
      </c>
      <c r="C73" s="431" t="s">
        <v>1287</v>
      </c>
    </row>
    <row r="74" spans="1:3" x14ac:dyDescent="0.25">
      <c r="A74" s="427">
        <v>41523</v>
      </c>
      <c r="B74" s="428">
        <v>0.9853587962962963</v>
      </c>
      <c r="C74" s="431" t="s">
        <v>1287</v>
      </c>
    </row>
    <row r="75" spans="1:3" x14ac:dyDescent="0.25">
      <c r="A75" s="427">
        <v>41523</v>
      </c>
      <c r="B75" s="428">
        <v>0.98651620370370363</v>
      </c>
      <c r="C75" s="431" t="s">
        <v>1287</v>
      </c>
    </row>
    <row r="76" spans="1:3" x14ac:dyDescent="0.25">
      <c r="A76" s="427">
        <v>41523</v>
      </c>
      <c r="B76" s="428">
        <v>0.99604166666666671</v>
      </c>
      <c r="C76" s="431" t="s">
        <v>1234</v>
      </c>
    </row>
    <row r="77" spans="1:3" x14ac:dyDescent="0.25">
      <c r="A77" s="427">
        <v>41523</v>
      </c>
      <c r="B77" s="428">
        <v>0.99671296296296286</v>
      </c>
      <c r="C77" s="431" t="s">
        <v>1287</v>
      </c>
    </row>
    <row r="78" spans="1:3" x14ac:dyDescent="0.25">
      <c r="A78" s="427">
        <v>41524</v>
      </c>
      <c r="B78" s="428">
        <v>4.2129629629629626E-3</v>
      </c>
      <c r="C78" s="431" t="s">
        <v>1234</v>
      </c>
    </row>
    <row r="79" spans="1:3" x14ac:dyDescent="0.25">
      <c r="A79" s="427">
        <v>41524</v>
      </c>
      <c r="B79" s="428">
        <v>4.7916666666666672E-3</v>
      </c>
      <c r="C79" s="431" t="s">
        <v>1287</v>
      </c>
    </row>
    <row r="80" spans="1:3" ht="75" x14ac:dyDescent="0.25">
      <c r="A80" s="427">
        <v>41524</v>
      </c>
      <c r="B80" s="428">
        <v>1.2337962962962962E-2</v>
      </c>
      <c r="C80" s="432" t="s">
        <v>1289</v>
      </c>
    </row>
    <row r="81" spans="1:3" x14ac:dyDescent="0.25">
      <c r="A81" s="427">
        <v>41524</v>
      </c>
      <c r="B81" s="428">
        <v>4.6863425925925926E-2</v>
      </c>
      <c r="C81" s="431" t="s">
        <v>1234</v>
      </c>
    </row>
    <row r="82" spans="1:3" x14ac:dyDescent="0.25">
      <c r="A82" s="427">
        <v>41524</v>
      </c>
      <c r="B82" s="428">
        <v>4.7175925925925927E-2</v>
      </c>
      <c r="C82" s="431" t="s">
        <v>1287</v>
      </c>
    </row>
    <row r="83" spans="1:3" x14ac:dyDescent="0.25">
      <c r="A83" s="427">
        <v>41524</v>
      </c>
      <c r="B83" s="428">
        <v>8.9814814814814806E-2</v>
      </c>
      <c r="C83" s="431" t="s">
        <v>1234</v>
      </c>
    </row>
    <row r="84" spans="1:3" x14ac:dyDescent="0.25">
      <c r="A84" s="427">
        <v>41524</v>
      </c>
      <c r="B84" s="428">
        <v>8.9814814814814806E-2</v>
      </c>
      <c r="C84" s="431" t="s">
        <v>1287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199"/>
  <sheetViews>
    <sheetView zoomScale="80" zoomScaleNormal="80" workbookViewId="0">
      <pane xSplit="1" ySplit="2" topLeftCell="B154" activePane="bottomRight" state="frozen"/>
      <selection pane="topRight" activeCell="B1" sqref="B1"/>
      <selection pane="bottomLeft" activeCell="A3" sqref="A3"/>
      <selection pane="bottomRight" activeCell="B182" sqref="B182"/>
    </sheetView>
  </sheetViews>
  <sheetFormatPr defaultRowHeight="15" x14ac:dyDescent="0.25"/>
  <cols>
    <col min="1" max="1" width="11" style="408" customWidth="1"/>
    <col min="2" max="2" width="15" style="408" customWidth="1"/>
    <col min="3" max="3" width="16.140625" style="408" customWidth="1"/>
    <col min="4" max="4" width="12.42578125" style="408" customWidth="1"/>
    <col min="5" max="5" width="13.85546875" style="408" customWidth="1"/>
    <col min="6" max="6" width="18" style="408" customWidth="1"/>
    <col min="7" max="7" width="15.85546875" style="408" customWidth="1"/>
    <col min="8" max="8" width="12.42578125" style="408" customWidth="1"/>
    <col min="9" max="9" width="12.5703125" style="408" customWidth="1"/>
    <col min="10" max="10" width="13.42578125" style="408" customWidth="1"/>
    <col min="11" max="12" width="10" style="408" customWidth="1"/>
    <col min="13" max="13" width="11.28515625" style="408" customWidth="1"/>
    <col min="14" max="14" width="12.42578125" style="408" customWidth="1"/>
    <col min="15" max="15" width="12.85546875" style="408" customWidth="1"/>
    <col min="16" max="17" width="10.28515625" style="408" customWidth="1"/>
    <col min="18" max="18" width="9.140625" style="408"/>
    <col min="19" max="19" width="10.85546875" style="408" customWidth="1"/>
    <col min="20" max="20" width="11.140625" style="408" customWidth="1"/>
    <col min="21" max="30" width="9.140625" style="408"/>
    <col min="31" max="31" width="15.5703125" style="408" customWidth="1"/>
    <col min="32" max="32" width="9.140625" style="408"/>
    <col min="33" max="33" width="11.28515625" style="408" bestFit="1" customWidth="1"/>
    <col min="34" max="34" width="11.42578125" style="408" bestFit="1" customWidth="1"/>
    <col min="35" max="37" width="12.42578125" style="408" bestFit="1" customWidth="1"/>
    <col min="38" max="38" width="9.140625" style="408"/>
    <col min="39" max="39" width="10.140625" style="408" customWidth="1"/>
    <col min="40" max="16384" width="9.140625" style="408"/>
  </cols>
  <sheetData>
    <row r="1" spans="1:39" s="434" customFormat="1" ht="15.75" thickBot="1" x14ac:dyDescent="0.3">
      <c r="A1" s="433">
        <v>41517</v>
      </c>
    </row>
    <row r="2" spans="1:39" s="434" customFormat="1" ht="19.5" x14ac:dyDescent="0.3">
      <c r="C2" s="435" t="s">
        <v>740</v>
      </c>
    </row>
    <row r="3" spans="1:39" s="434" customFormat="1" x14ac:dyDescent="0.25"/>
    <row r="4" spans="1:39" s="434" customFormat="1" x14ac:dyDescent="0.25">
      <c r="A4" s="434" t="s">
        <v>1206</v>
      </c>
    </row>
    <row r="5" spans="1:39" s="434" customFormat="1" ht="15.75" thickBot="1" x14ac:dyDescent="0.3">
      <c r="A5" s="890">
        <v>41517</v>
      </c>
      <c r="B5" s="434" t="s">
        <v>1228</v>
      </c>
    </row>
    <row r="6" spans="1:39" s="434" customFormat="1" ht="23.25" thickBot="1" x14ac:dyDescent="0.3">
      <c r="A6" s="436" t="s">
        <v>741</v>
      </c>
      <c r="B6" s="437" t="s">
        <v>742</v>
      </c>
      <c r="C6" s="438" t="s">
        <v>58</v>
      </c>
      <c r="D6" s="438" t="s">
        <v>743</v>
      </c>
      <c r="E6" s="438" t="s">
        <v>77</v>
      </c>
      <c r="F6" s="439"/>
      <c r="G6" s="440" t="s">
        <v>36</v>
      </c>
      <c r="H6" s="441" t="s">
        <v>39</v>
      </c>
      <c r="I6" s="440" t="s">
        <v>744</v>
      </c>
      <c r="J6" s="442" t="s">
        <v>52</v>
      </c>
      <c r="K6" s="443" t="s">
        <v>745</v>
      </c>
      <c r="L6" s="443" t="s">
        <v>746</v>
      </c>
      <c r="M6" s="443" t="s">
        <v>747</v>
      </c>
      <c r="N6" s="444" t="s">
        <v>748</v>
      </c>
      <c r="O6" s="444" t="s">
        <v>749</v>
      </c>
      <c r="P6" s="444" t="s">
        <v>750</v>
      </c>
      <c r="Q6" s="444" t="s">
        <v>751</v>
      </c>
      <c r="R6" s="444" t="s">
        <v>752</v>
      </c>
      <c r="S6" s="443" t="s">
        <v>753</v>
      </c>
      <c r="T6" s="442" t="s">
        <v>754</v>
      </c>
      <c r="U6" s="442" t="s">
        <v>755</v>
      </c>
      <c r="V6" s="442" t="s">
        <v>756</v>
      </c>
      <c r="W6" s="442" t="s">
        <v>109</v>
      </c>
      <c r="X6" s="442" t="s">
        <v>757</v>
      </c>
      <c r="Y6" s="442" t="s">
        <v>758</v>
      </c>
      <c r="Z6" s="440" t="s">
        <v>759</v>
      </c>
      <c r="AA6" s="442" t="s">
        <v>760</v>
      </c>
      <c r="AB6" s="443" t="s">
        <v>761</v>
      </c>
      <c r="AC6" s="442" t="s">
        <v>762</v>
      </c>
      <c r="AD6" s="445" t="s">
        <v>763</v>
      </c>
      <c r="AE6" s="888" t="s">
        <v>1227</v>
      </c>
      <c r="AF6" s="446" t="s">
        <v>764</v>
      </c>
      <c r="AG6" s="447" t="s">
        <v>402</v>
      </c>
      <c r="AH6" s="448" t="s">
        <v>765</v>
      </c>
      <c r="AI6" s="448" t="s">
        <v>766</v>
      </c>
      <c r="AJ6" s="448" t="s">
        <v>416</v>
      </c>
      <c r="AK6" s="448" t="s">
        <v>413</v>
      </c>
      <c r="AL6" s="447" t="s">
        <v>767</v>
      </c>
      <c r="AM6" s="447" t="s">
        <v>768</v>
      </c>
    </row>
    <row r="7" spans="1:39" s="434" customFormat="1" x14ac:dyDescent="0.25">
      <c r="A7" s="449" t="s">
        <v>1230</v>
      </c>
      <c r="B7" s="450" t="s">
        <v>174</v>
      </c>
      <c r="C7" s="451" t="str">
        <f>IF(D7="","",1)</f>
        <v/>
      </c>
      <c r="D7" s="452"/>
      <c r="E7" s="452"/>
      <c r="F7" s="453" t="str">
        <f>TRIM(G7)&amp;TRIM(J7)&amp;ROUND(S7/1000,0)</f>
        <v>0</v>
      </c>
      <c r="AE7" s="628" t="s">
        <v>1229</v>
      </c>
      <c r="AF7" s="454" t="s">
        <v>770</v>
      </c>
      <c r="AG7" s="454" t="s">
        <v>770</v>
      </c>
      <c r="AH7" s="454" t="s">
        <v>770</v>
      </c>
      <c r="AI7" s="454" t="s">
        <v>770</v>
      </c>
      <c r="AJ7" s="454" t="s">
        <v>770</v>
      </c>
      <c r="AK7" s="454" t="s">
        <v>770</v>
      </c>
      <c r="AL7" s="454" t="s">
        <v>770</v>
      </c>
      <c r="AM7" s="454" t="s">
        <v>770</v>
      </c>
    </row>
    <row r="8" spans="1:39" s="434" customFormat="1" x14ac:dyDescent="0.25">
      <c r="A8" s="436" t="s">
        <v>771</v>
      </c>
      <c r="B8" s="455">
        <v>0.5</v>
      </c>
      <c r="C8" s="455">
        <v>1.2</v>
      </c>
      <c r="D8" s="455">
        <v>0.5</v>
      </c>
      <c r="E8" s="455">
        <v>0.5</v>
      </c>
      <c r="F8" s="456">
        <v>0.3</v>
      </c>
      <c r="G8" s="457">
        <v>14</v>
      </c>
      <c r="H8" s="457">
        <v>8</v>
      </c>
      <c r="I8" s="457">
        <v>12.8</v>
      </c>
      <c r="J8" s="457">
        <v>22</v>
      </c>
      <c r="K8" s="457">
        <v>0</v>
      </c>
      <c r="L8" s="457">
        <v>0</v>
      </c>
      <c r="M8" s="457">
        <v>0</v>
      </c>
      <c r="N8" s="457">
        <v>0</v>
      </c>
      <c r="O8" s="457">
        <v>0</v>
      </c>
      <c r="P8" s="457">
        <v>0</v>
      </c>
      <c r="Q8" s="457">
        <v>0</v>
      </c>
      <c r="R8" s="457">
        <v>0</v>
      </c>
      <c r="S8" s="457">
        <v>10</v>
      </c>
      <c r="T8" s="457">
        <v>40</v>
      </c>
      <c r="U8" s="457">
        <v>0</v>
      </c>
      <c r="V8" s="457">
        <v>0</v>
      </c>
      <c r="W8" s="457">
        <v>10</v>
      </c>
      <c r="X8" s="457">
        <v>0</v>
      </c>
      <c r="Y8" s="457">
        <v>0</v>
      </c>
      <c r="Z8" s="457">
        <v>8</v>
      </c>
      <c r="AA8" s="457">
        <v>8</v>
      </c>
      <c r="AB8" s="457">
        <v>10</v>
      </c>
      <c r="AC8" s="457">
        <v>5</v>
      </c>
      <c r="AD8" s="457">
        <v>15</v>
      </c>
      <c r="AE8" s="889" t="s">
        <v>926</v>
      </c>
      <c r="AF8" s="434">
        <v>8</v>
      </c>
      <c r="AG8" s="455">
        <v>10</v>
      </c>
      <c r="AH8" s="455">
        <v>1</v>
      </c>
      <c r="AI8" s="455">
        <v>1</v>
      </c>
      <c r="AJ8" s="455">
        <v>1</v>
      </c>
      <c r="AK8" s="455">
        <v>1</v>
      </c>
      <c r="AL8" s="455" t="s">
        <v>772</v>
      </c>
      <c r="AM8" s="455" t="s">
        <v>772</v>
      </c>
    </row>
    <row r="9" spans="1:39" s="434" customFormat="1" x14ac:dyDescent="0.25">
      <c r="A9" s="436" t="s">
        <v>773</v>
      </c>
      <c r="B9" s="455">
        <v>9</v>
      </c>
      <c r="C9" s="455"/>
      <c r="D9" s="455">
        <v>5</v>
      </c>
      <c r="E9" s="455">
        <v>3</v>
      </c>
      <c r="F9" s="456"/>
      <c r="G9" s="455"/>
      <c r="H9" s="455"/>
      <c r="K9" s="455"/>
      <c r="L9" s="457"/>
      <c r="M9" s="457"/>
      <c r="N9" s="457"/>
      <c r="O9" s="457"/>
      <c r="P9" s="457"/>
      <c r="Q9" s="457"/>
      <c r="R9" s="457"/>
      <c r="S9" s="457"/>
      <c r="T9" s="457"/>
      <c r="U9" s="458"/>
      <c r="V9" s="457"/>
      <c r="W9" s="457"/>
      <c r="X9" s="457"/>
      <c r="Y9" s="457"/>
      <c r="Z9" s="457"/>
      <c r="AA9" s="457"/>
      <c r="AE9" s="628" t="str">
        <f>Process!F73</f>
        <v>HANDL_Payment</v>
      </c>
      <c r="AF9" s="455">
        <v>8</v>
      </c>
      <c r="AG9" s="455">
        <v>19</v>
      </c>
      <c r="AH9" s="455">
        <f>COLUMN(AG9)-1</f>
        <v>32</v>
      </c>
      <c r="AI9" s="455">
        <f>AH9</f>
        <v>32</v>
      </c>
      <c r="AJ9" s="455">
        <f>AH9</f>
        <v>32</v>
      </c>
      <c r="AK9" s="455">
        <f>AH9</f>
        <v>32</v>
      </c>
      <c r="AL9" s="455">
        <v>5</v>
      </c>
      <c r="AM9" s="455">
        <v>5</v>
      </c>
    </row>
    <row r="10" spans="1:39" s="460" customFormat="1" ht="38.25" x14ac:dyDescent="0.25">
      <c r="A10" s="436" t="s">
        <v>774</v>
      </c>
      <c r="B10" s="459"/>
      <c r="C10" s="459"/>
      <c r="D10" s="459"/>
      <c r="E10" s="459"/>
      <c r="G10" s="459"/>
      <c r="H10" s="459"/>
      <c r="K10" s="459"/>
      <c r="L10" s="461"/>
      <c r="M10" s="461"/>
      <c r="N10" s="461"/>
      <c r="O10" s="461"/>
      <c r="P10" s="461"/>
      <c r="Q10" s="461"/>
      <c r="R10" s="461"/>
      <c r="S10" s="461"/>
      <c r="T10" s="461"/>
      <c r="U10" s="462"/>
      <c r="V10" s="461"/>
      <c r="W10" s="461"/>
      <c r="X10" s="461"/>
      <c r="Y10" s="461"/>
      <c r="Z10" s="461"/>
      <c r="AA10" s="461"/>
      <c r="AE10" s="887"/>
      <c r="AF10" s="459" t="s">
        <v>775</v>
      </c>
      <c r="AG10" s="463" t="s">
        <v>776</v>
      </c>
      <c r="AH10" s="464" t="s">
        <v>777</v>
      </c>
      <c r="AI10" s="464" t="s">
        <v>778</v>
      </c>
      <c r="AJ10" s="464" t="s">
        <v>779</v>
      </c>
      <c r="AK10" s="464" t="s">
        <v>780</v>
      </c>
      <c r="AL10" s="465"/>
      <c r="AM10" s="465" t="s">
        <v>781</v>
      </c>
    </row>
    <row r="11" spans="1:39" s="434" customFormat="1" x14ac:dyDescent="0.25">
      <c r="A11" s="436" t="s">
        <v>782</v>
      </c>
      <c r="B11" s="466" t="s">
        <v>783</v>
      </c>
      <c r="C11" s="466"/>
      <c r="D11" s="466" t="s">
        <v>784</v>
      </c>
      <c r="E11" s="466" t="s">
        <v>785</v>
      </c>
      <c r="F11" s="456"/>
      <c r="G11" s="455"/>
      <c r="H11" s="455"/>
      <c r="K11" s="455"/>
      <c r="L11" s="457"/>
      <c r="M11" s="457"/>
      <c r="N11" s="457"/>
      <c r="O11" s="457"/>
      <c r="P11" s="457"/>
      <c r="Q11" s="457"/>
      <c r="R11" s="457"/>
      <c r="S11" s="457"/>
      <c r="T11" s="457"/>
      <c r="U11" s="458"/>
      <c r="V11" s="457"/>
      <c r="W11" s="457"/>
      <c r="X11" s="457"/>
      <c r="Y11" s="457"/>
      <c r="Z11" s="457"/>
      <c r="AA11" s="457"/>
      <c r="AE11" s="627"/>
      <c r="AL11" s="466" t="s">
        <v>786</v>
      </c>
      <c r="AM11" s="466" t="s">
        <v>786</v>
      </c>
    </row>
    <row r="12" spans="1:39" s="434" customFormat="1" x14ac:dyDescent="0.25">
      <c r="Z12" s="457"/>
    </row>
    <row r="13" spans="1:39" s="434" customFormat="1" ht="15.75" thickBot="1" x14ac:dyDescent="0.3">
      <c r="A13" s="434" t="s">
        <v>787</v>
      </c>
      <c r="Z13" s="457"/>
    </row>
    <row r="14" spans="1:39" s="467" customFormat="1" ht="15.75" thickBot="1" x14ac:dyDescent="0.3">
      <c r="F14" s="468"/>
      <c r="G14" s="469"/>
      <c r="H14" s="468"/>
      <c r="I14" s="470" t="s">
        <v>788</v>
      </c>
      <c r="J14" s="471"/>
      <c r="K14" s="472"/>
      <c r="L14" s="473"/>
      <c r="M14" s="473"/>
      <c r="N14" s="473"/>
      <c r="O14" s="473"/>
      <c r="P14" s="473"/>
      <c r="Q14" s="473"/>
      <c r="R14" s="474">
        <f>SUM(R$2:R12)</f>
        <v>0</v>
      </c>
      <c r="S14" s="475"/>
      <c r="V14" s="476" t="s">
        <v>789</v>
      </c>
      <c r="W14" s="477"/>
      <c r="X14" s="477"/>
      <c r="Y14" s="478">
        <f>1 - COUNTIF(A$2:A12,"")/COUNTA(A$2:A12)</f>
        <v>0.625</v>
      </c>
      <c r="Z14" s="476" t="s">
        <v>790</v>
      </c>
      <c r="AA14" s="474">
        <f>R14-SUMIF(B$2:B12,"1",R$2:R12)</f>
        <v>0</v>
      </c>
      <c r="AB14" s="479" t="e">
        <f>AA14/R14</f>
        <v>#DIV/0!</v>
      </c>
      <c r="AC14" s="480" t="e">
        <f>1-AB14</f>
        <v>#DIV/0!</v>
      </c>
    </row>
    <row r="15" spans="1:39" s="434" customFormat="1" x14ac:dyDescent="0.25"/>
    <row r="16" spans="1:39" s="434" customFormat="1" x14ac:dyDescent="0.25">
      <c r="A16" s="434" t="s">
        <v>791</v>
      </c>
    </row>
    <row r="17" spans="1:27" s="434" customFormat="1" ht="15.75" thickBot="1" x14ac:dyDescent="0.3">
      <c r="B17" s="434" t="s">
        <v>792</v>
      </c>
    </row>
    <row r="18" spans="1:27" s="459" customFormat="1" ht="60.75" thickBot="1" x14ac:dyDescent="0.3">
      <c r="A18" s="436" t="s">
        <v>741</v>
      </c>
      <c r="B18" s="481" t="s">
        <v>793</v>
      </c>
      <c r="C18" s="482" t="s">
        <v>794</v>
      </c>
      <c r="D18" s="482" t="s">
        <v>795</v>
      </c>
      <c r="E18" s="483" t="s">
        <v>796</v>
      </c>
      <c r="F18" s="484" t="s">
        <v>797</v>
      </c>
      <c r="G18" s="485" t="s">
        <v>798</v>
      </c>
      <c r="H18" s="486" t="s">
        <v>799</v>
      </c>
      <c r="I18" s="487"/>
      <c r="J18" s="488"/>
      <c r="K18" s="489" t="s">
        <v>44</v>
      </c>
      <c r="L18" s="489"/>
      <c r="M18" s="490" t="s">
        <v>47</v>
      </c>
      <c r="N18" s="488" t="s">
        <v>755</v>
      </c>
      <c r="O18" s="488" t="s">
        <v>109</v>
      </c>
      <c r="P18" s="488" t="s">
        <v>800</v>
      </c>
      <c r="Q18" s="488" t="s">
        <v>801</v>
      </c>
      <c r="R18" s="488" t="s">
        <v>802</v>
      </c>
      <c r="S18" s="488" t="s">
        <v>803</v>
      </c>
      <c r="T18" s="489" t="s">
        <v>804</v>
      </c>
      <c r="U18" s="491" t="s">
        <v>805</v>
      </c>
      <c r="V18" s="491" t="s">
        <v>806</v>
      </c>
      <c r="W18" s="491" t="s">
        <v>807</v>
      </c>
      <c r="X18" s="488" t="s">
        <v>808</v>
      </c>
      <c r="Y18" s="488" t="s">
        <v>809</v>
      </c>
      <c r="Z18" s="488" t="s">
        <v>763</v>
      </c>
      <c r="AA18" s="488" t="s">
        <v>810</v>
      </c>
    </row>
    <row r="19" spans="1:27" s="434" customFormat="1" ht="18" customHeight="1" x14ac:dyDescent="0.25">
      <c r="A19" s="449" t="s">
        <v>1230</v>
      </c>
      <c r="B19" s="492" t="s">
        <v>170</v>
      </c>
      <c r="C19" s="493" t="s">
        <v>811</v>
      </c>
      <c r="D19" s="494"/>
      <c r="E19" s="495">
        <v>1</v>
      </c>
      <c r="F19" s="496" t="str">
        <f>IF(AND(U19=W19,W19&gt;0),"1","")</f>
        <v/>
      </c>
      <c r="G19" s="497" t="str">
        <f>IF(U19=V19,"1","")</f>
        <v/>
      </c>
      <c r="H19" s="498"/>
      <c r="I19" s="499" t="str">
        <f>IF(S19="",TRIM(K19),TRIM(MID(S19,9,55))&amp;"/"&amp;TRIM(K19))</f>
        <v>2009-1-065</v>
      </c>
      <c r="J19" s="500"/>
      <c r="K19" s="501" t="s">
        <v>812</v>
      </c>
      <c r="L19" s="501"/>
      <c r="M19" s="502">
        <v>40058</v>
      </c>
      <c r="N19" s="500" t="s">
        <v>253</v>
      </c>
      <c r="O19" s="500" t="s">
        <v>375</v>
      </c>
      <c r="P19" s="500" t="s">
        <v>813</v>
      </c>
      <c r="Q19" s="500"/>
      <c r="R19" s="500" t="s">
        <v>814</v>
      </c>
      <c r="S19" s="500"/>
      <c r="T19" s="501" t="s">
        <v>815</v>
      </c>
      <c r="U19" s="503">
        <v>324000</v>
      </c>
      <c r="V19" s="503">
        <v>0</v>
      </c>
      <c r="W19" s="503">
        <v>0</v>
      </c>
      <c r="X19" s="500" t="s">
        <v>394</v>
      </c>
      <c r="Y19" s="504"/>
      <c r="Z19" s="504" t="s">
        <v>816</v>
      </c>
      <c r="AA19" s="500" t="s">
        <v>817</v>
      </c>
    </row>
    <row r="20" spans="1:27" s="434" customFormat="1" x14ac:dyDescent="0.25">
      <c r="A20" s="436" t="s">
        <v>771</v>
      </c>
      <c r="B20" s="455">
        <v>0.5</v>
      </c>
      <c r="C20" s="455">
        <v>8</v>
      </c>
      <c r="D20" s="434">
        <v>6</v>
      </c>
      <c r="E20" s="455">
        <v>5</v>
      </c>
      <c r="F20" s="456">
        <v>2</v>
      </c>
      <c r="G20" s="455">
        <v>2</v>
      </c>
      <c r="H20" s="455">
        <v>2</v>
      </c>
      <c r="I20" s="434">
        <v>0.5</v>
      </c>
      <c r="J20" s="434">
        <v>0.5</v>
      </c>
      <c r="K20" s="455">
        <v>10</v>
      </c>
      <c r="L20" s="457">
        <v>0.7</v>
      </c>
      <c r="M20" s="457">
        <v>10</v>
      </c>
      <c r="N20" s="457">
        <v>7</v>
      </c>
      <c r="O20" s="457">
        <v>10</v>
      </c>
      <c r="P20" s="457">
        <v>20</v>
      </c>
      <c r="Q20" s="457">
        <v>12</v>
      </c>
      <c r="R20" s="457">
        <v>12</v>
      </c>
      <c r="S20" s="457">
        <v>10</v>
      </c>
      <c r="T20" s="457">
        <v>8</v>
      </c>
      <c r="U20" s="458">
        <v>12</v>
      </c>
      <c r="V20" s="457">
        <v>11</v>
      </c>
      <c r="W20" s="457">
        <v>11</v>
      </c>
      <c r="X20" s="457">
        <v>10</v>
      </c>
      <c r="Y20" s="457">
        <v>12</v>
      </c>
      <c r="Z20" s="457">
        <v>20</v>
      </c>
      <c r="AA20" s="457">
        <v>10</v>
      </c>
    </row>
    <row r="21" spans="1:27" s="434" customFormat="1" x14ac:dyDescent="0.25">
      <c r="A21" s="436" t="s">
        <v>773</v>
      </c>
      <c r="B21" s="455">
        <v>15</v>
      </c>
      <c r="C21" s="455">
        <v>8</v>
      </c>
      <c r="D21" s="434">
        <v>8</v>
      </c>
      <c r="E21" s="455"/>
      <c r="F21" s="456"/>
      <c r="G21" s="455"/>
      <c r="H21" s="455">
        <v>8</v>
      </c>
      <c r="K21" s="455"/>
      <c r="L21" s="457"/>
      <c r="M21" s="457"/>
      <c r="N21" s="457"/>
      <c r="O21" s="457"/>
      <c r="P21" s="457"/>
      <c r="Q21" s="457"/>
      <c r="R21" s="457"/>
      <c r="S21" s="457"/>
      <c r="T21" s="457"/>
      <c r="U21" s="458"/>
      <c r="V21" s="457"/>
      <c r="W21" s="457"/>
      <c r="X21" s="457"/>
      <c r="Y21" s="457"/>
      <c r="Z21" s="457"/>
      <c r="AA21" s="457"/>
    </row>
    <row r="22" spans="1:27" s="434" customFormat="1" x14ac:dyDescent="0.25">
      <c r="A22" s="436" t="s">
        <v>774</v>
      </c>
      <c r="B22" s="455"/>
      <c r="C22" s="455"/>
      <c r="E22" s="455"/>
      <c r="F22" s="456"/>
      <c r="G22" s="455"/>
      <c r="H22" s="455"/>
      <c r="K22" s="455"/>
      <c r="L22" s="457"/>
      <c r="M22" s="457"/>
      <c r="N22" s="457"/>
      <c r="O22" s="457"/>
      <c r="P22" s="457"/>
      <c r="Q22" s="457"/>
      <c r="R22" s="457"/>
      <c r="S22" s="457"/>
      <c r="T22" s="457"/>
      <c r="U22" s="458"/>
      <c r="V22" s="457"/>
      <c r="W22" s="457"/>
      <c r="X22" s="457"/>
      <c r="Y22" s="457"/>
      <c r="Z22" s="457"/>
      <c r="AA22" s="457"/>
    </row>
    <row r="23" spans="1:27" s="434" customFormat="1" x14ac:dyDescent="0.25">
      <c r="A23" s="436" t="s">
        <v>782</v>
      </c>
      <c r="B23" s="455" t="s">
        <v>783</v>
      </c>
      <c r="C23" s="455" t="s">
        <v>818</v>
      </c>
      <c r="D23" s="434" t="s">
        <v>819</v>
      </c>
      <c r="E23" s="455"/>
      <c r="F23" s="456"/>
      <c r="G23" s="455"/>
      <c r="H23" s="455" t="s">
        <v>820</v>
      </c>
      <c r="K23" s="455"/>
      <c r="L23" s="457"/>
      <c r="M23" s="457"/>
      <c r="N23" s="457"/>
      <c r="O23" s="457"/>
      <c r="P23" s="457"/>
      <c r="Q23" s="457"/>
      <c r="R23" s="457"/>
      <c r="S23" s="457"/>
      <c r="T23" s="457"/>
      <c r="U23" s="458"/>
      <c r="V23" s="457"/>
      <c r="W23" s="457"/>
      <c r="X23" s="457"/>
      <c r="Y23" s="457"/>
      <c r="Z23" s="457"/>
      <c r="AA23" s="457"/>
    </row>
    <row r="24" spans="1:27" s="434" customFormat="1" x14ac:dyDescent="0.25">
      <c r="A24" s="455"/>
      <c r="B24" s="455"/>
      <c r="D24" s="455"/>
      <c r="E24" s="456"/>
      <c r="F24" s="457"/>
      <c r="G24" s="457"/>
      <c r="H24" s="457"/>
      <c r="I24" s="457"/>
      <c r="J24" s="457"/>
      <c r="K24" s="457"/>
      <c r="L24" s="457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/>
      <c r="Y24" s="457"/>
      <c r="Z24" s="457"/>
    </row>
    <row r="25" spans="1:27" s="434" customFormat="1" x14ac:dyDescent="0.25">
      <c r="A25" s="434" t="s">
        <v>821</v>
      </c>
    </row>
    <row r="26" spans="1:27" s="434" customFormat="1" ht="15.75" thickBot="1" x14ac:dyDescent="0.3">
      <c r="A26" s="505">
        <v>41504</v>
      </c>
      <c r="B26" s="434" t="s">
        <v>822</v>
      </c>
    </row>
    <row r="27" spans="1:27" s="522" customFormat="1" ht="15" customHeight="1" x14ac:dyDescent="0.25">
      <c r="A27" s="506"/>
      <c r="B27" s="507" t="s">
        <v>823</v>
      </c>
      <c r="C27" s="508">
        <f>COUNTIF(B$1:B24,B27)</f>
        <v>0</v>
      </c>
      <c r="D27" s="509" t="e">
        <f>C27/C32</f>
        <v>#DIV/0!</v>
      </c>
      <c r="E27" s="510"/>
      <c r="F27" s="511"/>
      <c r="G27" s="512"/>
      <c r="H27" s="512"/>
      <c r="I27" s="513"/>
      <c r="J27" s="514">
        <f>SUMIF(B$3:B24,B27,T$3:T31)</f>
        <v>0</v>
      </c>
      <c r="K27" s="515"/>
      <c r="L27" s="516" t="e">
        <f>J27/J32</f>
        <v>#DIV/0!</v>
      </c>
      <c r="M27" s="517"/>
      <c r="N27" s="517"/>
      <c r="O27" s="517"/>
      <c r="P27" s="518"/>
      <c r="Q27" s="518"/>
      <c r="R27" s="518"/>
      <c r="S27" s="519" t="s">
        <v>788</v>
      </c>
      <c r="T27" s="520">
        <f>SUM(T$1:T26)</f>
        <v>48</v>
      </c>
      <c r="U27" s="520">
        <f>SUM(U$1:U26)</f>
        <v>324012</v>
      </c>
      <c r="V27" s="520">
        <f>SUM(V$1:V26)</f>
        <v>11</v>
      </c>
      <c r="W27" s="518" t="s">
        <v>824</v>
      </c>
      <c r="X27" s="521"/>
      <c r="Y27" s="521"/>
      <c r="Z27" s="518"/>
    </row>
    <row r="28" spans="1:27" s="522" customFormat="1" ht="15" customHeight="1" x14ac:dyDescent="0.25">
      <c r="A28" s="506"/>
      <c r="B28" s="523" t="s">
        <v>825</v>
      </c>
      <c r="C28" s="524">
        <f>COUNTIF(B$1:B24,B28)</f>
        <v>0</v>
      </c>
      <c r="D28" s="525" t="e">
        <f>C28/C32</f>
        <v>#DIV/0!</v>
      </c>
      <c r="E28" s="510"/>
      <c r="F28" s="511"/>
      <c r="G28" s="512"/>
      <c r="H28" s="512"/>
      <c r="I28" s="513"/>
      <c r="J28" s="526">
        <f>SUMIF(B$3:B27,B28,T$3:T32)</f>
        <v>0</v>
      </c>
      <c r="K28" s="527"/>
      <c r="L28" s="528" t="e">
        <f>J28/J32</f>
        <v>#DIV/0!</v>
      </c>
      <c r="M28" s="517"/>
      <c r="N28" s="517"/>
      <c r="O28" s="517"/>
      <c r="S28" s="529"/>
      <c r="T28" s="530"/>
      <c r="U28" s="530"/>
      <c r="V28" s="530"/>
      <c r="X28" s="531"/>
      <c r="Y28" s="531"/>
    </row>
    <row r="29" spans="1:27" s="522" customFormat="1" ht="15" customHeight="1" x14ac:dyDescent="0.25">
      <c r="A29" s="506"/>
      <c r="B29" s="532" t="s">
        <v>826</v>
      </c>
      <c r="C29" s="533">
        <f>COUNTIF(B$1:B24,B29)</f>
        <v>0</v>
      </c>
      <c r="D29" s="534" t="e">
        <f>C29/C32</f>
        <v>#DIV/0!</v>
      </c>
      <c r="E29" s="510"/>
      <c r="F29" s="511"/>
      <c r="G29" s="512"/>
      <c r="H29" s="512"/>
      <c r="I29" s="513"/>
      <c r="J29" s="535">
        <f>SUMIF(B$3:B28,B29,T$3:T32)</f>
        <v>0</v>
      </c>
      <c r="K29" s="536"/>
      <c r="L29" s="537" t="e">
        <f>J29/J32</f>
        <v>#DIV/0!</v>
      </c>
      <c r="M29" s="538"/>
      <c r="N29" s="517"/>
      <c r="O29" s="517"/>
      <c r="S29" s="529"/>
      <c r="T29" s="530"/>
      <c r="U29" s="530"/>
      <c r="V29" s="530"/>
      <c r="X29" s="531"/>
      <c r="Y29" s="531"/>
    </row>
    <row r="30" spans="1:27" s="522" customFormat="1" ht="15" customHeight="1" thickBot="1" x14ac:dyDescent="0.3">
      <c r="A30" s="506"/>
      <c r="B30" s="539" t="s">
        <v>827</v>
      </c>
      <c r="C30" s="540">
        <f>COUNTIF(B$1:B27,B30)</f>
        <v>0</v>
      </c>
      <c r="D30" s="541" t="e">
        <f>C30/C32</f>
        <v>#DIV/0!</v>
      </c>
      <c r="E30" s="510"/>
      <c r="F30" s="511"/>
      <c r="G30" s="512"/>
      <c r="H30" s="512"/>
      <c r="I30" s="513"/>
      <c r="J30" s="542">
        <f>SUMIF(B$3:B29,B30,T$3:T32)</f>
        <v>0</v>
      </c>
      <c r="K30" s="543"/>
      <c r="L30" s="544" t="e">
        <f>J30/J32</f>
        <v>#DIV/0!</v>
      </c>
      <c r="M30" s="538"/>
      <c r="N30" s="517"/>
      <c r="O30" s="517"/>
      <c r="S30" s="529"/>
      <c r="T30" s="530"/>
      <c r="U30" s="530"/>
      <c r="V30" s="530"/>
      <c r="X30" s="531"/>
      <c r="Y30" s="531"/>
    </row>
    <row r="31" spans="1:27" s="522" customFormat="1" ht="15" customHeight="1" thickTop="1" thickBot="1" x14ac:dyDescent="0.3">
      <c r="A31" s="545"/>
      <c r="B31" s="546" t="s">
        <v>811</v>
      </c>
      <c r="C31" s="547">
        <f>COUNTIF(B$1:B24,B31)</f>
        <v>0</v>
      </c>
      <c r="D31" s="548" t="e">
        <f>C31/C32</f>
        <v>#DIV/0!</v>
      </c>
      <c r="E31" s="549"/>
      <c r="F31" s="550"/>
      <c r="G31" s="551"/>
      <c r="H31" s="551"/>
      <c r="I31" s="552"/>
      <c r="J31" s="553">
        <f>SUMIF(B$3:B30,B31,T$3:T32)</f>
        <v>0</v>
      </c>
      <c r="K31" s="554"/>
      <c r="L31" s="555" t="e">
        <f>J31/J32</f>
        <v>#DIV/0!</v>
      </c>
      <c r="M31" s="556"/>
      <c r="N31" s="556"/>
      <c r="O31" s="556"/>
      <c r="S31" s="529"/>
      <c r="T31" s="530"/>
      <c r="U31" s="530"/>
      <c r="V31" s="530"/>
      <c r="X31" s="531"/>
      <c r="Y31" s="531"/>
    </row>
    <row r="32" spans="1:27" s="522" customFormat="1" ht="15" customHeight="1" x14ac:dyDescent="0.25">
      <c r="A32" s="506"/>
      <c r="B32" s="557"/>
      <c r="C32" s="558">
        <f>SUM(C27:C31)</f>
        <v>0</v>
      </c>
      <c r="D32" s="559"/>
      <c r="E32" s="510"/>
      <c r="F32" s="511"/>
      <c r="G32" s="512"/>
      <c r="H32" s="512"/>
      <c r="I32" s="513"/>
      <c r="J32" s="560">
        <f>SUM(J27:J31)</f>
        <v>0</v>
      </c>
      <c r="K32" s="561"/>
      <c r="L32" s="562"/>
      <c r="M32" s="538"/>
      <c r="N32" s="517"/>
      <c r="O32" s="517"/>
      <c r="S32" s="529"/>
      <c r="T32" s="530"/>
      <c r="U32" s="530"/>
      <c r="V32" s="530"/>
      <c r="X32" s="531"/>
      <c r="Y32" s="531"/>
    </row>
    <row r="33" spans="1:26" s="434" customFormat="1" x14ac:dyDescent="0.25">
      <c r="A33" s="455"/>
      <c r="B33" s="455"/>
      <c r="D33" s="455"/>
      <c r="E33" s="456"/>
      <c r="F33" s="457"/>
      <c r="G33" s="457"/>
      <c r="H33" s="457"/>
      <c r="I33" s="457"/>
      <c r="J33" s="457"/>
      <c r="K33" s="457"/>
      <c r="L33" s="457"/>
      <c r="M33" s="457"/>
      <c r="N33" s="457"/>
      <c r="O33" s="457"/>
      <c r="P33" s="457"/>
      <c r="Q33" s="457"/>
      <c r="R33" s="457"/>
      <c r="S33" s="457"/>
      <c r="T33" s="457"/>
      <c r="U33" s="457"/>
      <c r="V33" s="457"/>
      <c r="W33" s="457"/>
      <c r="X33" s="457"/>
      <c r="Y33" s="457"/>
      <c r="Z33" s="457"/>
    </row>
    <row r="34" spans="1:26" s="434" customFormat="1" x14ac:dyDescent="0.25">
      <c r="A34" s="563" t="s">
        <v>1208</v>
      </c>
    </row>
    <row r="35" spans="1:26" s="434" customFormat="1" ht="17.25" x14ac:dyDescent="0.4">
      <c r="A35" s="436" t="s">
        <v>741</v>
      </c>
      <c r="B35" s="564" t="s">
        <v>742</v>
      </c>
      <c r="C35" s="565"/>
    </row>
    <row r="36" spans="1:26" s="434" customFormat="1" ht="17.25" x14ac:dyDescent="0.4">
      <c r="A36" s="449" t="s">
        <v>1230</v>
      </c>
      <c r="B36" s="566"/>
      <c r="C36" s="565"/>
    </row>
    <row r="37" spans="1:26" s="434" customFormat="1" x14ac:dyDescent="0.25">
      <c r="A37" s="436" t="s">
        <v>771</v>
      </c>
      <c r="B37" s="455">
        <v>0.5</v>
      </c>
      <c r="C37" s="455"/>
    </row>
    <row r="38" spans="1:26" s="434" customFormat="1" x14ac:dyDescent="0.25">
      <c r="A38" s="436" t="s">
        <v>773</v>
      </c>
      <c r="B38" s="455">
        <v>3</v>
      </c>
      <c r="C38" s="455"/>
    </row>
    <row r="39" spans="1:26" s="434" customFormat="1" x14ac:dyDescent="0.25">
      <c r="A39" s="436" t="s">
        <v>774</v>
      </c>
      <c r="B39" s="455"/>
      <c r="C39" s="455"/>
    </row>
    <row r="40" spans="1:26" s="434" customFormat="1" x14ac:dyDescent="0.25">
      <c r="A40" s="436" t="s">
        <v>782</v>
      </c>
      <c r="B40" s="455" t="s">
        <v>783</v>
      </c>
      <c r="C40" s="455"/>
    </row>
    <row r="41" spans="1:26" s="434" customFormat="1" x14ac:dyDescent="0.25">
      <c r="A41" s="455"/>
      <c r="B41" s="455"/>
      <c r="D41" s="455"/>
      <c r="E41" s="456"/>
      <c r="F41" s="457"/>
      <c r="G41" s="457"/>
      <c r="H41" s="457"/>
      <c r="I41" s="457"/>
      <c r="J41" s="457"/>
      <c r="K41" s="457"/>
      <c r="L41" s="457"/>
      <c r="M41" s="457"/>
      <c r="N41" s="457"/>
      <c r="O41" s="457"/>
      <c r="P41" s="457"/>
      <c r="Q41" s="457"/>
      <c r="R41" s="457"/>
      <c r="S41" s="457"/>
      <c r="T41" s="457"/>
      <c r="U41" s="457"/>
      <c r="V41" s="457"/>
      <c r="W41" s="457"/>
      <c r="X41" s="457"/>
      <c r="Y41" s="457"/>
      <c r="Z41" s="457"/>
    </row>
    <row r="42" spans="1:26" s="434" customFormat="1" x14ac:dyDescent="0.25">
      <c r="A42" s="563" t="s">
        <v>1209</v>
      </c>
    </row>
    <row r="43" spans="1:26" s="434" customFormat="1" ht="15.75" thickBot="1" x14ac:dyDescent="0.3">
      <c r="A43" s="869"/>
      <c r="B43" s="564"/>
      <c r="C43" s="881" t="s">
        <v>1218</v>
      </c>
      <c r="D43" s="857"/>
      <c r="E43" s="858" t="s">
        <v>1210</v>
      </c>
      <c r="F43" s="859">
        <f>COUNTA(D$2:D41)</f>
        <v>13</v>
      </c>
      <c r="G43" s="857"/>
      <c r="H43" s="857"/>
      <c r="I43" s="857"/>
    </row>
    <row r="44" spans="1:26" s="434" customFormat="1" ht="15.75" thickBot="1" x14ac:dyDescent="0.3">
      <c r="A44" s="870"/>
      <c r="B44" s="870"/>
      <c r="C44" s="882" t="s">
        <v>1219</v>
      </c>
      <c r="D44" s="860"/>
      <c r="E44" s="858" t="s">
        <v>1211</v>
      </c>
      <c r="F44" s="859">
        <f>F43-I44</f>
        <v>-2</v>
      </c>
      <c r="G44" s="861" t="s">
        <v>1212</v>
      </c>
      <c r="H44" s="862">
        <f>1-F44/F43</f>
        <v>1.1538461538461537</v>
      </c>
      <c r="I44" s="863">
        <f>COUNTIF(A$2:A41,"")</f>
        <v>15</v>
      </c>
      <c r="K44" s="859"/>
    </row>
    <row r="45" spans="1:26" s="434" customFormat="1" x14ac:dyDescent="0.25">
      <c r="A45" s="869"/>
    </row>
    <row r="46" spans="1:26" s="567" customFormat="1" ht="7.5" customHeight="1" x14ac:dyDescent="0.25">
      <c r="D46" s="568"/>
      <c r="E46" s="568"/>
    </row>
    <row r="47" spans="1:26" s="569" customFormat="1" ht="19.5" x14ac:dyDescent="0.3">
      <c r="A47" s="434"/>
      <c r="C47" s="570" t="s">
        <v>828</v>
      </c>
    </row>
    <row r="48" spans="1:26" s="569" customFormat="1" x14ac:dyDescent="0.25"/>
    <row r="49" spans="1:7" s="569" customFormat="1" ht="15.75" thickBot="1" x14ac:dyDescent="0.3">
      <c r="A49" s="569" t="s">
        <v>829</v>
      </c>
    </row>
    <row r="50" spans="1:7" s="569" customFormat="1" ht="17.25" x14ac:dyDescent="0.4">
      <c r="A50" s="923" t="s">
        <v>32</v>
      </c>
      <c r="B50" s="436" t="s">
        <v>741</v>
      </c>
      <c r="C50" s="565" t="s">
        <v>830</v>
      </c>
      <c r="D50" s="571" t="s">
        <v>831</v>
      </c>
      <c r="G50" s="569" t="s">
        <v>832</v>
      </c>
    </row>
    <row r="51" spans="1:7" s="569" customFormat="1" x14ac:dyDescent="0.25">
      <c r="A51" s="924"/>
      <c r="B51" s="449" t="s">
        <v>769</v>
      </c>
      <c r="C51" s="572">
        <v>4240</v>
      </c>
      <c r="D51" s="573" t="str">
        <f>IF(F51="&lt;&lt;ПУСТО&gt;&gt;",E51&amp;ROUND(H51/1000,0),F51&amp;E51&amp;ROUND(H51/1000,0))</f>
        <v>0</v>
      </c>
      <c r="G51" s="569" t="s">
        <v>833</v>
      </c>
    </row>
    <row r="52" spans="1:7" s="569" customFormat="1" x14ac:dyDescent="0.25">
      <c r="A52" s="924"/>
      <c r="B52" s="436" t="s">
        <v>771</v>
      </c>
      <c r="C52" s="574">
        <v>8</v>
      </c>
      <c r="D52" s="574">
        <v>1</v>
      </c>
      <c r="G52" s="569" t="s">
        <v>834</v>
      </c>
    </row>
    <row r="53" spans="1:7" s="569" customFormat="1" x14ac:dyDescent="0.25">
      <c r="A53" s="924"/>
      <c r="B53" s="436" t="s">
        <v>773</v>
      </c>
      <c r="C53" s="574">
        <v>2</v>
      </c>
      <c r="D53" s="574"/>
    </row>
    <row r="54" spans="1:7" s="569" customFormat="1" x14ac:dyDescent="0.25">
      <c r="A54" s="924"/>
      <c r="B54" s="436" t="s">
        <v>774</v>
      </c>
      <c r="C54" s="574"/>
      <c r="D54" s="574"/>
    </row>
    <row r="55" spans="1:7" s="569" customFormat="1" ht="15.75" thickBot="1" x14ac:dyDescent="0.3">
      <c r="A55" s="925"/>
      <c r="B55" s="436" t="s">
        <v>782</v>
      </c>
      <c r="C55" s="574" t="s">
        <v>835</v>
      </c>
      <c r="D55" s="574"/>
      <c r="G55" s="434" t="s">
        <v>836</v>
      </c>
    </row>
    <row r="56" spans="1:7" s="569" customFormat="1" x14ac:dyDescent="0.25"/>
    <row r="57" spans="1:7" s="569" customFormat="1" ht="15.75" thickBot="1" x14ac:dyDescent="0.3">
      <c r="A57" s="569" t="s">
        <v>837</v>
      </c>
    </row>
    <row r="58" spans="1:7" s="569" customFormat="1" x14ac:dyDescent="0.25">
      <c r="A58" s="575">
        <f>(SUMIF(A$2:A55,"",F$2:F55)-F58)/1000000</f>
        <v>1.1E-5</v>
      </c>
      <c r="B58" s="576"/>
      <c r="C58" s="577" t="s">
        <v>61</v>
      </c>
      <c r="E58" s="578" t="s">
        <v>838</v>
      </c>
      <c r="F58" s="579">
        <f>SUMIF(I$47:I52,"Наталья Константиновна Лидер",F$47:F52)</f>
        <v>0</v>
      </c>
    </row>
    <row r="59" spans="1:7" s="569" customFormat="1" ht="15.75" thickBot="1" x14ac:dyDescent="0.3">
      <c r="A59" s="580">
        <f>COUNTIF(A$2:A55,"")-F59</f>
        <v>26</v>
      </c>
      <c r="B59" s="576"/>
      <c r="C59" s="577" t="s">
        <v>839</v>
      </c>
      <c r="E59" s="581"/>
      <c r="F59" s="582">
        <f>COUNTIF(I$47:I60,"Наталья Константиновна Лидер")</f>
        <v>0</v>
      </c>
    </row>
    <row r="60" spans="1:7" s="569" customFormat="1" x14ac:dyDescent="0.25"/>
    <row r="61" spans="1:7" s="569" customFormat="1" x14ac:dyDescent="0.25">
      <c r="A61" s="569" t="s">
        <v>840</v>
      </c>
    </row>
    <row r="62" spans="1:7" s="569" customFormat="1" ht="15.75" thickBot="1" x14ac:dyDescent="0.3">
      <c r="B62" s="569" t="s">
        <v>841</v>
      </c>
    </row>
    <row r="63" spans="1:7" s="569" customFormat="1" ht="17.25" x14ac:dyDescent="0.4">
      <c r="A63" s="923" t="s">
        <v>41</v>
      </c>
      <c r="B63" s="436" t="s">
        <v>741</v>
      </c>
      <c r="C63" s="565" t="s">
        <v>830</v>
      </c>
      <c r="D63" s="565" t="s">
        <v>842</v>
      </c>
      <c r="G63" s="569" t="s">
        <v>832</v>
      </c>
    </row>
    <row r="64" spans="1:7" s="569" customFormat="1" x14ac:dyDescent="0.25">
      <c r="A64" s="924"/>
      <c r="B64" s="449" t="s">
        <v>1230</v>
      </c>
      <c r="C64" s="566">
        <f>O64</f>
        <v>0</v>
      </c>
      <c r="D64" s="583" t="str">
        <f>IF(G64="",F64,G64&amp;"/"&amp;F64)</f>
        <v>Match=&lt;номер строки Договора1С&gt;/</v>
      </c>
      <c r="G64" s="569" t="s">
        <v>843</v>
      </c>
    </row>
    <row r="65" spans="1:9" s="569" customFormat="1" x14ac:dyDescent="0.25">
      <c r="A65" s="924"/>
      <c r="B65" s="436" t="s">
        <v>771</v>
      </c>
      <c r="C65" s="569">
        <v>10</v>
      </c>
      <c r="D65" s="574">
        <v>1</v>
      </c>
      <c r="F65" s="584" t="str">
        <f>"/=""Не состоялся"":"&amp;F66</f>
        <v>/="Не состоялся":/="Договор расторгнут"</v>
      </c>
      <c r="G65" s="569" t="s">
        <v>844</v>
      </c>
    </row>
    <row r="66" spans="1:9" s="434" customFormat="1" x14ac:dyDescent="0.25">
      <c r="A66" s="924"/>
      <c r="B66" s="436" t="s">
        <v>773</v>
      </c>
      <c r="C66" s="455">
        <v>2</v>
      </c>
      <c r="D66" s="455"/>
      <c r="F66" s="585" t="s">
        <v>845</v>
      </c>
    </row>
    <row r="67" spans="1:9" s="434" customFormat="1" x14ac:dyDescent="0.25">
      <c r="A67" s="924"/>
      <c r="B67" s="436" t="s">
        <v>774</v>
      </c>
      <c r="C67" s="455"/>
      <c r="D67" s="455"/>
    </row>
    <row r="68" spans="1:9" s="434" customFormat="1" ht="15.75" thickBot="1" x14ac:dyDescent="0.3">
      <c r="A68" s="925"/>
      <c r="B68" s="436" t="s">
        <v>782</v>
      </c>
      <c r="C68" s="455" t="s">
        <v>846</v>
      </c>
      <c r="D68" s="455"/>
      <c r="F68" s="574" t="str">
        <f>"10/="""":"&amp;F65</f>
        <v>10/="":/="Не состоялся":/="Договор расторгнут"</v>
      </c>
      <c r="G68" s="434" t="s">
        <v>847</v>
      </c>
    </row>
    <row r="69" spans="1:9" s="569" customFormat="1" x14ac:dyDescent="0.25">
      <c r="E69" s="434"/>
      <c r="H69" s="434"/>
    </row>
    <row r="70" spans="1:9" s="569" customFormat="1" x14ac:dyDescent="0.25">
      <c r="A70" s="569" t="s">
        <v>848</v>
      </c>
      <c r="E70" s="434"/>
      <c r="H70" s="434"/>
    </row>
    <row r="71" spans="1:9" s="569" customFormat="1" ht="15.75" thickBot="1" x14ac:dyDescent="0.3">
      <c r="B71" s="569" t="s">
        <v>849</v>
      </c>
    </row>
    <row r="72" spans="1:9" s="569" customFormat="1" ht="15.75" thickBot="1" x14ac:dyDescent="0.3">
      <c r="A72" s="586">
        <f>COUNTIF(A$2:A66,"")-COUNTIF(M$2:M63,"Не состоялся")-COUNTIF(M$2:M63,"Договор расторгнут")</f>
        <v>32</v>
      </c>
      <c r="B72" s="576"/>
    </row>
    <row r="73" spans="1:9" s="569" customFormat="1" x14ac:dyDescent="0.25">
      <c r="B73" s="576"/>
    </row>
    <row r="74" spans="1:9" s="569" customFormat="1" x14ac:dyDescent="0.25">
      <c r="A74" s="569" t="s">
        <v>850</v>
      </c>
    </row>
    <row r="75" spans="1:9" s="569" customFormat="1" x14ac:dyDescent="0.25">
      <c r="A75" s="587" t="s">
        <v>851</v>
      </c>
      <c r="B75" s="587" t="s">
        <v>852</v>
      </c>
      <c r="C75" s="587" t="s">
        <v>853</v>
      </c>
      <c r="D75" s="587" t="s">
        <v>854</v>
      </c>
      <c r="E75" s="587" t="s">
        <v>855</v>
      </c>
      <c r="F75" s="587" t="s">
        <v>856</v>
      </c>
      <c r="G75" s="587" t="s">
        <v>857</v>
      </c>
      <c r="H75" s="587" t="s">
        <v>858</v>
      </c>
      <c r="I75" s="587" t="s">
        <v>859</v>
      </c>
    </row>
    <row r="76" spans="1:9" s="569" customFormat="1" x14ac:dyDescent="0.25">
      <c r="A76" s="569" t="s">
        <v>860</v>
      </c>
      <c r="B76" s="569" t="s">
        <v>861</v>
      </c>
      <c r="D76" s="574" t="s">
        <v>58</v>
      </c>
      <c r="E76" s="574">
        <v>1</v>
      </c>
      <c r="F76" s="569" t="s">
        <v>862</v>
      </c>
      <c r="G76" s="569" t="s">
        <v>863</v>
      </c>
      <c r="H76" s="569" t="s">
        <v>32</v>
      </c>
      <c r="I76" s="569" t="s">
        <v>864</v>
      </c>
    </row>
    <row r="77" spans="1:9" s="567" customFormat="1" ht="7.5" customHeight="1" x14ac:dyDescent="0.25">
      <c r="D77" s="568"/>
      <c r="E77" s="568"/>
    </row>
    <row r="78" spans="1:9" s="569" customFormat="1" ht="19.5" x14ac:dyDescent="0.3">
      <c r="A78" s="434"/>
      <c r="C78" s="570" t="s">
        <v>865</v>
      </c>
      <c r="I78" s="569">
        <f>C84</f>
        <v>5</v>
      </c>
    </row>
    <row r="79" spans="1:9" s="434" customFormat="1" x14ac:dyDescent="0.25"/>
    <row r="80" spans="1:9" s="434" customFormat="1" x14ac:dyDescent="0.25">
      <c r="A80" s="434" t="s">
        <v>866</v>
      </c>
    </row>
    <row r="81" spans="1:38" s="434" customFormat="1" ht="25.5" x14ac:dyDescent="0.25">
      <c r="A81" s="436" t="s">
        <v>741</v>
      </c>
      <c r="B81" s="588" t="s">
        <v>867</v>
      </c>
      <c r="C81" s="588" t="s">
        <v>868</v>
      </c>
      <c r="D81" s="589" t="s">
        <v>869</v>
      </c>
      <c r="E81" s="590" t="s">
        <v>870</v>
      </c>
      <c r="F81" s="591" t="s">
        <v>871</v>
      </c>
      <c r="G81" s="588" t="s">
        <v>109</v>
      </c>
      <c r="H81" s="588" t="s">
        <v>800</v>
      </c>
      <c r="I81" s="588" t="s">
        <v>872</v>
      </c>
      <c r="J81" s="588" t="s">
        <v>759</v>
      </c>
      <c r="L81" s="592" t="s">
        <v>873</v>
      </c>
      <c r="M81" s="593" t="s">
        <v>874</v>
      </c>
      <c r="N81" s="594"/>
      <c r="O81" s="595" t="s">
        <v>102</v>
      </c>
      <c r="P81" s="596" t="s">
        <v>875</v>
      </c>
      <c r="Q81" s="595" t="s">
        <v>106</v>
      </c>
      <c r="R81" s="595" t="s">
        <v>52</v>
      </c>
      <c r="S81" s="595" t="s">
        <v>109</v>
      </c>
      <c r="T81" s="597" t="s">
        <v>111</v>
      </c>
      <c r="U81" s="598" t="s">
        <v>876</v>
      </c>
      <c r="V81" s="599" t="s">
        <v>877</v>
      </c>
      <c r="W81" s="595" t="s">
        <v>878</v>
      </c>
      <c r="X81" s="600" t="s">
        <v>94</v>
      </c>
      <c r="Y81" s="601" t="s">
        <v>94</v>
      </c>
      <c r="Z81" s="601" t="s">
        <v>94</v>
      </c>
      <c r="AA81" s="601" t="s">
        <v>94</v>
      </c>
      <c r="AB81" s="595" t="s">
        <v>94</v>
      </c>
      <c r="AC81" s="595" t="s">
        <v>879</v>
      </c>
      <c r="AD81" s="595" t="s">
        <v>94</v>
      </c>
      <c r="AE81" s="595"/>
      <c r="AF81" s="595" t="s">
        <v>94</v>
      </c>
      <c r="AG81" s="602" t="s">
        <v>880</v>
      </c>
      <c r="AH81" s="603" t="s">
        <v>94</v>
      </c>
      <c r="AI81" s="595" t="s">
        <v>94</v>
      </c>
      <c r="AJ81" s="595" t="s">
        <v>94</v>
      </c>
      <c r="AK81" s="604" t="s">
        <v>881</v>
      </c>
      <c r="AL81" s="605"/>
    </row>
    <row r="82" spans="1:38" s="434" customFormat="1" x14ac:dyDescent="0.25">
      <c r="A82" s="449" t="s">
        <v>1230</v>
      </c>
      <c r="B82" s="606"/>
      <c r="C82" s="607"/>
      <c r="D82" s="608">
        <v>41367</v>
      </c>
      <c r="E82" s="609" t="s">
        <v>882</v>
      </c>
      <c r="F82" s="610">
        <f>T82</f>
        <v>0</v>
      </c>
      <c r="G82" s="455"/>
      <c r="H82" s="456"/>
    </row>
    <row r="83" spans="1:38" s="434" customFormat="1" x14ac:dyDescent="0.25">
      <c r="A83" s="436" t="s">
        <v>771</v>
      </c>
      <c r="B83" s="455">
        <v>1</v>
      </c>
      <c r="C83" s="455">
        <v>5</v>
      </c>
      <c r="D83" s="455">
        <v>8</v>
      </c>
      <c r="E83" s="455">
        <v>13</v>
      </c>
      <c r="F83" s="455">
        <v>14</v>
      </c>
      <c r="G83" s="455">
        <v>11</v>
      </c>
      <c r="H83" s="456">
        <v>20</v>
      </c>
      <c r="I83" s="457">
        <v>15</v>
      </c>
      <c r="J83" s="457">
        <v>10</v>
      </c>
      <c r="K83" s="457">
        <v>6</v>
      </c>
      <c r="L83" s="457">
        <v>6</v>
      </c>
      <c r="M83" s="457">
        <v>10</v>
      </c>
      <c r="N83" s="457">
        <v>1</v>
      </c>
      <c r="O83" s="457">
        <v>45</v>
      </c>
      <c r="P83" s="457"/>
      <c r="Q83" s="457">
        <v>13</v>
      </c>
      <c r="R83" s="457">
        <v>16</v>
      </c>
      <c r="S83" s="457">
        <v>10</v>
      </c>
      <c r="T83" s="457">
        <v>10</v>
      </c>
      <c r="U83" s="457">
        <v>10</v>
      </c>
      <c r="V83" s="457">
        <v>10</v>
      </c>
      <c r="W83" s="457">
        <v>10</v>
      </c>
      <c r="X83" s="457">
        <v>10</v>
      </c>
      <c r="Y83" s="457">
        <v>0</v>
      </c>
      <c r="Z83" s="457">
        <v>0</v>
      </c>
      <c r="AA83" s="457">
        <v>0</v>
      </c>
      <c r="AB83" s="457">
        <v>0</v>
      </c>
      <c r="AC83" s="457">
        <v>0</v>
      </c>
      <c r="AD83" s="457">
        <v>0</v>
      </c>
      <c r="AE83" s="457"/>
      <c r="AF83" s="457">
        <v>0</v>
      </c>
      <c r="AG83" s="457">
        <v>0</v>
      </c>
      <c r="AH83" s="457">
        <v>0</v>
      </c>
      <c r="AI83" s="457">
        <v>0</v>
      </c>
      <c r="AJ83" s="457">
        <v>0</v>
      </c>
      <c r="AK83" s="457">
        <v>0</v>
      </c>
      <c r="AL83" s="457">
        <v>0</v>
      </c>
    </row>
    <row r="84" spans="1:38" s="434" customFormat="1" x14ac:dyDescent="0.25">
      <c r="A84" s="436" t="s">
        <v>773</v>
      </c>
      <c r="B84" s="455">
        <v>5</v>
      </c>
      <c r="C84" s="455">
        <v>5</v>
      </c>
      <c r="D84" s="455" t="s">
        <v>883</v>
      </c>
      <c r="E84" s="455">
        <v>5</v>
      </c>
      <c r="F84" s="455"/>
      <c r="G84" s="455">
        <v>5</v>
      </c>
      <c r="H84" s="434">
        <v>5</v>
      </c>
      <c r="I84" s="434">
        <v>1</v>
      </c>
      <c r="J84" s="455">
        <v>1</v>
      </c>
      <c r="K84" s="456">
        <v>-1</v>
      </c>
      <c r="L84" s="455"/>
      <c r="O84" s="455"/>
      <c r="P84" s="455"/>
      <c r="Q84" s="457"/>
      <c r="R84" s="457"/>
      <c r="S84" s="457"/>
      <c r="T84" s="457"/>
      <c r="U84" s="457"/>
      <c r="V84" s="457"/>
      <c r="W84" s="457"/>
      <c r="X84" s="457"/>
      <c r="Y84" s="457"/>
      <c r="Z84" s="458"/>
      <c r="AA84" s="457"/>
      <c r="AB84" s="457"/>
      <c r="AC84" s="457"/>
      <c r="AD84" s="457"/>
      <c r="AE84" s="457"/>
      <c r="AF84" s="457"/>
      <c r="AG84" s="457"/>
    </row>
    <row r="85" spans="1:38" s="434" customFormat="1" x14ac:dyDescent="0.25">
      <c r="A85" s="436" t="s">
        <v>774</v>
      </c>
      <c r="B85" s="455"/>
      <c r="C85" s="455"/>
      <c r="D85" s="455"/>
      <c r="E85" s="455"/>
      <c r="F85" s="455"/>
      <c r="G85" s="455"/>
      <c r="J85" s="455"/>
      <c r="K85" s="456"/>
      <c r="L85" s="455"/>
      <c r="O85" s="455" t="s">
        <v>884</v>
      </c>
      <c r="P85" s="455"/>
      <c r="Q85" s="457"/>
      <c r="R85" s="457"/>
      <c r="S85" s="457"/>
      <c r="T85" s="457"/>
      <c r="U85" s="457"/>
      <c r="V85" s="457"/>
      <c r="W85" s="457"/>
      <c r="X85" s="457"/>
      <c r="Y85" s="457"/>
      <c r="Z85" s="458"/>
      <c r="AA85" s="457"/>
      <c r="AB85" s="457"/>
      <c r="AC85" s="457"/>
      <c r="AD85" s="457"/>
      <c r="AE85" s="457"/>
      <c r="AF85" s="457"/>
      <c r="AG85" s="457"/>
    </row>
    <row r="86" spans="1:38" s="434" customFormat="1" x14ac:dyDescent="0.25">
      <c r="A86" s="436" t="s">
        <v>782</v>
      </c>
      <c r="B86" s="455" t="s">
        <v>885</v>
      </c>
      <c r="C86" s="455" t="s">
        <v>886</v>
      </c>
      <c r="D86" s="466" t="s">
        <v>887</v>
      </c>
      <c r="E86" s="466" t="s">
        <v>888</v>
      </c>
      <c r="F86" s="466"/>
      <c r="G86" s="455" t="s">
        <v>889</v>
      </c>
      <c r="H86" s="611" t="s">
        <v>890</v>
      </c>
      <c r="I86" s="455" t="s">
        <v>891</v>
      </c>
      <c r="J86" s="455" t="s">
        <v>892</v>
      </c>
      <c r="K86" s="455"/>
      <c r="L86" s="455"/>
      <c r="O86" s="455"/>
      <c r="P86" s="455"/>
      <c r="Q86" s="457"/>
      <c r="R86" s="457"/>
      <c r="S86" s="457"/>
      <c r="T86" s="457"/>
      <c r="U86" s="457"/>
      <c r="V86" s="457"/>
      <c r="W86" s="457"/>
      <c r="X86" s="457"/>
      <c r="Y86" s="457"/>
      <c r="Z86" s="458"/>
      <c r="AA86" s="457"/>
      <c r="AB86" s="457"/>
      <c r="AC86" s="457"/>
      <c r="AD86" s="457"/>
      <c r="AE86" s="457"/>
      <c r="AF86" s="457"/>
      <c r="AG86" s="457"/>
    </row>
    <row r="87" spans="1:38" s="434" customFormat="1" x14ac:dyDescent="0.25">
      <c r="N87" s="434" t="s">
        <v>893</v>
      </c>
    </row>
    <row r="88" spans="1:38" s="434" customFormat="1" x14ac:dyDescent="0.25">
      <c r="A88" s="434" t="s">
        <v>894</v>
      </c>
    </row>
    <row r="89" spans="1:38" s="434" customFormat="1" ht="25.5" x14ac:dyDescent="0.25">
      <c r="A89" s="436" t="s">
        <v>741</v>
      </c>
      <c r="B89" s="588" t="s">
        <v>867</v>
      </c>
      <c r="C89" s="588" t="s">
        <v>868</v>
      </c>
      <c r="D89" s="589" t="s">
        <v>869</v>
      </c>
      <c r="E89" s="590" t="s">
        <v>870</v>
      </c>
      <c r="F89" s="591" t="s">
        <v>871</v>
      </c>
      <c r="G89" s="588" t="s">
        <v>109</v>
      </c>
      <c r="H89" s="588" t="s">
        <v>800</v>
      </c>
      <c r="I89" s="588" t="s">
        <v>872</v>
      </c>
      <c r="J89" s="588" t="s">
        <v>759</v>
      </c>
      <c r="L89" s="592" t="s">
        <v>873</v>
      </c>
      <c r="M89" s="593" t="s">
        <v>874</v>
      </c>
      <c r="N89" s="594"/>
      <c r="O89" s="595" t="s">
        <v>102</v>
      </c>
      <c r="P89" s="596" t="s">
        <v>875</v>
      </c>
      <c r="Q89" s="595" t="s">
        <v>106</v>
      </c>
      <c r="R89" s="595" t="s">
        <v>52</v>
      </c>
      <c r="S89" s="595" t="s">
        <v>109</v>
      </c>
      <c r="T89" s="597" t="s">
        <v>111</v>
      </c>
      <c r="U89" s="598" t="s">
        <v>876</v>
      </c>
      <c r="V89" s="599" t="s">
        <v>877</v>
      </c>
      <c r="W89" s="595" t="s">
        <v>878</v>
      </c>
      <c r="X89" s="600" t="s">
        <v>94</v>
      </c>
      <c r="Y89" s="601" t="s">
        <v>94</v>
      </c>
      <c r="Z89" s="601" t="s">
        <v>94</v>
      </c>
      <c r="AA89" s="601" t="s">
        <v>94</v>
      </c>
      <c r="AB89" s="595" t="s">
        <v>94</v>
      </c>
      <c r="AC89" s="595" t="s">
        <v>879</v>
      </c>
      <c r="AD89" s="595" t="s">
        <v>94</v>
      </c>
      <c r="AE89" s="595"/>
      <c r="AF89" s="595" t="s">
        <v>94</v>
      </c>
      <c r="AG89" s="602" t="s">
        <v>880</v>
      </c>
      <c r="AH89" s="603" t="s">
        <v>94</v>
      </c>
      <c r="AI89" s="595" t="s">
        <v>94</v>
      </c>
      <c r="AJ89" s="595" t="s">
        <v>94</v>
      </c>
      <c r="AK89" s="604" t="s">
        <v>881</v>
      </c>
      <c r="AL89" s="605"/>
    </row>
    <row r="90" spans="1:38" s="434" customFormat="1" x14ac:dyDescent="0.25">
      <c r="A90" s="449" t="s">
        <v>1230</v>
      </c>
      <c r="B90" s="606"/>
      <c r="C90" s="607"/>
      <c r="D90" s="608">
        <v>41367</v>
      </c>
      <c r="E90" s="609" t="s">
        <v>882</v>
      </c>
      <c r="F90" s="610">
        <f>T90</f>
        <v>0</v>
      </c>
      <c r="G90" s="455"/>
      <c r="H90" s="456"/>
    </row>
    <row r="91" spans="1:38" s="434" customFormat="1" x14ac:dyDescent="0.25">
      <c r="A91" s="436" t="s">
        <v>771</v>
      </c>
      <c r="B91" s="455">
        <v>1</v>
      </c>
      <c r="C91" s="455">
        <v>5</v>
      </c>
      <c r="D91" s="455">
        <v>8</v>
      </c>
      <c r="E91" s="455">
        <v>13</v>
      </c>
      <c r="F91" s="455">
        <v>14</v>
      </c>
      <c r="G91" s="455">
        <v>11</v>
      </c>
      <c r="H91" s="456">
        <v>20</v>
      </c>
      <c r="I91" s="457">
        <v>15</v>
      </c>
      <c r="J91" s="457">
        <v>10</v>
      </c>
      <c r="K91" s="457">
        <v>6</v>
      </c>
      <c r="L91" s="457">
        <v>6</v>
      </c>
      <c r="M91" s="457">
        <v>10</v>
      </c>
      <c r="N91" s="457">
        <v>1</v>
      </c>
      <c r="O91" s="457">
        <v>45</v>
      </c>
      <c r="P91" s="457"/>
      <c r="Q91" s="457">
        <v>13</v>
      </c>
      <c r="R91" s="457">
        <v>16</v>
      </c>
      <c r="S91" s="457">
        <v>10</v>
      </c>
      <c r="T91" s="457">
        <v>10</v>
      </c>
      <c r="U91" s="457">
        <v>10</v>
      </c>
      <c r="V91" s="457">
        <v>10</v>
      </c>
      <c r="W91" s="457">
        <v>10</v>
      </c>
      <c r="X91" s="457">
        <v>10</v>
      </c>
      <c r="Y91" s="457">
        <v>0</v>
      </c>
      <c r="Z91" s="457">
        <v>0</v>
      </c>
      <c r="AA91" s="457">
        <v>0</v>
      </c>
      <c r="AB91" s="457">
        <v>0</v>
      </c>
      <c r="AC91" s="457">
        <v>0</v>
      </c>
      <c r="AD91" s="457">
        <v>0</v>
      </c>
      <c r="AE91" s="457"/>
      <c r="AF91" s="457">
        <v>0</v>
      </c>
      <c r="AG91" s="457">
        <v>0</v>
      </c>
      <c r="AH91" s="457">
        <v>0</v>
      </c>
      <c r="AI91" s="457">
        <v>0</v>
      </c>
      <c r="AJ91" s="457">
        <v>0</v>
      </c>
      <c r="AK91" s="457">
        <v>0</v>
      </c>
      <c r="AL91" s="457">
        <v>0</v>
      </c>
    </row>
    <row r="92" spans="1:38" s="434" customFormat="1" x14ac:dyDescent="0.25">
      <c r="A92" s="436" t="s">
        <v>773</v>
      </c>
      <c r="B92" s="455">
        <v>5</v>
      </c>
      <c r="C92" s="455">
        <v>5</v>
      </c>
      <c r="D92" s="455" t="s">
        <v>883</v>
      </c>
      <c r="E92" s="455">
        <v>5</v>
      </c>
      <c r="F92" s="455"/>
      <c r="G92" s="455">
        <v>5</v>
      </c>
      <c r="H92" s="434">
        <v>5</v>
      </c>
      <c r="I92" s="434">
        <v>1</v>
      </c>
      <c r="J92" s="455">
        <v>1</v>
      </c>
      <c r="K92" s="456">
        <v>-1</v>
      </c>
      <c r="L92" s="455"/>
      <c r="O92" s="455"/>
      <c r="P92" s="455"/>
      <c r="Q92" s="457"/>
      <c r="R92" s="457"/>
      <c r="S92" s="457"/>
      <c r="T92" s="457"/>
      <c r="U92" s="457"/>
      <c r="V92" s="457"/>
      <c r="W92" s="457"/>
      <c r="X92" s="457"/>
      <c r="Y92" s="457"/>
      <c r="Z92" s="458"/>
      <c r="AA92" s="457"/>
      <c r="AB92" s="457"/>
      <c r="AC92" s="457"/>
      <c r="AD92" s="457"/>
      <c r="AE92" s="457"/>
      <c r="AF92" s="457"/>
      <c r="AG92" s="457"/>
    </row>
    <row r="93" spans="1:38" s="434" customFormat="1" x14ac:dyDescent="0.25">
      <c r="A93" s="436" t="s">
        <v>774</v>
      </c>
      <c r="B93" s="455"/>
      <c r="C93" s="455"/>
      <c r="D93" s="455"/>
      <c r="E93" s="455"/>
      <c r="F93" s="455"/>
      <c r="G93" s="455"/>
      <c r="J93" s="455"/>
      <c r="K93" s="456"/>
      <c r="L93" s="455"/>
      <c r="O93" s="455" t="s">
        <v>884</v>
      </c>
      <c r="P93" s="455"/>
      <c r="Q93" s="457"/>
      <c r="R93" s="457"/>
      <c r="S93" s="457"/>
      <c r="T93" s="457"/>
      <c r="U93" s="457"/>
      <c r="V93" s="457"/>
      <c r="W93" s="457"/>
      <c r="X93" s="457"/>
      <c r="Y93" s="457"/>
      <c r="Z93" s="458"/>
      <c r="AA93" s="457"/>
      <c r="AB93" s="457"/>
      <c r="AC93" s="457"/>
      <c r="AD93" s="457"/>
      <c r="AE93" s="457"/>
      <c r="AF93" s="457"/>
      <c r="AG93" s="457"/>
    </row>
    <row r="94" spans="1:38" s="434" customFormat="1" x14ac:dyDescent="0.25">
      <c r="A94" s="436" t="s">
        <v>782</v>
      </c>
      <c r="B94" s="455" t="s">
        <v>885</v>
      </c>
      <c r="C94" s="455" t="s">
        <v>886</v>
      </c>
      <c r="D94" s="466" t="s">
        <v>887</v>
      </c>
      <c r="E94" s="466" t="s">
        <v>888</v>
      </c>
      <c r="F94" s="466"/>
      <c r="G94" s="455" t="s">
        <v>889</v>
      </c>
      <c r="H94" s="611" t="s">
        <v>890</v>
      </c>
      <c r="I94" s="455" t="s">
        <v>891</v>
      </c>
      <c r="J94" s="455" t="s">
        <v>892</v>
      </c>
      <c r="K94" s="455"/>
      <c r="L94" s="455"/>
      <c r="O94" s="455"/>
      <c r="P94" s="455"/>
      <c r="Q94" s="457"/>
      <c r="R94" s="457"/>
      <c r="S94" s="457"/>
      <c r="T94" s="457"/>
      <c r="U94" s="457"/>
      <c r="V94" s="457"/>
      <c r="W94" s="457"/>
      <c r="X94" s="457"/>
      <c r="Y94" s="457"/>
      <c r="Z94" s="458"/>
      <c r="AA94" s="457"/>
      <c r="AB94" s="457"/>
      <c r="AC94" s="457"/>
      <c r="AD94" s="457"/>
      <c r="AE94" s="457"/>
      <c r="AF94" s="457"/>
      <c r="AG94" s="457"/>
    </row>
    <row r="95" spans="1:38" s="434" customFormat="1" x14ac:dyDescent="0.25">
      <c r="N95" s="434" t="s">
        <v>893</v>
      </c>
    </row>
    <row r="96" spans="1:38" s="434" customFormat="1" ht="15.75" thickBot="1" x14ac:dyDescent="0.3">
      <c r="A96" s="434" t="s">
        <v>895</v>
      </c>
      <c r="F96" s="434">
        <v>5</v>
      </c>
      <c r="I96" s="434">
        <v>8</v>
      </c>
      <c r="P96" s="434">
        <v>10</v>
      </c>
      <c r="T96" s="434">
        <v>14</v>
      </c>
    </row>
    <row r="97" spans="1:37" s="434" customFormat="1" ht="75" x14ac:dyDescent="0.25">
      <c r="A97" s="612" t="s">
        <v>83</v>
      </c>
      <c r="B97" s="613" t="s">
        <v>896</v>
      </c>
      <c r="C97" s="588" t="s">
        <v>744</v>
      </c>
      <c r="D97" s="588" t="s">
        <v>897</v>
      </c>
      <c r="E97" s="588" t="s">
        <v>898</v>
      </c>
      <c r="F97" s="588" t="s">
        <v>109</v>
      </c>
      <c r="G97" s="588" t="s">
        <v>867</v>
      </c>
      <c r="H97" s="588" t="s">
        <v>872</v>
      </c>
      <c r="I97" s="588" t="s">
        <v>407</v>
      </c>
      <c r="J97" s="588" t="s">
        <v>759</v>
      </c>
      <c r="K97" s="588"/>
      <c r="L97" s="588"/>
      <c r="M97" s="588" t="s">
        <v>899</v>
      </c>
      <c r="N97" s="614" t="s">
        <v>126</v>
      </c>
      <c r="O97" s="588" t="s">
        <v>900</v>
      </c>
      <c r="P97" s="588" t="s">
        <v>901</v>
      </c>
      <c r="Q97" s="615" t="s">
        <v>902</v>
      </c>
      <c r="R97" s="615" t="s">
        <v>90</v>
      </c>
      <c r="S97" s="616" t="s">
        <v>92</v>
      </c>
      <c r="T97" s="615" t="s">
        <v>98</v>
      </c>
      <c r="U97" s="617" t="s">
        <v>94</v>
      </c>
      <c r="V97" s="617" t="s">
        <v>96</v>
      </c>
      <c r="W97" s="617" t="s">
        <v>903</v>
      </c>
      <c r="X97" s="617" t="s">
        <v>904</v>
      </c>
      <c r="Y97" s="617" t="s">
        <v>905</v>
      </c>
    </row>
    <row r="98" spans="1:37" s="434" customFormat="1" x14ac:dyDescent="0.25">
      <c r="A98" s="618"/>
      <c r="B98" s="449" t="s">
        <v>1230</v>
      </c>
      <c r="D98" s="619"/>
      <c r="M98" s="456"/>
      <c r="N98" s="451"/>
      <c r="O98" s="452"/>
      <c r="P98" s="452"/>
      <c r="Q98" s="455" t="s">
        <v>770</v>
      </c>
      <c r="R98" s="455" t="s">
        <v>770</v>
      </c>
      <c r="S98" s="455" t="s">
        <v>770</v>
      </c>
      <c r="T98" s="455" t="s">
        <v>770</v>
      </c>
      <c r="U98" s="455" t="s">
        <v>770</v>
      </c>
      <c r="V98" s="455" t="s">
        <v>770</v>
      </c>
      <c r="W98" s="455" t="s">
        <v>770</v>
      </c>
      <c r="X98" s="455" t="s">
        <v>770</v>
      </c>
      <c r="Y98" s="455" t="s">
        <v>770</v>
      </c>
    </row>
    <row r="99" spans="1:37" s="434" customFormat="1" x14ac:dyDescent="0.25">
      <c r="A99" s="618"/>
      <c r="B99" s="436" t="s">
        <v>771</v>
      </c>
      <c r="C99" s="455">
        <v>9</v>
      </c>
      <c r="D99" s="455">
        <v>5</v>
      </c>
      <c r="E99" s="455">
        <v>22</v>
      </c>
      <c r="F99" s="455">
        <v>10</v>
      </c>
      <c r="G99" s="455">
        <v>1</v>
      </c>
      <c r="H99" s="455">
        <v>15</v>
      </c>
      <c r="I99" s="455">
        <v>10</v>
      </c>
      <c r="J99" s="455">
        <v>8</v>
      </c>
      <c r="K99" s="455">
        <v>1</v>
      </c>
      <c r="L99" s="455">
        <v>1</v>
      </c>
      <c r="M99" s="455">
        <v>12</v>
      </c>
      <c r="N99" s="455">
        <v>14</v>
      </c>
      <c r="O99" s="455">
        <v>12</v>
      </c>
      <c r="P99" s="455">
        <v>8</v>
      </c>
      <c r="Q99" s="455">
        <v>47</v>
      </c>
      <c r="R99" s="455">
        <v>44</v>
      </c>
      <c r="S99" s="455">
        <v>8</v>
      </c>
      <c r="T99" s="455">
        <v>44</v>
      </c>
      <c r="U99" s="455">
        <v>9</v>
      </c>
      <c r="V99" s="455">
        <v>25</v>
      </c>
      <c r="W99" s="455">
        <v>22</v>
      </c>
      <c r="X99" s="455">
        <v>0</v>
      </c>
      <c r="Y99" s="457">
        <v>0</v>
      </c>
    </row>
    <row r="100" spans="1:37" s="434" customFormat="1" x14ac:dyDescent="0.25">
      <c r="A100" s="618"/>
      <c r="B100" s="436" t="s">
        <v>773</v>
      </c>
      <c r="C100" s="455">
        <v>15</v>
      </c>
      <c r="D100" s="455">
        <v>19</v>
      </c>
      <c r="E100" s="455">
        <v>2</v>
      </c>
      <c r="G100" s="434">
        <v>-1</v>
      </c>
      <c r="M100" s="455"/>
      <c r="N100" s="455"/>
      <c r="O100" s="455"/>
      <c r="P100" s="455"/>
      <c r="T100" s="455"/>
      <c r="U100" s="457"/>
      <c r="V100" s="457"/>
      <c r="W100" s="457"/>
      <c r="X100" s="457"/>
      <c r="Y100" s="457"/>
    </row>
    <row r="101" spans="1:37" s="434" customFormat="1" ht="30" x14ac:dyDescent="0.25">
      <c r="A101" s="618"/>
      <c r="B101" s="436" t="s">
        <v>774</v>
      </c>
      <c r="C101" s="455" t="s">
        <v>906</v>
      </c>
      <c r="D101" s="620" t="s">
        <v>907</v>
      </c>
      <c r="E101" s="621" t="s">
        <v>908</v>
      </c>
      <c r="G101" s="455"/>
      <c r="M101" s="455"/>
      <c r="N101" s="455"/>
      <c r="O101" s="455"/>
      <c r="P101" s="455"/>
      <c r="Q101" s="455"/>
      <c r="T101" s="455"/>
      <c r="U101" s="457"/>
      <c r="V101" s="457"/>
      <c r="W101" s="457"/>
      <c r="X101" s="457"/>
      <c r="Y101" s="457"/>
      <c r="Z101" s="457"/>
      <c r="AA101" s="457"/>
      <c r="AB101" s="457"/>
      <c r="AC101" s="457"/>
      <c r="AD101" s="458"/>
      <c r="AE101" s="458"/>
      <c r="AF101" s="457"/>
      <c r="AG101" s="457"/>
      <c r="AH101" s="457"/>
      <c r="AI101" s="457"/>
      <c r="AJ101" s="457"/>
      <c r="AK101" s="457"/>
    </row>
    <row r="102" spans="1:37" s="434" customFormat="1" x14ac:dyDescent="0.25">
      <c r="A102" s="618"/>
      <c r="B102" s="436" t="s">
        <v>782</v>
      </c>
      <c r="D102" s="456"/>
      <c r="E102" s="455"/>
      <c r="F102" s="455"/>
      <c r="H102" s="455"/>
      <c r="K102" s="455"/>
      <c r="L102" s="457"/>
      <c r="M102" s="466"/>
      <c r="N102" s="466"/>
      <c r="O102" s="466"/>
      <c r="P102" s="466"/>
      <c r="Q102" s="457"/>
      <c r="R102" s="457"/>
      <c r="S102" s="457"/>
      <c r="T102" s="457"/>
      <c r="U102" s="457"/>
      <c r="V102" s="457"/>
      <c r="W102" s="457"/>
      <c r="X102" s="457"/>
      <c r="Y102" s="458"/>
      <c r="Z102" s="457"/>
      <c r="AA102" s="457"/>
      <c r="AB102" s="457"/>
      <c r="AC102" s="457"/>
      <c r="AD102" s="457"/>
      <c r="AE102" s="457"/>
      <c r="AF102" s="457"/>
    </row>
    <row r="104" spans="1:37" x14ac:dyDescent="0.25">
      <c r="D104" s="434">
        <v>5</v>
      </c>
      <c r="E104" s="434">
        <v>5</v>
      </c>
      <c r="J104" s="455"/>
      <c r="K104" s="455">
        <v>5</v>
      </c>
      <c r="L104" s="434">
        <v>5</v>
      </c>
      <c r="M104" s="456">
        <v>-1</v>
      </c>
      <c r="N104" s="455"/>
      <c r="O104" s="455"/>
      <c r="P104" s="455"/>
    </row>
    <row r="105" spans="1:37" ht="36.75" x14ac:dyDescent="0.25">
      <c r="D105" s="621" t="s">
        <v>908</v>
      </c>
      <c r="E105" s="621" t="s">
        <v>909</v>
      </c>
      <c r="F105" s="455" t="s">
        <v>906</v>
      </c>
      <c r="K105" s="622" t="s">
        <v>910</v>
      </c>
      <c r="L105" s="622" t="s">
        <v>911</v>
      </c>
      <c r="M105" s="622"/>
      <c r="N105" s="622"/>
      <c r="O105" s="622"/>
      <c r="P105" s="622"/>
    </row>
    <row r="107" spans="1:37" s="567" customFormat="1" ht="7.5" customHeight="1" x14ac:dyDescent="0.25">
      <c r="D107" s="568"/>
      <c r="E107" s="568"/>
    </row>
    <row r="108" spans="1:37" s="569" customFormat="1" ht="19.5" x14ac:dyDescent="0.3">
      <c r="A108" s="434"/>
      <c r="C108" s="570" t="s">
        <v>912</v>
      </c>
      <c r="I108" s="569">
        <f>G139</f>
        <v>0</v>
      </c>
    </row>
    <row r="110" spans="1:37" ht="15.75" thickBot="1" x14ac:dyDescent="0.3">
      <c r="A110" s="623" t="s">
        <v>913</v>
      </c>
    </row>
    <row r="111" spans="1:37" ht="16.5" thickBot="1" x14ac:dyDescent="0.3">
      <c r="A111" s="624">
        <v>40954</v>
      </c>
      <c r="B111" s="625" t="s">
        <v>738</v>
      </c>
      <c r="D111" s="626">
        <v>1</v>
      </c>
    </row>
    <row r="112" spans="1:37" s="434" customFormat="1" x14ac:dyDescent="0.25">
      <c r="A112" s="466"/>
      <c r="B112" s="466"/>
      <c r="C112" s="466"/>
      <c r="D112" s="466"/>
      <c r="E112" s="466"/>
      <c r="F112" s="456"/>
      <c r="G112" s="455"/>
      <c r="H112" s="455"/>
      <c r="K112" s="455"/>
      <c r="L112" s="457"/>
      <c r="M112" s="457"/>
      <c r="N112" s="457"/>
      <c r="O112" s="457"/>
      <c r="P112" s="457"/>
      <c r="Q112" s="457"/>
      <c r="R112" s="457"/>
      <c r="S112" s="457"/>
      <c r="T112" s="457"/>
      <c r="U112" s="458"/>
      <c r="V112" s="457"/>
      <c r="W112" s="457"/>
      <c r="X112" s="457"/>
      <c r="Y112" s="457"/>
      <c r="Z112" s="457"/>
      <c r="AA112" s="457"/>
    </row>
    <row r="113" spans="1:24" s="627" customFormat="1" ht="7.5" customHeight="1" x14ac:dyDescent="0.25">
      <c r="D113" s="628"/>
      <c r="E113" s="628"/>
    </row>
    <row r="114" spans="1:24" s="434" customFormat="1" ht="19.5" x14ac:dyDescent="0.3">
      <c r="C114" s="435" t="s">
        <v>914</v>
      </c>
    </row>
    <row r="116" spans="1:24" ht="15.75" thickBot="1" x14ac:dyDescent="0.3">
      <c r="A116" s="623" t="s">
        <v>915</v>
      </c>
    </row>
    <row r="117" spans="1:24" ht="15.75" thickBot="1" x14ac:dyDescent="0.3">
      <c r="A117" s="436" t="s">
        <v>916</v>
      </c>
      <c r="B117" s="629" t="s">
        <v>917</v>
      </c>
      <c r="C117" s="629" t="s">
        <v>5</v>
      </c>
      <c r="D117" s="629" t="s">
        <v>918</v>
      </c>
      <c r="E117" s="629" t="s">
        <v>919</v>
      </c>
      <c r="F117" s="629" t="s">
        <v>920</v>
      </c>
      <c r="G117" s="629" t="s">
        <v>921</v>
      </c>
      <c r="H117" s="630" t="s">
        <v>922</v>
      </c>
      <c r="I117" s="631" t="s">
        <v>923</v>
      </c>
      <c r="J117" s="631" t="s">
        <v>924</v>
      </c>
    </row>
    <row r="118" spans="1:24" s="632" customFormat="1" x14ac:dyDescent="0.25">
      <c r="A118" s="449" t="s">
        <v>919</v>
      </c>
      <c r="J118" s="633"/>
      <c r="K118" s="633"/>
      <c r="L118" s="634"/>
      <c r="M118" s="635"/>
      <c r="N118" s="636"/>
      <c r="O118" s="408"/>
      <c r="P118" s="408"/>
      <c r="Q118" s="408"/>
      <c r="R118" s="408"/>
      <c r="S118" s="408"/>
      <c r="T118" s="408"/>
      <c r="U118" s="408"/>
      <c r="V118" s="408"/>
      <c r="W118" s="408"/>
      <c r="X118" s="408"/>
    </row>
    <row r="119" spans="1:24" x14ac:dyDescent="0.25">
      <c r="A119" s="436" t="s">
        <v>925</v>
      </c>
      <c r="B119" s="633" t="s">
        <v>926</v>
      </c>
      <c r="C119" s="633" t="s">
        <v>927</v>
      </c>
      <c r="D119" s="633" t="s">
        <v>926</v>
      </c>
      <c r="E119" s="633" t="s">
        <v>81</v>
      </c>
      <c r="F119" s="633" t="s">
        <v>772</v>
      </c>
      <c r="G119" s="633" t="s">
        <v>926</v>
      </c>
      <c r="H119" s="633" t="s">
        <v>926</v>
      </c>
      <c r="I119" s="633" t="s">
        <v>928</v>
      </c>
      <c r="J119" s="633" t="s">
        <v>928</v>
      </c>
      <c r="K119" s="633"/>
      <c r="L119" s="633"/>
      <c r="M119" s="633"/>
      <c r="N119" s="633"/>
    </row>
    <row r="120" spans="1:24" x14ac:dyDescent="0.25">
      <c r="A120" s="436" t="s">
        <v>929</v>
      </c>
      <c r="B120" s="633" t="s">
        <v>120</v>
      </c>
      <c r="C120" s="633" t="s">
        <v>34</v>
      </c>
      <c r="D120" s="633" t="s">
        <v>187</v>
      </c>
      <c r="E120" s="633" t="s">
        <v>930</v>
      </c>
      <c r="F120" s="633" t="s">
        <v>246</v>
      </c>
      <c r="G120" s="633" t="s">
        <v>931</v>
      </c>
      <c r="H120" s="637" t="s">
        <v>158</v>
      </c>
      <c r="I120" s="638" t="s">
        <v>932</v>
      </c>
      <c r="J120" s="633" t="s">
        <v>60</v>
      </c>
      <c r="K120" s="633"/>
      <c r="L120" s="633"/>
      <c r="M120" s="633"/>
      <c r="N120" s="633"/>
    </row>
    <row r="121" spans="1:24" x14ac:dyDescent="0.25">
      <c r="A121" s="436" t="s">
        <v>933</v>
      </c>
      <c r="E121" s="408" t="s">
        <v>934</v>
      </c>
      <c r="H121" s="408" t="s">
        <v>935</v>
      </c>
      <c r="I121" s="639"/>
      <c r="J121" s="640"/>
      <c r="N121" s="640"/>
      <c r="O121" s="640"/>
      <c r="P121" s="641"/>
      <c r="Q121" s="640"/>
    </row>
    <row r="122" spans="1:24" x14ac:dyDescent="0.25">
      <c r="A122" s="436" t="s">
        <v>936</v>
      </c>
      <c r="E122" s="642"/>
      <c r="H122" s="642" t="s">
        <v>937</v>
      </c>
      <c r="I122" s="643" t="s">
        <v>938</v>
      </c>
      <c r="J122" s="455"/>
      <c r="O122" s="644"/>
      <c r="S122" s="645"/>
      <c r="T122" s="645"/>
      <c r="U122" s="645"/>
      <c r="V122" s="645"/>
      <c r="W122" s="645"/>
    </row>
    <row r="124" spans="1:24" ht="15.75" thickBot="1" x14ac:dyDescent="0.3">
      <c r="A124" s="623" t="s">
        <v>939</v>
      </c>
    </row>
    <row r="125" spans="1:24" ht="15.75" thickBot="1" x14ac:dyDescent="0.3">
      <c r="A125" s="436" t="s">
        <v>916</v>
      </c>
      <c r="B125" s="629" t="s">
        <v>917</v>
      </c>
      <c r="C125" s="629" t="s">
        <v>5</v>
      </c>
      <c r="D125" s="629" t="s">
        <v>918</v>
      </c>
      <c r="E125" s="629" t="s">
        <v>919</v>
      </c>
      <c r="F125" s="629" t="s">
        <v>920</v>
      </c>
      <c r="G125" s="629" t="s">
        <v>921</v>
      </c>
      <c r="H125" s="630" t="s">
        <v>922</v>
      </c>
      <c r="I125" s="631" t="s">
        <v>923</v>
      </c>
      <c r="J125" s="631" t="s">
        <v>924</v>
      </c>
    </row>
    <row r="126" spans="1:24" s="632" customFormat="1" x14ac:dyDescent="0.25">
      <c r="A126" s="449" t="s">
        <v>919</v>
      </c>
      <c r="J126" s="633"/>
      <c r="K126" s="633"/>
      <c r="L126" s="634"/>
      <c r="M126" s="635"/>
      <c r="N126" s="636"/>
      <c r="O126" s="408"/>
      <c r="P126" s="408"/>
      <c r="Q126" s="408"/>
      <c r="R126" s="408"/>
      <c r="S126" s="408"/>
      <c r="T126" s="408"/>
      <c r="U126" s="408"/>
      <c r="V126" s="408"/>
      <c r="W126" s="408"/>
      <c r="X126" s="408"/>
    </row>
    <row r="127" spans="1:24" x14ac:dyDescent="0.25">
      <c r="A127" s="436" t="s">
        <v>925</v>
      </c>
      <c r="B127" s="633" t="s">
        <v>926</v>
      </c>
      <c r="C127" s="633" t="s">
        <v>927</v>
      </c>
      <c r="D127" s="633" t="s">
        <v>926</v>
      </c>
      <c r="E127" s="633" t="s">
        <v>81</v>
      </c>
      <c r="F127" s="633" t="s">
        <v>772</v>
      </c>
      <c r="G127" s="633" t="s">
        <v>926</v>
      </c>
      <c r="H127" s="633" t="s">
        <v>926</v>
      </c>
      <c r="I127" s="633" t="s">
        <v>928</v>
      </c>
      <c r="J127" s="633" t="s">
        <v>928</v>
      </c>
      <c r="K127" s="633"/>
      <c r="L127" s="633"/>
      <c r="M127" s="633"/>
      <c r="N127" s="633"/>
    </row>
    <row r="128" spans="1:24" x14ac:dyDescent="0.25">
      <c r="A128" s="436" t="s">
        <v>929</v>
      </c>
      <c r="B128" s="633" t="s">
        <v>120</v>
      </c>
      <c r="C128" s="633" t="s">
        <v>34</v>
      </c>
      <c r="D128" s="633" t="s">
        <v>187</v>
      </c>
      <c r="E128" s="633" t="s">
        <v>930</v>
      </c>
      <c r="F128" s="633" t="s">
        <v>246</v>
      </c>
      <c r="G128" s="633" t="s">
        <v>931</v>
      </c>
      <c r="H128" s="637" t="s">
        <v>158</v>
      </c>
      <c r="I128" s="646" t="s">
        <v>940</v>
      </c>
      <c r="J128" s="633" t="s">
        <v>60</v>
      </c>
      <c r="K128" s="633"/>
      <c r="L128" s="633"/>
      <c r="M128" s="633"/>
      <c r="N128" s="633"/>
    </row>
    <row r="129" spans="1:31" x14ac:dyDescent="0.25">
      <c r="A129" s="436" t="s">
        <v>933</v>
      </c>
      <c r="B129" s="408" t="s">
        <v>941</v>
      </c>
      <c r="E129" s="408" t="s">
        <v>934</v>
      </c>
      <c r="H129" s="408" t="s">
        <v>935</v>
      </c>
      <c r="I129" s="647" t="s">
        <v>942</v>
      </c>
      <c r="J129" s="640"/>
      <c r="N129" s="640"/>
      <c r="O129" s="640"/>
      <c r="P129" s="641"/>
      <c r="Q129" s="640"/>
    </row>
    <row r="130" spans="1:31" x14ac:dyDescent="0.25">
      <c r="A130" s="436" t="s">
        <v>936</v>
      </c>
      <c r="E130" s="642"/>
      <c r="H130" s="642" t="s">
        <v>937</v>
      </c>
      <c r="I130" s="648"/>
      <c r="J130" s="455"/>
      <c r="O130" s="644"/>
      <c r="S130" s="645"/>
      <c r="T130" s="645"/>
      <c r="U130" s="645"/>
      <c r="V130" s="645"/>
      <c r="W130" s="645"/>
    </row>
    <row r="132" spans="1:31" ht="15.75" thickBot="1" x14ac:dyDescent="0.3">
      <c r="A132" s="623" t="s">
        <v>943</v>
      </c>
    </row>
    <row r="133" spans="1:31" s="385" customFormat="1" ht="15.75" thickBot="1" x14ac:dyDescent="0.3">
      <c r="A133" s="436" t="s">
        <v>916</v>
      </c>
      <c r="B133" s="649" t="s">
        <v>944</v>
      </c>
      <c r="C133" s="649" t="s">
        <v>5</v>
      </c>
      <c r="D133" s="650" t="s">
        <v>945</v>
      </c>
      <c r="E133" s="651" t="s">
        <v>248</v>
      </c>
      <c r="F133" s="650" t="s">
        <v>946</v>
      </c>
      <c r="G133" s="652" t="s">
        <v>275</v>
      </c>
      <c r="H133" s="650" t="s">
        <v>947</v>
      </c>
      <c r="I133" s="652" t="s">
        <v>948</v>
      </c>
      <c r="J133" s="651" t="s">
        <v>949</v>
      </c>
      <c r="K133" s="652" t="s">
        <v>950</v>
      </c>
      <c r="L133" s="650" t="s">
        <v>951</v>
      </c>
      <c r="M133" s="653" t="s">
        <v>919</v>
      </c>
      <c r="N133" s="654" t="s">
        <v>391</v>
      </c>
      <c r="O133" s="655" t="s">
        <v>392</v>
      </c>
      <c r="P133" s="655" t="s">
        <v>952</v>
      </c>
      <c r="Q133" s="655" t="s">
        <v>953</v>
      </c>
      <c r="R133" s="656" t="s">
        <v>954</v>
      </c>
      <c r="S133" s="656" t="s">
        <v>955</v>
      </c>
      <c r="T133" s="656" t="s">
        <v>956</v>
      </c>
      <c r="U133" s="656" t="s">
        <v>957</v>
      </c>
      <c r="V133" s="656" t="s">
        <v>958</v>
      </c>
      <c r="AE133" s="886"/>
    </row>
    <row r="134" spans="1:31" s="632" customFormat="1" x14ac:dyDescent="0.25">
      <c r="A134" s="449" t="s">
        <v>919</v>
      </c>
      <c r="B134" s="635" t="s">
        <v>959</v>
      </c>
      <c r="C134" s="657">
        <v>40918</v>
      </c>
      <c r="D134" s="634" t="s">
        <v>253</v>
      </c>
      <c r="E134" s="658"/>
      <c r="F134" s="634" t="s">
        <v>367</v>
      </c>
      <c r="G134" s="659"/>
      <c r="H134" s="634" t="s">
        <v>960</v>
      </c>
      <c r="I134" s="660"/>
      <c r="J134" s="634" t="s">
        <v>961</v>
      </c>
      <c r="K134" s="634"/>
      <c r="L134" s="635" t="s">
        <v>815</v>
      </c>
      <c r="M134" s="636">
        <v>130000</v>
      </c>
      <c r="N134" s="661" t="s">
        <v>394</v>
      </c>
      <c r="O134" s="662" t="s">
        <v>395</v>
      </c>
      <c r="P134" s="663"/>
      <c r="Q134" s="664"/>
      <c r="R134" s="665"/>
      <c r="S134" s="665"/>
      <c r="T134" s="665"/>
      <c r="U134" s="665"/>
      <c r="V134" s="665"/>
      <c r="W134" s="385"/>
    </row>
    <row r="135" spans="1:31" x14ac:dyDescent="0.25">
      <c r="A135" s="436" t="s">
        <v>925</v>
      </c>
      <c r="B135" s="633" t="s">
        <v>926</v>
      </c>
      <c r="C135" s="633" t="s">
        <v>926</v>
      </c>
      <c r="D135" s="633" t="s">
        <v>962</v>
      </c>
      <c r="E135" s="633" t="s">
        <v>963</v>
      </c>
      <c r="F135" s="633" t="s">
        <v>962</v>
      </c>
      <c r="G135" s="633" t="s">
        <v>963</v>
      </c>
      <c r="H135" s="633" t="s">
        <v>926</v>
      </c>
      <c r="I135" s="633" t="s">
        <v>963</v>
      </c>
      <c r="J135" s="633" t="s">
        <v>962</v>
      </c>
      <c r="K135" s="633" t="s">
        <v>926</v>
      </c>
      <c r="L135" s="633" t="s">
        <v>166</v>
      </c>
      <c r="M135" s="633" t="s">
        <v>177</v>
      </c>
      <c r="N135" s="633" t="s">
        <v>34</v>
      </c>
      <c r="O135" s="633" t="s">
        <v>60</v>
      </c>
      <c r="P135" s="633" t="s">
        <v>167</v>
      </c>
      <c r="Q135" s="633" t="s">
        <v>60</v>
      </c>
      <c r="R135" s="633" t="s">
        <v>81</v>
      </c>
      <c r="S135" s="633" t="s">
        <v>81</v>
      </c>
      <c r="T135" s="633" t="s">
        <v>962</v>
      </c>
      <c r="U135" s="633" t="s">
        <v>167</v>
      </c>
      <c r="V135" s="633" t="s">
        <v>167</v>
      </c>
    </row>
    <row r="136" spans="1:31" x14ac:dyDescent="0.25">
      <c r="A136" s="436" t="s">
        <v>929</v>
      </c>
      <c r="B136" s="633">
        <v>10</v>
      </c>
      <c r="C136" s="633">
        <v>12</v>
      </c>
      <c r="D136" s="633" t="s">
        <v>964</v>
      </c>
      <c r="E136" s="633" t="s">
        <v>964</v>
      </c>
      <c r="F136" s="633" t="s">
        <v>84</v>
      </c>
      <c r="G136" s="633" t="s">
        <v>84</v>
      </c>
      <c r="H136" s="633" t="s">
        <v>245</v>
      </c>
      <c r="I136" s="633" t="s">
        <v>170</v>
      </c>
      <c r="J136" s="633" t="s">
        <v>965</v>
      </c>
      <c r="K136" s="633">
        <v>18</v>
      </c>
      <c r="L136" s="633" t="s">
        <v>966</v>
      </c>
      <c r="M136" s="633" t="s">
        <v>78</v>
      </c>
      <c r="N136" s="633" t="s">
        <v>967</v>
      </c>
      <c r="O136" s="633" t="s">
        <v>967</v>
      </c>
      <c r="P136" s="633" t="s">
        <v>967</v>
      </c>
      <c r="Q136" s="633">
        <v>12</v>
      </c>
      <c r="R136" s="633" t="s">
        <v>170</v>
      </c>
      <c r="S136" s="633" t="s">
        <v>170</v>
      </c>
      <c r="T136" s="633" t="s">
        <v>170</v>
      </c>
      <c r="U136" s="633" t="s">
        <v>170</v>
      </c>
      <c r="V136" s="633" t="s">
        <v>170</v>
      </c>
    </row>
    <row r="137" spans="1:31" x14ac:dyDescent="0.25">
      <c r="A137" s="436" t="s">
        <v>933</v>
      </c>
      <c r="E137" s="642" t="s">
        <v>968</v>
      </c>
      <c r="G137" s="642" t="s">
        <v>969</v>
      </c>
      <c r="I137" s="640"/>
      <c r="K137" s="642" t="s">
        <v>950</v>
      </c>
      <c r="M137" s="640" t="s">
        <v>934</v>
      </c>
      <c r="N137" s="640"/>
      <c r="O137" s="641" t="s">
        <v>970</v>
      </c>
      <c r="P137" s="640" t="s">
        <v>971</v>
      </c>
    </row>
    <row r="138" spans="1:31" x14ac:dyDescent="0.25">
      <c r="A138" s="436" t="s">
        <v>936</v>
      </c>
      <c r="E138" s="642"/>
      <c r="G138" s="642"/>
      <c r="I138" s="455"/>
      <c r="K138" s="645" t="s">
        <v>937</v>
      </c>
      <c r="N138" s="644"/>
      <c r="R138" s="645" t="s">
        <v>972</v>
      </c>
      <c r="S138" s="645" t="s">
        <v>973</v>
      </c>
      <c r="T138" s="645" t="s">
        <v>974</v>
      </c>
      <c r="U138" s="645" t="s">
        <v>975</v>
      </c>
      <c r="V138" s="645" t="s">
        <v>976</v>
      </c>
    </row>
    <row r="140" spans="1:31" ht="15.75" thickBot="1" x14ac:dyDescent="0.3">
      <c r="A140" s="623" t="s">
        <v>977</v>
      </c>
      <c r="B140" s="623"/>
      <c r="C140" s="623"/>
      <c r="D140" s="623"/>
      <c r="E140" s="623"/>
      <c r="F140" s="623"/>
      <c r="G140" s="623"/>
      <c r="H140" s="623"/>
      <c r="I140" s="623"/>
      <c r="J140" s="623"/>
      <c r="P140" s="623"/>
      <c r="Q140" s="623"/>
    </row>
    <row r="141" spans="1:31" ht="15.75" thickBot="1" x14ac:dyDescent="0.3">
      <c r="A141" s="612" t="s">
        <v>157</v>
      </c>
      <c r="B141" s="436" t="s">
        <v>916</v>
      </c>
      <c r="C141" s="629" t="s">
        <v>978</v>
      </c>
      <c r="D141" s="629" t="s">
        <v>768</v>
      </c>
      <c r="E141" s="629" t="s">
        <v>979</v>
      </c>
      <c r="F141" s="629" t="s">
        <v>980</v>
      </c>
      <c r="G141" s="629" t="s">
        <v>919</v>
      </c>
      <c r="H141" s="629" t="s">
        <v>981</v>
      </c>
      <c r="I141" s="629" t="s">
        <v>982</v>
      </c>
      <c r="J141" s="629" t="s">
        <v>983</v>
      </c>
      <c r="K141" s="629" t="s">
        <v>984</v>
      </c>
      <c r="L141" s="629" t="s">
        <v>985</v>
      </c>
      <c r="M141" s="629" t="s">
        <v>986</v>
      </c>
      <c r="N141" s="629" t="s">
        <v>987</v>
      </c>
      <c r="P141" s="629" t="s">
        <v>982</v>
      </c>
      <c r="Q141" s="629" t="s">
        <v>983</v>
      </c>
      <c r="R141" s="629" t="s">
        <v>984</v>
      </c>
      <c r="S141" s="629" t="s">
        <v>985</v>
      </c>
      <c r="T141" s="629" t="s">
        <v>986</v>
      </c>
      <c r="U141" s="629" t="s">
        <v>987</v>
      </c>
    </row>
    <row r="142" spans="1:31" s="632" customFormat="1" x14ac:dyDescent="0.25">
      <c r="A142" s="618"/>
      <c r="B142" s="449" t="s">
        <v>919</v>
      </c>
      <c r="C142" s="666" t="s">
        <v>988</v>
      </c>
      <c r="D142" s="657" t="s">
        <v>989</v>
      </c>
      <c r="E142" s="667" t="s">
        <v>990</v>
      </c>
      <c r="F142" s="658"/>
      <c r="G142" s="668">
        <v>2298687.7200000002</v>
      </c>
      <c r="H142" s="659"/>
      <c r="I142" s="669" t="s">
        <v>456</v>
      </c>
      <c r="J142" s="670" t="s">
        <v>991</v>
      </c>
      <c r="K142" s="669"/>
      <c r="L142" s="669"/>
      <c r="M142" s="671"/>
      <c r="N142" s="672"/>
      <c r="O142" s="408"/>
      <c r="P142" s="634" t="s">
        <v>456</v>
      </c>
      <c r="Q142" s="673"/>
      <c r="R142" s="634" t="s">
        <v>992</v>
      </c>
      <c r="S142" s="634" t="s">
        <v>456</v>
      </c>
      <c r="T142" s="635" t="s">
        <v>335</v>
      </c>
      <c r="U142" s="636" t="s">
        <v>993</v>
      </c>
      <c r="V142" s="408"/>
      <c r="W142" s="408"/>
      <c r="X142" s="408"/>
      <c r="Y142" s="408"/>
    </row>
    <row r="143" spans="1:31" x14ac:dyDescent="0.25">
      <c r="A143" s="618"/>
      <c r="B143" s="436" t="s">
        <v>925</v>
      </c>
      <c r="C143" s="633" t="s">
        <v>245</v>
      </c>
      <c r="D143" s="633" t="s">
        <v>994</v>
      </c>
      <c r="E143" s="633" t="s">
        <v>177</v>
      </c>
      <c r="F143" s="633" t="s">
        <v>245</v>
      </c>
      <c r="G143" s="633" t="s">
        <v>245</v>
      </c>
      <c r="H143" s="633" t="s">
        <v>60</v>
      </c>
      <c r="I143" s="674"/>
      <c r="J143" s="675"/>
      <c r="K143" s="633"/>
      <c r="L143" s="633"/>
      <c r="M143" s="633"/>
      <c r="N143" s="633"/>
      <c r="P143" s="633">
        <v>10</v>
      </c>
      <c r="Q143" s="633" t="s">
        <v>81</v>
      </c>
      <c r="R143" s="633" t="s">
        <v>34</v>
      </c>
      <c r="S143" s="633" t="s">
        <v>177</v>
      </c>
      <c r="T143" s="633" t="s">
        <v>81</v>
      </c>
      <c r="U143" s="633" t="s">
        <v>81</v>
      </c>
    </row>
    <row r="144" spans="1:31" x14ac:dyDescent="0.25">
      <c r="A144" s="618"/>
      <c r="B144" s="436" t="s">
        <v>929</v>
      </c>
      <c r="C144" s="633" t="s">
        <v>60</v>
      </c>
      <c r="D144" s="633" t="s">
        <v>60</v>
      </c>
      <c r="E144" s="633" t="s">
        <v>84</v>
      </c>
      <c r="F144" s="633" t="s">
        <v>78</v>
      </c>
      <c r="G144" s="633" t="s">
        <v>931</v>
      </c>
      <c r="H144" s="633" t="s">
        <v>967</v>
      </c>
      <c r="I144" s="674" t="s">
        <v>966</v>
      </c>
      <c r="J144" s="675"/>
      <c r="K144" s="633"/>
      <c r="L144" s="633"/>
      <c r="M144" s="633"/>
      <c r="N144" s="633"/>
      <c r="P144" s="633" t="s">
        <v>81</v>
      </c>
      <c r="Q144" s="633" t="s">
        <v>81</v>
      </c>
      <c r="R144" s="633"/>
      <c r="S144" s="633" t="s">
        <v>81</v>
      </c>
      <c r="T144" s="633" t="s">
        <v>246</v>
      </c>
      <c r="U144" s="633" t="s">
        <v>168</v>
      </c>
    </row>
    <row r="145" spans="1:25" x14ac:dyDescent="0.25">
      <c r="A145" s="618"/>
      <c r="B145" s="436" t="s">
        <v>933</v>
      </c>
      <c r="D145" s="642" t="s">
        <v>995</v>
      </c>
      <c r="F145" s="642" t="s">
        <v>996</v>
      </c>
      <c r="G145" s="676" t="s">
        <v>997</v>
      </c>
      <c r="H145" s="642" t="s">
        <v>970</v>
      </c>
      <c r="I145" s="677" t="s">
        <v>998</v>
      </c>
      <c r="K145" s="678"/>
      <c r="L145" s="677"/>
      <c r="M145" s="677"/>
      <c r="N145" s="679"/>
      <c r="P145" s="642" t="s">
        <v>999</v>
      </c>
      <c r="Q145" s="677" t="s">
        <v>1000</v>
      </c>
      <c r="R145" s="678"/>
      <c r="S145" s="677" t="s">
        <v>1001</v>
      </c>
      <c r="T145" s="677" t="s">
        <v>1002</v>
      </c>
      <c r="U145" s="679"/>
    </row>
    <row r="146" spans="1:25" x14ac:dyDescent="0.25">
      <c r="A146" s="618"/>
      <c r="B146" s="436" t="s">
        <v>936</v>
      </c>
      <c r="C146" s="408" t="s">
        <v>1003</v>
      </c>
      <c r="D146" s="408" t="s">
        <v>1004</v>
      </c>
      <c r="F146" s="642"/>
      <c r="H146" s="642"/>
      <c r="J146" s="680"/>
      <c r="L146" s="645"/>
      <c r="Q146" s="455"/>
      <c r="S146" s="645"/>
      <c r="U146" s="408" t="s">
        <v>1005</v>
      </c>
    </row>
    <row r="148" spans="1:25" ht="15.75" thickBot="1" x14ac:dyDescent="0.3">
      <c r="A148" s="623" t="s">
        <v>1006</v>
      </c>
      <c r="B148" s="623"/>
      <c r="C148" s="623"/>
      <c r="D148" s="623"/>
      <c r="E148" s="623"/>
      <c r="F148" s="623"/>
      <c r="G148" s="623"/>
      <c r="H148" s="623"/>
      <c r="I148" s="623"/>
      <c r="J148" s="623"/>
    </row>
    <row r="149" spans="1:25" ht="15.75" thickBot="1" x14ac:dyDescent="0.3">
      <c r="A149" s="612" t="s">
        <v>32</v>
      </c>
      <c r="B149" s="436" t="s">
        <v>916</v>
      </c>
      <c r="C149" s="629" t="s">
        <v>978</v>
      </c>
      <c r="D149" s="629" t="s">
        <v>768</v>
      </c>
      <c r="E149" s="629" t="s">
        <v>979</v>
      </c>
      <c r="F149" s="629" t="s">
        <v>980</v>
      </c>
      <c r="G149" s="629" t="s">
        <v>919</v>
      </c>
      <c r="H149" s="629" t="s">
        <v>981</v>
      </c>
      <c r="I149" s="629" t="s">
        <v>982</v>
      </c>
      <c r="J149" s="629" t="s">
        <v>983</v>
      </c>
      <c r="K149" s="629" t="s">
        <v>984</v>
      </c>
      <c r="L149" s="629" t="s">
        <v>985</v>
      </c>
      <c r="M149" s="629" t="s">
        <v>986</v>
      </c>
      <c r="N149" s="629" t="s">
        <v>987</v>
      </c>
      <c r="Q149" s="404" t="s">
        <v>422</v>
      </c>
    </row>
    <row r="150" spans="1:25" s="632" customFormat="1" x14ac:dyDescent="0.25">
      <c r="A150" s="618"/>
      <c r="B150" s="449" t="s">
        <v>919</v>
      </c>
      <c r="C150" s="666" t="s">
        <v>988</v>
      </c>
      <c r="D150" s="657" t="s">
        <v>989</v>
      </c>
      <c r="E150" s="667" t="s">
        <v>990</v>
      </c>
      <c r="F150" s="658"/>
      <c r="G150" s="668">
        <v>2298687.7200000002</v>
      </c>
      <c r="H150" s="659"/>
      <c r="I150" s="681" t="s">
        <v>359</v>
      </c>
      <c r="J150" s="670" t="s">
        <v>991</v>
      </c>
      <c r="K150" s="682" t="s">
        <v>1007</v>
      </c>
      <c r="L150" s="682" t="s">
        <v>417</v>
      </c>
      <c r="M150" s="683" t="s">
        <v>285</v>
      </c>
      <c r="N150" s="672"/>
      <c r="O150" s="408"/>
      <c r="P150" s="408"/>
      <c r="Q150" s="404" t="s">
        <v>410</v>
      </c>
      <c r="R150" s="408"/>
      <c r="S150" s="408"/>
      <c r="T150" s="408"/>
      <c r="U150" s="408"/>
      <c r="V150" s="408"/>
      <c r="W150" s="408"/>
      <c r="X150" s="408"/>
      <c r="Y150" s="408"/>
    </row>
    <row r="151" spans="1:25" x14ac:dyDescent="0.25">
      <c r="A151" s="618"/>
      <c r="B151" s="436" t="s">
        <v>925</v>
      </c>
      <c r="C151" s="633" t="s">
        <v>245</v>
      </c>
      <c r="D151" s="633" t="s">
        <v>994</v>
      </c>
      <c r="E151" s="633" t="s">
        <v>177</v>
      </c>
      <c r="F151" s="633" t="s">
        <v>245</v>
      </c>
      <c r="G151" s="633" t="s">
        <v>245</v>
      </c>
      <c r="H151" s="633" t="s">
        <v>60</v>
      </c>
      <c r="I151" s="633" t="s">
        <v>940</v>
      </c>
      <c r="J151" s="675"/>
      <c r="K151" s="633"/>
      <c r="L151" s="633"/>
      <c r="M151" s="633" t="s">
        <v>187</v>
      </c>
      <c r="N151" s="633"/>
      <c r="Q151" s="404" t="s">
        <v>413</v>
      </c>
    </row>
    <row r="152" spans="1:25" x14ac:dyDescent="0.25">
      <c r="A152" s="618"/>
      <c r="B152" s="436" t="s">
        <v>929</v>
      </c>
      <c r="C152" s="633" t="s">
        <v>170</v>
      </c>
      <c r="D152" s="633" t="s">
        <v>1008</v>
      </c>
      <c r="E152" s="675" t="s">
        <v>34</v>
      </c>
      <c r="F152" s="675" t="s">
        <v>931</v>
      </c>
      <c r="G152" s="633" t="s">
        <v>1009</v>
      </c>
      <c r="H152" s="633" t="s">
        <v>1010</v>
      </c>
      <c r="I152" s="633" t="s">
        <v>1011</v>
      </c>
      <c r="J152" s="675" t="s">
        <v>170</v>
      </c>
      <c r="K152" s="633" t="s">
        <v>1011</v>
      </c>
      <c r="L152" s="633" t="s">
        <v>1011</v>
      </c>
      <c r="M152" s="633" t="s">
        <v>931</v>
      </c>
      <c r="N152" s="633"/>
      <c r="Q152" s="404" t="s">
        <v>338</v>
      </c>
    </row>
    <row r="153" spans="1:25" ht="60" x14ac:dyDescent="0.25">
      <c r="A153" s="618"/>
      <c r="B153" s="436" t="s">
        <v>933</v>
      </c>
      <c r="C153" s="899" t="s">
        <v>1012</v>
      </c>
      <c r="D153" s="675" t="s">
        <v>1013</v>
      </c>
      <c r="E153" s="642"/>
      <c r="F153" s="684" t="s">
        <v>996</v>
      </c>
      <c r="G153" s="675" t="s">
        <v>1012</v>
      </c>
      <c r="H153" s="675" t="s">
        <v>970</v>
      </c>
      <c r="I153" s="685" t="s">
        <v>1014</v>
      </c>
      <c r="J153" s="686" t="s">
        <v>1015</v>
      </c>
      <c r="K153" s="687" t="s">
        <v>1016</v>
      </c>
      <c r="L153" s="685"/>
      <c r="M153" s="688" t="s">
        <v>1017</v>
      </c>
      <c r="N153" s="679"/>
      <c r="Q153" s="404" t="s">
        <v>457</v>
      </c>
    </row>
    <row r="154" spans="1:25" x14ac:dyDescent="0.25">
      <c r="A154" s="618"/>
      <c r="B154" s="436" t="s">
        <v>936</v>
      </c>
      <c r="E154" s="640"/>
      <c r="F154" s="642"/>
      <c r="H154" s="642"/>
      <c r="I154" s="642"/>
      <c r="J154" s="680"/>
      <c r="L154" s="645"/>
      <c r="M154" s="689"/>
    </row>
    <row r="155" spans="1:25" x14ac:dyDescent="0.25">
      <c r="I155" s="690"/>
    </row>
    <row r="156" spans="1:25" ht="15.75" thickBot="1" x14ac:dyDescent="0.3">
      <c r="A156" s="691" t="s">
        <v>1018</v>
      </c>
      <c r="B156" s="623"/>
      <c r="C156" s="623"/>
      <c r="D156" s="623"/>
      <c r="E156" s="623"/>
      <c r="F156" s="623"/>
      <c r="G156" s="623"/>
      <c r="H156" s="623"/>
      <c r="I156" s="623"/>
      <c r="J156" s="623"/>
    </row>
    <row r="157" spans="1:25" ht="15.75" thickBot="1" x14ac:dyDescent="0.3">
      <c r="A157" s="630" t="s">
        <v>922</v>
      </c>
      <c r="B157" s="630" t="s">
        <v>767</v>
      </c>
      <c r="J157" s="692"/>
    </row>
    <row r="159" spans="1:25" ht="15.75" thickBot="1" x14ac:dyDescent="0.3">
      <c r="A159" s="623" t="s">
        <v>1019</v>
      </c>
      <c r="B159" s="623"/>
      <c r="C159" s="623"/>
      <c r="D159" s="623"/>
      <c r="E159" s="623"/>
      <c r="F159" s="623"/>
      <c r="G159" s="623"/>
      <c r="H159" s="623"/>
      <c r="I159" s="623"/>
      <c r="J159" s="623"/>
    </row>
    <row r="160" spans="1:25" ht="15.75" thickBot="1" x14ac:dyDescent="0.3">
      <c r="A160" s="630" t="s">
        <v>1020</v>
      </c>
      <c r="B160" s="630" t="s">
        <v>1021</v>
      </c>
      <c r="J160" s="692"/>
    </row>
    <row r="162" spans="1:22" ht="15.75" thickBot="1" x14ac:dyDescent="0.3">
      <c r="A162" s="691" t="s">
        <v>1235</v>
      </c>
      <c r="B162" s="693"/>
      <c r="C162" s="693"/>
      <c r="D162" s="693"/>
      <c r="E162" s="693"/>
      <c r="F162" s="623"/>
      <c r="G162" s="623"/>
      <c r="H162" s="623"/>
      <c r="I162" s="623"/>
      <c r="J162" s="623"/>
    </row>
    <row r="163" spans="1:22" ht="15.75" thickBot="1" x14ac:dyDescent="0.3">
      <c r="A163" s="629" t="s">
        <v>1022</v>
      </c>
      <c r="B163" s="629" t="s">
        <v>1023</v>
      </c>
      <c r="C163" s="629" t="s">
        <v>980</v>
      </c>
      <c r="D163" s="629" t="s">
        <v>1024</v>
      </c>
      <c r="E163" s="629" t="s">
        <v>954</v>
      </c>
      <c r="F163" s="629" t="s">
        <v>955</v>
      </c>
      <c r="G163" s="629" t="s">
        <v>956</v>
      </c>
      <c r="H163" s="629" t="s">
        <v>957</v>
      </c>
      <c r="I163" s="629" t="s">
        <v>958</v>
      </c>
      <c r="J163" s="629" t="s">
        <v>1025</v>
      </c>
      <c r="K163" s="629" t="s">
        <v>1026</v>
      </c>
      <c r="L163" s="629" t="s">
        <v>1027</v>
      </c>
      <c r="M163" s="629" t="s">
        <v>1028</v>
      </c>
      <c r="N163" s="629" t="s">
        <v>1029</v>
      </c>
      <c r="O163" s="629" t="s">
        <v>1030</v>
      </c>
      <c r="P163" s="629" t="s">
        <v>1031</v>
      </c>
      <c r="Q163" s="629" t="s">
        <v>1032</v>
      </c>
      <c r="R163" s="629" t="s">
        <v>1033</v>
      </c>
      <c r="S163" s="629" t="s">
        <v>1034</v>
      </c>
      <c r="T163" s="629" t="s">
        <v>1035</v>
      </c>
      <c r="U163" s="629" t="s">
        <v>1036</v>
      </c>
      <c r="V163" s="694" t="s">
        <v>1037</v>
      </c>
    </row>
    <row r="165" spans="1:22" ht="15.75" thickBot="1" x14ac:dyDescent="0.3">
      <c r="A165" s="623" t="s">
        <v>1038</v>
      </c>
    </row>
    <row r="166" spans="1:22" ht="15.75" thickBot="1" x14ac:dyDescent="0.3">
      <c r="A166" s="629" t="s">
        <v>69</v>
      </c>
      <c r="B166" s="629" t="s">
        <v>898</v>
      </c>
      <c r="C166" s="629" t="s">
        <v>1024</v>
      </c>
      <c r="D166" s="629" t="s">
        <v>1029</v>
      </c>
      <c r="E166" s="629" t="s">
        <v>954</v>
      </c>
      <c r="F166" s="629" t="s">
        <v>955</v>
      </c>
      <c r="G166" s="629" t="s">
        <v>956</v>
      </c>
      <c r="H166" s="629" t="s">
        <v>957</v>
      </c>
      <c r="I166" s="629" t="s">
        <v>958</v>
      </c>
      <c r="J166" s="629" t="s">
        <v>1032</v>
      </c>
      <c r="K166" s="629" t="s">
        <v>1033</v>
      </c>
      <c r="L166" s="629" t="s">
        <v>1034</v>
      </c>
      <c r="M166" s="629" t="s">
        <v>1035</v>
      </c>
      <c r="N166" s="629" t="s">
        <v>1036</v>
      </c>
    </row>
    <row r="168" spans="1:22" ht="15.75" thickBot="1" x14ac:dyDescent="0.3">
      <c r="A168" s="623" t="s">
        <v>1039</v>
      </c>
    </row>
    <row r="169" spans="1:22" ht="15.75" thickBot="1" x14ac:dyDescent="0.3">
      <c r="A169" s="629" t="s">
        <v>1040</v>
      </c>
      <c r="B169" s="629" t="s">
        <v>898</v>
      </c>
      <c r="C169" s="629" t="s">
        <v>1041</v>
      </c>
    </row>
    <row r="170" spans="1:22" x14ac:dyDescent="0.25">
      <c r="A170" s="431" t="s">
        <v>245</v>
      </c>
      <c r="B170" s="431" t="s">
        <v>1042</v>
      </c>
      <c r="C170" s="431" t="s">
        <v>930</v>
      </c>
    </row>
    <row r="171" spans="1:22" ht="15.75" thickBot="1" x14ac:dyDescent="0.3">
      <c r="A171" s="431"/>
      <c r="B171" s="431"/>
    </row>
    <row r="172" spans="1:22" ht="15.75" thickBot="1" x14ac:dyDescent="0.3">
      <c r="A172" s="695" t="s">
        <v>1043</v>
      </c>
      <c r="B172" s="431"/>
      <c r="I172" s="696" t="s">
        <v>111</v>
      </c>
      <c r="N172" s="697" t="s">
        <v>878</v>
      </c>
    </row>
    <row r="173" spans="1:22" s="434" customFormat="1" ht="25.5" x14ac:dyDescent="0.25">
      <c r="A173" s="436" t="s">
        <v>741</v>
      </c>
      <c r="B173" s="698" t="s">
        <v>1044</v>
      </c>
      <c r="C173" s="588" t="s">
        <v>1045</v>
      </c>
      <c r="D173" s="699" t="s">
        <v>1046</v>
      </c>
      <c r="E173" s="699" t="s">
        <v>1047</v>
      </c>
      <c r="F173" s="700" t="s">
        <v>1048</v>
      </c>
      <c r="G173" s="700" t="s">
        <v>1049</v>
      </c>
      <c r="H173" s="700" t="s">
        <v>1050</v>
      </c>
      <c r="I173" s="701" t="s">
        <v>1051</v>
      </c>
      <c r="J173" s="702" t="s">
        <v>1052</v>
      </c>
      <c r="K173" s="703" t="s">
        <v>1053</v>
      </c>
      <c r="L173" s="704" t="s">
        <v>1054</v>
      </c>
      <c r="M173" s="704" t="s">
        <v>1055</v>
      </c>
      <c r="N173" s="704" t="s">
        <v>261</v>
      </c>
    </row>
    <row r="174" spans="1:22" s="434" customFormat="1" x14ac:dyDescent="0.25">
      <c r="A174" s="449" t="s">
        <v>1230</v>
      </c>
      <c r="B174" s="606"/>
      <c r="C174" s="607"/>
    </row>
    <row r="175" spans="1:22" s="434" customFormat="1" x14ac:dyDescent="0.25">
      <c r="A175" s="436" t="s">
        <v>771</v>
      </c>
      <c r="B175" s="455">
        <v>1</v>
      </c>
      <c r="C175" s="455">
        <v>5</v>
      </c>
      <c r="D175" s="705">
        <v>45</v>
      </c>
      <c r="E175" s="705">
        <v>5</v>
      </c>
      <c r="F175" s="705">
        <v>7</v>
      </c>
      <c r="G175" s="705">
        <v>16</v>
      </c>
      <c r="H175" s="705">
        <v>10</v>
      </c>
      <c r="I175" s="705" t="s">
        <v>1056</v>
      </c>
      <c r="J175" s="705" t="s">
        <v>1057</v>
      </c>
      <c r="K175" s="705">
        <v>10</v>
      </c>
      <c r="L175" s="705" t="s">
        <v>1058</v>
      </c>
      <c r="M175" s="705" t="s">
        <v>926</v>
      </c>
      <c r="N175" s="705" t="s">
        <v>926</v>
      </c>
    </row>
    <row r="176" spans="1:22" s="434" customFormat="1" x14ac:dyDescent="0.25">
      <c r="A176" s="436" t="s">
        <v>773</v>
      </c>
      <c r="B176" s="706" t="s">
        <v>1059</v>
      </c>
      <c r="C176" s="455" t="s">
        <v>1060</v>
      </c>
      <c r="D176" s="455">
        <v>13</v>
      </c>
      <c r="E176" s="455">
        <v>14</v>
      </c>
      <c r="F176" s="455">
        <v>15</v>
      </c>
      <c r="G176" s="455">
        <v>16</v>
      </c>
      <c r="H176" s="455">
        <v>17</v>
      </c>
      <c r="I176" s="455">
        <v>18</v>
      </c>
      <c r="J176" s="455">
        <v>19</v>
      </c>
      <c r="K176" s="455">
        <v>20</v>
      </c>
      <c r="L176" s="455">
        <v>21</v>
      </c>
      <c r="M176" s="455">
        <v>22</v>
      </c>
      <c r="N176" s="455">
        <v>23</v>
      </c>
    </row>
    <row r="177" spans="1:39" s="633" customFormat="1" x14ac:dyDescent="0.25">
      <c r="A177" s="707" t="s">
        <v>774</v>
      </c>
      <c r="L177" s="633" t="s">
        <v>934</v>
      </c>
      <c r="M177" s="633" t="s">
        <v>934</v>
      </c>
      <c r="N177" s="633" t="s">
        <v>1061</v>
      </c>
    </row>
    <row r="178" spans="1:39" s="431" customFormat="1" x14ac:dyDescent="0.25">
      <c r="A178" s="436" t="s">
        <v>782</v>
      </c>
      <c r="C178" s="431" t="s">
        <v>1062</v>
      </c>
    </row>
    <row r="180" spans="1:39" s="434" customFormat="1" ht="25.5" x14ac:dyDescent="0.25">
      <c r="A180" s="436" t="s">
        <v>741</v>
      </c>
      <c r="B180" s="588" t="s">
        <v>1063</v>
      </c>
      <c r="C180" s="588" t="s">
        <v>1064</v>
      </c>
      <c r="D180" s="588" t="s">
        <v>1045</v>
      </c>
      <c r="E180" s="589" t="s">
        <v>869</v>
      </c>
      <c r="F180" s="590" t="s">
        <v>870</v>
      </c>
      <c r="G180" s="591" t="s">
        <v>871</v>
      </c>
      <c r="H180" s="588" t="s">
        <v>1065</v>
      </c>
      <c r="I180" s="588" t="s">
        <v>800</v>
      </c>
      <c r="J180" s="588" t="s">
        <v>872</v>
      </c>
      <c r="K180" s="588" t="s">
        <v>1066</v>
      </c>
      <c r="M180" s="592" t="s">
        <v>873</v>
      </c>
      <c r="N180" s="593" t="s">
        <v>874</v>
      </c>
      <c r="O180" s="594"/>
      <c r="P180" s="595" t="s">
        <v>102</v>
      </c>
      <c r="Q180" s="596" t="s">
        <v>875</v>
      </c>
      <c r="R180" s="595" t="s">
        <v>106</v>
      </c>
      <c r="S180" s="595" t="s">
        <v>52</v>
      </c>
      <c r="T180" s="595" t="s">
        <v>109</v>
      </c>
      <c r="U180" s="597" t="s">
        <v>111</v>
      </c>
      <c r="V180" s="598" t="s">
        <v>876</v>
      </c>
      <c r="W180" s="599" t="s">
        <v>877</v>
      </c>
      <c r="X180" s="595" t="s">
        <v>878</v>
      </c>
      <c r="Y180" s="600" t="s">
        <v>94</v>
      </c>
      <c r="Z180" s="601" t="s">
        <v>94</v>
      </c>
      <c r="AA180" s="601" t="s">
        <v>94</v>
      </c>
      <c r="AB180" s="601" t="s">
        <v>94</v>
      </c>
      <c r="AC180" s="595" t="s">
        <v>94</v>
      </c>
      <c r="AD180" s="595" t="s">
        <v>879</v>
      </c>
      <c r="AE180" s="595"/>
      <c r="AF180" s="595" t="s">
        <v>94</v>
      </c>
      <c r="AG180" s="595" t="s">
        <v>94</v>
      </c>
      <c r="AH180" s="602" t="s">
        <v>880</v>
      </c>
      <c r="AI180" s="603" t="s">
        <v>94</v>
      </c>
      <c r="AJ180" s="595" t="s">
        <v>94</v>
      </c>
      <c r="AK180" s="595" t="s">
        <v>94</v>
      </c>
      <c r="AL180" s="604" t="s">
        <v>881</v>
      </c>
      <c r="AM180" s="605"/>
    </row>
    <row r="181" spans="1:39" s="434" customFormat="1" x14ac:dyDescent="0.25">
      <c r="A181" s="449" t="s">
        <v>769</v>
      </c>
      <c r="B181" s="606"/>
      <c r="C181" s="606" t="str">
        <f>IF(B181&lt;&gt;"",1,"")</f>
        <v/>
      </c>
      <c r="D181" s="607"/>
      <c r="E181" s="708"/>
      <c r="F181" s="451"/>
      <c r="G181" s="610">
        <f>U181</f>
        <v>0</v>
      </c>
      <c r="H181" s="452"/>
      <c r="I181" s="456"/>
    </row>
    <row r="182" spans="1:39" s="434" customFormat="1" x14ac:dyDescent="0.25">
      <c r="A182" s="436" t="s">
        <v>771</v>
      </c>
      <c r="B182" s="455">
        <v>1</v>
      </c>
      <c r="C182" s="455"/>
      <c r="D182" s="455">
        <v>5</v>
      </c>
      <c r="E182" s="455">
        <v>8</v>
      </c>
      <c r="F182" s="455">
        <v>13</v>
      </c>
      <c r="G182" s="455">
        <v>14</v>
      </c>
      <c r="H182" s="455">
        <v>11</v>
      </c>
      <c r="I182" s="456">
        <v>20</v>
      </c>
      <c r="J182" s="457">
        <v>15</v>
      </c>
      <c r="K182" s="457">
        <v>10</v>
      </c>
      <c r="L182" s="457">
        <v>6</v>
      </c>
      <c r="M182" s="457">
        <v>6</v>
      </c>
      <c r="N182" s="457">
        <v>10</v>
      </c>
      <c r="O182" s="457">
        <v>1</v>
      </c>
      <c r="P182" s="457">
        <v>45</v>
      </c>
      <c r="Q182" s="457"/>
      <c r="R182" s="457">
        <v>13</v>
      </c>
      <c r="S182" s="457">
        <v>16</v>
      </c>
      <c r="T182" s="457">
        <v>10</v>
      </c>
      <c r="U182" s="457">
        <v>10</v>
      </c>
      <c r="V182" s="457">
        <v>10</v>
      </c>
      <c r="W182" s="457">
        <v>10</v>
      </c>
      <c r="X182" s="457">
        <v>10</v>
      </c>
      <c r="Y182" s="457">
        <v>10</v>
      </c>
      <c r="Z182" s="457">
        <v>0</v>
      </c>
      <c r="AA182" s="457">
        <v>0</v>
      </c>
      <c r="AB182" s="457">
        <v>0</v>
      </c>
      <c r="AC182" s="457">
        <v>0</v>
      </c>
      <c r="AD182" s="457">
        <v>0</v>
      </c>
      <c r="AE182" s="457"/>
      <c r="AF182" s="457">
        <v>0</v>
      </c>
      <c r="AG182" s="457">
        <v>0</v>
      </c>
      <c r="AH182" s="457">
        <v>0</v>
      </c>
      <c r="AI182" s="457">
        <v>0</v>
      </c>
      <c r="AJ182" s="457">
        <v>0</v>
      </c>
      <c r="AK182" s="457">
        <v>0</v>
      </c>
      <c r="AL182" s="457">
        <v>0</v>
      </c>
      <c r="AM182" s="457">
        <v>0</v>
      </c>
    </row>
    <row r="183" spans="1:39" s="434" customFormat="1" x14ac:dyDescent="0.25">
      <c r="A183" s="436" t="s">
        <v>773</v>
      </c>
      <c r="B183" s="455">
        <v>5</v>
      </c>
      <c r="C183" s="455"/>
      <c r="D183" s="455">
        <v>1</v>
      </c>
      <c r="E183" s="455">
        <v>2</v>
      </c>
      <c r="F183" s="455">
        <v>2</v>
      </c>
      <c r="G183" s="455"/>
      <c r="H183" s="455">
        <v>2</v>
      </c>
      <c r="I183" s="434">
        <v>2</v>
      </c>
      <c r="J183" s="434">
        <v>2</v>
      </c>
      <c r="K183" s="455">
        <v>2</v>
      </c>
      <c r="L183" s="456">
        <v>-1</v>
      </c>
      <c r="M183" s="455"/>
      <c r="P183" s="455"/>
      <c r="Q183" s="455"/>
      <c r="R183" s="457"/>
      <c r="S183" s="457"/>
      <c r="T183" s="457"/>
      <c r="U183" s="457"/>
      <c r="V183" s="457"/>
      <c r="W183" s="457"/>
      <c r="X183" s="457"/>
      <c r="Y183" s="457"/>
      <c r="Z183" s="457"/>
      <c r="AA183" s="458"/>
      <c r="AB183" s="457"/>
      <c r="AC183" s="457"/>
      <c r="AD183" s="457"/>
      <c r="AE183" s="457"/>
      <c r="AF183" s="457"/>
      <c r="AG183" s="457"/>
      <c r="AH183" s="457"/>
    </row>
    <row r="184" spans="1:39" s="434" customFormat="1" ht="44.25" customHeight="1" x14ac:dyDescent="0.25">
      <c r="A184" s="436" t="s">
        <v>774</v>
      </c>
      <c r="B184" s="709"/>
      <c r="C184" s="710" t="s">
        <v>1067</v>
      </c>
      <c r="D184" s="711" t="s">
        <v>1068</v>
      </c>
      <c r="E184" s="712" t="s">
        <v>1069</v>
      </c>
      <c r="F184" s="712" t="s">
        <v>1070</v>
      </c>
      <c r="G184" s="455"/>
      <c r="H184" s="712" t="s">
        <v>909</v>
      </c>
      <c r="I184" s="712" t="s">
        <v>908</v>
      </c>
      <c r="J184" s="709" t="s">
        <v>911</v>
      </c>
      <c r="K184" s="709" t="s">
        <v>1071</v>
      </c>
      <c r="L184" s="455"/>
      <c r="M184" s="455"/>
      <c r="P184" s="713" t="s">
        <v>884</v>
      </c>
      <c r="Q184" s="713"/>
      <c r="R184" s="457"/>
      <c r="S184" s="457"/>
      <c r="T184" s="457"/>
      <c r="U184" s="457"/>
      <c r="V184" s="457"/>
      <c r="W184" s="457"/>
      <c r="X184" s="457"/>
      <c r="Y184" s="457"/>
      <c r="Z184" s="457"/>
      <c r="AA184" s="458"/>
      <c r="AB184" s="457"/>
      <c r="AC184" s="457"/>
      <c r="AD184" s="457"/>
      <c r="AE184" s="457"/>
      <c r="AF184" s="457"/>
      <c r="AG184" s="457"/>
      <c r="AH184" s="457"/>
    </row>
    <row r="185" spans="1:39" s="434" customFormat="1" x14ac:dyDescent="0.25">
      <c r="A185" s="436" t="s">
        <v>782</v>
      </c>
      <c r="B185" s="455" t="s">
        <v>885</v>
      </c>
      <c r="C185" s="455"/>
      <c r="D185" s="455"/>
      <c r="E185" s="466"/>
      <c r="F185" s="466"/>
      <c r="G185" s="466"/>
      <c r="H185" s="466"/>
      <c r="I185" s="456"/>
      <c r="J185" s="455"/>
      <c r="K185" s="455"/>
      <c r="L185" s="455"/>
      <c r="M185" s="455"/>
      <c r="P185" s="455"/>
      <c r="Q185" s="455"/>
      <c r="R185" s="457"/>
      <c r="S185" s="457"/>
      <c r="T185" s="457"/>
      <c r="U185" s="457"/>
      <c r="V185" s="457"/>
      <c r="W185" s="457"/>
      <c r="X185" s="457"/>
      <c r="Y185" s="457"/>
      <c r="Z185" s="457"/>
      <c r="AA185" s="458"/>
      <c r="AB185" s="457"/>
      <c r="AC185" s="457"/>
      <c r="AD185" s="457"/>
      <c r="AE185" s="457"/>
      <c r="AF185" s="457"/>
      <c r="AG185" s="457"/>
      <c r="AH185" s="457"/>
    </row>
    <row r="187" spans="1:39" ht="15.75" thickBot="1" x14ac:dyDescent="0.3">
      <c r="A187" s="695" t="s">
        <v>1072</v>
      </c>
      <c r="B187" s="431"/>
    </row>
    <row r="188" spans="1:39" ht="29.25" customHeight="1" thickBot="1" x14ac:dyDescent="0.3">
      <c r="A188" s="436" t="s">
        <v>741</v>
      </c>
      <c r="B188" s="714" t="s">
        <v>1073</v>
      </c>
      <c r="C188" s="714" t="s">
        <v>1074</v>
      </c>
      <c r="D188" s="714" t="s">
        <v>1075</v>
      </c>
      <c r="E188" s="714" t="s">
        <v>870</v>
      </c>
      <c r="F188" s="714" t="s">
        <v>109</v>
      </c>
      <c r="G188" s="714" t="s">
        <v>800</v>
      </c>
      <c r="H188" s="714" t="s">
        <v>127</v>
      </c>
      <c r="I188" s="714" t="s">
        <v>1076</v>
      </c>
      <c r="J188" s="714" t="s">
        <v>1077</v>
      </c>
      <c r="K188" s="714" t="s">
        <v>1078</v>
      </c>
      <c r="L188" s="715" t="s">
        <v>924</v>
      </c>
      <c r="M188" s="714" t="s">
        <v>1079</v>
      </c>
    </row>
    <row r="189" spans="1:39" s="431" customFormat="1" x14ac:dyDescent="0.25">
      <c r="A189" s="449" t="s">
        <v>1230</v>
      </c>
      <c r="B189" s="431" t="s">
        <v>1080</v>
      </c>
      <c r="C189" s="431" t="s">
        <v>1081</v>
      </c>
      <c r="D189" s="431" t="s">
        <v>1082</v>
      </c>
      <c r="E189" s="451" t="s">
        <v>1083</v>
      </c>
      <c r="F189" s="431" t="s">
        <v>386</v>
      </c>
      <c r="G189" s="431" t="s">
        <v>1084</v>
      </c>
      <c r="H189" s="431" t="s">
        <v>1085</v>
      </c>
      <c r="I189" s="431" t="s">
        <v>1086</v>
      </c>
      <c r="J189" s="431" t="s">
        <v>1087</v>
      </c>
      <c r="K189" s="633" t="s">
        <v>170</v>
      </c>
      <c r="L189" s="716" t="str">
        <f>H189&amp;" "&amp;C189&amp;" "&amp;B189</f>
        <v>394-1234567 7749/169409 04.04.2013 14:26:36</v>
      </c>
      <c r="M189" s="633" t="s">
        <v>170</v>
      </c>
      <c r="N189" s="408"/>
    </row>
    <row r="190" spans="1:39" s="431" customFormat="1" x14ac:dyDescent="0.25">
      <c r="A190" s="436" t="s">
        <v>771</v>
      </c>
      <c r="B190" s="633" t="s">
        <v>940</v>
      </c>
      <c r="C190" s="633" t="s">
        <v>1057</v>
      </c>
      <c r="D190" s="633" t="s">
        <v>166</v>
      </c>
      <c r="E190" s="633" t="s">
        <v>930</v>
      </c>
      <c r="F190" s="633" t="s">
        <v>81</v>
      </c>
      <c r="G190" s="633" t="s">
        <v>51</v>
      </c>
      <c r="H190" s="633" t="s">
        <v>177</v>
      </c>
      <c r="I190" s="633" t="s">
        <v>166</v>
      </c>
      <c r="J190" s="633" t="s">
        <v>51</v>
      </c>
      <c r="K190" s="633" t="s">
        <v>1088</v>
      </c>
      <c r="L190" s="717" t="s">
        <v>1089</v>
      </c>
      <c r="M190" s="633" t="s">
        <v>1090</v>
      </c>
      <c r="N190" s="408"/>
    </row>
    <row r="191" spans="1:39" s="431" customFormat="1" x14ac:dyDescent="0.25">
      <c r="A191" s="436" t="s">
        <v>773</v>
      </c>
      <c r="B191" s="431" t="s">
        <v>170</v>
      </c>
      <c r="C191" s="431" t="s">
        <v>170</v>
      </c>
      <c r="D191" s="633" t="s">
        <v>883</v>
      </c>
      <c r="E191" s="633" t="s">
        <v>883</v>
      </c>
      <c r="F191" s="633" t="s">
        <v>883</v>
      </c>
      <c r="G191" s="633" t="s">
        <v>883</v>
      </c>
      <c r="H191" s="718" t="s">
        <v>1059</v>
      </c>
      <c r="I191" s="633" t="s">
        <v>1091</v>
      </c>
      <c r="J191" s="718" t="s">
        <v>1092</v>
      </c>
      <c r="K191" s="718" t="s">
        <v>1093</v>
      </c>
      <c r="L191" s="718" t="s">
        <v>1094</v>
      </c>
      <c r="M191" s="431" t="s">
        <v>170</v>
      </c>
      <c r="N191" s="408"/>
    </row>
    <row r="192" spans="1:39" s="431" customFormat="1" x14ac:dyDescent="0.25">
      <c r="A192" s="707" t="s">
        <v>774</v>
      </c>
      <c r="B192" s="431" t="s">
        <v>1095</v>
      </c>
      <c r="C192" s="898" t="s">
        <v>1096</v>
      </c>
      <c r="L192" s="719"/>
      <c r="N192" s="408"/>
    </row>
    <row r="193" spans="1:18" s="431" customFormat="1" x14ac:dyDescent="0.25">
      <c r="A193" s="436" t="s">
        <v>782</v>
      </c>
      <c r="D193" s="720" t="s">
        <v>885</v>
      </c>
      <c r="E193" s="431" t="s">
        <v>1097</v>
      </c>
      <c r="F193" s="431" t="s">
        <v>1098</v>
      </c>
      <c r="G193" s="431" t="s">
        <v>1099</v>
      </c>
      <c r="I193" s="721" t="s">
        <v>1100</v>
      </c>
      <c r="L193" s="722"/>
    </row>
    <row r="195" spans="1:18" x14ac:dyDescent="0.25">
      <c r="A195" s="695" t="s">
        <v>1101</v>
      </c>
      <c r="B195" s="431"/>
    </row>
    <row r="196" spans="1:18" s="434" customFormat="1" x14ac:dyDescent="0.25">
      <c r="A196" s="436" t="s">
        <v>741</v>
      </c>
      <c r="B196" s="723" t="s">
        <v>127</v>
      </c>
      <c r="C196" s="724" t="s">
        <v>1102</v>
      </c>
      <c r="D196" s="633"/>
      <c r="E196" s="633"/>
      <c r="F196" s="633"/>
      <c r="G196" s="408"/>
      <c r="H196" s="408"/>
      <c r="I196" s="408"/>
      <c r="J196" s="408"/>
      <c r="K196" s="408"/>
      <c r="L196" s="408"/>
      <c r="M196" s="408"/>
      <c r="N196" s="408"/>
    </row>
    <row r="197" spans="1:18" s="434" customFormat="1" x14ac:dyDescent="0.25">
      <c r="A197" s="449" t="s">
        <v>1230</v>
      </c>
      <c r="B197" s="725"/>
      <c r="C197" s="725"/>
      <c r="D197" s="633"/>
      <c r="E197" s="633"/>
      <c r="F197" s="633"/>
      <c r="G197" s="408"/>
      <c r="H197" s="408"/>
      <c r="I197" s="408"/>
      <c r="J197" s="408"/>
      <c r="K197" s="408"/>
      <c r="L197" s="408"/>
      <c r="M197" s="408"/>
      <c r="N197" s="408"/>
    </row>
    <row r="198" spans="1:18" s="434" customFormat="1" x14ac:dyDescent="0.25">
      <c r="A198" s="436" t="s">
        <v>771</v>
      </c>
      <c r="B198" s="455" t="s">
        <v>1103</v>
      </c>
      <c r="C198" s="455" t="s">
        <v>926</v>
      </c>
      <c r="D198" s="633"/>
      <c r="E198" s="633"/>
      <c r="F198" s="633"/>
      <c r="G198" s="408"/>
      <c r="H198" s="408"/>
      <c r="I198" s="408"/>
      <c r="J198" s="408"/>
      <c r="K198" s="408"/>
      <c r="L198" s="408"/>
      <c r="M198" s="408"/>
      <c r="N198" s="408"/>
    </row>
    <row r="199" spans="1:18" s="434" customFormat="1" x14ac:dyDescent="0.25">
      <c r="A199" s="436" t="s">
        <v>773</v>
      </c>
      <c r="B199" s="680">
        <v>4</v>
      </c>
      <c r="C199" s="680">
        <v>7</v>
      </c>
      <c r="D199" s="633"/>
      <c r="E199" s="633"/>
      <c r="F199" s="633"/>
      <c r="G199" s="408"/>
      <c r="H199" s="408"/>
      <c r="I199" s="408"/>
      <c r="J199" s="408"/>
      <c r="K199" s="408"/>
      <c r="L199" s="408"/>
      <c r="M199" s="408"/>
      <c r="N199" s="408"/>
    </row>
    <row r="200" spans="1:18" s="633" customFormat="1" x14ac:dyDescent="0.25">
      <c r="A200" s="707" t="s">
        <v>774</v>
      </c>
      <c r="B200" s="633" t="s">
        <v>1104</v>
      </c>
      <c r="C200" s="713" t="s">
        <v>1105</v>
      </c>
      <c r="G200" s="408"/>
      <c r="H200" s="408"/>
      <c r="I200" s="408"/>
      <c r="J200" s="408"/>
      <c r="K200" s="408"/>
      <c r="L200" s="408"/>
      <c r="M200" s="408"/>
      <c r="N200" s="408"/>
    </row>
    <row r="201" spans="1:18" s="431" customFormat="1" x14ac:dyDescent="0.25">
      <c r="A201" s="436" t="s">
        <v>782</v>
      </c>
      <c r="C201" s="633"/>
      <c r="D201" s="633"/>
      <c r="E201" s="633"/>
      <c r="F201" s="633"/>
      <c r="G201" s="408"/>
      <c r="H201" s="408"/>
      <c r="I201" s="408"/>
      <c r="J201" s="408"/>
      <c r="K201" s="408"/>
      <c r="L201" s="408"/>
      <c r="M201" s="408"/>
      <c r="N201" s="408"/>
    </row>
    <row r="203" spans="1:18" x14ac:dyDescent="0.25">
      <c r="A203" s="695" t="s">
        <v>1106</v>
      </c>
      <c r="B203" s="431"/>
    </row>
    <row r="204" spans="1:18" s="434" customFormat="1" x14ac:dyDescent="0.25">
      <c r="A204" s="436" t="s">
        <v>741</v>
      </c>
      <c r="B204" s="726" t="s">
        <v>127</v>
      </c>
      <c r="C204" s="726" t="s">
        <v>1107</v>
      </c>
      <c r="D204" s="726" t="s">
        <v>1108</v>
      </c>
      <c r="E204" s="726" t="s">
        <v>1109</v>
      </c>
      <c r="F204" s="726" t="s">
        <v>1110</v>
      </c>
      <c r="G204" s="726" t="s">
        <v>1111</v>
      </c>
      <c r="H204" s="726" t="s">
        <v>1112</v>
      </c>
      <c r="I204" s="726" t="s">
        <v>1113</v>
      </c>
      <c r="J204" s="726" t="s">
        <v>1114</v>
      </c>
      <c r="K204" s="726" t="s">
        <v>421</v>
      </c>
      <c r="L204" s="726" t="s">
        <v>1115</v>
      </c>
      <c r="M204" s="726" t="s">
        <v>1116</v>
      </c>
      <c r="N204" s="726" t="s">
        <v>1117</v>
      </c>
      <c r="O204" s="726" t="s">
        <v>1118</v>
      </c>
      <c r="P204" s="726" t="s">
        <v>1119</v>
      </c>
      <c r="Q204" s="726" t="s">
        <v>1120</v>
      </c>
      <c r="R204" s="726" t="s">
        <v>1121</v>
      </c>
    </row>
    <row r="205" spans="1:18" s="434" customFormat="1" x14ac:dyDescent="0.25">
      <c r="A205" s="449" t="s">
        <v>1230</v>
      </c>
      <c r="B205" s="706" t="s">
        <v>1122</v>
      </c>
      <c r="C205" s="706" t="s">
        <v>1123</v>
      </c>
      <c r="D205" s="706"/>
      <c r="E205" s="706"/>
      <c r="F205" s="706"/>
      <c r="G205" s="706"/>
      <c r="H205" s="706"/>
      <c r="I205" s="706"/>
      <c r="J205" s="706"/>
      <c r="K205" s="706"/>
      <c r="L205" s="706" t="s">
        <v>1123</v>
      </c>
      <c r="M205" s="706"/>
      <c r="N205" s="706"/>
      <c r="O205" s="706" t="s">
        <v>1123</v>
      </c>
      <c r="P205" s="706"/>
      <c r="Q205" s="706"/>
      <c r="R205" s="706"/>
    </row>
    <row r="206" spans="1:18" s="434" customFormat="1" x14ac:dyDescent="0.25">
      <c r="A206" s="436" t="s">
        <v>771</v>
      </c>
      <c r="B206" s="455" t="s">
        <v>1103</v>
      </c>
      <c r="C206" s="455" t="s">
        <v>1103</v>
      </c>
      <c r="D206" s="455" t="s">
        <v>1103</v>
      </c>
      <c r="E206" s="455" t="s">
        <v>926</v>
      </c>
      <c r="F206" s="455" t="s">
        <v>772</v>
      </c>
      <c r="G206" s="455" t="s">
        <v>1124</v>
      </c>
      <c r="H206" s="455" t="s">
        <v>1125</v>
      </c>
      <c r="I206" s="455" t="s">
        <v>926</v>
      </c>
      <c r="J206" s="455" t="s">
        <v>926</v>
      </c>
      <c r="K206" s="455" t="s">
        <v>1125</v>
      </c>
      <c r="L206" s="455">
        <v>1</v>
      </c>
      <c r="M206" s="455" t="s">
        <v>926</v>
      </c>
      <c r="N206" s="455" t="s">
        <v>928</v>
      </c>
      <c r="O206" s="455" t="s">
        <v>928</v>
      </c>
      <c r="P206" s="455" t="s">
        <v>928</v>
      </c>
      <c r="Q206" s="455" t="s">
        <v>928</v>
      </c>
      <c r="R206" s="455" t="s">
        <v>928</v>
      </c>
    </row>
    <row r="207" spans="1:18" s="434" customFormat="1" x14ac:dyDescent="0.25">
      <c r="A207" s="436" t="s">
        <v>773</v>
      </c>
      <c r="B207" s="680"/>
      <c r="C207" s="680"/>
      <c r="D207" s="633"/>
      <c r="E207" s="633"/>
      <c r="F207" s="633"/>
      <c r="G207" s="633"/>
      <c r="H207" s="633"/>
      <c r="I207" s="633"/>
      <c r="J207" s="633"/>
      <c r="K207" s="408"/>
      <c r="L207" s="633"/>
      <c r="M207" s="633"/>
      <c r="N207" s="633"/>
      <c r="O207" s="633"/>
      <c r="P207" s="633"/>
      <c r="Q207" s="633"/>
      <c r="R207" s="408"/>
    </row>
    <row r="208" spans="1:18" s="633" customFormat="1" x14ac:dyDescent="0.25">
      <c r="A208" s="707" t="s">
        <v>774</v>
      </c>
      <c r="F208" s="408"/>
      <c r="G208" s="408"/>
      <c r="H208" s="408"/>
      <c r="I208" s="408"/>
      <c r="J208" s="408"/>
      <c r="K208" s="408"/>
      <c r="L208" s="408"/>
      <c r="M208" s="408"/>
    </row>
    <row r="209" spans="1:48" s="431" customFormat="1" x14ac:dyDescent="0.25">
      <c r="A209" s="436" t="s">
        <v>782</v>
      </c>
      <c r="C209" s="633"/>
      <c r="D209" s="633"/>
      <c r="E209" s="633"/>
      <c r="F209" s="408"/>
      <c r="G209" s="408"/>
      <c r="H209" s="408"/>
      <c r="I209" s="408"/>
      <c r="J209" s="408"/>
      <c r="K209" s="408"/>
      <c r="L209" s="408"/>
      <c r="M209" s="408"/>
    </row>
    <row r="210" spans="1:48" s="728" customFormat="1" x14ac:dyDescent="0.25">
      <c r="A210" s="727"/>
      <c r="C210" s="675"/>
      <c r="D210" s="675"/>
      <c r="E210" s="675"/>
      <c r="F210" s="690"/>
      <c r="G210" s="690"/>
      <c r="H210" s="690"/>
      <c r="I210" s="690"/>
      <c r="J210" s="690"/>
      <c r="K210" s="690"/>
      <c r="L210" s="690"/>
      <c r="M210" s="690"/>
    </row>
    <row r="211" spans="1:48" x14ac:dyDescent="0.25">
      <c r="A211" s="695" t="s">
        <v>1126</v>
      </c>
      <c r="B211" s="431"/>
    </row>
    <row r="212" spans="1:48" s="434" customFormat="1" x14ac:dyDescent="0.25">
      <c r="A212" s="436" t="s">
        <v>741</v>
      </c>
      <c r="B212" s="726" t="s">
        <v>127</v>
      </c>
      <c r="C212" s="726" t="s">
        <v>1107</v>
      </c>
      <c r="D212" s="726" t="s">
        <v>1108</v>
      </c>
      <c r="E212" s="726" t="s">
        <v>1109</v>
      </c>
      <c r="F212" s="726" t="s">
        <v>1110</v>
      </c>
      <c r="G212" s="726" t="s">
        <v>1111</v>
      </c>
      <c r="H212" s="726" t="s">
        <v>1112</v>
      </c>
      <c r="I212" s="726" t="s">
        <v>1113</v>
      </c>
      <c r="J212" s="726" t="s">
        <v>1114</v>
      </c>
      <c r="K212" s="726" t="s">
        <v>421</v>
      </c>
      <c r="L212" s="726" t="s">
        <v>1115</v>
      </c>
      <c r="M212" s="726" t="s">
        <v>1116</v>
      </c>
      <c r="N212" s="726" t="s">
        <v>1117</v>
      </c>
      <c r="O212" s="726" t="s">
        <v>1118</v>
      </c>
      <c r="P212" s="726" t="s">
        <v>1119</v>
      </c>
      <c r="Q212" s="726" t="s">
        <v>1120</v>
      </c>
      <c r="R212" s="726" t="s">
        <v>1121</v>
      </c>
    </row>
    <row r="213" spans="1:48" s="434" customFormat="1" x14ac:dyDescent="0.25">
      <c r="A213" s="449" t="s">
        <v>1230</v>
      </c>
      <c r="B213" s="706" t="s">
        <v>1122</v>
      </c>
      <c r="C213" s="706" t="s">
        <v>1123</v>
      </c>
      <c r="D213" s="706"/>
      <c r="E213" s="706"/>
      <c r="F213" s="706"/>
      <c r="G213" s="706"/>
      <c r="H213" s="706"/>
      <c r="I213" s="706"/>
      <c r="J213" s="706"/>
      <c r="K213" s="706"/>
      <c r="L213" s="706" t="s">
        <v>1123</v>
      </c>
      <c r="M213" s="706"/>
      <c r="N213" s="706"/>
      <c r="O213" s="706" t="s">
        <v>1123</v>
      </c>
      <c r="P213" s="706"/>
      <c r="Q213" s="706"/>
      <c r="R213" s="706"/>
    </row>
    <row r="214" spans="1:48" s="434" customFormat="1" x14ac:dyDescent="0.25">
      <c r="A214" s="436" t="s">
        <v>771</v>
      </c>
      <c r="B214" s="455" t="s">
        <v>1103</v>
      </c>
      <c r="C214" s="455" t="s">
        <v>1103</v>
      </c>
      <c r="D214" s="455" t="s">
        <v>1103</v>
      </c>
      <c r="E214" s="455" t="s">
        <v>926</v>
      </c>
      <c r="F214" s="455" t="s">
        <v>772</v>
      </c>
      <c r="G214" s="455" t="s">
        <v>1124</v>
      </c>
      <c r="H214" s="455" t="s">
        <v>1125</v>
      </c>
      <c r="I214" s="455" t="s">
        <v>926</v>
      </c>
      <c r="J214" s="455" t="s">
        <v>926</v>
      </c>
      <c r="K214" s="455" t="s">
        <v>1125</v>
      </c>
      <c r="L214" s="455">
        <v>1</v>
      </c>
      <c r="M214" s="455" t="s">
        <v>926</v>
      </c>
      <c r="N214" s="455" t="s">
        <v>928</v>
      </c>
      <c r="O214" s="455" t="s">
        <v>928</v>
      </c>
      <c r="P214" s="455" t="s">
        <v>928</v>
      </c>
      <c r="Q214" s="455" t="s">
        <v>928</v>
      </c>
      <c r="R214" s="455" t="s">
        <v>928</v>
      </c>
    </row>
    <row r="215" spans="1:48" s="434" customFormat="1" x14ac:dyDescent="0.25">
      <c r="A215" s="436" t="s">
        <v>773</v>
      </c>
      <c r="B215" s="680"/>
      <c r="C215" s="680"/>
      <c r="D215" s="633"/>
      <c r="E215" s="633"/>
      <c r="F215" s="633"/>
      <c r="G215" s="633"/>
      <c r="H215" s="633"/>
      <c r="I215" s="633"/>
      <c r="J215" s="633"/>
      <c r="K215" s="408"/>
      <c r="L215" s="633"/>
      <c r="M215" s="633"/>
      <c r="N215" s="633"/>
      <c r="O215" s="633"/>
      <c r="P215" s="633"/>
      <c r="Q215" s="633"/>
      <c r="R215" s="408"/>
    </row>
    <row r="216" spans="1:48" s="633" customFormat="1" x14ac:dyDescent="0.25">
      <c r="A216" s="707" t="s">
        <v>774</v>
      </c>
      <c r="F216" s="408"/>
      <c r="G216" s="408"/>
      <c r="H216" s="408"/>
      <c r="I216" s="408"/>
      <c r="J216" s="408"/>
      <c r="K216" s="408"/>
      <c r="L216" s="408"/>
      <c r="M216" s="408"/>
    </row>
    <row r="217" spans="1:48" s="431" customFormat="1" x14ac:dyDescent="0.25">
      <c r="A217" s="436" t="s">
        <v>782</v>
      </c>
      <c r="C217" s="633"/>
      <c r="D217" s="633"/>
      <c r="E217" s="633"/>
      <c r="F217" s="408"/>
      <c r="G217" s="408"/>
      <c r="H217" s="408"/>
      <c r="I217" s="408"/>
      <c r="J217" s="408"/>
      <c r="K217" s="408"/>
      <c r="L217" s="408"/>
      <c r="M217" s="408"/>
    </row>
    <row r="218" spans="1:48" s="728" customFormat="1" x14ac:dyDescent="0.25">
      <c r="A218" s="727"/>
      <c r="C218" s="675"/>
      <c r="D218" s="675"/>
      <c r="E218" s="675"/>
      <c r="F218" s="690"/>
      <c r="G218" s="690"/>
      <c r="H218" s="690"/>
      <c r="I218" s="690"/>
      <c r="J218" s="690"/>
      <c r="K218" s="690"/>
      <c r="L218" s="690"/>
      <c r="M218" s="690"/>
    </row>
    <row r="219" spans="1:48" ht="15.75" thickBot="1" x14ac:dyDescent="0.3">
      <c r="A219" s="695" t="s">
        <v>1127</v>
      </c>
      <c r="G219" s="640"/>
    </row>
    <row r="220" spans="1:48" ht="71.25" thickBot="1" x14ac:dyDescent="0.3">
      <c r="A220" s="729" t="s">
        <v>1128</v>
      </c>
      <c r="B220" s="730" t="s">
        <v>1129</v>
      </c>
      <c r="C220" s="731">
        <v>40057</v>
      </c>
      <c r="D220" s="731">
        <v>40087</v>
      </c>
      <c r="E220" s="731">
        <v>40118</v>
      </c>
      <c r="F220" s="731">
        <v>40148</v>
      </c>
      <c r="G220" s="732" t="s">
        <v>1130</v>
      </c>
      <c r="H220" s="731">
        <v>40179</v>
      </c>
      <c r="I220" s="731">
        <v>40210</v>
      </c>
      <c r="J220" s="731">
        <v>40238</v>
      </c>
      <c r="K220" s="731">
        <v>40269</v>
      </c>
      <c r="L220" s="731">
        <v>40299</v>
      </c>
      <c r="M220" s="731">
        <v>40330</v>
      </c>
      <c r="N220" s="731">
        <v>40360</v>
      </c>
      <c r="O220" s="731">
        <v>40391</v>
      </c>
      <c r="P220" s="731">
        <v>40422</v>
      </c>
      <c r="Q220" s="731">
        <v>40452</v>
      </c>
      <c r="R220" s="731">
        <v>40483</v>
      </c>
      <c r="S220" s="731">
        <v>40513</v>
      </c>
      <c r="T220" s="732" t="s">
        <v>1131</v>
      </c>
      <c r="U220" s="731">
        <v>40544</v>
      </c>
      <c r="V220" s="731">
        <v>40575</v>
      </c>
      <c r="W220" s="731">
        <v>40603</v>
      </c>
      <c r="X220" s="731">
        <v>40634</v>
      </c>
      <c r="Y220" s="731">
        <v>40664</v>
      </c>
      <c r="Z220" s="731">
        <v>40695</v>
      </c>
      <c r="AA220" s="731">
        <v>40725</v>
      </c>
      <c r="AB220" s="731">
        <v>40756</v>
      </c>
      <c r="AC220" s="731">
        <v>40787</v>
      </c>
      <c r="AD220" s="731">
        <v>40817</v>
      </c>
      <c r="AE220" s="731"/>
      <c r="AF220" s="731">
        <v>40848</v>
      </c>
      <c r="AG220" s="731">
        <v>40878</v>
      </c>
      <c r="AH220" s="732" t="s">
        <v>1132</v>
      </c>
      <c r="AI220" s="731">
        <v>40909</v>
      </c>
      <c r="AJ220" s="731">
        <v>40940</v>
      </c>
      <c r="AK220" s="731">
        <v>40969</v>
      </c>
      <c r="AL220" s="731">
        <v>41000</v>
      </c>
      <c r="AM220" s="731">
        <v>41030</v>
      </c>
      <c r="AN220" s="731">
        <v>41061</v>
      </c>
      <c r="AO220" s="731">
        <v>41091</v>
      </c>
      <c r="AP220" s="731">
        <v>41122</v>
      </c>
      <c r="AQ220" s="731">
        <v>41153</v>
      </c>
      <c r="AR220" s="731">
        <v>41183</v>
      </c>
      <c r="AS220" s="731">
        <v>41214</v>
      </c>
      <c r="AT220" s="731">
        <v>41244</v>
      </c>
      <c r="AU220" s="732" t="s">
        <v>1133</v>
      </c>
      <c r="AV220" s="733" t="s">
        <v>1134</v>
      </c>
    </row>
    <row r="221" spans="1:48" x14ac:dyDescent="0.25">
      <c r="A221" s="734" t="s">
        <v>626</v>
      </c>
      <c r="B221" s="735" t="s">
        <v>625</v>
      </c>
      <c r="C221" s="736"/>
      <c r="D221" s="736"/>
      <c r="E221" s="736"/>
      <c r="F221" s="737"/>
      <c r="G221" s="738">
        <f t="shared" ref="G221:G253" si="0">SUM(C221:F221)</f>
        <v>0</v>
      </c>
      <c r="H221" s="736"/>
      <c r="I221" s="736"/>
      <c r="J221" s="736"/>
      <c r="K221" s="736"/>
      <c r="L221" s="736"/>
      <c r="M221" s="736"/>
      <c r="N221" s="736"/>
      <c r="O221" s="736"/>
      <c r="P221" s="736"/>
      <c r="Q221" s="736"/>
      <c r="R221" s="736"/>
      <c r="S221" s="736"/>
      <c r="T221" s="738">
        <f t="shared" ref="T221:T253" si="1">SUM(H221:S221)</f>
        <v>0</v>
      </c>
      <c r="U221" s="736"/>
      <c r="V221" s="736"/>
      <c r="W221" s="736"/>
      <c r="X221" s="736"/>
      <c r="Y221" s="736"/>
      <c r="Z221" s="736"/>
      <c r="AA221" s="736"/>
      <c r="AB221" s="736"/>
      <c r="AC221" s="736"/>
      <c r="AD221" s="736"/>
      <c r="AE221" s="736"/>
      <c r="AF221" s="736"/>
      <c r="AG221" s="736"/>
      <c r="AH221" s="738">
        <f t="shared" ref="AH221:AH253" si="2">SUM(U221:AG221)</f>
        <v>0</v>
      </c>
      <c r="AI221" s="736"/>
      <c r="AJ221" s="736"/>
      <c r="AK221" s="736"/>
      <c r="AL221" s="736"/>
      <c r="AM221" s="736"/>
      <c r="AN221" s="736"/>
      <c r="AO221" s="736"/>
      <c r="AP221" s="736"/>
      <c r="AQ221" s="736"/>
      <c r="AR221" s="736"/>
      <c r="AS221" s="736"/>
      <c r="AT221" s="736"/>
      <c r="AU221" s="738">
        <f t="shared" ref="AU221:AU253" si="3">SUM(AI221:AT221)</f>
        <v>0</v>
      </c>
      <c r="AV221" s="739">
        <f t="shared" ref="AV221:AV253" si="4">G221+T221+AH221+AU221</f>
        <v>0</v>
      </c>
    </row>
    <row r="222" spans="1:48" x14ac:dyDescent="0.25">
      <c r="A222" s="734" t="s">
        <v>626</v>
      </c>
      <c r="B222" s="735" t="s">
        <v>629</v>
      </c>
      <c r="C222" s="740"/>
      <c r="D222" s="740"/>
      <c r="E222" s="740"/>
      <c r="F222" s="741"/>
      <c r="G222" s="742">
        <f t="shared" si="0"/>
        <v>0</v>
      </c>
      <c r="H222" s="740"/>
      <c r="I222" s="740"/>
      <c r="J222" s="740"/>
      <c r="K222" s="740"/>
      <c r="L222" s="740"/>
      <c r="M222" s="740"/>
      <c r="N222" s="740"/>
      <c r="O222" s="740"/>
      <c r="P222" s="740"/>
      <c r="Q222" s="740"/>
      <c r="R222" s="740"/>
      <c r="S222" s="740"/>
      <c r="T222" s="742">
        <f t="shared" si="1"/>
        <v>0</v>
      </c>
      <c r="U222" s="740"/>
      <c r="V222" s="740"/>
      <c r="W222" s="740"/>
      <c r="X222" s="740"/>
      <c r="Y222" s="740"/>
      <c r="Z222" s="740"/>
      <c r="AA222" s="740"/>
      <c r="AB222" s="740"/>
      <c r="AC222" s="740"/>
      <c r="AD222" s="740"/>
      <c r="AE222" s="740"/>
      <c r="AF222" s="740"/>
      <c r="AG222" s="740"/>
      <c r="AH222" s="742">
        <f t="shared" si="2"/>
        <v>0</v>
      </c>
      <c r="AI222" s="740"/>
      <c r="AJ222" s="740"/>
      <c r="AK222" s="740"/>
      <c r="AL222" s="740"/>
      <c r="AM222" s="740"/>
      <c r="AN222" s="740"/>
      <c r="AO222" s="740"/>
      <c r="AP222" s="740"/>
      <c r="AQ222" s="740"/>
      <c r="AR222" s="740"/>
      <c r="AS222" s="740"/>
      <c r="AT222" s="740"/>
      <c r="AU222" s="742">
        <f t="shared" si="3"/>
        <v>0</v>
      </c>
      <c r="AV222" s="739">
        <f t="shared" si="4"/>
        <v>0</v>
      </c>
    </row>
    <row r="223" spans="1:48" x14ac:dyDescent="0.25">
      <c r="A223" s="734" t="s">
        <v>626</v>
      </c>
      <c r="B223" s="735" t="s">
        <v>632</v>
      </c>
      <c r="C223" s="740"/>
      <c r="D223" s="740"/>
      <c r="E223" s="740"/>
      <c r="F223" s="741"/>
      <c r="G223" s="742">
        <f t="shared" si="0"/>
        <v>0</v>
      </c>
      <c r="H223" s="740"/>
      <c r="I223" s="740"/>
      <c r="J223" s="740"/>
      <c r="K223" s="740"/>
      <c r="L223" s="740"/>
      <c r="M223" s="740"/>
      <c r="N223" s="740"/>
      <c r="O223" s="740"/>
      <c r="P223" s="740"/>
      <c r="Q223" s="740"/>
      <c r="R223" s="740"/>
      <c r="S223" s="740"/>
      <c r="T223" s="742">
        <f t="shared" si="1"/>
        <v>0</v>
      </c>
      <c r="U223" s="740"/>
      <c r="V223" s="740"/>
      <c r="W223" s="740"/>
      <c r="X223" s="740"/>
      <c r="Y223" s="740"/>
      <c r="Z223" s="740"/>
      <c r="AA223" s="740"/>
      <c r="AB223" s="740"/>
      <c r="AC223" s="740"/>
      <c r="AD223" s="740"/>
      <c r="AE223" s="740"/>
      <c r="AF223" s="740"/>
      <c r="AG223" s="740"/>
      <c r="AH223" s="742">
        <f t="shared" si="2"/>
        <v>0</v>
      </c>
      <c r="AI223" s="740"/>
      <c r="AJ223" s="740"/>
      <c r="AK223" s="740"/>
      <c r="AL223" s="740"/>
      <c r="AM223" s="740"/>
      <c r="AN223" s="740"/>
      <c r="AO223" s="740"/>
      <c r="AP223" s="740"/>
      <c r="AQ223" s="740"/>
      <c r="AR223" s="740"/>
      <c r="AS223" s="740"/>
      <c r="AT223" s="740"/>
      <c r="AU223" s="742">
        <f t="shared" si="3"/>
        <v>0</v>
      </c>
      <c r="AV223" s="739">
        <f t="shared" si="4"/>
        <v>0</v>
      </c>
    </row>
    <row r="224" spans="1:48" x14ac:dyDescent="0.25">
      <c r="A224" s="743" t="s">
        <v>626</v>
      </c>
      <c r="B224" s="735" t="s">
        <v>634</v>
      </c>
      <c r="C224" s="740"/>
      <c r="D224" s="740"/>
      <c r="E224" s="740"/>
      <c r="F224" s="741"/>
      <c r="G224" s="742">
        <f t="shared" si="0"/>
        <v>0</v>
      </c>
      <c r="H224" s="740"/>
      <c r="I224" s="740"/>
      <c r="J224" s="740"/>
      <c r="K224" s="740"/>
      <c r="L224" s="740"/>
      <c r="M224" s="740"/>
      <c r="N224" s="740"/>
      <c r="O224" s="740"/>
      <c r="P224" s="740"/>
      <c r="Q224" s="740"/>
      <c r="R224" s="740"/>
      <c r="S224" s="740"/>
      <c r="T224" s="742">
        <f t="shared" si="1"/>
        <v>0</v>
      </c>
      <c r="U224" s="740"/>
      <c r="V224" s="740"/>
      <c r="W224" s="740"/>
      <c r="X224" s="740"/>
      <c r="Y224" s="740"/>
      <c r="Z224" s="740"/>
      <c r="AA224" s="740"/>
      <c r="AB224" s="740"/>
      <c r="AC224" s="740"/>
      <c r="AD224" s="740"/>
      <c r="AE224" s="740"/>
      <c r="AF224" s="740"/>
      <c r="AG224" s="740"/>
      <c r="AH224" s="742">
        <f t="shared" si="2"/>
        <v>0</v>
      </c>
      <c r="AI224" s="740"/>
      <c r="AJ224" s="740"/>
      <c r="AK224" s="740"/>
      <c r="AL224" s="740"/>
      <c r="AM224" s="740"/>
      <c r="AN224" s="740"/>
      <c r="AO224" s="740"/>
      <c r="AP224" s="740"/>
      <c r="AQ224" s="740"/>
      <c r="AR224" s="740"/>
      <c r="AS224" s="740"/>
      <c r="AT224" s="740"/>
      <c r="AU224" s="742">
        <f t="shared" si="3"/>
        <v>0</v>
      </c>
      <c r="AV224" s="739">
        <f t="shared" si="4"/>
        <v>0</v>
      </c>
    </row>
    <row r="225" spans="1:48" x14ac:dyDescent="0.25">
      <c r="A225" s="734" t="s">
        <v>626</v>
      </c>
      <c r="B225" s="735" t="s">
        <v>636</v>
      </c>
      <c r="C225" s="740"/>
      <c r="D225" s="740"/>
      <c r="E225" s="740"/>
      <c r="F225" s="741"/>
      <c r="G225" s="742">
        <f t="shared" si="0"/>
        <v>0</v>
      </c>
      <c r="H225" s="740"/>
      <c r="I225" s="740"/>
      <c r="J225" s="740"/>
      <c r="K225" s="740"/>
      <c r="L225" s="740"/>
      <c r="M225" s="740"/>
      <c r="N225" s="740"/>
      <c r="O225" s="740"/>
      <c r="P225" s="740"/>
      <c r="Q225" s="740"/>
      <c r="R225" s="740"/>
      <c r="S225" s="740"/>
      <c r="T225" s="742">
        <f t="shared" si="1"/>
        <v>0</v>
      </c>
      <c r="U225" s="740"/>
      <c r="V225" s="740"/>
      <c r="W225" s="740"/>
      <c r="X225" s="740"/>
      <c r="Y225" s="740"/>
      <c r="Z225" s="740"/>
      <c r="AA225" s="740"/>
      <c r="AB225" s="740"/>
      <c r="AC225" s="740"/>
      <c r="AD225" s="740"/>
      <c r="AE225" s="740"/>
      <c r="AF225" s="740"/>
      <c r="AG225" s="740"/>
      <c r="AH225" s="742">
        <f t="shared" si="2"/>
        <v>0</v>
      </c>
      <c r="AI225" s="740"/>
      <c r="AJ225" s="740"/>
      <c r="AK225" s="740"/>
      <c r="AL225" s="740"/>
      <c r="AM225" s="740"/>
      <c r="AN225" s="740"/>
      <c r="AO225" s="740"/>
      <c r="AP225" s="740"/>
      <c r="AQ225" s="740"/>
      <c r="AR225" s="740"/>
      <c r="AS225" s="740"/>
      <c r="AT225" s="740"/>
      <c r="AU225" s="742">
        <f t="shared" si="3"/>
        <v>0</v>
      </c>
      <c r="AV225" s="739">
        <f t="shared" si="4"/>
        <v>0</v>
      </c>
    </row>
    <row r="226" spans="1:48" x14ac:dyDescent="0.25">
      <c r="A226" s="734" t="s">
        <v>626</v>
      </c>
      <c r="B226" s="735" t="s">
        <v>639</v>
      </c>
      <c r="C226" s="740"/>
      <c r="D226" s="740"/>
      <c r="E226" s="740"/>
      <c r="F226" s="741"/>
      <c r="G226" s="742">
        <f t="shared" si="0"/>
        <v>0</v>
      </c>
      <c r="H226" s="740"/>
      <c r="I226" s="740"/>
      <c r="J226" s="740"/>
      <c r="K226" s="740"/>
      <c r="L226" s="740"/>
      <c r="M226" s="740"/>
      <c r="N226" s="740"/>
      <c r="O226" s="740"/>
      <c r="P226" s="740"/>
      <c r="Q226" s="740"/>
      <c r="R226" s="740"/>
      <c r="S226" s="740"/>
      <c r="T226" s="742">
        <f t="shared" si="1"/>
        <v>0</v>
      </c>
      <c r="U226" s="740"/>
      <c r="V226" s="740"/>
      <c r="W226" s="740"/>
      <c r="X226" s="740"/>
      <c r="Y226" s="740"/>
      <c r="Z226" s="740"/>
      <c r="AA226" s="740"/>
      <c r="AB226" s="740"/>
      <c r="AC226" s="740"/>
      <c r="AD226" s="740"/>
      <c r="AE226" s="740"/>
      <c r="AF226" s="740"/>
      <c r="AG226" s="740"/>
      <c r="AH226" s="742">
        <f t="shared" si="2"/>
        <v>0</v>
      </c>
      <c r="AI226" s="740"/>
      <c r="AJ226" s="740"/>
      <c r="AK226" s="740"/>
      <c r="AL226" s="740"/>
      <c r="AM226" s="740"/>
      <c r="AN226" s="740"/>
      <c r="AO226" s="740"/>
      <c r="AP226" s="740"/>
      <c r="AQ226" s="740"/>
      <c r="AR226" s="740"/>
      <c r="AS226" s="740"/>
      <c r="AT226" s="740"/>
      <c r="AU226" s="742">
        <f t="shared" si="3"/>
        <v>0</v>
      </c>
      <c r="AV226" s="739">
        <f t="shared" si="4"/>
        <v>0</v>
      </c>
    </row>
    <row r="227" spans="1:48" x14ac:dyDescent="0.25">
      <c r="A227" s="734" t="s">
        <v>626</v>
      </c>
      <c r="B227" s="735" t="s">
        <v>642</v>
      </c>
      <c r="C227" s="740"/>
      <c r="D227" s="740"/>
      <c r="E227" s="740"/>
      <c r="F227" s="741"/>
      <c r="G227" s="742">
        <f t="shared" si="0"/>
        <v>0</v>
      </c>
      <c r="H227" s="740"/>
      <c r="I227" s="740"/>
      <c r="J227" s="740"/>
      <c r="K227" s="740"/>
      <c r="L227" s="740"/>
      <c r="M227" s="740"/>
      <c r="N227" s="740"/>
      <c r="O227" s="740"/>
      <c r="P227" s="740"/>
      <c r="Q227" s="740"/>
      <c r="R227" s="740"/>
      <c r="S227" s="740"/>
      <c r="T227" s="742">
        <f t="shared" si="1"/>
        <v>0</v>
      </c>
      <c r="U227" s="740"/>
      <c r="V227" s="740"/>
      <c r="W227" s="740"/>
      <c r="X227" s="740"/>
      <c r="Y227" s="740"/>
      <c r="Z227" s="740"/>
      <c r="AA227" s="740"/>
      <c r="AB227" s="740"/>
      <c r="AC227" s="740"/>
      <c r="AD227" s="740"/>
      <c r="AE227" s="740"/>
      <c r="AF227" s="740"/>
      <c r="AG227" s="740"/>
      <c r="AH227" s="742">
        <f t="shared" si="2"/>
        <v>0</v>
      </c>
      <c r="AI227" s="740"/>
      <c r="AJ227" s="740"/>
      <c r="AK227" s="740"/>
      <c r="AL227" s="740"/>
      <c r="AM227" s="740"/>
      <c r="AN227" s="740"/>
      <c r="AO227" s="740"/>
      <c r="AP227" s="740"/>
      <c r="AQ227" s="740"/>
      <c r="AR227" s="740"/>
      <c r="AS227" s="740"/>
      <c r="AT227" s="740"/>
      <c r="AU227" s="742">
        <f t="shared" si="3"/>
        <v>0</v>
      </c>
      <c r="AV227" s="739">
        <f t="shared" si="4"/>
        <v>0</v>
      </c>
    </row>
    <row r="228" spans="1:48" x14ac:dyDescent="0.25">
      <c r="A228" s="734" t="s">
        <v>626</v>
      </c>
      <c r="B228" s="735" t="s">
        <v>637</v>
      </c>
      <c r="C228" s="740"/>
      <c r="D228" s="740"/>
      <c r="E228" s="740"/>
      <c r="F228" s="741"/>
      <c r="G228" s="742">
        <f t="shared" si="0"/>
        <v>0</v>
      </c>
      <c r="H228" s="740"/>
      <c r="I228" s="740"/>
      <c r="J228" s="740"/>
      <c r="K228" s="740"/>
      <c r="L228" s="740"/>
      <c r="M228" s="740"/>
      <c r="N228" s="740"/>
      <c r="O228" s="740"/>
      <c r="P228" s="740"/>
      <c r="Q228" s="740"/>
      <c r="R228" s="740"/>
      <c r="S228" s="740"/>
      <c r="T228" s="742">
        <f t="shared" si="1"/>
        <v>0</v>
      </c>
      <c r="U228" s="740"/>
      <c r="V228" s="740"/>
      <c r="W228" s="740"/>
      <c r="X228" s="740"/>
      <c r="Y228" s="740"/>
      <c r="Z228" s="740"/>
      <c r="AA228" s="740"/>
      <c r="AB228" s="740"/>
      <c r="AC228" s="740"/>
      <c r="AD228" s="740"/>
      <c r="AE228" s="740"/>
      <c r="AF228" s="740"/>
      <c r="AG228" s="740"/>
      <c r="AH228" s="742">
        <f t="shared" si="2"/>
        <v>0</v>
      </c>
      <c r="AI228" s="740"/>
      <c r="AJ228" s="740"/>
      <c r="AK228" s="740"/>
      <c r="AL228" s="740"/>
      <c r="AM228" s="740"/>
      <c r="AN228" s="740"/>
      <c r="AO228" s="740"/>
      <c r="AP228" s="740"/>
      <c r="AQ228" s="740"/>
      <c r="AR228" s="740"/>
      <c r="AS228" s="740"/>
      <c r="AT228" s="740"/>
      <c r="AU228" s="742">
        <f t="shared" si="3"/>
        <v>0</v>
      </c>
      <c r="AV228" s="739">
        <f t="shared" si="4"/>
        <v>0</v>
      </c>
    </row>
    <row r="229" spans="1:48" x14ac:dyDescent="0.25">
      <c r="A229" s="734" t="s">
        <v>626</v>
      </c>
      <c r="B229" s="735" t="s">
        <v>647</v>
      </c>
      <c r="C229" s="740"/>
      <c r="D229" s="740"/>
      <c r="E229" s="740"/>
      <c r="F229" s="741"/>
      <c r="G229" s="742">
        <f t="shared" si="0"/>
        <v>0</v>
      </c>
      <c r="H229" s="740"/>
      <c r="I229" s="740"/>
      <c r="J229" s="740"/>
      <c r="K229" s="740"/>
      <c r="L229" s="740"/>
      <c r="M229" s="740"/>
      <c r="N229" s="740"/>
      <c r="O229" s="740"/>
      <c r="P229" s="740"/>
      <c r="Q229" s="740"/>
      <c r="R229" s="740"/>
      <c r="S229" s="740"/>
      <c r="T229" s="742">
        <f t="shared" si="1"/>
        <v>0</v>
      </c>
      <c r="U229" s="740"/>
      <c r="V229" s="740"/>
      <c r="W229" s="740"/>
      <c r="X229" s="740"/>
      <c r="Y229" s="740"/>
      <c r="Z229" s="740"/>
      <c r="AA229" s="740"/>
      <c r="AB229" s="740"/>
      <c r="AC229" s="740"/>
      <c r="AD229" s="740"/>
      <c r="AE229" s="740"/>
      <c r="AF229" s="740"/>
      <c r="AG229" s="740"/>
      <c r="AH229" s="742">
        <f t="shared" si="2"/>
        <v>0</v>
      </c>
      <c r="AI229" s="740"/>
      <c r="AJ229" s="740"/>
      <c r="AK229" s="740"/>
      <c r="AL229" s="740"/>
      <c r="AM229" s="740"/>
      <c r="AN229" s="740"/>
      <c r="AO229" s="740"/>
      <c r="AP229" s="740"/>
      <c r="AQ229" s="740"/>
      <c r="AR229" s="740"/>
      <c r="AS229" s="740"/>
      <c r="AT229" s="740"/>
      <c r="AU229" s="742">
        <f t="shared" si="3"/>
        <v>0</v>
      </c>
      <c r="AV229" s="739">
        <f t="shared" si="4"/>
        <v>0</v>
      </c>
    </row>
    <row r="230" spans="1:48" x14ac:dyDescent="0.25">
      <c r="A230" s="734" t="s">
        <v>626</v>
      </c>
      <c r="B230" s="735" t="s">
        <v>649</v>
      </c>
      <c r="C230" s="740"/>
      <c r="D230" s="740"/>
      <c r="E230" s="740"/>
      <c r="F230" s="741"/>
      <c r="G230" s="742">
        <f t="shared" si="0"/>
        <v>0</v>
      </c>
      <c r="H230" s="740"/>
      <c r="I230" s="740"/>
      <c r="J230" s="740"/>
      <c r="K230" s="740"/>
      <c r="L230" s="740"/>
      <c r="M230" s="740"/>
      <c r="N230" s="740"/>
      <c r="O230" s="740"/>
      <c r="P230" s="740"/>
      <c r="Q230" s="740"/>
      <c r="R230" s="740"/>
      <c r="S230" s="740"/>
      <c r="T230" s="742">
        <f t="shared" si="1"/>
        <v>0</v>
      </c>
      <c r="U230" s="740"/>
      <c r="V230" s="740"/>
      <c r="W230" s="740"/>
      <c r="X230" s="740"/>
      <c r="Y230" s="740"/>
      <c r="Z230" s="740"/>
      <c r="AA230" s="740"/>
      <c r="AB230" s="740"/>
      <c r="AC230" s="740"/>
      <c r="AD230" s="740"/>
      <c r="AE230" s="740"/>
      <c r="AF230" s="740"/>
      <c r="AG230" s="740"/>
      <c r="AH230" s="742">
        <f t="shared" si="2"/>
        <v>0</v>
      </c>
      <c r="AI230" s="740"/>
      <c r="AJ230" s="740"/>
      <c r="AK230" s="740"/>
      <c r="AL230" s="740"/>
      <c r="AM230" s="740"/>
      <c r="AN230" s="740"/>
      <c r="AO230" s="740"/>
      <c r="AP230" s="740"/>
      <c r="AQ230" s="740"/>
      <c r="AR230" s="740"/>
      <c r="AS230" s="740"/>
      <c r="AT230" s="740"/>
      <c r="AU230" s="742">
        <f t="shared" si="3"/>
        <v>0</v>
      </c>
      <c r="AV230" s="739">
        <f t="shared" si="4"/>
        <v>0</v>
      </c>
    </row>
    <row r="231" spans="1:48" x14ac:dyDescent="0.25">
      <c r="A231" s="734" t="s">
        <v>626</v>
      </c>
      <c r="B231" s="735" t="s">
        <v>651</v>
      </c>
      <c r="C231" s="740"/>
      <c r="D231" s="740"/>
      <c r="E231" s="740"/>
      <c r="F231" s="741"/>
      <c r="G231" s="742">
        <f t="shared" si="0"/>
        <v>0</v>
      </c>
      <c r="H231" s="740"/>
      <c r="I231" s="740"/>
      <c r="J231" s="740"/>
      <c r="K231" s="740"/>
      <c r="L231" s="740"/>
      <c r="M231" s="740"/>
      <c r="N231" s="740"/>
      <c r="O231" s="740"/>
      <c r="P231" s="740"/>
      <c r="Q231" s="740"/>
      <c r="R231" s="740"/>
      <c r="S231" s="740"/>
      <c r="T231" s="742">
        <f t="shared" si="1"/>
        <v>0</v>
      </c>
      <c r="U231" s="740"/>
      <c r="V231" s="740"/>
      <c r="W231" s="740"/>
      <c r="X231" s="740"/>
      <c r="Y231" s="740"/>
      <c r="Z231" s="740"/>
      <c r="AA231" s="740"/>
      <c r="AB231" s="740"/>
      <c r="AC231" s="740"/>
      <c r="AD231" s="740"/>
      <c r="AE231" s="740"/>
      <c r="AF231" s="740"/>
      <c r="AG231" s="740"/>
      <c r="AH231" s="742">
        <f t="shared" si="2"/>
        <v>0</v>
      </c>
      <c r="AI231" s="740"/>
      <c r="AJ231" s="740"/>
      <c r="AK231" s="740"/>
      <c r="AL231" s="740"/>
      <c r="AM231" s="740"/>
      <c r="AN231" s="740"/>
      <c r="AO231" s="740"/>
      <c r="AP231" s="740"/>
      <c r="AQ231" s="740"/>
      <c r="AR231" s="740"/>
      <c r="AS231" s="740"/>
      <c r="AT231" s="740"/>
      <c r="AU231" s="742">
        <f t="shared" si="3"/>
        <v>0</v>
      </c>
      <c r="AV231" s="739">
        <f t="shared" si="4"/>
        <v>0</v>
      </c>
    </row>
    <row r="232" spans="1:48" x14ac:dyDescent="0.25">
      <c r="A232" s="734" t="s">
        <v>626</v>
      </c>
      <c r="B232" s="735" t="s">
        <v>653</v>
      </c>
      <c r="C232" s="740"/>
      <c r="D232" s="740"/>
      <c r="E232" s="740"/>
      <c r="F232" s="741"/>
      <c r="G232" s="742">
        <f t="shared" si="0"/>
        <v>0</v>
      </c>
      <c r="H232" s="740"/>
      <c r="I232" s="740"/>
      <c r="J232" s="740"/>
      <c r="K232" s="740"/>
      <c r="L232" s="740"/>
      <c r="M232" s="740"/>
      <c r="N232" s="740"/>
      <c r="O232" s="740"/>
      <c r="P232" s="740"/>
      <c r="Q232" s="740"/>
      <c r="R232" s="740"/>
      <c r="S232" s="740"/>
      <c r="T232" s="742">
        <f t="shared" si="1"/>
        <v>0</v>
      </c>
      <c r="U232" s="740"/>
      <c r="V232" s="740"/>
      <c r="W232" s="740"/>
      <c r="X232" s="740"/>
      <c r="Y232" s="740"/>
      <c r="Z232" s="740"/>
      <c r="AA232" s="740"/>
      <c r="AB232" s="740"/>
      <c r="AC232" s="740"/>
      <c r="AD232" s="740"/>
      <c r="AE232" s="740"/>
      <c r="AF232" s="740"/>
      <c r="AG232" s="740"/>
      <c r="AH232" s="742">
        <f t="shared" si="2"/>
        <v>0</v>
      </c>
      <c r="AI232" s="740"/>
      <c r="AJ232" s="740"/>
      <c r="AK232" s="740"/>
      <c r="AL232" s="740"/>
      <c r="AM232" s="740"/>
      <c r="AN232" s="740"/>
      <c r="AO232" s="740"/>
      <c r="AP232" s="740"/>
      <c r="AQ232" s="740"/>
      <c r="AR232" s="740"/>
      <c r="AS232" s="740"/>
      <c r="AT232" s="740"/>
      <c r="AU232" s="742">
        <f t="shared" si="3"/>
        <v>0</v>
      </c>
      <c r="AV232" s="739">
        <f t="shared" si="4"/>
        <v>0</v>
      </c>
    </row>
    <row r="233" spans="1:48" x14ac:dyDescent="0.25">
      <c r="A233" s="734" t="s">
        <v>656</v>
      </c>
      <c r="B233" s="735" t="s">
        <v>655</v>
      </c>
      <c r="C233" s="740"/>
      <c r="D233" s="740"/>
      <c r="E233" s="740"/>
      <c r="F233" s="741"/>
      <c r="G233" s="742">
        <f t="shared" si="0"/>
        <v>0</v>
      </c>
      <c r="H233" s="740"/>
      <c r="I233" s="740"/>
      <c r="J233" s="740"/>
      <c r="K233" s="740"/>
      <c r="L233" s="740"/>
      <c r="M233" s="740"/>
      <c r="N233" s="740"/>
      <c r="O233" s="740"/>
      <c r="P233" s="740"/>
      <c r="Q233" s="740"/>
      <c r="R233" s="740"/>
      <c r="S233" s="740"/>
      <c r="T233" s="742">
        <f t="shared" si="1"/>
        <v>0</v>
      </c>
      <c r="U233" s="740"/>
      <c r="V233" s="740"/>
      <c r="W233" s="740"/>
      <c r="X233" s="740"/>
      <c r="Y233" s="740"/>
      <c r="Z233" s="740"/>
      <c r="AA233" s="740"/>
      <c r="AB233" s="740"/>
      <c r="AC233" s="740"/>
      <c r="AD233" s="740"/>
      <c r="AE233" s="740"/>
      <c r="AF233" s="740"/>
      <c r="AG233" s="740"/>
      <c r="AH233" s="742">
        <f t="shared" si="2"/>
        <v>0</v>
      </c>
      <c r="AI233" s="740"/>
      <c r="AJ233" s="740"/>
      <c r="AK233" s="740"/>
      <c r="AL233" s="740"/>
      <c r="AM233" s="740"/>
      <c r="AN233" s="740"/>
      <c r="AO233" s="740"/>
      <c r="AP233" s="740"/>
      <c r="AQ233" s="740"/>
      <c r="AR233" s="740"/>
      <c r="AS233" s="740"/>
      <c r="AT233" s="740"/>
      <c r="AU233" s="742">
        <f t="shared" si="3"/>
        <v>0</v>
      </c>
      <c r="AV233" s="739">
        <f t="shared" si="4"/>
        <v>0</v>
      </c>
    </row>
    <row r="234" spans="1:48" x14ac:dyDescent="0.25">
      <c r="A234" s="734" t="s">
        <v>656</v>
      </c>
      <c r="B234" s="735" t="s">
        <v>659</v>
      </c>
      <c r="C234" s="740"/>
      <c r="D234" s="740"/>
      <c r="E234" s="740"/>
      <c r="F234" s="741"/>
      <c r="G234" s="742">
        <f t="shared" si="0"/>
        <v>0</v>
      </c>
      <c r="H234" s="740"/>
      <c r="I234" s="740"/>
      <c r="J234" s="740"/>
      <c r="K234" s="740"/>
      <c r="L234" s="740"/>
      <c r="M234" s="740"/>
      <c r="N234" s="740"/>
      <c r="O234" s="740"/>
      <c r="P234" s="740"/>
      <c r="Q234" s="740"/>
      <c r="R234" s="740"/>
      <c r="S234" s="740"/>
      <c r="T234" s="742">
        <f t="shared" si="1"/>
        <v>0</v>
      </c>
      <c r="U234" s="740"/>
      <c r="V234" s="740"/>
      <c r="W234" s="740"/>
      <c r="X234" s="740"/>
      <c r="Y234" s="740"/>
      <c r="Z234" s="740"/>
      <c r="AA234" s="740"/>
      <c r="AB234" s="740"/>
      <c r="AC234" s="740"/>
      <c r="AD234" s="740"/>
      <c r="AE234" s="740"/>
      <c r="AF234" s="740"/>
      <c r="AG234" s="740"/>
      <c r="AH234" s="742">
        <f t="shared" si="2"/>
        <v>0</v>
      </c>
      <c r="AI234" s="740"/>
      <c r="AJ234" s="740"/>
      <c r="AK234" s="740"/>
      <c r="AL234" s="740"/>
      <c r="AM234" s="740"/>
      <c r="AN234" s="740"/>
      <c r="AO234" s="740"/>
      <c r="AP234" s="740"/>
      <c r="AQ234" s="740"/>
      <c r="AR234" s="740"/>
      <c r="AS234" s="740"/>
      <c r="AT234" s="740"/>
      <c r="AU234" s="742">
        <f t="shared" si="3"/>
        <v>0</v>
      </c>
      <c r="AV234" s="739">
        <f t="shared" si="4"/>
        <v>0</v>
      </c>
    </row>
    <row r="235" spans="1:48" x14ac:dyDescent="0.25">
      <c r="A235" s="743" t="s">
        <v>662</v>
      </c>
      <c r="B235" s="735" t="s">
        <v>657</v>
      </c>
      <c r="C235" s="740"/>
      <c r="D235" s="740"/>
      <c r="E235" s="740"/>
      <c r="F235" s="741"/>
      <c r="G235" s="742">
        <f t="shared" si="0"/>
        <v>0</v>
      </c>
      <c r="H235" s="740"/>
      <c r="I235" s="740"/>
      <c r="J235" s="740"/>
      <c r="K235" s="740"/>
      <c r="L235" s="740"/>
      <c r="M235" s="740"/>
      <c r="N235" s="740"/>
      <c r="O235" s="740"/>
      <c r="P235" s="740"/>
      <c r="Q235" s="740"/>
      <c r="R235" s="740"/>
      <c r="S235" s="740"/>
      <c r="T235" s="742">
        <f t="shared" si="1"/>
        <v>0</v>
      </c>
      <c r="U235" s="740"/>
      <c r="V235" s="740"/>
      <c r="W235" s="740"/>
      <c r="X235" s="740"/>
      <c r="Y235" s="740"/>
      <c r="Z235" s="740"/>
      <c r="AA235" s="740"/>
      <c r="AB235" s="740"/>
      <c r="AC235" s="740"/>
      <c r="AD235" s="740"/>
      <c r="AE235" s="740"/>
      <c r="AF235" s="740"/>
      <c r="AG235" s="740"/>
      <c r="AH235" s="742">
        <f t="shared" si="2"/>
        <v>0</v>
      </c>
      <c r="AI235" s="740"/>
      <c r="AJ235" s="740"/>
      <c r="AK235" s="740"/>
      <c r="AL235" s="740"/>
      <c r="AM235" s="740"/>
      <c r="AN235" s="740"/>
      <c r="AO235" s="740"/>
      <c r="AP235" s="740"/>
      <c r="AQ235" s="740"/>
      <c r="AR235" s="740"/>
      <c r="AS235" s="740"/>
      <c r="AT235" s="740"/>
      <c r="AU235" s="742">
        <f t="shared" si="3"/>
        <v>0</v>
      </c>
      <c r="AV235" s="739">
        <f t="shared" si="4"/>
        <v>0</v>
      </c>
    </row>
    <row r="236" spans="1:48" x14ac:dyDescent="0.25">
      <c r="A236" s="743" t="s">
        <v>662</v>
      </c>
      <c r="B236" s="735" t="s">
        <v>643</v>
      </c>
      <c r="C236" s="740"/>
      <c r="D236" s="740"/>
      <c r="E236" s="740"/>
      <c r="F236" s="741"/>
      <c r="G236" s="742">
        <f t="shared" si="0"/>
        <v>0</v>
      </c>
      <c r="H236" s="740"/>
      <c r="I236" s="740"/>
      <c r="J236" s="740"/>
      <c r="K236" s="740"/>
      <c r="L236" s="740"/>
      <c r="M236" s="740"/>
      <c r="N236" s="740"/>
      <c r="O236" s="740"/>
      <c r="P236" s="740"/>
      <c r="Q236" s="740"/>
      <c r="R236" s="740"/>
      <c r="S236" s="740"/>
      <c r="T236" s="742">
        <f t="shared" si="1"/>
        <v>0</v>
      </c>
      <c r="U236" s="740"/>
      <c r="V236" s="740"/>
      <c r="W236" s="740"/>
      <c r="X236" s="740"/>
      <c r="Y236" s="740"/>
      <c r="Z236" s="740"/>
      <c r="AA236" s="740"/>
      <c r="AB236" s="740"/>
      <c r="AC236" s="740"/>
      <c r="AD236" s="740"/>
      <c r="AE236" s="740"/>
      <c r="AF236" s="740"/>
      <c r="AG236" s="740"/>
      <c r="AH236" s="742">
        <f t="shared" si="2"/>
        <v>0</v>
      </c>
      <c r="AI236" s="740"/>
      <c r="AJ236" s="740"/>
      <c r="AK236" s="740"/>
      <c r="AL236" s="740"/>
      <c r="AM236" s="740"/>
      <c r="AN236" s="740"/>
      <c r="AO236" s="740"/>
      <c r="AP236" s="740"/>
      <c r="AQ236" s="740"/>
      <c r="AR236" s="740"/>
      <c r="AS236" s="740"/>
      <c r="AT236" s="740"/>
      <c r="AU236" s="742">
        <f t="shared" si="3"/>
        <v>0</v>
      </c>
      <c r="AV236" s="739">
        <f t="shared" si="4"/>
        <v>0</v>
      </c>
    </row>
    <row r="237" spans="1:48" x14ac:dyDescent="0.25">
      <c r="A237" s="743" t="s">
        <v>662</v>
      </c>
      <c r="B237" s="735" t="s">
        <v>666</v>
      </c>
      <c r="C237" s="740"/>
      <c r="D237" s="740"/>
      <c r="E237" s="740"/>
      <c r="F237" s="741"/>
      <c r="G237" s="742">
        <f t="shared" si="0"/>
        <v>0</v>
      </c>
      <c r="H237" s="740"/>
      <c r="I237" s="740"/>
      <c r="J237" s="740"/>
      <c r="K237" s="740"/>
      <c r="L237" s="740"/>
      <c r="M237" s="740"/>
      <c r="N237" s="740"/>
      <c r="O237" s="740"/>
      <c r="P237" s="740"/>
      <c r="Q237" s="740"/>
      <c r="R237" s="740"/>
      <c r="S237" s="740"/>
      <c r="T237" s="742">
        <f t="shared" si="1"/>
        <v>0</v>
      </c>
      <c r="U237" s="740"/>
      <c r="V237" s="740"/>
      <c r="W237" s="740"/>
      <c r="X237" s="740"/>
      <c r="Y237" s="740"/>
      <c r="Z237" s="740"/>
      <c r="AA237" s="740"/>
      <c r="AB237" s="740"/>
      <c r="AC237" s="740"/>
      <c r="AD237" s="740"/>
      <c r="AE237" s="740"/>
      <c r="AF237" s="740"/>
      <c r="AG237" s="740"/>
      <c r="AH237" s="742">
        <f t="shared" si="2"/>
        <v>0</v>
      </c>
      <c r="AI237" s="740"/>
      <c r="AJ237" s="740"/>
      <c r="AK237" s="740"/>
      <c r="AL237" s="740"/>
      <c r="AM237" s="740"/>
      <c r="AN237" s="740"/>
      <c r="AO237" s="740"/>
      <c r="AP237" s="740"/>
      <c r="AQ237" s="740"/>
      <c r="AR237" s="740"/>
      <c r="AS237" s="740"/>
      <c r="AT237" s="740"/>
      <c r="AU237" s="742">
        <f t="shared" si="3"/>
        <v>0</v>
      </c>
      <c r="AV237" s="739">
        <f t="shared" si="4"/>
        <v>0</v>
      </c>
    </row>
    <row r="238" spans="1:48" x14ac:dyDescent="0.25">
      <c r="A238" s="734" t="s">
        <v>662</v>
      </c>
      <c r="B238" s="735" t="s">
        <v>668</v>
      </c>
      <c r="C238" s="740"/>
      <c r="D238" s="740"/>
      <c r="E238" s="740"/>
      <c r="F238" s="741"/>
      <c r="G238" s="742">
        <f t="shared" si="0"/>
        <v>0</v>
      </c>
      <c r="H238" s="740"/>
      <c r="I238" s="740"/>
      <c r="J238" s="740"/>
      <c r="K238" s="740"/>
      <c r="L238" s="740"/>
      <c r="M238" s="740"/>
      <c r="N238" s="740"/>
      <c r="O238" s="740"/>
      <c r="P238" s="740"/>
      <c r="Q238" s="740"/>
      <c r="R238" s="740"/>
      <c r="S238" s="740"/>
      <c r="T238" s="742">
        <f t="shared" si="1"/>
        <v>0</v>
      </c>
      <c r="U238" s="740"/>
      <c r="V238" s="740"/>
      <c r="W238" s="740"/>
      <c r="X238" s="740"/>
      <c r="Y238" s="740"/>
      <c r="Z238" s="740"/>
      <c r="AA238" s="740"/>
      <c r="AB238" s="740"/>
      <c r="AC238" s="740"/>
      <c r="AD238" s="740"/>
      <c r="AE238" s="740"/>
      <c r="AF238" s="740"/>
      <c r="AG238" s="740"/>
      <c r="AH238" s="742">
        <f t="shared" si="2"/>
        <v>0</v>
      </c>
      <c r="AI238" s="740"/>
      <c r="AJ238" s="740"/>
      <c r="AK238" s="740"/>
      <c r="AL238" s="740"/>
      <c r="AM238" s="740"/>
      <c r="AN238" s="740"/>
      <c r="AO238" s="740"/>
      <c r="AP238" s="740"/>
      <c r="AQ238" s="740"/>
      <c r="AR238" s="740"/>
      <c r="AS238" s="740"/>
      <c r="AT238" s="740"/>
      <c r="AU238" s="742">
        <f t="shared" si="3"/>
        <v>0</v>
      </c>
      <c r="AV238" s="739">
        <f t="shared" si="4"/>
        <v>0</v>
      </c>
    </row>
    <row r="239" spans="1:48" x14ac:dyDescent="0.25">
      <c r="A239" s="734" t="s">
        <v>662</v>
      </c>
      <c r="B239" s="735" t="s">
        <v>670</v>
      </c>
      <c r="C239" s="740"/>
      <c r="D239" s="740"/>
      <c r="E239" s="740"/>
      <c r="F239" s="741"/>
      <c r="G239" s="742">
        <f t="shared" si="0"/>
        <v>0</v>
      </c>
      <c r="H239" s="740"/>
      <c r="I239" s="740"/>
      <c r="J239" s="740"/>
      <c r="K239" s="740"/>
      <c r="L239" s="740"/>
      <c r="M239" s="740"/>
      <c r="N239" s="740"/>
      <c r="O239" s="740"/>
      <c r="P239" s="740"/>
      <c r="Q239" s="740"/>
      <c r="R239" s="740"/>
      <c r="S239" s="740"/>
      <c r="T239" s="742">
        <f t="shared" si="1"/>
        <v>0</v>
      </c>
      <c r="U239" s="740"/>
      <c r="V239" s="740"/>
      <c r="W239" s="740"/>
      <c r="X239" s="740"/>
      <c r="Y239" s="740"/>
      <c r="Z239" s="740"/>
      <c r="AA239" s="740"/>
      <c r="AB239" s="740"/>
      <c r="AC239" s="740"/>
      <c r="AD239" s="740"/>
      <c r="AE239" s="740"/>
      <c r="AF239" s="740"/>
      <c r="AG239" s="740"/>
      <c r="AH239" s="742">
        <f t="shared" si="2"/>
        <v>0</v>
      </c>
      <c r="AI239" s="740"/>
      <c r="AJ239" s="740"/>
      <c r="AK239" s="740"/>
      <c r="AL239" s="740"/>
      <c r="AM239" s="740"/>
      <c r="AN239" s="740"/>
      <c r="AO239" s="740"/>
      <c r="AP239" s="740"/>
      <c r="AQ239" s="740"/>
      <c r="AR239" s="740"/>
      <c r="AS239" s="740"/>
      <c r="AT239" s="740"/>
      <c r="AU239" s="742">
        <f t="shared" si="3"/>
        <v>0</v>
      </c>
      <c r="AV239" s="739">
        <f t="shared" si="4"/>
        <v>0</v>
      </c>
    </row>
    <row r="240" spans="1:48" x14ac:dyDescent="0.25">
      <c r="A240" s="734" t="s">
        <v>662</v>
      </c>
      <c r="B240" s="735" t="s">
        <v>672</v>
      </c>
      <c r="C240" s="740"/>
      <c r="D240" s="740"/>
      <c r="E240" s="740"/>
      <c r="F240" s="741"/>
      <c r="G240" s="742">
        <f t="shared" si="0"/>
        <v>0</v>
      </c>
      <c r="H240" s="740"/>
      <c r="I240" s="740"/>
      <c r="J240" s="740"/>
      <c r="K240" s="740"/>
      <c r="L240" s="740"/>
      <c r="M240" s="740"/>
      <c r="N240" s="740"/>
      <c r="O240" s="740"/>
      <c r="P240" s="740"/>
      <c r="Q240" s="740"/>
      <c r="R240" s="740"/>
      <c r="S240" s="740"/>
      <c r="T240" s="742">
        <f t="shared" si="1"/>
        <v>0</v>
      </c>
      <c r="U240" s="740"/>
      <c r="V240" s="740"/>
      <c r="W240" s="740"/>
      <c r="X240" s="740"/>
      <c r="Y240" s="740"/>
      <c r="Z240" s="740"/>
      <c r="AA240" s="740"/>
      <c r="AB240" s="740"/>
      <c r="AC240" s="740"/>
      <c r="AD240" s="740"/>
      <c r="AE240" s="740"/>
      <c r="AF240" s="740"/>
      <c r="AG240" s="740"/>
      <c r="AH240" s="742">
        <f t="shared" si="2"/>
        <v>0</v>
      </c>
      <c r="AI240" s="740"/>
      <c r="AJ240" s="740"/>
      <c r="AK240" s="740"/>
      <c r="AL240" s="740"/>
      <c r="AM240" s="740"/>
      <c r="AN240" s="740"/>
      <c r="AO240" s="740"/>
      <c r="AP240" s="740"/>
      <c r="AQ240" s="740"/>
      <c r="AR240" s="740"/>
      <c r="AS240" s="740"/>
      <c r="AT240" s="740"/>
      <c r="AU240" s="742">
        <f t="shared" si="3"/>
        <v>0</v>
      </c>
      <c r="AV240" s="739">
        <f t="shared" si="4"/>
        <v>0</v>
      </c>
    </row>
    <row r="241" spans="1:48" x14ac:dyDescent="0.25">
      <c r="A241" s="743" t="s">
        <v>662</v>
      </c>
      <c r="B241" s="735" t="s">
        <v>674</v>
      </c>
      <c r="C241" s="740"/>
      <c r="D241" s="740"/>
      <c r="E241" s="740"/>
      <c r="F241" s="741"/>
      <c r="G241" s="742">
        <f t="shared" si="0"/>
        <v>0</v>
      </c>
      <c r="H241" s="740"/>
      <c r="I241" s="740"/>
      <c r="J241" s="740"/>
      <c r="K241" s="740"/>
      <c r="L241" s="740"/>
      <c r="M241" s="740"/>
      <c r="N241" s="740"/>
      <c r="O241" s="740"/>
      <c r="P241" s="740"/>
      <c r="Q241" s="740"/>
      <c r="R241" s="740"/>
      <c r="S241" s="740"/>
      <c r="T241" s="742">
        <f t="shared" si="1"/>
        <v>0</v>
      </c>
      <c r="U241" s="740"/>
      <c r="V241" s="740"/>
      <c r="W241" s="740"/>
      <c r="X241" s="740"/>
      <c r="Y241" s="740"/>
      <c r="Z241" s="740"/>
      <c r="AA241" s="740"/>
      <c r="AB241" s="740"/>
      <c r="AC241" s="740"/>
      <c r="AD241" s="740"/>
      <c r="AE241" s="740"/>
      <c r="AF241" s="740"/>
      <c r="AG241" s="740"/>
      <c r="AH241" s="742">
        <f t="shared" si="2"/>
        <v>0</v>
      </c>
      <c r="AI241" s="740"/>
      <c r="AJ241" s="740"/>
      <c r="AK241" s="740"/>
      <c r="AL241" s="740"/>
      <c r="AM241" s="740"/>
      <c r="AN241" s="740"/>
      <c r="AO241" s="740"/>
      <c r="AP241" s="740"/>
      <c r="AQ241" s="740"/>
      <c r="AR241" s="740"/>
      <c r="AS241" s="740"/>
      <c r="AT241" s="740"/>
      <c r="AU241" s="742">
        <f t="shared" si="3"/>
        <v>0</v>
      </c>
      <c r="AV241" s="739">
        <f t="shared" si="4"/>
        <v>0</v>
      </c>
    </row>
    <row r="242" spans="1:48" x14ac:dyDescent="0.25">
      <c r="A242" s="734" t="s">
        <v>662</v>
      </c>
      <c r="B242" s="735" t="s">
        <v>661</v>
      </c>
      <c r="C242" s="740"/>
      <c r="D242" s="740"/>
      <c r="E242" s="740"/>
      <c r="F242" s="741"/>
      <c r="G242" s="742">
        <f t="shared" si="0"/>
        <v>0</v>
      </c>
      <c r="H242" s="740"/>
      <c r="I242" s="740"/>
      <c r="J242" s="740"/>
      <c r="K242" s="740"/>
      <c r="L242" s="740"/>
      <c r="M242" s="740"/>
      <c r="N242" s="740"/>
      <c r="O242" s="740"/>
      <c r="P242" s="740"/>
      <c r="Q242" s="740"/>
      <c r="R242" s="740"/>
      <c r="S242" s="740"/>
      <c r="T242" s="742">
        <f t="shared" si="1"/>
        <v>0</v>
      </c>
      <c r="U242" s="740"/>
      <c r="V242" s="740"/>
      <c r="W242" s="740"/>
      <c r="X242" s="740"/>
      <c r="Y242" s="740"/>
      <c r="Z242" s="740"/>
      <c r="AA242" s="740"/>
      <c r="AB242" s="740"/>
      <c r="AC242" s="740"/>
      <c r="AD242" s="740"/>
      <c r="AE242" s="740"/>
      <c r="AF242" s="740"/>
      <c r="AG242" s="740"/>
      <c r="AH242" s="742">
        <f t="shared" si="2"/>
        <v>0</v>
      </c>
      <c r="AI242" s="740"/>
      <c r="AJ242" s="740"/>
      <c r="AK242" s="740"/>
      <c r="AL242" s="740"/>
      <c r="AM242" s="740"/>
      <c r="AN242" s="740"/>
      <c r="AO242" s="740"/>
      <c r="AP242" s="740"/>
      <c r="AQ242" s="740"/>
      <c r="AR242" s="740"/>
      <c r="AS242" s="740"/>
      <c r="AT242" s="740"/>
      <c r="AU242" s="742">
        <f t="shared" si="3"/>
        <v>0</v>
      </c>
      <c r="AV242" s="739">
        <f t="shared" si="4"/>
        <v>0</v>
      </c>
    </row>
    <row r="243" spans="1:48" x14ac:dyDescent="0.25">
      <c r="A243" s="734" t="s">
        <v>662</v>
      </c>
      <c r="B243" s="735" t="s">
        <v>676</v>
      </c>
      <c r="C243" s="740"/>
      <c r="D243" s="740"/>
      <c r="E243" s="740"/>
      <c r="F243" s="741"/>
      <c r="G243" s="742">
        <f t="shared" si="0"/>
        <v>0</v>
      </c>
      <c r="H243" s="740"/>
      <c r="I243" s="740"/>
      <c r="J243" s="740"/>
      <c r="K243" s="740"/>
      <c r="L243" s="740"/>
      <c r="M243" s="740"/>
      <c r="N243" s="740"/>
      <c r="O243" s="740"/>
      <c r="P243" s="740"/>
      <c r="Q243" s="740"/>
      <c r="R243" s="740"/>
      <c r="S243" s="740"/>
      <c r="T243" s="742">
        <f t="shared" si="1"/>
        <v>0</v>
      </c>
      <c r="U243" s="740"/>
      <c r="V243" s="740"/>
      <c r="W243" s="740"/>
      <c r="X243" s="740"/>
      <c r="Y243" s="740"/>
      <c r="Z243" s="740"/>
      <c r="AA243" s="740"/>
      <c r="AB243" s="740"/>
      <c r="AC243" s="740"/>
      <c r="AD243" s="740"/>
      <c r="AE243" s="740"/>
      <c r="AF243" s="740"/>
      <c r="AG243" s="740"/>
      <c r="AH243" s="742">
        <f t="shared" si="2"/>
        <v>0</v>
      </c>
      <c r="AI243" s="740"/>
      <c r="AJ243" s="740"/>
      <c r="AK243" s="740"/>
      <c r="AL243" s="740"/>
      <c r="AM243" s="740"/>
      <c r="AN243" s="740"/>
      <c r="AO243" s="740"/>
      <c r="AP243" s="740"/>
      <c r="AQ243" s="740"/>
      <c r="AR243" s="740"/>
      <c r="AS243" s="740"/>
      <c r="AT243" s="740"/>
      <c r="AU243" s="742">
        <f t="shared" si="3"/>
        <v>0</v>
      </c>
      <c r="AV243" s="739">
        <f t="shared" si="4"/>
        <v>0</v>
      </c>
    </row>
    <row r="244" spans="1:48" x14ac:dyDescent="0.25">
      <c r="A244" s="734" t="s">
        <v>679</v>
      </c>
      <c r="B244" s="735" t="s">
        <v>678</v>
      </c>
      <c r="C244" s="740"/>
      <c r="D244" s="740"/>
      <c r="E244" s="740"/>
      <c r="F244" s="741"/>
      <c r="G244" s="742">
        <f t="shared" si="0"/>
        <v>0</v>
      </c>
      <c r="H244" s="740"/>
      <c r="I244" s="740"/>
      <c r="J244" s="740"/>
      <c r="K244" s="740"/>
      <c r="L244" s="740"/>
      <c r="M244" s="740"/>
      <c r="N244" s="740"/>
      <c r="O244" s="740"/>
      <c r="P244" s="740"/>
      <c r="Q244" s="740"/>
      <c r="R244" s="740"/>
      <c r="S244" s="740"/>
      <c r="T244" s="742">
        <f t="shared" si="1"/>
        <v>0</v>
      </c>
      <c r="U244" s="740"/>
      <c r="V244" s="740"/>
      <c r="W244" s="740"/>
      <c r="X244" s="740"/>
      <c r="Y244" s="740"/>
      <c r="Z244" s="740"/>
      <c r="AA244" s="740"/>
      <c r="AB244" s="740"/>
      <c r="AC244" s="740"/>
      <c r="AD244" s="740"/>
      <c r="AE244" s="740"/>
      <c r="AF244" s="740"/>
      <c r="AG244" s="740"/>
      <c r="AH244" s="742">
        <f t="shared" si="2"/>
        <v>0</v>
      </c>
      <c r="AI244" s="740"/>
      <c r="AJ244" s="740"/>
      <c r="AK244" s="740"/>
      <c r="AL244" s="740"/>
      <c r="AM244" s="740"/>
      <c r="AN244" s="740"/>
      <c r="AO244" s="740"/>
      <c r="AP244" s="740"/>
      <c r="AQ244" s="740"/>
      <c r="AR244" s="740"/>
      <c r="AS244" s="740"/>
      <c r="AT244" s="740"/>
      <c r="AU244" s="742">
        <f t="shared" si="3"/>
        <v>0</v>
      </c>
      <c r="AV244" s="739">
        <f t="shared" si="4"/>
        <v>0</v>
      </c>
    </row>
    <row r="245" spans="1:48" x14ac:dyDescent="0.25">
      <c r="A245" s="734" t="s">
        <v>679</v>
      </c>
      <c r="B245" s="735" t="s">
        <v>627</v>
      </c>
      <c r="C245" s="740"/>
      <c r="D245" s="740"/>
      <c r="E245" s="740"/>
      <c r="F245" s="741"/>
      <c r="G245" s="742">
        <f t="shared" si="0"/>
        <v>0</v>
      </c>
      <c r="H245" s="740"/>
      <c r="I245" s="740"/>
      <c r="J245" s="740"/>
      <c r="K245" s="740"/>
      <c r="L245" s="740"/>
      <c r="M245" s="740"/>
      <c r="N245" s="740"/>
      <c r="O245" s="740"/>
      <c r="P245" s="740"/>
      <c r="Q245" s="740"/>
      <c r="R245" s="740"/>
      <c r="S245" s="740"/>
      <c r="T245" s="742">
        <f t="shared" si="1"/>
        <v>0</v>
      </c>
      <c r="U245" s="740"/>
      <c r="V245" s="740"/>
      <c r="W245" s="740"/>
      <c r="X245" s="740"/>
      <c r="Y245" s="740"/>
      <c r="Z245" s="740"/>
      <c r="AA245" s="740"/>
      <c r="AB245" s="740"/>
      <c r="AC245" s="740"/>
      <c r="AD245" s="740"/>
      <c r="AE245" s="740"/>
      <c r="AF245" s="740"/>
      <c r="AG245" s="740"/>
      <c r="AH245" s="742">
        <f t="shared" si="2"/>
        <v>0</v>
      </c>
      <c r="AI245" s="740"/>
      <c r="AJ245" s="740"/>
      <c r="AK245" s="740"/>
      <c r="AL245" s="740"/>
      <c r="AM245" s="740"/>
      <c r="AN245" s="740"/>
      <c r="AO245" s="740"/>
      <c r="AP245" s="740"/>
      <c r="AQ245" s="740"/>
      <c r="AR245" s="740"/>
      <c r="AS245" s="740"/>
      <c r="AT245" s="740"/>
      <c r="AU245" s="742">
        <f t="shared" si="3"/>
        <v>0</v>
      </c>
      <c r="AV245" s="739">
        <f t="shared" si="4"/>
        <v>0</v>
      </c>
    </row>
    <row r="246" spans="1:48" x14ac:dyDescent="0.25">
      <c r="A246" s="734" t="s">
        <v>679</v>
      </c>
      <c r="B246" s="735" t="s">
        <v>682</v>
      </c>
      <c r="C246" s="740"/>
      <c r="D246" s="740"/>
      <c r="E246" s="740"/>
      <c r="F246" s="741"/>
      <c r="G246" s="742">
        <f t="shared" si="0"/>
        <v>0</v>
      </c>
      <c r="H246" s="740"/>
      <c r="I246" s="740"/>
      <c r="J246" s="740"/>
      <c r="K246" s="740"/>
      <c r="L246" s="740"/>
      <c r="M246" s="740"/>
      <c r="N246" s="740"/>
      <c r="O246" s="740"/>
      <c r="P246" s="740"/>
      <c r="Q246" s="740"/>
      <c r="R246" s="740"/>
      <c r="S246" s="740"/>
      <c r="T246" s="742">
        <f t="shared" si="1"/>
        <v>0</v>
      </c>
      <c r="U246" s="740"/>
      <c r="V246" s="740"/>
      <c r="W246" s="740"/>
      <c r="X246" s="740"/>
      <c r="Y246" s="740"/>
      <c r="Z246" s="740"/>
      <c r="AA246" s="740"/>
      <c r="AB246" s="740"/>
      <c r="AC246" s="740"/>
      <c r="AD246" s="740"/>
      <c r="AE246" s="740"/>
      <c r="AF246" s="740"/>
      <c r="AG246" s="740"/>
      <c r="AH246" s="742">
        <f t="shared" si="2"/>
        <v>0</v>
      </c>
      <c r="AI246" s="740"/>
      <c r="AJ246" s="740"/>
      <c r="AK246" s="740"/>
      <c r="AL246" s="740"/>
      <c r="AM246" s="740"/>
      <c r="AN246" s="740"/>
      <c r="AO246" s="740"/>
      <c r="AP246" s="740"/>
      <c r="AQ246" s="740"/>
      <c r="AR246" s="740"/>
      <c r="AS246" s="740"/>
      <c r="AT246" s="740"/>
      <c r="AU246" s="742">
        <f t="shared" si="3"/>
        <v>0</v>
      </c>
      <c r="AV246" s="739">
        <f t="shared" si="4"/>
        <v>0</v>
      </c>
    </row>
    <row r="247" spans="1:48" x14ac:dyDescent="0.25">
      <c r="A247" s="734" t="s">
        <v>679</v>
      </c>
      <c r="B247" s="735" t="s">
        <v>684</v>
      </c>
      <c r="C247" s="740"/>
      <c r="D247" s="740"/>
      <c r="E247" s="740"/>
      <c r="F247" s="741"/>
      <c r="G247" s="742">
        <f t="shared" si="0"/>
        <v>0</v>
      </c>
      <c r="H247" s="740"/>
      <c r="I247" s="740"/>
      <c r="J247" s="740"/>
      <c r="K247" s="740"/>
      <c r="L247" s="740"/>
      <c r="M247" s="740"/>
      <c r="N247" s="740"/>
      <c r="O247" s="740"/>
      <c r="P247" s="740"/>
      <c r="Q247" s="740"/>
      <c r="R247" s="740"/>
      <c r="S247" s="740"/>
      <c r="T247" s="742">
        <f t="shared" si="1"/>
        <v>0</v>
      </c>
      <c r="U247" s="740"/>
      <c r="V247" s="740"/>
      <c r="W247" s="740"/>
      <c r="X247" s="740"/>
      <c r="Y247" s="740"/>
      <c r="Z247" s="740"/>
      <c r="AA247" s="740"/>
      <c r="AB247" s="740"/>
      <c r="AC247" s="740"/>
      <c r="AD247" s="740"/>
      <c r="AE247" s="740"/>
      <c r="AF247" s="740"/>
      <c r="AG247" s="740"/>
      <c r="AH247" s="742">
        <f t="shared" si="2"/>
        <v>0</v>
      </c>
      <c r="AI247" s="740"/>
      <c r="AJ247" s="740"/>
      <c r="AK247" s="740"/>
      <c r="AL247" s="740"/>
      <c r="AM247" s="740"/>
      <c r="AN247" s="740"/>
      <c r="AO247" s="740"/>
      <c r="AP247" s="740"/>
      <c r="AQ247" s="740"/>
      <c r="AR247" s="740"/>
      <c r="AS247" s="740"/>
      <c r="AT247" s="740"/>
      <c r="AU247" s="742">
        <f t="shared" si="3"/>
        <v>0</v>
      </c>
      <c r="AV247" s="739">
        <f t="shared" si="4"/>
        <v>0</v>
      </c>
    </row>
    <row r="248" spans="1:48" x14ac:dyDescent="0.25">
      <c r="A248" s="734" t="s">
        <v>679</v>
      </c>
      <c r="B248" s="735" t="s">
        <v>640</v>
      </c>
      <c r="C248" s="740"/>
      <c r="D248" s="740"/>
      <c r="E248" s="740"/>
      <c r="F248" s="741"/>
      <c r="G248" s="742">
        <f t="shared" si="0"/>
        <v>0</v>
      </c>
      <c r="H248" s="740"/>
      <c r="I248" s="740"/>
      <c r="J248" s="740"/>
      <c r="K248" s="740"/>
      <c r="L248" s="740"/>
      <c r="M248" s="740"/>
      <c r="N248" s="740"/>
      <c r="O248" s="740"/>
      <c r="P248" s="740"/>
      <c r="Q248" s="740"/>
      <c r="R248" s="740"/>
      <c r="S248" s="740"/>
      <c r="T248" s="742">
        <f t="shared" si="1"/>
        <v>0</v>
      </c>
      <c r="U248" s="740"/>
      <c r="V248" s="740"/>
      <c r="W248" s="740"/>
      <c r="X248" s="740"/>
      <c r="Y248" s="740"/>
      <c r="Z248" s="740"/>
      <c r="AA248" s="740"/>
      <c r="AB248" s="740"/>
      <c r="AC248" s="740"/>
      <c r="AD248" s="740"/>
      <c r="AE248" s="740"/>
      <c r="AF248" s="740"/>
      <c r="AG248" s="740"/>
      <c r="AH248" s="742">
        <f t="shared" si="2"/>
        <v>0</v>
      </c>
      <c r="AI248" s="740"/>
      <c r="AJ248" s="740"/>
      <c r="AK248" s="740"/>
      <c r="AL248" s="740"/>
      <c r="AM248" s="740"/>
      <c r="AN248" s="740"/>
      <c r="AO248" s="740"/>
      <c r="AP248" s="740"/>
      <c r="AQ248" s="740"/>
      <c r="AR248" s="740"/>
      <c r="AS248" s="740"/>
      <c r="AT248" s="740"/>
      <c r="AU248" s="742">
        <f t="shared" si="3"/>
        <v>0</v>
      </c>
      <c r="AV248" s="739">
        <f t="shared" si="4"/>
        <v>0</v>
      </c>
    </row>
    <row r="249" spans="1:48" x14ac:dyDescent="0.25">
      <c r="A249" s="734" t="s">
        <v>679</v>
      </c>
      <c r="B249" s="735" t="s">
        <v>687</v>
      </c>
      <c r="C249" s="740"/>
      <c r="D249" s="740"/>
      <c r="E249" s="740"/>
      <c r="F249" s="741"/>
      <c r="G249" s="742">
        <f t="shared" si="0"/>
        <v>0</v>
      </c>
      <c r="H249" s="740"/>
      <c r="I249" s="740"/>
      <c r="J249" s="740"/>
      <c r="K249" s="740"/>
      <c r="L249" s="740"/>
      <c r="M249" s="740"/>
      <c r="N249" s="740"/>
      <c r="O249" s="740"/>
      <c r="P249" s="740"/>
      <c r="Q249" s="740"/>
      <c r="R249" s="740"/>
      <c r="S249" s="740"/>
      <c r="T249" s="742">
        <f t="shared" si="1"/>
        <v>0</v>
      </c>
      <c r="U249" s="740"/>
      <c r="V249" s="740"/>
      <c r="W249" s="740"/>
      <c r="X249" s="740"/>
      <c r="Y249" s="740"/>
      <c r="Z249" s="740"/>
      <c r="AA249" s="740"/>
      <c r="AB249" s="740"/>
      <c r="AC249" s="740"/>
      <c r="AD249" s="740"/>
      <c r="AE249" s="740"/>
      <c r="AF249" s="740"/>
      <c r="AG249" s="740"/>
      <c r="AH249" s="742">
        <f t="shared" si="2"/>
        <v>0</v>
      </c>
      <c r="AI249" s="740"/>
      <c r="AJ249" s="740"/>
      <c r="AK249" s="740"/>
      <c r="AL249" s="740"/>
      <c r="AM249" s="740"/>
      <c r="AN249" s="740"/>
      <c r="AO249" s="740"/>
      <c r="AP249" s="740"/>
      <c r="AQ249" s="740"/>
      <c r="AR249" s="740"/>
      <c r="AS249" s="740"/>
      <c r="AT249" s="740"/>
      <c r="AU249" s="742">
        <f t="shared" si="3"/>
        <v>0</v>
      </c>
      <c r="AV249" s="739">
        <f t="shared" si="4"/>
        <v>0</v>
      </c>
    </row>
    <row r="250" spans="1:48" x14ac:dyDescent="0.25">
      <c r="A250" s="734" t="s">
        <v>679</v>
      </c>
      <c r="B250" s="735" t="s">
        <v>689</v>
      </c>
      <c r="C250" s="740"/>
      <c r="D250" s="740"/>
      <c r="E250" s="740"/>
      <c r="F250" s="741"/>
      <c r="G250" s="742">
        <f t="shared" si="0"/>
        <v>0</v>
      </c>
      <c r="H250" s="740"/>
      <c r="I250" s="740"/>
      <c r="J250" s="740"/>
      <c r="K250" s="740"/>
      <c r="L250" s="740"/>
      <c r="M250" s="740"/>
      <c r="N250" s="740"/>
      <c r="O250" s="740"/>
      <c r="P250" s="740"/>
      <c r="Q250" s="740"/>
      <c r="R250" s="740"/>
      <c r="S250" s="740"/>
      <c r="T250" s="742">
        <f t="shared" si="1"/>
        <v>0</v>
      </c>
      <c r="U250" s="740"/>
      <c r="V250" s="740"/>
      <c r="W250" s="740"/>
      <c r="X250" s="740"/>
      <c r="Y250" s="740"/>
      <c r="Z250" s="740"/>
      <c r="AA250" s="740"/>
      <c r="AB250" s="740"/>
      <c r="AC250" s="740"/>
      <c r="AD250" s="740"/>
      <c r="AE250" s="740"/>
      <c r="AF250" s="740"/>
      <c r="AG250" s="740"/>
      <c r="AH250" s="742">
        <f t="shared" si="2"/>
        <v>0</v>
      </c>
      <c r="AI250" s="740"/>
      <c r="AJ250" s="740"/>
      <c r="AK250" s="740"/>
      <c r="AL250" s="740"/>
      <c r="AM250" s="740"/>
      <c r="AN250" s="740"/>
      <c r="AO250" s="740"/>
      <c r="AP250" s="740"/>
      <c r="AQ250" s="740"/>
      <c r="AR250" s="740"/>
      <c r="AS250" s="740"/>
      <c r="AT250" s="740"/>
      <c r="AU250" s="742">
        <f t="shared" si="3"/>
        <v>0</v>
      </c>
      <c r="AV250" s="739">
        <f t="shared" si="4"/>
        <v>0</v>
      </c>
    </row>
    <row r="251" spans="1:48" x14ac:dyDescent="0.25">
      <c r="A251" s="734" t="s">
        <v>691</v>
      </c>
      <c r="B251" s="735" t="s">
        <v>691</v>
      </c>
      <c r="C251" s="740"/>
      <c r="D251" s="740"/>
      <c r="E251" s="740"/>
      <c r="F251" s="741"/>
      <c r="G251" s="742">
        <f t="shared" si="0"/>
        <v>0</v>
      </c>
      <c r="H251" s="740"/>
      <c r="I251" s="740"/>
      <c r="J251" s="740"/>
      <c r="K251" s="740"/>
      <c r="L251" s="740"/>
      <c r="M251" s="740"/>
      <c r="N251" s="740"/>
      <c r="O251" s="740"/>
      <c r="P251" s="740"/>
      <c r="Q251" s="740"/>
      <c r="R251" s="740"/>
      <c r="S251" s="740"/>
      <c r="T251" s="742">
        <f t="shared" si="1"/>
        <v>0</v>
      </c>
      <c r="U251" s="740"/>
      <c r="V251" s="740"/>
      <c r="W251" s="740"/>
      <c r="X251" s="740"/>
      <c r="Y251" s="740"/>
      <c r="Z251" s="740"/>
      <c r="AA251" s="740"/>
      <c r="AB251" s="740"/>
      <c r="AC251" s="740"/>
      <c r="AD251" s="740"/>
      <c r="AE251" s="740"/>
      <c r="AF251" s="740"/>
      <c r="AG251" s="740"/>
      <c r="AH251" s="742">
        <f t="shared" si="2"/>
        <v>0</v>
      </c>
      <c r="AI251" s="740"/>
      <c r="AJ251" s="740"/>
      <c r="AK251" s="740"/>
      <c r="AL251" s="740"/>
      <c r="AM251" s="740"/>
      <c r="AN251" s="740"/>
      <c r="AO251" s="740"/>
      <c r="AP251" s="740"/>
      <c r="AQ251" s="740"/>
      <c r="AR251" s="740"/>
      <c r="AS251" s="740"/>
      <c r="AT251" s="740"/>
      <c r="AU251" s="742">
        <f t="shared" si="3"/>
        <v>0</v>
      </c>
      <c r="AV251" s="739">
        <f t="shared" si="4"/>
        <v>0</v>
      </c>
    </row>
    <row r="252" spans="1:48" x14ac:dyDescent="0.25">
      <c r="A252" s="734" t="s">
        <v>630</v>
      </c>
      <c r="B252" s="735" t="s">
        <v>630</v>
      </c>
      <c r="C252" s="740"/>
      <c r="D252" s="740"/>
      <c r="E252" s="740"/>
      <c r="F252" s="741"/>
      <c r="G252" s="742">
        <f t="shared" si="0"/>
        <v>0</v>
      </c>
      <c r="H252" s="740"/>
      <c r="I252" s="740"/>
      <c r="J252" s="740"/>
      <c r="K252" s="740"/>
      <c r="L252" s="740"/>
      <c r="M252" s="740"/>
      <c r="N252" s="740"/>
      <c r="O252" s="740"/>
      <c r="P252" s="740"/>
      <c r="Q252" s="740"/>
      <c r="R252" s="740"/>
      <c r="S252" s="740"/>
      <c r="T252" s="742">
        <f t="shared" si="1"/>
        <v>0</v>
      </c>
      <c r="U252" s="740"/>
      <c r="V252" s="740"/>
      <c r="W252" s="740"/>
      <c r="X252" s="740"/>
      <c r="Y252" s="740"/>
      <c r="Z252" s="740"/>
      <c r="AA252" s="740"/>
      <c r="AB252" s="740"/>
      <c r="AC252" s="740"/>
      <c r="AD252" s="740"/>
      <c r="AE252" s="740"/>
      <c r="AF252" s="740"/>
      <c r="AG252" s="740"/>
      <c r="AH252" s="742">
        <f t="shared" si="2"/>
        <v>0</v>
      </c>
      <c r="AI252" s="740"/>
      <c r="AJ252" s="740"/>
      <c r="AK252" s="740"/>
      <c r="AL252" s="740"/>
      <c r="AM252" s="740"/>
      <c r="AN252" s="740"/>
      <c r="AO252" s="740"/>
      <c r="AP252" s="740"/>
      <c r="AQ252" s="740"/>
      <c r="AR252" s="740"/>
      <c r="AS252" s="740"/>
      <c r="AT252" s="740"/>
      <c r="AU252" s="742">
        <f t="shared" si="3"/>
        <v>0</v>
      </c>
      <c r="AV252" s="739">
        <f t="shared" si="4"/>
        <v>0</v>
      </c>
    </row>
    <row r="253" spans="1:48" ht="15.75" thickBot="1" x14ac:dyDescent="0.3">
      <c r="A253" s="744" t="s">
        <v>645</v>
      </c>
      <c r="B253" s="745" t="s">
        <v>645</v>
      </c>
      <c r="C253" s="746"/>
      <c r="D253" s="746"/>
      <c r="E253" s="746"/>
      <c r="F253" s="747"/>
      <c r="G253" s="748">
        <f t="shared" si="0"/>
        <v>0</v>
      </c>
      <c r="H253" s="746"/>
      <c r="I253" s="746"/>
      <c r="J253" s="746"/>
      <c r="K253" s="746"/>
      <c r="L253" s="746"/>
      <c r="M253" s="746"/>
      <c r="N253" s="746"/>
      <c r="O253" s="746"/>
      <c r="P253" s="746"/>
      <c r="Q253" s="746"/>
      <c r="R253" s="746"/>
      <c r="S253" s="746"/>
      <c r="T253" s="748">
        <f t="shared" si="1"/>
        <v>0</v>
      </c>
      <c r="U253" s="746"/>
      <c r="V253" s="746"/>
      <c r="W253" s="746"/>
      <c r="X253" s="746"/>
      <c r="Y253" s="746"/>
      <c r="Z253" s="746"/>
      <c r="AA253" s="746"/>
      <c r="AB253" s="746"/>
      <c r="AC253" s="746"/>
      <c r="AD253" s="746"/>
      <c r="AE253" s="746"/>
      <c r="AF253" s="746"/>
      <c r="AG253" s="746"/>
      <c r="AH253" s="748">
        <f t="shared" si="2"/>
        <v>0</v>
      </c>
      <c r="AI253" s="746"/>
      <c r="AJ253" s="746"/>
      <c r="AK253" s="746"/>
      <c r="AL253" s="746"/>
      <c r="AM253" s="746"/>
      <c r="AN253" s="746"/>
      <c r="AO253" s="746"/>
      <c r="AP253" s="746"/>
      <c r="AQ253" s="746"/>
      <c r="AR253" s="746"/>
      <c r="AS253" s="746"/>
      <c r="AT253" s="746"/>
      <c r="AU253" s="748">
        <f t="shared" si="3"/>
        <v>0</v>
      </c>
      <c r="AV253" s="749">
        <f t="shared" si="4"/>
        <v>0</v>
      </c>
    </row>
    <row r="254" spans="1:48" ht="15.75" thickBot="1" x14ac:dyDescent="0.3">
      <c r="A254" s="640"/>
      <c r="B254" s="750" t="s">
        <v>1135</v>
      </c>
      <c r="C254" s="751">
        <f t="shared" ref="C254:AV254" si="5">SUM(C221:C253)</f>
        <v>0</v>
      </c>
      <c r="D254" s="751">
        <f t="shared" si="5"/>
        <v>0</v>
      </c>
      <c r="E254" s="751">
        <f t="shared" si="5"/>
        <v>0</v>
      </c>
      <c r="F254" s="751">
        <f t="shared" si="5"/>
        <v>0</v>
      </c>
      <c r="G254" s="752">
        <f t="shared" si="5"/>
        <v>0</v>
      </c>
      <c r="H254" s="751">
        <f t="shared" si="5"/>
        <v>0</v>
      </c>
      <c r="I254" s="751">
        <f t="shared" si="5"/>
        <v>0</v>
      </c>
      <c r="J254" s="751">
        <f t="shared" si="5"/>
        <v>0</v>
      </c>
      <c r="K254" s="751">
        <f t="shared" si="5"/>
        <v>0</v>
      </c>
      <c r="L254" s="751">
        <f t="shared" si="5"/>
        <v>0</v>
      </c>
      <c r="M254" s="751">
        <f t="shared" si="5"/>
        <v>0</v>
      </c>
      <c r="N254" s="751">
        <f t="shared" si="5"/>
        <v>0</v>
      </c>
      <c r="O254" s="751">
        <f t="shared" si="5"/>
        <v>0</v>
      </c>
      <c r="P254" s="751">
        <f t="shared" si="5"/>
        <v>0</v>
      </c>
      <c r="Q254" s="751">
        <f t="shared" si="5"/>
        <v>0</v>
      </c>
      <c r="R254" s="751">
        <f t="shared" si="5"/>
        <v>0</v>
      </c>
      <c r="S254" s="751">
        <f t="shared" si="5"/>
        <v>0</v>
      </c>
      <c r="T254" s="752">
        <f t="shared" si="5"/>
        <v>0</v>
      </c>
      <c r="U254" s="751">
        <f t="shared" si="5"/>
        <v>0</v>
      </c>
      <c r="V254" s="751">
        <f t="shared" si="5"/>
        <v>0</v>
      </c>
      <c r="W254" s="751">
        <f t="shared" si="5"/>
        <v>0</v>
      </c>
      <c r="X254" s="751">
        <f t="shared" si="5"/>
        <v>0</v>
      </c>
      <c r="Y254" s="751">
        <f t="shared" si="5"/>
        <v>0</v>
      </c>
      <c r="Z254" s="751">
        <f t="shared" si="5"/>
        <v>0</v>
      </c>
      <c r="AA254" s="751">
        <f t="shared" si="5"/>
        <v>0</v>
      </c>
      <c r="AB254" s="751">
        <f t="shared" si="5"/>
        <v>0</v>
      </c>
      <c r="AC254" s="751">
        <f t="shared" si="5"/>
        <v>0</v>
      </c>
      <c r="AD254" s="751">
        <f t="shared" si="5"/>
        <v>0</v>
      </c>
      <c r="AE254" s="751"/>
      <c r="AF254" s="751">
        <f t="shared" si="5"/>
        <v>0</v>
      </c>
      <c r="AG254" s="751">
        <f t="shared" si="5"/>
        <v>0</v>
      </c>
      <c r="AH254" s="752">
        <f t="shared" si="5"/>
        <v>0</v>
      </c>
      <c r="AI254" s="751">
        <f t="shared" si="5"/>
        <v>0</v>
      </c>
      <c r="AJ254" s="751">
        <f t="shared" si="5"/>
        <v>0</v>
      </c>
      <c r="AK254" s="751">
        <f t="shared" si="5"/>
        <v>0</v>
      </c>
      <c r="AL254" s="751">
        <f t="shared" si="5"/>
        <v>0</v>
      </c>
      <c r="AM254" s="751">
        <f t="shared" si="5"/>
        <v>0</v>
      </c>
      <c r="AN254" s="751">
        <f t="shared" si="5"/>
        <v>0</v>
      </c>
      <c r="AO254" s="751">
        <f t="shared" si="5"/>
        <v>0</v>
      </c>
      <c r="AP254" s="751">
        <f t="shared" si="5"/>
        <v>0</v>
      </c>
      <c r="AQ254" s="751">
        <f t="shared" si="5"/>
        <v>0</v>
      </c>
      <c r="AR254" s="751">
        <f t="shared" si="5"/>
        <v>0</v>
      </c>
      <c r="AS254" s="751">
        <f t="shared" si="5"/>
        <v>0</v>
      </c>
      <c r="AT254" s="751">
        <f t="shared" si="5"/>
        <v>0</v>
      </c>
      <c r="AU254" s="752">
        <f t="shared" si="5"/>
        <v>0</v>
      </c>
      <c r="AV254" s="753">
        <f t="shared" si="5"/>
        <v>0</v>
      </c>
    </row>
    <row r="1193" spans="1:23" ht="15.75" thickBot="1" x14ac:dyDescent="0.3">
      <c r="A1193" s="506"/>
      <c r="B1193" s="754"/>
      <c r="C1193" s="559"/>
      <c r="D1193" s="559"/>
      <c r="E1193" s="755"/>
      <c r="F1193" s="511"/>
      <c r="G1193" s="512"/>
      <c r="H1193" s="512"/>
      <c r="I1193" s="538"/>
      <c r="J1193" s="756"/>
      <c r="K1193" s="756"/>
      <c r="L1193" s="757"/>
      <c r="M1193" s="538"/>
      <c r="N1193" s="517"/>
      <c r="O1193" s="517"/>
      <c r="P1193" s="518"/>
      <c r="Q1193" s="518"/>
      <c r="R1193" s="518"/>
      <c r="S1193" s="519"/>
      <c r="T1193" s="758"/>
      <c r="U1193" s="758"/>
      <c r="V1193" s="758"/>
      <c r="W1193" s="518"/>
    </row>
    <row r="1194" spans="1:23" x14ac:dyDescent="0.25">
      <c r="A1194" s="506"/>
      <c r="B1194" s="507" t="s">
        <v>823</v>
      </c>
      <c r="C1194" s="508">
        <f>COUNTIF(B$1:B1191,B1194)</f>
        <v>1</v>
      </c>
      <c r="D1194" s="509">
        <f>C1194/C1199</f>
        <v>0.2</v>
      </c>
      <c r="E1194" s="510"/>
      <c r="F1194" s="511"/>
      <c r="G1194" s="512"/>
      <c r="H1194" s="512"/>
      <c r="I1194" s="513"/>
      <c r="J1194" s="514">
        <f>SUMIF(B$3:B1191,B1194,T$3:T1198)</f>
        <v>48</v>
      </c>
      <c r="K1194" s="515"/>
      <c r="L1194" s="516">
        <f>J1194/J1199</f>
        <v>1</v>
      </c>
      <c r="M1194" s="517"/>
      <c r="N1194" s="517"/>
      <c r="O1194" s="517"/>
      <c r="P1194" s="518"/>
      <c r="Q1194" s="518"/>
      <c r="R1194" s="518"/>
      <c r="S1194" s="519" t="s">
        <v>788</v>
      </c>
      <c r="T1194" s="520">
        <v>1261915799.52244</v>
      </c>
      <c r="U1194" s="520" t="e">
        <f>SUM(#REF!)</f>
        <v>#REF!</v>
      </c>
      <c r="V1194" s="520" t="e">
        <f>SUM(#REF!)</f>
        <v>#REF!</v>
      </c>
      <c r="W1194" s="518" t="s">
        <v>824</v>
      </c>
    </row>
    <row r="1195" spans="1:23" x14ac:dyDescent="0.25">
      <c r="A1195" s="506"/>
      <c r="B1195" s="523" t="s">
        <v>825</v>
      </c>
      <c r="C1195" s="524">
        <f>COUNTIF(B$1:B1191,B1195)</f>
        <v>1</v>
      </c>
      <c r="D1195" s="525">
        <f>C1195/C1199</f>
        <v>0.2</v>
      </c>
      <c r="E1195" s="510"/>
      <c r="F1195" s="511"/>
      <c r="G1195" s="512"/>
      <c r="H1195" s="512"/>
      <c r="I1195" s="513"/>
      <c r="J1195" s="526">
        <f>SUMIF(B$3:B1194,B1195,T$3:T1199)</f>
        <v>0</v>
      </c>
      <c r="K1195" s="527"/>
      <c r="L1195" s="528">
        <f>J1195/J1199</f>
        <v>0</v>
      </c>
      <c r="M1195" s="517"/>
      <c r="N1195" s="517"/>
      <c r="O1195" s="517"/>
      <c r="P1195" s="522"/>
      <c r="Q1195" s="522"/>
      <c r="R1195" s="522"/>
      <c r="S1195" s="529"/>
      <c r="T1195" s="530"/>
      <c r="U1195" s="530"/>
      <c r="V1195" s="530"/>
      <c r="W1195" s="522"/>
    </row>
    <row r="1196" spans="1:23" x14ac:dyDescent="0.25">
      <c r="A1196" s="506"/>
      <c r="B1196" s="532" t="s">
        <v>826</v>
      </c>
      <c r="C1196" s="533">
        <f>COUNTIF(B$1:B1191,B1196)</f>
        <v>1</v>
      </c>
      <c r="D1196" s="534">
        <f>C1196/C1199</f>
        <v>0.2</v>
      </c>
      <c r="E1196" s="510"/>
      <c r="F1196" s="511"/>
      <c r="G1196" s="512"/>
      <c r="H1196" s="512"/>
      <c r="I1196" s="513"/>
      <c r="J1196" s="535">
        <f>SUMIF(B$3:B1195,B1196,T$3:T1199)</f>
        <v>0</v>
      </c>
      <c r="K1196" s="536"/>
      <c r="L1196" s="537">
        <f>J1196/J1199</f>
        <v>0</v>
      </c>
      <c r="M1196" s="538"/>
      <c r="N1196" s="517"/>
      <c r="O1196" s="517"/>
      <c r="P1196" s="522"/>
      <c r="Q1196" s="522"/>
      <c r="R1196" s="522"/>
      <c r="S1196" s="529"/>
      <c r="T1196" s="530"/>
      <c r="U1196" s="530"/>
      <c r="V1196" s="530"/>
      <c r="W1196" s="522"/>
    </row>
    <row r="1197" spans="1:23" ht="15.75" thickBot="1" x14ac:dyDescent="0.3">
      <c r="A1197" s="506"/>
      <c r="B1197" s="539" t="s">
        <v>827</v>
      </c>
      <c r="C1197" s="540">
        <f>COUNTIF(B$1:B1194,B1197)</f>
        <v>1</v>
      </c>
      <c r="D1197" s="541">
        <f>C1197/C1199</f>
        <v>0.2</v>
      </c>
      <c r="E1197" s="510"/>
      <c r="F1197" s="511"/>
      <c r="G1197" s="512"/>
      <c r="H1197" s="512"/>
      <c r="I1197" s="513"/>
      <c r="J1197" s="542">
        <f>SUMIF(B$3:B1196,B1197,T$3:T1199)</f>
        <v>0</v>
      </c>
      <c r="K1197" s="543"/>
      <c r="L1197" s="544">
        <f>J1197/J1199</f>
        <v>0</v>
      </c>
      <c r="M1197" s="538"/>
      <c r="N1197" s="517"/>
      <c r="O1197" s="517"/>
      <c r="P1197" s="522"/>
      <c r="Q1197" s="522"/>
      <c r="R1197" s="522"/>
      <c r="S1197" s="529"/>
      <c r="T1197" s="530"/>
      <c r="U1197" s="530"/>
      <c r="V1197" s="530"/>
      <c r="W1197" s="522"/>
    </row>
    <row r="1198" spans="1:23" ht="16.5" thickTop="1" thickBot="1" x14ac:dyDescent="0.3">
      <c r="A1198" s="545"/>
      <c r="B1198" s="546" t="s">
        <v>811</v>
      </c>
      <c r="C1198" s="547">
        <f>COUNTIF(B$1:B1191,B1198)</f>
        <v>1</v>
      </c>
      <c r="D1198" s="548">
        <f>C1198/C1199</f>
        <v>0.2</v>
      </c>
      <c r="E1198" s="549"/>
      <c r="F1198" s="550"/>
      <c r="G1198" s="551"/>
      <c r="H1198" s="551"/>
      <c r="I1198" s="552"/>
      <c r="J1198" s="553">
        <f>SUMIF(B$3:B1197,B1198,T$3:T1199)</f>
        <v>0</v>
      </c>
      <c r="K1198" s="554"/>
      <c r="L1198" s="555">
        <f>J1198/J1199</f>
        <v>0</v>
      </c>
      <c r="M1198" s="556"/>
      <c r="N1198" s="556"/>
      <c r="O1198" s="556"/>
      <c r="P1198" s="522"/>
      <c r="Q1198" s="522"/>
      <c r="R1198" s="522"/>
      <c r="S1198" s="529"/>
      <c r="T1198" s="530"/>
      <c r="U1198" s="530"/>
      <c r="V1198" s="530"/>
      <c r="W1198" s="522"/>
    </row>
    <row r="1199" spans="1:23" x14ac:dyDescent="0.25">
      <c r="A1199" s="506"/>
      <c r="B1199" s="557"/>
      <c r="C1199" s="558">
        <f>SUM(C1194:C1198)</f>
        <v>5</v>
      </c>
      <c r="D1199" s="559"/>
      <c r="E1199" s="510"/>
      <c r="F1199" s="511"/>
      <c r="G1199" s="512"/>
      <c r="H1199" s="512"/>
      <c r="I1199" s="513"/>
      <c r="J1199" s="560">
        <f>SUM(J1194:J1198)</f>
        <v>48</v>
      </c>
      <c r="K1199" s="561"/>
      <c r="L1199" s="562"/>
      <c r="M1199" s="538"/>
      <c r="N1199" s="517"/>
      <c r="O1199" s="517"/>
      <c r="P1199" s="522"/>
      <c r="Q1199" s="522"/>
      <c r="R1199" s="522"/>
      <c r="S1199" s="529"/>
      <c r="T1199" s="530"/>
      <c r="U1199" s="530"/>
      <c r="V1199" s="530"/>
      <c r="W1199" s="522"/>
    </row>
  </sheetData>
  <mergeCells count="2">
    <mergeCell ref="A50:A55"/>
    <mergeCell ref="A63:A68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A17" sqref="A17:A22"/>
    </sheetView>
  </sheetViews>
  <sheetFormatPr defaultRowHeight="15" x14ac:dyDescent="0.25"/>
  <cols>
    <col min="1" max="3" width="9.140625" style="408"/>
    <col min="4" max="4" width="10.7109375" style="408" customWidth="1"/>
    <col min="5" max="7" width="10.5703125" style="408" customWidth="1"/>
    <col min="8" max="10" width="9.140625" style="408"/>
    <col min="11" max="11" width="17.7109375" style="690" customWidth="1"/>
    <col min="12" max="12" width="22.7109375" style="408" customWidth="1"/>
    <col min="13" max="13" width="17.7109375" style="408" customWidth="1"/>
    <col min="14" max="14" width="10.7109375" style="408" customWidth="1"/>
    <col min="15" max="16" width="18.7109375" style="408" customWidth="1"/>
    <col min="17" max="17" width="13.7109375" style="408" customWidth="1"/>
    <col min="18" max="18" width="10.85546875" style="408" customWidth="1"/>
    <col min="19" max="19" width="30.85546875" style="408" customWidth="1"/>
    <col min="20" max="20" width="20.7109375" style="408" customWidth="1"/>
    <col min="21" max="22" width="10.7109375" style="408" customWidth="1"/>
    <col min="23" max="23" width="15.85546875" style="408" customWidth="1"/>
    <col min="24" max="24" width="8.5703125" style="408" customWidth="1"/>
    <col min="25" max="25" width="15.5703125" style="408" customWidth="1"/>
    <col min="26" max="16384" width="9.140625" style="408"/>
  </cols>
  <sheetData>
    <row r="1" spans="1:34" s="567" customFormat="1" ht="7.5" customHeight="1" x14ac:dyDescent="0.25">
      <c r="D1" s="568"/>
      <c r="E1" s="568"/>
      <c r="F1" s="568"/>
      <c r="G1" s="568"/>
      <c r="K1" s="759"/>
    </row>
    <row r="2" spans="1:34" s="434" customFormat="1" ht="19.5" x14ac:dyDescent="0.3">
      <c r="C2" s="435" t="s">
        <v>1136</v>
      </c>
      <c r="K2" s="759"/>
    </row>
    <row r="4" spans="1:34" ht="15.75" thickBot="1" x14ac:dyDescent="0.3">
      <c r="A4" s="623" t="s">
        <v>1137</v>
      </c>
    </row>
    <row r="5" spans="1:34" s="632" customFormat="1" ht="15.75" thickBot="1" x14ac:dyDescent="0.3">
      <c r="A5" s="408"/>
      <c r="B5" s="760" t="s">
        <v>1138</v>
      </c>
      <c r="C5" s="761">
        <f>MATCH("NewOpp",E5:N5,0)+4</f>
        <v>12</v>
      </c>
      <c r="D5" s="761">
        <f>MATCH("STOP",E5:N5,0)+4</f>
        <v>14</v>
      </c>
      <c r="K5" s="762"/>
      <c r="L5" s="763" t="s">
        <v>140</v>
      </c>
      <c r="M5" s="764" t="s">
        <v>1139</v>
      </c>
      <c r="N5" s="765" t="s">
        <v>1140</v>
      </c>
      <c r="P5" s="633"/>
      <c r="Q5" s="634"/>
      <c r="R5" s="635"/>
      <c r="S5" s="636"/>
      <c r="T5" s="408"/>
      <c r="U5" s="408"/>
      <c r="V5" s="408"/>
      <c r="W5" s="408"/>
      <c r="X5" s="408"/>
      <c r="Y5" s="408"/>
      <c r="Z5" s="408"/>
      <c r="AA5" s="408"/>
      <c r="AB5" s="408"/>
      <c r="AC5" s="408"/>
    </row>
    <row r="6" spans="1:34" s="762" customFormat="1" x14ac:dyDescent="0.25">
      <c r="A6" s="766"/>
      <c r="B6" s="767"/>
      <c r="C6" s="768"/>
      <c r="D6" s="769"/>
      <c r="L6" s="770"/>
      <c r="M6" s="770"/>
      <c r="N6" s="771"/>
      <c r="Q6" s="675"/>
      <c r="R6" s="634"/>
      <c r="S6" s="635"/>
      <c r="T6" s="636"/>
      <c r="U6" s="690"/>
      <c r="V6" s="690"/>
      <c r="W6" s="690"/>
      <c r="X6" s="690"/>
      <c r="Y6" s="690"/>
      <c r="Z6" s="690"/>
      <c r="AA6" s="690"/>
      <c r="AB6" s="690"/>
      <c r="AC6" s="690"/>
      <c r="AD6" s="690"/>
    </row>
    <row r="7" spans="1:34" x14ac:dyDescent="0.25">
      <c r="A7" s="772">
        <v>0</v>
      </c>
      <c r="B7" s="773" t="s">
        <v>66</v>
      </c>
      <c r="C7" s="774" t="s">
        <v>66</v>
      </c>
      <c r="D7" s="775" t="s">
        <v>66</v>
      </c>
      <c r="E7" s="776">
        <v>0</v>
      </c>
      <c r="F7" s="776">
        <v>0</v>
      </c>
      <c r="G7" s="776">
        <v>0</v>
      </c>
      <c r="H7" s="776">
        <v>0</v>
      </c>
      <c r="I7" s="776">
        <v>0</v>
      </c>
      <c r="J7" s="776">
        <v>0</v>
      </c>
      <c r="K7" s="776">
        <v>17</v>
      </c>
      <c r="L7" s="777" t="s">
        <v>931</v>
      </c>
      <c r="M7" s="777" t="s">
        <v>84</v>
      </c>
      <c r="N7" s="777" t="s">
        <v>84</v>
      </c>
      <c r="O7" s="777" t="s">
        <v>965</v>
      </c>
      <c r="P7" s="777" t="s">
        <v>931</v>
      </c>
      <c r="Q7" s="777" t="s">
        <v>964</v>
      </c>
      <c r="R7" s="777" t="s">
        <v>81</v>
      </c>
      <c r="S7" s="777" t="s">
        <v>51</v>
      </c>
      <c r="T7" s="777" t="s">
        <v>81</v>
      </c>
      <c r="U7" s="777" t="s">
        <v>81</v>
      </c>
      <c r="V7" s="777" t="s">
        <v>81</v>
      </c>
      <c r="W7" s="777" t="s">
        <v>245</v>
      </c>
      <c r="X7" s="777" t="s">
        <v>60</v>
      </c>
      <c r="Y7" s="777" t="s">
        <v>245</v>
      </c>
      <c r="Z7" s="776">
        <v>0</v>
      </c>
      <c r="AA7" s="641"/>
      <c r="AB7" s="640"/>
    </row>
    <row r="8" spans="1:34" x14ac:dyDescent="0.25">
      <c r="A8" s="766"/>
      <c r="B8" s="773" t="s">
        <v>929</v>
      </c>
      <c r="C8" s="774"/>
      <c r="D8" s="775"/>
      <c r="E8" s="680"/>
      <c r="F8" s="680"/>
      <c r="G8" s="680"/>
      <c r="H8" s="680"/>
      <c r="I8" s="680"/>
      <c r="J8" s="680"/>
      <c r="K8" s="680"/>
      <c r="L8" s="675"/>
      <c r="M8" s="675"/>
      <c r="N8" s="675"/>
      <c r="O8" s="690"/>
      <c r="P8" s="690"/>
      <c r="Q8" s="675"/>
      <c r="R8" s="675"/>
      <c r="S8" s="675"/>
      <c r="T8" s="675"/>
      <c r="U8" s="675"/>
      <c r="V8" s="675"/>
      <c r="W8" s="690"/>
      <c r="X8" s="690"/>
      <c r="Y8" s="690"/>
      <c r="Z8" s="641"/>
      <c r="AA8" s="640"/>
    </row>
    <row r="9" spans="1:34" x14ac:dyDescent="0.25">
      <c r="A9" s="766"/>
      <c r="B9" s="773" t="s">
        <v>933</v>
      </c>
      <c r="C9" s="774"/>
      <c r="D9" s="775"/>
      <c r="E9" s="680"/>
      <c r="F9" s="680"/>
      <c r="G9" s="680"/>
      <c r="H9" s="680"/>
      <c r="I9" s="680"/>
      <c r="J9" s="680"/>
      <c r="K9" s="680"/>
      <c r="L9" s="675"/>
      <c r="M9" s="675"/>
      <c r="N9" s="675"/>
      <c r="O9" s="690"/>
      <c r="P9" s="690"/>
      <c r="Q9" s="675"/>
      <c r="R9" s="675"/>
      <c r="S9" s="675"/>
      <c r="T9" s="675"/>
      <c r="U9" s="675"/>
      <c r="V9" s="675"/>
      <c r="W9" s="690"/>
      <c r="X9" s="690"/>
      <c r="Y9" s="690"/>
      <c r="Z9" s="641"/>
      <c r="AA9" s="640"/>
    </row>
    <row r="10" spans="1:34" ht="15.75" thickBot="1" x14ac:dyDescent="0.3">
      <c r="A10" s="766"/>
      <c r="B10" s="778" t="s">
        <v>936</v>
      </c>
      <c r="C10" s="774"/>
      <c r="D10" s="775"/>
      <c r="E10" s="680"/>
      <c r="F10" s="680"/>
      <c r="G10" s="680"/>
      <c r="H10" s="680"/>
      <c r="I10" s="680"/>
      <c r="J10" s="680"/>
      <c r="K10" s="680"/>
      <c r="L10" s="675"/>
      <c r="M10" s="675"/>
      <c r="N10" s="675"/>
      <c r="O10" s="690"/>
      <c r="P10" s="690"/>
      <c r="Q10" s="675"/>
      <c r="R10" s="675"/>
      <c r="S10" s="675"/>
      <c r="T10" s="675"/>
      <c r="U10" s="675"/>
      <c r="V10" s="675"/>
      <c r="W10" s="690"/>
      <c r="X10" s="690"/>
      <c r="Y10" s="690"/>
      <c r="Z10" s="641"/>
      <c r="AA10" s="640"/>
    </row>
    <row r="11" spans="1:34" s="792" customFormat="1" ht="23.25" thickBot="1" x14ac:dyDescent="0.3">
      <c r="A11" s="923" t="s">
        <v>32</v>
      </c>
      <c r="B11" s="779" t="s">
        <v>1141</v>
      </c>
      <c r="C11" s="780" t="s">
        <v>1142</v>
      </c>
      <c r="D11" s="781"/>
      <c r="E11" s="437" t="s">
        <v>742</v>
      </c>
      <c r="F11" s="782" t="s">
        <v>52</v>
      </c>
      <c r="G11" s="782" t="s">
        <v>1143</v>
      </c>
      <c r="H11" s="783" t="s">
        <v>759</v>
      </c>
      <c r="I11" s="783"/>
      <c r="J11" s="438" t="s">
        <v>1144</v>
      </c>
      <c r="K11" s="784" t="s">
        <v>402</v>
      </c>
      <c r="L11" s="785" t="s">
        <v>1145</v>
      </c>
      <c r="M11" s="786" t="s">
        <v>36</v>
      </c>
      <c r="N11" s="786" t="s">
        <v>39</v>
      </c>
      <c r="O11" s="787" t="s">
        <v>744</v>
      </c>
      <c r="P11" s="786" t="s">
        <v>1146</v>
      </c>
      <c r="Q11" s="788" t="s">
        <v>753</v>
      </c>
      <c r="R11" s="934" t="s">
        <v>754</v>
      </c>
      <c r="S11" s="935"/>
      <c r="T11" s="789" t="s">
        <v>109</v>
      </c>
      <c r="U11" s="787" t="s">
        <v>759</v>
      </c>
      <c r="V11" s="789" t="s">
        <v>760</v>
      </c>
      <c r="W11" s="790" t="s">
        <v>761</v>
      </c>
      <c r="X11" s="791" t="s">
        <v>762</v>
      </c>
      <c r="Y11" s="789" t="s">
        <v>763</v>
      </c>
      <c r="Z11" s="408"/>
    </row>
    <row r="12" spans="1:34" s="792" customFormat="1" ht="15.75" thickBot="1" x14ac:dyDescent="0.3">
      <c r="A12" s="924"/>
      <c r="B12" s="793" t="s">
        <v>919</v>
      </c>
      <c r="C12" s="774" t="s">
        <v>1142</v>
      </c>
      <c r="D12" s="794"/>
      <c r="E12" s="666"/>
      <c r="F12" s="795"/>
      <c r="G12" s="408"/>
      <c r="H12" s="408"/>
      <c r="I12" s="408"/>
      <c r="J12" s="796"/>
      <c r="K12" s="797"/>
      <c r="L12" s="798">
        <f>HYPERLINK("https://eu1.salesforce.com/"&amp;E12,F12)</f>
        <v>0</v>
      </c>
      <c r="M12" s="667"/>
      <c r="N12" s="667"/>
      <c r="O12" s="799"/>
      <c r="P12" s="800">
        <v>1234567.8899999999</v>
      </c>
      <c r="Q12" s="800">
        <v>1234567.8899999999</v>
      </c>
      <c r="R12" s="936"/>
      <c r="S12" s="937"/>
      <c r="T12" s="801"/>
      <c r="U12" s="798">
        <f>HYPERLINK("https://eu1.salesforce.com/"&amp;G12,H12)</f>
        <v>0</v>
      </c>
      <c r="V12" s="802"/>
      <c r="W12" s="802"/>
      <c r="X12" s="802"/>
      <c r="Y12" s="802"/>
    </row>
    <row r="13" spans="1:34" x14ac:dyDescent="0.25">
      <c r="A13" s="924"/>
      <c r="B13" s="773" t="s">
        <v>925</v>
      </c>
      <c r="C13" s="774"/>
      <c r="D13" s="775"/>
      <c r="E13" s="680">
        <v>0.5</v>
      </c>
      <c r="F13" s="680"/>
      <c r="J13" s="680">
        <v>0.5</v>
      </c>
      <c r="K13" s="680">
        <v>17</v>
      </c>
      <c r="L13" s="675" t="s">
        <v>931</v>
      </c>
      <c r="M13" s="675" t="s">
        <v>84</v>
      </c>
      <c r="N13" s="675" t="s">
        <v>81</v>
      </c>
      <c r="O13" s="675" t="s">
        <v>930</v>
      </c>
      <c r="P13" s="675" t="s">
        <v>1147</v>
      </c>
      <c r="Q13" s="675" t="s">
        <v>1147</v>
      </c>
      <c r="R13" s="675" t="s">
        <v>1148</v>
      </c>
      <c r="S13" s="675"/>
      <c r="T13" s="675" t="s">
        <v>81</v>
      </c>
      <c r="U13" s="675" t="s">
        <v>187</v>
      </c>
      <c r="V13" s="675" t="s">
        <v>187</v>
      </c>
      <c r="W13" s="675" t="s">
        <v>1147</v>
      </c>
      <c r="X13" s="675" t="s">
        <v>60</v>
      </c>
      <c r="Y13" s="675" t="s">
        <v>245</v>
      </c>
      <c r="AA13" s="641"/>
      <c r="AB13" s="640"/>
    </row>
    <row r="14" spans="1:34" x14ac:dyDescent="0.25">
      <c r="A14" s="924"/>
      <c r="B14" s="773" t="s">
        <v>929</v>
      </c>
      <c r="C14" s="774"/>
      <c r="D14" s="775"/>
      <c r="E14" s="680">
        <v>1</v>
      </c>
      <c r="F14" s="680">
        <v>9</v>
      </c>
      <c r="G14" s="680">
        <v>25</v>
      </c>
      <c r="H14" s="796">
        <v>25</v>
      </c>
      <c r="I14" s="796"/>
      <c r="J14" s="680" t="s">
        <v>1091</v>
      </c>
      <c r="K14" s="680">
        <v>19</v>
      </c>
      <c r="L14" s="675"/>
      <c r="M14" s="675" t="s">
        <v>120</v>
      </c>
      <c r="N14" s="675" t="s">
        <v>34</v>
      </c>
      <c r="O14" s="675" t="s">
        <v>187</v>
      </c>
      <c r="P14" s="675" t="s">
        <v>81</v>
      </c>
      <c r="Q14" s="675" t="s">
        <v>930</v>
      </c>
      <c r="R14" s="675" t="s">
        <v>246</v>
      </c>
      <c r="S14" s="675"/>
      <c r="T14" s="675" t="s">
        <v>931</v>
      </c>
      <c r="U14" s="675"/>
      <c r="V14" s="675" t="s">
        <v>1149</v>
      </c>
      <c r="W14" s="675" t="s">
        <v>1009</v>
      </c>
      <c r="X14" s="675" t="s">
        <v>1010</v>
      </c>
      <c r="Y14" s="675" t="s">
        <v>1150</v>
      </c>
      <c r="AD14" s="645"/>
      <c r="AE14" s="645"/>
      <c r="AF14" s="645"/>
      <c r="AG14" s="645"/>
      <c r="AH14" s="645"/>
    </row>
    <row r="15" spans="1:34" x14ac:dyDescent="0.25">
      <c r="A15" s="924"/>
      <c r="B15" s="773" t="s">
        <v>933</v>
      </c>
      <c r="C15" s="774"/>
      <c r="D15" s="775"/>
      <c r="E15" s="680"/>
      <c r="F15" s="680"/>
      <c r="G15" s="680" t="s">
        <v>935</v>
      </c>
      <c r="H15" s="408" t="s">
        <v>1151</v>
      </c>
      <c r="J15" s="680"/>
      <c r="K15" s="803" t="s">
        <v>776</v>
      </c>
      <c r="L15" s="690"/>
      <c r="M15" s="690"/>
      <c r="N15" s="690"/>
      <c r="O15" s="690"/>
      <c r="P15" s="690"/>
      <c r="Q15" s="690"/>
      <c r="R15" s="690"/>
      <c r="S15" s="690"/>
      <c r="T15" s="690"/>
      <c r="U15" s="690"/>
      <c r="V15" s="690"/>
      <c r="W15" s="690"/>
      <c r="X15" s="690"/>
      <c r="Y15" s="690"/>
      <c r="AD15" s="645"/>
      <c r="AE15" s="645"/>
      <c r="AF15" s="645"/>
      <c r="AG15" s="645"/>
      <c r="AH15" s="645"/>
    </row>
    <row r="16" spans="1:34" ht="15.75" thickBot="1" x14ac:dyDescent="0.3">
      <c r="A16" s="925"/>
      <c r="B16" s="778" t="s">
        <v>936</v>
      </c>
      <c r="C16" s="804"/>
      <c r="D16" s="805"/>
      <c r="E16" s="806"/>
      <c r="F16" s="806"/>
      <c r="G16" s="806" t="s">
        <v>1152</v>
      </c>
      <c r="J16" s="806" t="s">
        <v>1153</v>
      </c>
      <c r="K16" s="806"/>
      <c r="L16" s="690"/>
      <c r="M16" s="690"/>
      <c r="N16" s="690"/>
      <c r="O16" s="690"/>
      <c r="P16" s="690"/>
      <c r="Q16" s="690"/>
      <c r="R16" s="690"/>
      <c r="S16" s="690"/>
      <c r="T16" s="690"/>
      <c r="U16" s="690"/>
      <c r="V16" s="690"/>
      <c r="W16" s="690"/>
      <c r="AB16" s="645"/>
      <c r="AC16" s="645"/>
      <c r="AD16" s="645"/>
      <c r="AE16" s="645"/>
      <c r="AF16" s="645"/>
    </row>
    <row r="17" spans="1:37" s="792" customFormat="1" ht="30.75" thickBot="1" x14ac:dyDescent="0.3">
      <c r="A17" s="923" t="s">
        <v>69</v>
      </c>
      <c r="B17" s="613" t="s">
        <v>896</v>
      </c>
      <c r="C17" s="780" t="s">
        <v>1142</v>
      </c>
      <c r="D17" s="781"/>
      <c r="E17" s="807" t="s">
        <v>743</v>
      </c>
      <c r="F17" s="807"/>
      <c r="G17" s="807"/>
      <c r="H17" s="808" t="s">
        <v>1154</v>
      </c>
      <c r="I17" s="808"/>
      <c r="J17" s="809" t="s">
        <v>118</v>
      </c>
      <c r="K17" s="810"/>
      <c r="L17" s="811" t="s">
        <v>1155</v>
      </c>
      <c r="M17" s="812" t="s">
        <v>1156</v>
      </c>
      <c r="N17" s="813" t="s">
        <v>1157</v>
      </c>
      <c r="O17" s="813" t="s">
        <v>1158</v>
      </c>
      <c r="P17" s="814" t="s">
        <v>1159</v>
      </c>
      <c r="Q17" s="814" t="s">
        <v>1160</v>
      </c>
      <c r="R17" s="926" t="s">
        <v>1161</v>
      </c>
      <c r="S17" s="927"/>
      <c r="T17" s="811" t="s">
        <v>1162</v>
      </c>
      <c r="W17" s="811" t="s">
        <v>1163</v>
      </c>
      <c r="X17" s="815"/>
    </row>
    <row r="18" spans="1:37" s="792" customFormat="1" ht="15.75" thickBot="1" x14ac:dyDescent="0.3">
      <c r="A18" s="924"/>
      <c r="B18" s="793" t="s">
        <v>919</v>
      </c>
      <c r="C18" s="774" t="s">
        <v>1164</v>
      </c>
      <c r="D18" s="816">
        <f>E12</f>
        <v>0</v>
      </c>
      <c r="H18" s="817"/>
      <c r="I18" s="817"/>
      <c r="J18" s="818"/>
      <c r="K18" s="819"/>
      <c r="L18" s="820"/>
      <c r="M18" s="821"/>
      <c r="N18" s="822"/>
      <c r="O18" s="822"/>
      <c r="P18" s="822"/>
      <c r="Q18" s="821"/>
      <c r="R18" s="928"/>
      <c r="S18" s="929"/>
      <c r="T18" s="823"/>
      <c r="W18" s="824"/>
      <c r="X18" s="815"/>
    </row>
    <row r="19" spans="1:37" x14ac:dyDescent="0.25">
      <c r="A19" s="924"/>
      <c r="B19" s="773" t="s">
        <v>925</v>
      </c>
      <c r="C19" s="774"/>
      <c r="D19" s="775"/>
      <c r="E19" s="455">
        <v>0.5</v>
      </c>
      <c r="F19" s="455"/>
      <c r="G19" s="455"/>
      <c r="H19" s="455">
        <v>0.5</v>
      </c>
      <c r="I19" s="455"/>
      <c r="J19" s="455">
        <v>0.5</v>
      </c>
      <c r="K19" s="680"/>
      <c r="L19" s="825">
        <v>14</v>
      </c>
      <c r="M19" s="825">
        <v>10</v>
      </c>
      <c r="N19" s="825">
        <v>10</v>
      </c>
      <c r="O19" s="825">
        <v>10</v>
      </c>
      <c r="P19" s="825">
        <v>30</v>
      </c>
      <c r="Q19" s="825">
        <v>10</v>
      </c>
      <c r="R19" s="825">
        <v>40</v>
      </c>
      <c r="S19" s="825"/>
      <c r="T19" s="825">
        <v>26</v>
      </c>
      <c r="W19" s="675" t="s">
        <v>1147</v>
      </c>
      <c r="X19" s="796"/>
    </row>
    <row r="20" spans="1:37" x14ac:dyDescent="0.25">
      <c r="A20" s="924"/>
      <c r="B20" s="773" t="s">
        <v>929</v>
      </c>
      <c r="C20" s="774"/>
      <c r="D20" s="775"/>
      <c r="E20" s="796">
        <v>4</v>
      </c>
      <c r="J20" s="690"/>
      <c r="K20" s="408"/>
      <c r="L20" s="796">
        <v>4</v>
      </c>
      <c r="M20" s="796">
        <v>4</v>
      </c>
      <c r="N20" s="825">
        <v>4</v>
      </c>
      <c r="O20" s="825">
        <v>4</v>
      </c>
      <c r="P20" s="825">
        <v>4</v>
      </c>
      <c r="Q20" s="825">
        <v>4</v>
      </c>
      <c r="R20" s="825">
        <v>4</v>
      </c>
      <c r="S20" s="825"/>
      <c r="T20" s="825">
        <v>4</v>
      </c>
      <c r="W20" s="825">
        <v>4</v>
      </c>
      <c r="X20" s="796"/>
    </row>
    <row r="21" spans="1:37" x14ac:dyDescent="0.25">
      <c r="A21" s="924"/>
      <c r="B21" s="773" t="s">
        <v>933</v>
      </c>
      <c r="C21" s="774"/>
      <c r="D21" s="775"/>
      <c r="E21" s="796"/>
      <c r="K21" s="408"/>
      <c r="L21" s="796"/>
      <c r="M21" s="796"/>
      <c r="N21" s="796"/>
      <c r="O21" s="796"/>
      <c r="P21" s="796"/>
      <c r="Q21" s="796"/>
      <c r="R21" s="796"/>
      <c r="S21" s="796"/>
      <c r="T21" s="796"/>
      <c r="W21" s="796"/>
      <c r="X21" s="796"/>
    </row>
    <row r="22" spans="1:37" s="632" customFormat="1" ht="15.75" thickBot="1" x14ac:dyDescent="0.3">
      <c r="A22" s="925"/>
      <c r="B22" s="778" t="s">
        <v>936</v>
      </c>
      <c r="C22" s="826"/>
      <c r="D22" s="827"/>
      <c r="E22" s="828" t="s">
        <v>1165</v>
      </c>
      <c r="F22" s="828"/>
      <c r="G22" s="408"/>
      <c r="H22" s="408"/>
      <c r="I22" s="408"/>
      <c r="J22" s="690"/>
      <c r="K22" s="806"/>
      <c r="L22" s="828" t="s">
        <v>1166</v>
      </c>
      <c r="M22" s="828" t="s">
        <v>1167</v>
      </c>
      <c r="N22" s="828" t="s">
        <v>1168</v>
      </c>
      <c r="O22" s="828" t="s">
        <v>1169</v>
      </c>
      <c r="P22" s="828" t="s">
        <v>1170</v>
      </c>
      <c r="Q22" s="828" t="s">
        <v>1171</v>
      </c>
      <c r="R22" s="828" t="s">
        <v>1172</v>
      </c>
      <c r="S22" s="825"/>
      <c r="T22" s="828" t="s">
        <v>1173</v>
      </c>
      <c r="U22" s="828"/>
      <c r="X22" s="828" t="s">
        <v>1174</v>
      </c>
      <c r="Y22" s="829"/>
      <c r="Z22" s="408"/>
      <c r="AA22" s="408"/>
      <c r="AB22" s="408"/>
      <c r="AC22" s="408"/>
      <c r="AD22" s="408"/>
      <c r="AE22" s="408"/>
      <c r="AF22" s="408"/>
      <c r="AG22" s="408"/>
      <c r="AH22" s="408"/>
      <c r="AI22" s="408"/>
      <c r="AJ22" s="408"/>
    </row>
    <row r="23" spans="1:37" ht="30.75" thickBot="1" x14ac:dyDescent="0.3">
      <c r="A23" s="923" t="s">
        <v>65</v>
      </c>
      <c r="B23" s="830" t="s">
        <v>1175</v>
      </c>
      <c r="C23" s="780" t="s">
        <v>1142</v>
      </c>
      <c r="D23" s="781"/>
      <c r="E23" s="438" t="s">
        <v>948</v>
      </c>
      <c r="F23" s="438" t="s">
        <v>1176</v>
      </c>
      <c r="G23" s="438" t="s">
        <v>872</v>
      </c>
      <c r="H23" s="831" t="s">
        <v>1177</v>
      </c>
      <c r="I23" s="831" t="s">
        <v>1143</v>
      </c>
      <c r="J23" s="832" t="s">
        <v>118</v>
      </c>
      <c r="K23" s="833"/>
      <c r="L23" s="930" t="s">
        <v>872</v>
      </c>
      <c r="M23" s="931"/>
      <c r="N23" s="834" t="s">
        <v>1178</v>
      </c>
      <c r="O23" s="835" t="s">
        <v>1179</v>
      </c>
      <c r="P23" s="835" t="s">
        <v>1180</v>
      </c>
      <c r="Q23" s="835" t="s">
        <v>1181</v>
      </c>
      <c r="R23" s="835" t="s">
        <v>1182</v>
      </c>
      <c r="S23" s="835" t="s">
        <v>1183</v>
      </c>
      <c r="T23" s="835" t="s">
        <v>109</v>
      </c>
      <c r="U23" s="835" t="s">
        <v>759</v>
      </c>
      <c r="V23" s="835" t="s">
        <v>102</v>
      </c>
      <c r="W23" s="835" t="s">
        <v>83</v>
      </c>
      <c r="X23" s="835" t="s">
        <v>1184</v>
      </c>
      <c r="Y23" s="835" t="s">
        <v>127</v>
      </c>
      <c r="Z23" s="633"/>
      <c r="AA23" s="633"/>
      <c r="AB23" s="633"/>
    </row>
    <row r="24" spans="1:37" ht="15.75" thickBot="1" x14ac:dyDescent="0.3">
      <c r="A24" s="924"/>
      <c r="B24" s="793" t="s">
        <v>919</v>
      </c>
      <c r="C24" s="836" t="str">
        <f>IF(LEN(J12)=0,"",J12)</f>
        <v/>
      </c>
      <c r="D24" s="837">
        <v>1</v>
      </c>
      <c r="F24" s="838"/>
      <c r="G24" s="455"/>
      <c r="H24" s="839"/>
      <c r="I24" s="839"/>
      <c r="J24" s="840"/>
      <c r="K24" s="841" t="s">
        <v>1185</v>
      </c>
      <c r="L24" s="932">
        <f>HYPERLINK("https://eu1.salesforce.com/"&amp;F24,G24)</f>
        <v>0</v>
      </c>
      <c r="M24" s="933"/>
      <c r="N24" s="632"/>
      <c r="O24" s="632"/>
      <c r="P24" s="842"/>
      <c r="Q24" s="632"/>
      <c r="R24" s="632"/>
      <c r="S24" s="632"/>
      <c r="T24" s="843"/>
      <c r="U24" s="844">
        <f>HYPERLINK("https://eu1.salesforce.com/"&amp;I24,H24)</f>
        <v>0</v>
      </c>
      <c r="V24" s="632"/>
      <c r="W24" s="632"/>
      <c r="X24" s="633"/>
      <c r="Y24" s="633"/>
      <c r="Z24" s="633"/>
      <c r="AA24" s="633"/>
      <c r="AB24" s="633"/>
    </row>
    <row r="25" spans="1:37" ht="15.75" thickBot="1" x14ac:dyDescent="0.3">
      <c r="A25" s="924"/>
      <c r="B25" s="773" t="s">
        <v>925</v>
      </c>
      <c r="C25" s="774"/>
      <c r="D25" s="775"/>
      <c r="E25" s="455">
        <v>0.5</v>
      </c>
      <c r="F25" s="455"/>
      <c r="G25" s="455"/>
      <c r="H25" s="455">
        <v>10</v>
      </c>
      <c r="I25" s="455"/>
      <c r="J25" s="455">
        <v>0.5</v>
      </c>
      <c r="K25" s="680"/>
      <c r="L25" s="845" t="s">
        <v>931</v>
      </c>
      <c r="M25" s="845"/>
      <c r="N25" s="845" t="s">
        <v>81</v>
      </c>
      <c r="O25" s="845"/>
      <c r="P25" s="675" t="s">
        <v>1186</v>
      </c>
      <c r="Q25" s="675" t="s">
        <v>1187</v>
      </c>
      <c r="R25" s="845"/>
      <c r="S25" s="845"/>
      <c r="T25" s="845" t="s">
        <v>81</v>
      </c>
      <c r="U25" s="845" t="s">
        <v>81</v>
      </c>
      <c r="V25" s="845" t="s">
        <v>81</v>
      </c>
      <c r="W25" s="845" t="s">
        <v>187</v>
      </c>
      <c r="X25" s="845" t="s">
        <v>187</v>
      </c>
      <c r="Y25" s="845" t="s">
        <v>187</v>
      </c>
      <c r="AB25" s="640"/>
      <c r="AD25" s="641"/>
      <c r="AE25" s="640"/>
    </row>
    <row r="26" spans="1:37" ht="15.75" thickBot="1" x14ac:dyDescent="0.3">
      <c r="A26" s="924"/>
      <c r="B26" s="773" t="s">
        <v>929</v>
      </c>
      <c r="C26" s="774" t="s">
        <v>170</v>
      </c>
      <c r="D26" s="846" t="s">
        <v>187</v>
      </c>
      <c r="E26" s="847" t="s">
        <v>1188</v>
      </c>
      <c r="F26" s="796" t="s">
        <v>170</v>
      </c>
      <c r="G26" s="796">
        <v>3</v>
      </c>
      <c r="H26" s="825" t="s">
        <v>1189</v>
      </c>
      <c r="I26" s="825" t="s">
        <v>1189</v>
      </c>
      <c r="J26" s="825"/>
      <c r="K26" s="848"/>
      <c r="L26" s="796"/>
      <c r="M26" s="796"/>
      <c r="N26" s="825" t="s">
        <v>940</v>
      </c>
      <c r="O26" s="825">
        <v>26</v>
      </c>
      <c r="P26" s="825" t="s">
        <v>964</v>
      </c>
      <c r="Q26" s="796" t="s">
        <v>1190</v>
      </c>
      <c r="R26" s="796" t="s">
        <v>146</v>
      </c>
      <c r="S26" s="845" t="s">
        <v>930</v>
      </c>
      <c r="T26" s="825" t="s">
        <v>81</v>
      </c>
      <c r="U26" s="825"/>
      <c r="V26" s="674"/>
      <c r="W26" s="674"/>
      <c r="X26" s="674"/>
      <c r="Y26" s="674"/>
      <c r="AG26" s="645"/>
      <c r="AH26" s="645"/>
      <c r="AI26" s="645"/>
      <c r="AJ26" s="645"/>
      <c r="AK26" s="645"/>
    </row>
    <row r="27" spans="1:37" ht="45" x14ac:dyDescent="0.25">
      <c r="A27" s="924"/>
      <c r="B27" s="773" t="s">
        <v>933</v>
      </c>
      <c r="C27" s="774"/>
      <c r="D27" s="775"/>
      <c r="E27" s="849" t="s">
        <v>1191</v>
      </c>
      <c r="K27" s="850" t="s">
        <v>1192</v>
      </c>
      <c r="L27" s="850" t="s">
        <v>1193</v>
      </c>
      <c r="M27" s="689"/>
      <c r="N27" s="689"/>
      <c r="O27" s="689"/>
      <c r="T27" s="689"/>
      <c r="U27" s="850" t="s">
        <v>1193</v>
      </c>
      <c r="AG27" s="645"/>
      <c r="AH27" s="645"/>
      <c r="AI27" s="645"/>
      <c r="AJ27" s="645"/>
      <c r="AK27" s="645"/>
    </row>
    <row r="28" spans="1:37" ht="15.75" thickBot="1" x14ac:dyDescent="0.3">
      <c r="A28" s="925"/>
      <c r="B28" s="778" t="s">
        <v>936</v>
      </c>
      <c r="C28" s="804"/>
      <c r="D28" s="827"/>
      <c r="E28" s="431"/>
      <c r="H28" s="806" t="s">
        <v>1194</v>
      </c>
      <c r="I28" s="806" t="s">
        <v>1195</v>
      </c>
      <c r="K28" s="408"/>
      <c r="L28" s="690"/>
      <c r="AB28" s="644"/>
      <c r="AF28" s="645"/>
      <c r="AG28" s="645"/>
      <c r="AH28" s="645"/>
      <c r="AI28" s="645"/>
      <c r="AJ28" s="645"/>
    </row>
    <row r="29" spans="1:37" x14ac:dyDescent="0.25">
      <c r="K29" s="408"/>
    </row>
    <row r="30" spans="1:37" ht="15.75" thickBot="1" x14ac:dyDescent="0.3">
      <c r="A30" s="623" t="s">
        <v>1196</v>
      </c>
    </row>
    <row r="31" spans="1:37" s="632" customFormat="1" ht="15.75" thickBot="1" x14ac:dyDescent="0.3">
      <c r="A31" s="408"/>
      <c r="B31" s="760" t="s">
        <v>1138</v>
      </c>
      <c r="C31" s="768" t="s">
        <v>966</v>
      </c>
      <c r="D31" s="768" t="s">
        <v>964</v>
      </c>
      <c r="K31" s="762"/>
      <c r="L31" s="763" t="s">
        <v>142</v>
      </c>
      <c r="M31" s="764" t="s">
        <v>1139</v>
      </c>
      <c r="N31" s="765" t="s">
        <v>1140</v>
      </c>
      <c r="P31" s="633"/>
      <c r="Q31" s="634"/>
      <c r="R31" s="635"/>
      <c r="S31" s="636"/>
      <c r="T31" s="408"/>
      <c r="U31" s="408"/>
      <c r="V31" s="408"/>
      <c r="W31" s="408"/>
      <c r="X31" s="408"/>
      <c r="Y31" s="408"/>
      <c r="Z31" s="408"/>
      <c r="AA31" s="408"/>
      <c r="AB31" s="408"/>
      <c r="AC31" s="408"/>
    </row>
    <row r="32" spans="1:37" s="762" customFormat="1" x14ac:dyDescent="0.25">
      <c r="A32" s="766"/>
      <c r="B32" s="767"/>
      <c r="C32" s="768"/>
      <c r="D32" s="769"/>
      <c r="L32" s="770"/>
      <c r="M32" s="770"/>
      <c r="N32" s="771"/>
      <c r="Q32" s="675"/>
      <c r="R32" s="634"/>
      <c r="S32" s="635"/>
      <c r="T32" s="636"/>
      <c r="U32" s="690"/>
      <c r="V32" s="690"/>
      <c r="W32" s="690"/>
      <c r="X32" s="690"/>
      <c r="Y32" s="690"/>
      <c r="Z32" s="690"/>
      <c r="AA32" s="690"/>
      <c r="AB32" s="690"/>
      <c r="AC32" s="690"/>
      <c r="AD32" s="690"/>
    </row>
    <row r="33" spans="1:35" x14ac:dyDescent="0.25">
      <c r="A33" s="772">
        <v>0</v>
      </c>
      <c r="B33" s="773" t="s">
        <v>66</v>
      </c>
      <c r="C33" s="774" t="s">
        <v>66</v>
      </c>
      <c r="D33" s="775" t="s">
        <v>66</v>
      </c>
      <c r="E33" s="776">
        <v>0</v>
      </c>
      <c r="F33" s="776">
        <v>0</v>
      </c>
      <c r="G33" s="776">
        <v>0</v>
      </c>
      <c r="H33" s="776">
        <v>0</v>
      </c>
      <c r="I33" s="776"/>
      <c r="J33" s="776">
        <v>0</v>
      </c>
      <c r="K33" s="776">
        <v>17</v>
      </c>
      <c r="L33" s="777" t="s">
        <v>931</v>
      </c>
      <c r="M33" s="777" t="s">
        <v>84</v>
      </c>
      <c r="N33" s="777" t="s">
        <v>84</v>
      </c>
      <c r="O33" s="777" t="s">
        <v>965</v>
      </c>
      <c r="P33" s="777" t="s">
        <v>931</v>
      </c>
      <c r="Q33" s="777" t="s">
        <v>964</v>
      </c>
      <c r="R33" s="777" t="s">
        <v>81</v>
      </c>
      <c r="S33" s="777" t="s">
        <v>51</v>
      </c>
      <c r="T33" s="777" t="s">
        <v>81</v>
      </c>
      <c r="U33" s="777" t="s">
        <v>81</v>
      </c>
      <c r="V33" s="777" t="s">
        <v>81</v>
      </c>
      <c r="W33" s="777" t="s">
        <v>245</v>
      </c>
      <c r="X33" s="777" t="s">
        <v>60</v>
      </c>
      <c r="Y33" s="777" t="s">
        <v>245</v>
      </c>
      <c r="AA33" s="641"/>
      <c r="AB33" s="640"/>
    </row>
    <row r="34" spans="1:35" x14ac:dyDescent="0.25">
      <c r="A34" s="766"/>
      <c r="B34" s="773" t="s">
        <v>929</v>
      </c>
      <c r="C34" s="774"/>
      <c r="D34" s="775"/>
      <c r="E34" s="680"/>
      <c r="F34" s="680"/>
      <c r="G34" s="680"/>
      <c r="H34" s="680"/>
      <c r="I34" s="680"/>
      <c r="J34" s="680"/>
      <c r="K34" s="680"/>
      <c r="L34" s="675"/>
      <c r="M34" s="675"/>
      <c r="N34" s="675"/>
      <c r="O34" s="690"/>
      <c r="P34" s="690"/>
      <c r="Q34" s="675"/>
      <c r="R34" s="675"/>
      <c r="S34" s="675"/>
      <c r="T34" s="675"/>
      <c r="U34" s="675"/>
      <c r="V34" s="675"/>
      <c r="W34" s="690"/>
      <c r="X34" s="690"/>
      <c r="Y34" s="690"/>
      <c r="Z34" s="641"/>
      <c r="AA34" s="640"/>
    </row>
    <row r="35" spans="1:35" x14ac:dyDescent="0.25">
      <c r="A35" s="766"/>
      <c r="B35" s="773" t="s">
        <v>933</v>
      </c>
      <c r="C35" s="774"/>
      <c r="D35" s="775"/>
      <c r="E35" s="680"/>
      <c r="F35" s="680"/>
      <c r="G35" s="680"/>
      <c r="H35" s="680"/>
      <c r="I35" s="680"/>
      <c r="J35" s="680"/>
      <c r="K35" s="680"/>
      <c r="L35" s="675"/>
      <c r="M35" s="675"/>
      <c r="N35" s="675"/>
      <c r="O35" s="690"/>
      <c r="P35" s="690"/>
      <c r="Q35" s="675"/>
      <c r="R35" s="675"/>
      <c r="S35" s="675"/>
      <c r="T35" s="675"/>
      <c r="U35" s="675"/>
      <c r="V35" s="675"/>
      <c r="W35" s="690"/>
      <c r="X35" s="690"/>
      <c r="Y35" s="690"/>
      <c r="Z35" s="641"/>
      <c r="AA35" s="640"/>
    </row>
    <row r="36" spans="1:35" ht="15.75" thickBot="1" x14ac:dyDescent="0.3">
      <c r="A36" s="766"/>
      <c r="B36" s="778" t="s">
        <v>936</v>
      </c>
      <c r="C36" s="774"/>
      <c r="D36" s="775"/>
      <c r="E36" s="680"/>
      <c r="F36" s="680"/>
      <c r="G36" s="680"/>
      <c r="H36" s="680"/>
      <c r="I36" s="680"/>
      <c r="J36" s="680"/>
      <c r="K36" s="680"/>
      <c r="L36" s="675"/>
      <c r="M36" s="675"/>
      <c r="N36" s="675"/>
      <c r="O36" s="690"/>
      <c r="P36" s="690"/>
      <c r="Q36" s="675"/>
      <c r="R36" s="675"/>
      <c r="S36" s="675"/>
      <c r="T36" s="675"/>
      <c r="U36" s="675"/>
      <c r="V36" s="675"/>
      <c r="W36" s="690"/>
      <c r="X36" s="690"/>
      <c r="Y36" s="690"/>
      <c r="Z36" s="641"/>
      <c r="AA36" s="640"/>
    </row>
    <row r="37" spans="1:35" s="792" customFormat="1" ht="23.25" thickBot="1" x14ac:dyDescent="0.3">
      <c r="A37" s="923" t="s">
        <v>32</v>
      </c>
      <c r="B37" s="779" t="s">
        <v>1141</v>
      </c>
      <c r="C37" s="780" t="s">
        <v>1142</v>
      </c>
      <c r="D37" s="781"/>
      <c r="E37" s="437" t="s">
        <v>742</v>
      </c>
      <c r="F37" s="782" t="s">
        <v>52</v>
      </c>
      <c r="G37" s="782" t="s">
        <v>1143</v>
      </c>
      <c r="H37" s="783" t="s">
        <v>759</v>
      </c>
      <c r="I37" s="783"/>
      <c r="J37" s="438" t="s">
        <v>1144</v>
      </c>
      <c r="K37" s="784" t="s">
        <v>402</v>
      </c>
      <c r="L37" s="785" t="s">
        <v>1145</v>
      </c>
      <c r="M37" s="786" t="s">
        <v>36</v>
      </c>
      <c r="N37" s="786" t="s">
        <v>39</v>
      </c>
      <c r="O37" s="787" t="s">
        <v>744</v>
      </c>
      <c r="P37" s="786" t="s">
        <v>1146</v>
      </c>
      <c r="Q37" s="788" t="s">
        <v>753</v>
      </c>
      <c r="R37" s="934" t="s">
        <v>754</v>
      </c>
      <c r="S37" s="935"/>
      <c r="T37" s="789" t="s">
        <v>109</v>
      </c>
      <c r="U37" s="787" t="s">
        <v>759</v>
      </c>
      <c r="V37" s="789" t="s">
        <v>760</v>
      </c>
      <c r="W37" s="790" t="s">
        <v>761</v>
      </c>
      <c r="X37" s="791" t="s">
        <v>762</v>
      </c>
      <c r="Y37" s="789" t="s">
        <v>763</v>
      </c>
      <c r="Z37" s="408"/>
    </row>
    <row r="38" spans="1:35" s="792" customFormat="1" ht="15.75" thickBot="1" x14ac:dyDescent="0.3">
      <c r="A38" s="924"/>
      <c r="B38" s="793" t="s">
        <v>919</v>
      </c>
      <c r="C38" s="774" t="s">
        <v>1142</v>
      </c>
      <c r="D38" s="794"/>
      <c r="E38" s="666"/>
      <c r="F38" s="795"/>
      <c r="G38" s="408"/>
      <c r="H38" s="408"/>
      <c r="I38" s="408"/>
      <c r="J38" s="796"/>
      <c r="K38" s="797"/>
      <c r="L38" s="798">
        <f>HYPERLINK("https://eu1.salesforce.com/"&amp;E38,F38)</f>
        <v>0</v>
      </c>
      <c r="M38" s="667"/>
      <c r="N38" s="667"/>
      <c r="O38" s="799"/>
      <c r="P38" s="800">
        <v>1234567.8899999999</v>
      </c>
      <c r="Q38" s="800">
        <v>1234567.8899999999</v>
      </c>
      <c r="R38" s="936"/>
      <c r="S38" s="937"/>
      <c r="T38" s="801"/>
      <c r="U38" s="798">
        <f>HYPERLINK("https://eu1.salesforce.com/"&amp;G38,H38)</f>
        <v>0</v>
      </c>
      <c r="V38" s="802"/>
      <c r="W38" s="802"/>
      <c r="X38" s="802"/>
      <c r="Y38" s="802"/>
    </row>
    <row r="39" spans="1:35" x14ac:dyDescent="0.25">
      <c r="A39" s="924"/>
      <c r="B39" s="773" t="s">
        <v>925</v>
      </c>
      <c r="C39" s="774"/>
      <c r="D39" s="775"/>
      <c r="E39" s="680">
        <v>0.5</v>
      </c>
      <c r="F39" s="680"/>
      <c r="J39" s="680">
        <v>0.5</v>
      </c>
      <c r="K39" s="680">
        <v>17</v>
      </c>
      <c r="L39" s="675" t="s">
        <v>931</v>
      </c>
      <c r="M39" s="675" t="s">
        <v>84</v>
      </c>
      <c r="N39" s="675" t="s">
        <v>81</v>
      </c>
      <c r="O39" s="675" t="s">
        <v>930</v>
      </c>
      <c r="P39" s="675" t="s">
        <v>1147</v>
      </c>
      <c r="Q39" s="675" t="s">
        <v>1147</v>
      </c>
      <c r="R39" s="675" t="s">
        <v>1148</v>
      </c>
      <c r="S39" s="675"/>
      <c r="T39" s="675" t="s">
        <v>81</v>
      </c>
      <c r="U39" s="675" t="s">
        <v>187</v>
      </c>
      <c r="V39" s="675" t="s">
        <v>187</v>
      </c>
      <c r="W39" s="675" t="s">
        <v>1147</v>
      </c>
      <c r="X39" s="675" t="s">
        <v>60</v>
      </c>
      <c r="Y39" s="675" t="s">
        <v>245</v>
      </c>
      <c r="AA39" s="641"/>
      <c r="AB39" s="640"/>
    </row>
    <row r="40" spans="1:35" x14ac:dyDescent="0.25">
      <c r="A40" s="924"/>
      <c r="B40" s="773" t="s">
        <v>929</v>
      </c>
      <c r="C40" s="774"/>
      <c r="D40" s="775"/>
      <c r="E40" s="680">
        <v>1</v>
      </c>
      <c r="F40" s="680">
        <v>9</v>
      </c>
      <c r="G40" s="680">
        <v>25</v>
      </c>
      <c r="H40" s="796">
        <v>25</v>
      </c>
      <c r="I40" s="796"/>
      <c r="J40" s="680" t="s">
        <v>1091</v>
      </c>
      <c r="K40" s="680">
        <v>19</v>
      </c>
      <c r="L40" s="675"/>
      <c r="M40" s="675" t="s">
        <v>120</v>
      </c>
      <c r="N40" s="675" t="s">
        <v>34</v>
      </c>
      <c r="O40" s="675" t="s">
        <v>187</v>
      </c>
      <c r="P40" s="675" t="s">
        <v>81</v>
      </c>
      <c r="Q40" s="675" t="s">
        <v>930</v>
      </c>
      <c r="R40" s="675" t="s">
        <v>246</v>
      </c>
      <c r="S40" s="675"/>
      <c r="T40" s="675" t="s">
        <v>931</v>
      </c>
      <c r="U40" s="675"/>
      <c r="V40" s="675" t="s">
        <v>1149</v>
      </c>
      <c r="W40" s="675" t="s">
        <v>1009</v>
      </c>
      <c r="X40" s="675" t="s">
        <v>1010</v>
      </c>
      <c r="Y40" s="675" t="s">
        <v>1150</v>
      </c>
      <c r="AD40" s="645"/>
      <c r="AE40" s="645"/>
      <c r="AF40" s="645"/>
      <c r="AG40" s="645"/>
      <c r="AH40" s="645"/>
    </row>
    <row r="41" spans="1:35" x14ac:dyDescent="0.25">
      <c r="A41" s="924"/>
      <c r="B41" s="773" t="s">
        <v>933</v>
      </c>
      <c r="C41" s="774"/>
      <c r="D41" s="775"/>
      <c r="E41" s="680"/>
      <c r="F41" s="680"/>
      <c r="G41" s="680" t="s">
        <v>935</v>
      </c>
      <c r="H41" s="408" t="s">
        <v>1151</v>
      </c>
      <c r="J41" s="680"/>
      <c r="K41" s="803" t="s">
        <v>776</v>
      </c>
      <c r="L41" s="690"/>
      <c r="M41" s="690"/>
      <c r="N41" s="690"/>
      <c r="O41" s="690"/>
      <c r="P41" s="690"/>
      <c r="Q41" s="690"/>
      <c r="R41" s="690"/>
      <c r="S41" s="690"/>
      <c r="T41" s="690"/>
      <c r="U41" s="690"/>
      <c r="V41" s="690"/>
      <c r="W41" s="690"/>
      <c r="X41" s="690"/>
      <c r="Y41" s="690"/>
      <c r="AD41" s="645"/>
      <c r="AE41" s="645"/>
      <c r="AF41" s="645"/>
      <c r="AG41" s="645"/>
      <c r="AH41" s="645"/>
    </row>
    <row r="42" spans="1:35" ht="15.75" thickBot="1" x14ac:dyDescent="0.3">
      <c r="A42" s="925"/>
      <c r="B42" s="778" t="s">
        <v>936</v>
      </c>
      <c r="C42" s="804"/>
      <c r="D42" s="805"/>
      <c r="E42" s="806"/>
      <c r="F42" s="806"/>
      <c r="G42" s="806" t="s">
        <v>1152</v>
      </c>
      <c r="J42" s="806" t="s">
        <v>1153</v>
      </c>
      <c r="K42" s="806"/>
      <c r="L42" s="690"/>
      <c r="M42" s="690"/>
      <c r="N42" s="690"/>
      <c r="O42" s="690"/>
      <c r="P42" s="690"/>
      <c r="Q42" s="690"/>
      <c r="R42" s="690"/>
      <c r="S42" s="690"/>
      <c r="T42" s="690"/>
      <c r="U42" s="690"/>
      <c r="V42" s="690"/>
      <c r="W42" s="690"/>
      <c r="AB42" s="645"/>
      <c r="AC42" s="645"/>
      <c r="AD42" s="645"/>
      <c r="AE42" s="645"/>
      <c r="AF42" s="645"/>
    </row>
    <row r="43" spans="1:35" s="792" customFormat="1" ht="30.75" thickBot="1" x14ac:dyDescent="0.3">
      <c r="A43" s="923" t="s">
        <v>69</v>
      </c>
      <c r="B43" s="613" t="s">
        <v>896</v>
      </c>
      <c r="C43" s="780" t="s">
        <v>1142</v>
      </c>
      <c r="D43" s="781"/>
      <c r="E43" s="807" t="s">
        <v>743</v>
      </c>
      <c r="F43" s="807"/>
      <c r="G43" s="807"/>
      <c r="H43" s="808" t="s">
        <v>1154</v>
      </c>
      <c r="I43" s="808"/>
      <c r="J43" s="809" t="s">
        <v>118</v>
      </c>
      <c r="K43" s="810"/>
      <c r="L43" s="811" t="s">
        <v>1155</v>
      </c>
      <c r="M43" s="812" t="s">
        <v>1156</v>
      </c>
      <c r="N43" s="813" t="s">
        <v>1157</v>
      </c>
      <c r="O43" s="813" t="s">
        <v>1158</v>
      </c>
      <c r="P43" s="814" t="s">
        <v>1159</v>
      </c>
      <c r="Q43" s="814" t="s">
        <v>1160</v>
      </c>
      <c r="R43" s="926" t="s">
        <v>1161</v>
      </c>
      <c r="S43" s="927"/>
      <c r="T43" s="811" t="s">
        <v>1162</v>
      </c>
      <c r="W43" s="811" t="s">
        <v>1163</v>
      </c>
      <c r="X43" s="815"/>
    </row>
    <row r="44" spans="1:35" s="792" customFormat="1" ht="15.75" thickBot="1" x14ac:dyDescent="0.3">
      <c r="A44" s="924"/>
      <c r="B44" s="793" t="s">
        <v>919</v>
      </c>
      <c r="C44" s="774" t="s">
        <v>1164</v>
      </c>
      <c r="D44" s="816">
        <f>E38</f>
        <v>0</v>
      </c>
      <c r="H44" s="817"/>
      <c r="I44" s="817"/>
      <c r="J44" s="818"/>
      <c r="K44" s="819"/>
      <c r="L44" s="820"/>
      <c r="M44" s="821"/>
      <c r="N44" s="822"/>
      <c r="O44" s="822"/>
      <c r="P44" s="822"/>
      <c r="Q44" s="821"/>
      <c r="R44" s="928"/>
      <c r="S44" s="929"/>
      <c r="T44" s="823"/>
      <c r="W44" s="824"/>
      <c r="X44" s="815"/>
    </row>
    <row r="45" spans="1:35" x14ac:dyDescent="0.25">
      <c r="A45" s="924"/>
      <c r="B45" s="773" t="s">
        <v>925</v>
      </c>
      <c r="C45" s="774"/>
      <c r="D45" s="775"/>
      <c r="E45" s="455">
        <v>0.5</v>
      </c>
      <c r="F45" s="455"/>
      <c r="G45" s="455"/>
      <c r="H45" s="455">
        <v>0.5</v>
      </c>
      <c r="I45" s="455"/>
      <c r="J45" s="455">
        <v>0.5</v>
      </c>
      <c r="K45" s="680"/>
      <c r="L45" s="825">
        <v>14</v>
      </c>
      <c r="M45" s="825">
        <v>10</v>
      </c>
      <c r="N45" s="825">
        <v>10</v>
      </c>
      <c r="O45" s="825">
        <v>10</v>
      </c>
      <c r="P45" s="825">
        <v>30</v>
      </c>
      <c r="Q45" s="825">
        <v>10</v>
      </c>
      <c r="R45" s="825">
        <v>40</v>
      </c>
      <c r="S45" s="825"/>
      <c r="T45" s="825">
        <v>26</v>
      </c>
      <c r="W45" s="675" t="s">
        <v>1147</v>
      </c>
      <c r="X45" s="796"/>
    </row>
    <row r="46" spans="1:35" x14ac:dyDescent="0.25">
      <c r="A46" s="924"/>
      <c r="B46" s="773" t="s">
        <v>929</v>
      </c>
      <c r="C46" s="774"/>
      <c r="D46" s="775"/>
      <c r="E46" s="796">
        <v>4</v>
      </c>
      <c r="J46" s="690"/>
      <c r="K46" s="408"/>
      <c r="L46" s="796">
        <v>4</v>
      </c>
      <c r="M46" s="796">
        <v>4</v>
      </c>
      <c r="N46" s="825">
        <v>4</v>
      </c>
      <c r="O46" s="825">
        <v>4</v>
      </c>
      <c r="P46" s="825">
        <v>4</v>
      </c>
      <c r="Q46" s="825">
        <v>4</v>
      </c>
      <c r="R46" s="825">
        <v>4</v>
      </c>
      <c r="S46" s="825"/>
      <c r="T46" s="825">
        <v>4</v>
      </c>
      <c r="W46" s="825">
        <v>4</v>
      </c>
      <c r="X46" s="796"/>
    </row>
    <row r="47" spans="1:35" x14ac:dyDescent="0.25">
      <c r="A47" s="924"/>
      <c r="B47" s="773" t="s">
        <v>933</v>
      </c>
      <c r="C47" s="774"/>
      <c r="D47" s="775"/>
      <c r="E47" s="796"/>
      <c r="K47" s="408"/>
      <c r="L47" s="796"/>
      <c r="M47" s="796"/>
      <c r="N47" s="796"/>
      <c r="O47" s="796"/>
      <c r="P47" s="796"/>
      <c r="Q47" s="796"/>
      <c r="R47" s="796"/>
      <c r="S47" s="796"/>
      <c r="T47" s="796"/>
      <c r="W47" s="796"/>
      <c r="X47" s="796"/>
    </row>
    <row r="48" spans="1:35" s="632" customFormat="1" ht="15.75" thickBot="1" x14ac:dyDescent="0.3">
      <c r="A48" s="925"/>
      <c r="B48" s="778" t="s">
        <v>936</v>
      </c>
      <c r="C48" s="826"/>
      <c r="D48" s="827"/>
      <c r="E48" s="828" t="s">
        <v>1165</v>
      </c>
      <c r="F48" s="828"/>
      <c r="G48" s="408"/>
      <c r="H48" s="408"/>
      <c r="I48" s="408"/>
      <c r="J48" s="690"/>
      <c r="K48" s="806"/>
      <c r="L48" s="828" t="s">
        <v>1166</v>
      </c>
      <c r="M48" s="828" t="s">
        <v>1167</v>
      </c>
      <c r="N48" s="828" t="s">
        <v>1168</v>
      </c>
      <c r="O48" s="828" t="s">
        <v>1169</v>
      </c>
      <c r="P48" s="828" t="s">
        <v>1170</v>
      </c>
      <c r="Q48" s="828" t="s">
        <v>1171</v>
      </c>
      <c r="R48" s="828" t="s">
        <v>1172</v>
      </c>
      <c r="S48" s="825"/>
      <c r="T48" s="828" t="s">
        <v>1173</v>
      </c>
      <c r="W48" s="828" t="s">
        <v>1174</v>
      </c>
      <c r="X48" s="829"/>
      <c r="Y48" s="636"/>
      <c r="Z48" s="408"/>
      <c r="AA48" s="408"/>
      <c r="AB48" s="408"/>
      <c r="AC48" s="408"/>
      <c r="AD48" s="408"/>
      <c r="AE48" s="408"/>
      <c r="AF48" s="408"/>
      <c r="AG48" s="408"/>
      <c r="AH48" s="408"/>
      <c r="AI48" s="408"/>
    </row>
    <row r="49" spans="1:36" ht="30.75" thickBot="1" x14ac:dyDescent="0.3">
      <c r="A49" s="923" t="s">
        <v>65</v>
      </c>
      <c r="B49" s="830" t="s">
        <v>1175</v>
      </c>
      <c r="C49" s="780" t="s">
        <v>1142</v>
      </c>
      <c r="D49" s="781"/>
      <c r="E49" s="438" t="s">
        <v>948</v>
      </c>
      <c r="F49" s="438" t="s">
        <v>1176</v>
      </c>
      <c r="G49" s="438" t="s">
        <v>872</v>
      </c>
      <c r="H49" s="851" t="s">
        <v>759</v>
      </c>
      <c r="I49" s="851"/>
      <c r="J49" s="832" t="s">
        <v>118</v>
      </c>
      <c r="K49" s="833"/>
      <c r="L49" s="930" t="s">
        <v>872</v>
      </c>
      <c r="M49" s="931"/>
      <c r="N49" s="834" t="s">
        <v>1178</v>
      </c>
      <c r="O49" s="835" t="s">
        <v>1179</v>
      </c>
      <c r="P49" s="835" t="s">
        <v>1180</v>
      </c>
      <c r="Q49" s="835" t="s">
        <v>1181</v>
      </c>
      <c r="R49" s="835" t="s">
        <v>1182</v>
      </c>
      <c r="S49" s="835" t="s">
        <v>1183</v>
      </c>
      <c r="T49" s="835" t="s">
        <v>109</v>
      </c>
      <c r="U49" s="835" t="s">
        <v>102</v>
      </c>
      <c r="V49" s="835" t="s">
        <v>83</v>
      </c>
      <c r="W49" s="835" t="s">
        <v>1184</v>
      </c>
      <c r="X49" s="835" t="s">
        <v>127</v>
      </c>
      <c r="Y49" s="633"/>
      <c r="Z49" s="633"/>
      <c r="AA49" s="633"/>
    </row>
    <row r="50" spans="1:36" ht="15.75" thickBot="1" x14ac:dyDescent="0.3">
      <c r="A50" s="924"/>
      <c r="B50" s="793" t="s">
        <v>919</v>
      </c>
      <c r="C50" s="836" t="str">
        <f>IF(LEN(J38)=0,"",J38)</f>
        <v/>
      </c>
      <c r="D50" s="837">
        <v>1</v>
      </c>
      <c r="F50" s="838"/>
      <c r="G50" s="455"/>
      <c r="H50" s="839"/>
      <c r="I50" s="839"/>
      <c r="J50" s="840"/>
      <c r="K50" s="841" t="s">
        <v>1185</v>
      </c>
      <c r="L50" s="932">
        <f>HYPERLINK("https://eu1.salesforce.com/"&amp;F50,G50)</f>
        <v>0</v>
      </c>
      <c r="M50" s="933"/>
      <c r="N50" s="632"/>
      <c r="O50" s="632"/>
      <c r="P50" s="842"/>
      <c r="Q50" s="632"/>
      <c r="R50" s="632"/>
      <c r="S50" s="632"/>
      <c r="T50" s="632"/>
      <c r="U50" s="632"/>
      <c r="V50" s="632"/>
      <c r="W50" s="633"/>
      <c r="X50" s="633"/>
      <c r="Y50" s="633"/>
      <c r="Z50" s="633"/>
      <c r="AA50" s="633"/>
    </row>
    <row r="51" spans="1:36" x14ac:dyDescent="0.25">
      <c r="A51" s="924"/>
      <c r="B51" s="773" t="s">
        <v>925</v>
      </c>
      <c r="C51" s="774"/>
      <c r="D51" s="775"/>
      <c r="E51" s="455">
        <v>0.5</v>
      </c>
      <c r="F51" s="455"/>
      <c r="G51" s="455"/>
      <c r="H51" s="455">
        <v>0.5</v>
      </c>
      <c r="I51" s="455"/>
      <c r="J51" s="455">
        <v>0.5</v>
      </c>
      <c r="K51" s="680"/>
      <c r="L51" s="845" t="s">
        <v>931</v>
      </c>
      <c r="M51" s="845"/>
      <c r="N51" s="845" t="s">
        <v>81</v>
      </c>
      <c r="O51" s="845"/>
      <c r="P51" s="675" t="s">
        <v>1186</v>
      </c>
      <c r="Q51" s="675" t="s">
        <v>1187</v>
      </c>
      <c r="R51" s="845"/>
      <c r="S51" s="845"/>
      <c r="T51" s="845" t="s">
        <v>81</v>
      </c>
      <c r="U51" s="845" t="s">
        <v>81</v>
      </c>
      <c r="V51" s="845" t="s">
        <v>187</v>
      </c>
      <c r="W51" s="845" t="s">
        <v>187</v>
      </c>
      <c r="X51" s="845" t="s">
        <v>187</v>
      </c>
      <c r="AA51" s="640"/>
      <c r="AC51" s="641"/>
      <c r="AD51" s="640"/>
    </row>
    <row r="52" spans="1:36" x14ac:dyDescent="0.25">
      <c r="A52" s="924"/>
      <c r="B52" s="773" t="s">
        <v>929</v>
      </c>
      <c r="C52" s="774" t="s">
        <v>170</v>
      </c>
      <c r="D52" s="846" t="s">
        <v>187</v>
      </c>
      <c r="E52" s="847" t="s">
        <v>1188</v>
      </c>
      <c r="F52" s="796" t="s">
        <v>170</v>
      </c>
      <c r="G52" s="796">
        <v>3</v>
      </c>
      <c r="H52" s="825"/>
      <c r="I52" s="825"/>
      <c r="J52" s="825"/>
      <c r="K52" s="825"/>
      <c r="L52" s="796"/>
      <c r="M52" s="796"/>
      <c r="N52" s="825" t="s">
        <v>940</v>
      </c>
      <c r="O52" s="825">
        <v>26</v>
      </c>
      <c r="P52" s="825" t="s">
        <v>964</v>
      </c>
      <c r="Q52" s="796" t="s">
        <v>1190</v>
      </c>
      <c r="R52" s="796" t="s">
        <v>146</v>
      </c>
      <c r="S52" s="845" t="s">
        <v>930</v>
      </c>
      <c r="T52" s="825" t="s">
        <v>81</v>
      </c>
      <c r="U52" s="674"/>
      <c r="V52" s="674"/>
      <c r="W52" s="674"/>
      <c r="X52" s="674"/>
      <c r="Y52" s="678"/>
      <c r="AF52" s="645"/>
      <c r="AG52" s="645"/>
      <c r="AH52" s="645"/>
      <c r="AI52" s="645"/>
      <c r="AJ52" s="645"/>
    </row>
    <row r="53" spans="1:36" ht="45" x14ac:dyDescent="0.25">
      <c r="A53" s="924"/>
      <c r="B53" s="773" t="s">
        <v>933</v>
      </c>
      <c r="C53" s="774"/>
      <c r="D53" s="775"/>
      <c r="E53" s="849" t="s">
        <v>1197</v>
      </c>
      <c r="K53" s="850" t="s">
        <v>1193</v>
      </c>
      <c r="L53" s="850" t="s">
        <v>1193</v>
      </c>
      <c r="M53" s="689"/>
      <c r="N53" s="689"/>
      <c r="O53" s="689"/>
      <c r="T53" s="689"/>
      <c r="AF53" s="645"/>
      <c r="AG53" s="645"/>
      <c r="AH53" s="645"/>
      <c r="AI53" s="645"/>
      <c r="AJ53" s="645"/>
    </row>
    <row r="54" spans="1:36" ht="15.75" thickBot="1" x14ac:dyDescent="0.3">
      <c r="A54" s="925"/>
      <c r="B54" s="778" t="s">
        <v>936</v>
      </c>
      <c r="C54" s="804"/>
      <c r="D54" s="827"/>
      <c r="E54" s="431"/>
      <c r="H54" s="806"/>
      <c r="I54" s="806"/>
      <c r="K54" s="408"/>
      <c r="L54" s="690"/>
      <c r="AB54" s="644"/>
      <c r="AF54" s="645"/>
      <c r="AG54" s="645"/>
      <c r="AH54" s="645"/>
      <c r="AI54" s="645"/>
      <c r="AJ54" s="645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2013-09-06T22:13:28Z</dcterms:modified>
</cp:coreProperties>
</file>