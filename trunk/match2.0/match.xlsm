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4905" yWindow="6000" windowWidth="492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Process!$A$119:$L$122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G94" i="1989" l="1"/>
  <c r="K94" i="1989" l="1"/>
  <c r="L94" i="1989"/>
  <c r="F95" i="1989"/>
  <c r="K95" i="1989" s="1"/>
  <c r="C95" i="1989"/>
  <c r="C94" i="1989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s="1"/>
  <c r="T34" i="1988" l="1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1" i="1989"/>
  <c r="L52" i="1989" s="1"/>
  <c r="C131" i="1989"/>
  <c r="M128" i="1989"/>
  <c r="L128" i="1989"/>
  <c r="K128" i="1989"/>
  <c r="L125" i="1989"/>
  <c r="F113" i="1989"/>
  <c r="K113" i="1989" s="1"/>
  <c r="C113" i="1989"/>
  <c r="N112" i="1989"/>
  <c r="M112" i="1989"/>
  <c r="L112" i="1989"/>
  <c r="C112" i="1989"/>
  <c r="C110" i="1989"/>
  <c r="K109" i="1989"/>
  <c r="K108" i="1989"/>
  <c r="K112" i="1989" s="1"/>
  <c r="K106" i="1989"/>
  <c r="C106" i="1989"/>
  <c r="K105" i="1989"/>
  <c r="C105" i="1989"/>
  <c r="N104" i="1989"/>
  <c r="M104" i="1989"/>
  <c r="L104" i="1989"/>
  <c r="C104" i="1989"/>
  <c r="K103" i="1989"/>
  <c r="K102" i="1989"/>
  <c r="F101" i="1989"/>
  <c r="C101" i="1989"/>
  <c r="F100" i="1989"/>
  <c r="F99" i="1989"/>
  <c r="C99" i="1989"/>
  <c r="H98" i="1989"/>
  <c r="G98" i="1989"/>
  <c r="F98" i="1989"/>
  <c r="K97" i="1989"/>
  <c r="K104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1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<sst xmlns="http://schemas.openxmlformats.org/spreadsheetml/2006/main" count="2860" uniqueCount="1360">
  <si>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</si>
  <si>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</si>
  <si>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</si>
  <si>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</si>
  <si>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</si>
  <si>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</si>
  <si>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</si>
  <si>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</si>
  <si>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</si>
  <si>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</si>
  <si>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</si>
  <si>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</si>
  <si>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</si>
  <si>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</si>
  <si>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</si>
  <si>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</si>
  <si>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</si>
  <si>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</si>
  <si>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</si>
  <si>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</si>
  <si>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</si>
  <si>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</si>
  <si>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</si>
  <si>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</si>
  <si>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</si>
  <si>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</si>
  <si>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</si>
  <si>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</si>
  <si>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</si>
  <si>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</si>
  <si>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</si>
  <si>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</si>
  <si>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</si>
  <si>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</si>
  <si>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</si>
  <si>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</si>
  <si>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</si>
  <si>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</si>
  <si>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</si>
  <si>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</si>
  <si>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</si>
  <si>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</si>
  <si>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</si>
  <si>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</si>
  <si>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</si>
  <si>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</si>
  <si>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</si>
  <si>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</si>
  <si>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</si>
  <si>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</si>
  <si>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</si>
  <si>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</si>
  <si>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</si>
  <si>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</si>
  <si>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</si>
  <si>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</si>
  <si>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</si>
  <si>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</si>
  <si>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</si>
  <si>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</si>
  <si>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</si>
  <si>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</si>
  <si>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</si>
  <si>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</si>
  <si>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</si>
  <si>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</si>
  <si>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</si>
  <si>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</si>
  <si>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</si>
  <si>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</si>
  <si>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</si>
  <si>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</si>
  <si>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</si>
  <si>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</si>
  <si>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</si>
  <si>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</si>
  <si>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</si>
  <si>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</si>
  <si>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</si>
  <si>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</si>
  <si>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</si>
  <si>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</si>
  <si>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</si>
  <si>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</si>
  <si>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</si>
  <si>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</si>
  <si>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</si>
  <si>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</si>
  <si>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</si>
  <si>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</si>
  <si>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</si>
  <si>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</si>
  <si>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</si>
  <si>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</si>
  <si>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</si>
  <si>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</si>
  <si>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</si>
  <si>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</si>
  <si>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</si>
  <si>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</si>
  <si>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</si>
  <si>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</si>
  <si>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</si>
  <si>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</si>
  <si>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</si>
  <si>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</si>
  <si>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</si>
  <si>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</si>
  <si>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</si>
  <si>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</si>
  <si>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</si>
  <si>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</si>
  <si>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</si>
  <si>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</si>
  <si>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</si>
  <si>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</si>
  <si>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</si>
  <si>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</si>
  <si>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</si>
  <si>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</si>
  <si>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</si>
  <si>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</si>
  <si>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</si>
  <si>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</si>
  <si>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</si>
  <si>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</si>
  <si>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</si>
  <si>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</si>
  <si>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</si>
  <si>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</si>
  <si>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</si>
  <si>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</si>
  <si>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</si>
  <si>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</si>
  <si>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</si>
  <si>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</si>
  <si>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</si>
  <si>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</si>
  <si>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</si>
  <si>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</si>
  <si>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</si>
  <si>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</si>
  <si>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</si>
  <si>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</si>
  <si>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</si>
  <si>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</si>
  <si>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</si>
  <si>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</si>
  <si>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</si>
  <si>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</si>
  <si>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</si>
  <si>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</si>
  <si>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</si>
  <si>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</si>
  <si>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</si>
  <si>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</si>
  <si>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</si>
  <si>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</si>
  <si>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</si>
  <si>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</si>
  <si>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</si>
  <si>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</si>
  <si>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</si>
  <si>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</si>
  <si>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</si>
  <si>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</si>
  <si>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</si>
  <si>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</si>
  <si>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</si>
  <si>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</si>
  <si>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</si>
  <si>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</si>
  <si>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</si>
  <si>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</si>
  <si>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</si>
  <si>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</si>
  <si>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</si>
  <si>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</si>
  <si>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</si>
  <si>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</si>
  <si>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</si>
  <si>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</si>
  <si>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</si>
  <si>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</si>
  <si>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</si>
  <si>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</si>
  <si>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</si>
  <si>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</si>
  <si>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</si>
  <si>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</si>
  <si>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</si>
  <si>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</si>
  <si>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</si>
  <si>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</si>
  <si>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</si>
  <si>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</si>
  <si>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</si>
  <si>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</si>
  <si>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</si>
  <si>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</si>
  <si>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</si>
  <si>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</si>
  <si>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</si>
  <si>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</si>
  <si>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</si>
  <si>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</si>
  <si>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</si>
  <si>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</si>
  <si>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</si>
  <si>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</si>
  <si>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</si>
  <si>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</si>
  <si>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</si>
  <si>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</si>
  <si>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</si>
  <si>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</si>
  <si>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</si>
  <si>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</si>
  <si>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</si>
  <si>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</si>
  <si>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</si>
  <si>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</si>
  <si>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</si>
  <si>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</si>
  <si>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</si>
  <si>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</si>
  <si>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</si>
  <si>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</si>
  <si>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</si>
  <si>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</si>
  <si>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</si>
  <si>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</si>
  <si>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</si>
  <si>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</si>
  <si>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</si>
  <si>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</si>
  <si>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</si>
  <si>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</si>
  <si>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</si>
  <si>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</si>
  <si>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</si>
  <si>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</si>
  <si>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</si>
  <si>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</si>
  <si>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</si>
  <si>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</si>
  <si>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</si>
  <si>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</si>
  <si>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</si>
  <si>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</si>
  <si>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</si>
  <si>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</si>
  <si>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</si>
  <si>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</si>
  <si>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</si>
  <si>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</si>
  <si>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</si>
  <si>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</si>
  <si>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</si>
  <si>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</si>
  <si>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</si>
  <si>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</si>
  <si>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</si>
  <si>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</si>
  <si>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</si>
  <si>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</si>
  <si>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</si>
  <si>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</si>
  <si>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</si>
  <si>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</si>
  <si>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</si>
  <si>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</si>
  <si>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</si>
  <si>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</si>
  <si>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</si>
  <si>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</si>
  <si>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</si>
  <si>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</si>
  <si>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</si>
  <si>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</si>
  <si>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</si>
  <si>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</si>
  <si>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</si>
  <si>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</si>
  <si>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</si>
  <si>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</si>
  <si>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</si>
  <si>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</si>
  <si>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</si>
  <si>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</si>
  <si>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</si>
  <si>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</si>
  <si>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</si>
  <si>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</si>
  <si>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</si>
  <si>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</si>
  <si>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</si>
  <si>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</si>
  <si>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</si>
  <si>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</si>
  <si>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</si>
  <si>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</si>
  <si>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</si>
  <si>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</si>
  <si>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</si>
  <si>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</si>
  <si>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</si>
  <si>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</si>
  <si>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</si>
  <si>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</si>
  <si>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</si>
  <si>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</si>
  <si>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</si>
  <si>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</si>
  <si>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</si>
  <si>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</si>
  <si>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</si>
  <si>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</si>
  <si>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</si>
  <si>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</si>
  <si>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</si>
  <si>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</si>
  <si>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</si>
  <si>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</si>
  <si>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</si>
  <si>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</si>
  <si>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</si>
  <si>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</si>
  <si>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</si>
  <si>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</si>
  <si>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</si>
  <si>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</si>
  <si>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</si>
  <si>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</si>
  <si>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</si>
  <si>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</si>
  <si>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</si>
  <si>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</si>
  <si>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</si>
  <si>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</si>
  <si>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</si>
  <si>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</si>
  <si>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</si>
  <si>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</si>
  <si>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</si>
  <si>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</si>
  <si>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</si>
  <si>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</si>
  <si>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</si>
  <si>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</si>
  <si>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</si>
  <si>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</si>
  <si>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</si>
  <si>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</si>
  <si>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</si>
  <si>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</si>
  <si>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</si>
  <si>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</si>
  <si>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</si>
  <si>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</si>
  <si>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</si>
  <si>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</si>
  <si>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</si>
  <si>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</si>
  <si>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</si>
  <si>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</si>
  <si>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</si>
  <si>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</si>
  <si>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</si>
  <si>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</si>
  <si>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</si>
  <si>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</si>
  <si>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</si>
  <si>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</si>
  <si>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</si>
  <si>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</si>
  <si>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</si>
  <si>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</si>
  <si>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</si>
  <si>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</si>
  <si>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</si>
  <si>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</si>
  <si>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</si>
  <si>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</si>
  <si>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</si>
  <si>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</si>
  <si>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</si>
  <si>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</si>
  <si>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</si>
  <si>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</si>
  <si>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</si>
  <si>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</si>
  <si>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</si>
  <si>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</si>
  <si>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</si>
  <si>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</si>
  <si>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</si>
  <si>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</si>
  <si>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</si>
  <si>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</si>
  <si>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</si>
  <si>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</si>
  <si>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</si>
  <si>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</si>
  <si>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</si>
  <si>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</si>
  <si>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</si>
  <si>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</si>
  <si>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</si>
  <si>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</si>
  <si>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</si>
  <si>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</si>
  <si>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</si>
  <si>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</si>
  <si>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</si>
  <si>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</si>
  <si>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</si>
  <si>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</si>
  <si>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</si>
  <si>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</si>
  <si>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</si>
  <si>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</si>
  <si>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</si>
  <si>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</si>
  <si>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</si>
  <si>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</si>
  <si>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</si>
  <si>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</si>
  <si>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</si>
  <si>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</si>
  <si>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</si>
  <si>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</si>
  <si>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</si>
  <si>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</si>
  <si>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</si>
  <si>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</si>
  <si>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</si>
  <si>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</si>
  <si>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</si>
  <si>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</si>
  <si>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</si>
  <si>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</si>
  <si>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</si>
  <si>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</si>
  <si>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</si>
  <si>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</si>
  <si>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</si>
  <si>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</si>
  <si>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</si>
  <si>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</si>
  <si>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</si>
  <si>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</si>
  <si>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</si>
  <si>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</si>
  <si>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</si>
  <si>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</si>
  <si>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</si>
  <si>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</si>
  <si>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</si>
  <si>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</si>
  <si>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</si>
  <si>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</si>
  <si>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</si>
  <si>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</si>
  <si>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</si>
  <si>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</si>
  <si>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</si>
  <si>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</si>
  <si>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</si>
  <si>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</si>
  <si>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</si>
  <si>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</si>
  <si>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</si>
  <si>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</si>
  <si>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</si>
  <si>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</si>
  <si>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</si>
  <si>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</si>
  <si>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</si>
  <si>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</si>
  <si>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</si>
  <si>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</si>
  <si>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</si>
  <si>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</si>
  <si>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</si>
  <si>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</si>
  <si>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</si>
  <si>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</si>
  <si>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</si>
  <si>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</si>
  <si>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</si>
  <si>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</si>
  <si>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</si>
  <si>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</si>
  <si>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</si>
  <si>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</si>
  <si>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</si>
  <si>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</si>
  <si>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</si>
  <si>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</si>
  <si>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</si>
  <si>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</si>
  <si>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</si>
  <si>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</si>
  <si>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</si>
  <si>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</si>
  <si>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</si>
  <si>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</si>
  <si>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</si>
  <si>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</si>
  <si>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</si>
  <si>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</si>
  <si>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</si>
  <si>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</si>
  <si>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</si>
  <si>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</si>
  <si>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</si>
  <si>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</si>
  <si>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</si>
  <si>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</si>
  <si>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</si>
  <si>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</si>
  <si>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</si>
  <si>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</si>
  <si>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</si>
  <si>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</si>
  <si>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</si>
  <si>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</si>
  <si>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</si>
  <si>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</si>
  <si>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</si>
  <si>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</si>
  <si>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</si>
  <si>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</si>
  <si>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</si>
  <si>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</si>
  <si>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</si>
  <si>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</si>
  <si>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</si>
  <si>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</si>
  <si>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</si>
  <si>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</si>
  <si>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</si>
  <si>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</si>
  <si>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</si>
  <si>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</si>
  <si>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</si>
  <si>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</si>
  <si>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</si>
  <si>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</si>
  <si>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</si>
  <si>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</si>
  <si>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</si>
  <si>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</si>
  <si>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</si>
  <si>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</si>
  <si>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</si>
  <si>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</si>
  <si>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</si>
  <si>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</si>
  <si>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</si>
  <si>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</si>
  <si>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</si>
  <si>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</si>
  <si>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</si>
  <si>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</si>
  <si>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</si>
  <si>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</si>
  <si>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</si>
  <si>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</si>
  <si>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</si>
  <si>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</si>
  <si>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</si>
  <si>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</si>
  <si>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</si>
  <si>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</si>
  <si>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</si>
  <si>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</si>
  <si>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</si>
  <si>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</si>
  <si>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</si>
  <si>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</si>
  <si>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</si>
  <si>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</si>
  <si>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</si>
  <si>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</si>
  <si>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</si>
  <si>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</si>
  <si>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</si>
  <si>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</si>
  <si>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</si>
  <si>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</si>
  <si>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</si>
  <si>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</si>
  <si>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</si>
  <si>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</si>
  <si>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</si>
  <si>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</si>
  <si>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</si>
  <si>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</si>
  <si>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</si>
  <si>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</si>
  <si>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</si>
  <si>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</si>
  <si>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</si>
  <si>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</si>
  <si>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</si>
  <si>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</si>
  <si>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</si>
  <si>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</si>
  <si>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</si>
  <si>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</si>
  <si>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</si>
  <si>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</si>
  <si>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</si>
  <si>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</si>
  <si>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</si>
  <si>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</si>
  <si>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</si>
  <si>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</si>
  <si>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</si>
  <si>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</si>
  <si>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</si>
  <si>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</si>
  <si>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</si>
  <si>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</si>
  <si>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</si>
  <si>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</si>
  <si>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</si>
  <si>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</si>
  <si>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</si>
  <si>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</si>
  <si>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</si>
  <si>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</si>
  <si>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</si>
  <si>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</si>
  <si>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</si>
  <si>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</si>
  <si>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</si>
  <si>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</si>
  <si>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</si>
  <si>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</si>
  <si>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</si>
  <si>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</si>
  <si>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</si>
  <si>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</si>
  <si>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</si>
  <si>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</si>
  <si>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</si>
  <si>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</si>
  <si>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</si>
  <si>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</si>
  <si>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</si>
  <si>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</si>
  <si>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</si>
  <si>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</si>
  <si>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</si>
  <si>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</si>
  <si>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</si>
  <si>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</si>
  <si>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</si>
  <si>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</si>
  <si>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</si>
  <si>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</si>
  <si>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</si>
  <si>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</si>
  <si>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</si>
  <si>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</si>
  <si>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</si>
  <si>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</si>
  <si>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</si>
  <si>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</si>
  <si>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</si>
  <si>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</si>
  <si>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</si>
  <si>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</si>
  <si>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</si>
  <si>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</si>
  <si>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</si>
  <si>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</si>
  <si>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</si>
  <si>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</si>
  <si>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</si>
  <si>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</si>
  <si>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</si>
  <si>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</si>
  <si>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</si>
  <si>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</si>
  <si>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</si>
  <si>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</si>
  <si>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</si>
  <si>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</si>
  <si>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</si>
  <si>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</si>
  <si>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</si>
  <si>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</si>
  <si>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</si>
  <si>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</si>
  <si>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</si>
  <si>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</si>
  <si>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</si>
  <si>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</si>
  <si>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</si>
  <si>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</si>
  <si>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</si>
  <si>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</si>
  <si>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</si>
  <si>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</si>
  <si>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</si>
  <si>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</si>
  <si>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</si>
  <si>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</si>
  <si>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</si>
  <si>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</si>
  <si>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</si>
  <si>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</si>
  <si>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</si>
  <si>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</si>
  <si>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</si>
  <si>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</si>
  <si>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</si>
  <si>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</si>
  <si>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</si>
  <si>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</si>
  <si>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</si>
  <si>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</si>
  <si>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</si>
  <si>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</si>
  <si>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</si>
  <si>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</si>
  <si>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</si>
  <si>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</si>
  <si>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</si>
  <si>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</si>
  <si>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</si>
  <si>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</si>
  <si>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</si>
  <si>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</si>
  <si>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</si>
  <si>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</si>
  <si>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</si>
  <si>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</si>
  <si>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</si>
  <si>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</si>
  <si>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</si>
  <si>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</si>
  <si>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</si>
  <si>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</si>
  <si>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</si>
  <si>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</si>
  <si>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</si>
  <si>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</si>
  <si>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</si>
  <si>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</si>
  <si>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</si>
  <si>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</si>
  <si>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</si>
  <si>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</si>
  <si>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</si>
  <si>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</si>
  <si>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</si>
  <si>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</si>
  <si>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</si>
  <si>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</si>
  <si>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</si>
  <si>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</si>
  <si>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</si>
  <si>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</si>
  <si>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</si>
  <si>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</si>
  <si>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</si>
  <si>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</si>
  <si>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</si>
  <si>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</si>
  <si>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</si>
  <si>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</si>
  <si>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</si>
  <si>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</si>
  <si>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</si>
  <si>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</si>
  <si>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</si>
  <si>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</si>
  <si>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</si>
  <si>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</si>
  <si>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</si>
  <si>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</si>
  <si>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</si>
  <si>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</si>
  <si>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</si>
  <si>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</si>
  <si>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</si>
  <si>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</si>
  <si>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</si>
  <si>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</si>
  <si>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</si>
  <si>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</si>
  <si>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</si>
  <si>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</si>
  <si>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</si>
  <si>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</si>
  <si>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</si>
  <si>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</si>
  <si>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</si>
  <si>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</si>
  <si>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</si>
  <si>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</si>
  <si>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</si>
  <si>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</si>
  <si>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</si>
  <si>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</si>
  <si>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</si>
  <si>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</si>
  <si>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</si>
  <si>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</si>
  <si>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</si>
  <si>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</si>
  <si>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</si>
  <si>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</si>
  <si>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</si>
  <si>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</si>
  <si>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</si>
  <si>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</si>
  <si>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</si>
  <si>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</si>
  <si>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</si>
  <si>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</si>
  <si>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</si>
  <si>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</si>
  <si>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</si>
  <si>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</si>
  <si>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</si>
  <si>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</si>
  <si>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</si>
  <si>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</si>
  <si>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</si>
  <si>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</si>
  <si>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</si>
  <si>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</si>
  <si>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</si>
  <si>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</si>
  <si>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</si>
  <si>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</si>
  <si>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</si>
  <si>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</si>
  <si>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</si>
  <si>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</si>
  <si>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</si>
  <si>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</si>
  <si>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</si>
  <si>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</si>
  <si>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</si>
  <si>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</si>
  <si>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</si>
  <si>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</si>
  <si>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</si>
  <si>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</si>
  <si>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</si>
  <si>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</si>
  <si>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</si>
  <si>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</si>
  <si>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</si>
  <si>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</si>
  <si>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</si>
  <si>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</si>
  <si>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</si>
  <si>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</si>
  <si>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</si>
  <si>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</si>
  <si>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</si>
  <si>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</si>
  <si>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</si>
  <si>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</si>
  <si>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</si>
  <si>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</si>
  <si>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</si>
  <si>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</si>
  <si>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</si>
  <si>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</si>
  <si>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</si>
  <si>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</si>
  <si>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</si>
  <si>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</si>
  <si>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</si>
  <si>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</si>
  <si>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</si>
  <si>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</si>
  <si>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</si>
  <si>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</si>
  <si>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</si>
  <si>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</si>
  <si>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</si>
  <si>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</si>
  <si>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</si>
  <si>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</si>
  <si>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</si>
  <si>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</si>
  <si>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</si>
  <si>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</si>
  <si>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</si>
  <si>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</si>
  <si>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</si>
  <si>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</si>
  <si>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</si>
  <si>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</si>
  <si>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</si>
  <si>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</si>
  <si>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</si>
  <si>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</si>
  <si>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</si>
  <si>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</si>
  <si>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</si>
  <si>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</si>
  <si>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</si>
  <si>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</si>
  <si>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</si>
  <si>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</si>
  <si>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</si>
  <si>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</si>
  <si>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</si>
  <si>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</si>
  <si>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</si>
  <si>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</si>
  <si>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</si>
  <si>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</si>
  <si>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</si>
  <si>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</si>
  <si>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</si>
  <si>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</si>
  <si>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</si>
  <si>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</si>
  <si>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</si>
  <si>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</si>
  <si>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</si>
  <si>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</si>
  <si>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</si>
  <si>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</si>
  <si>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</si>
  <si>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</si>
  <si>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</si>
  <si>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</si>
  <si>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</si>
  <si>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</si>
  <si>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</si>
  <si>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</si>
  <si>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</si>
  <si>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</si>
  <si>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</si>
  <si>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</si>
  <si>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</si>
  <si>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</si>
  <si>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</si>
  <si>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</si>
  <si>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</si>
  <si>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</si>
  <si>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</si>
  <si>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</si>
  <si>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</si>
  <si>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</si>
  <si>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</si>
  <si>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</si>
  <si>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</si>
  <si>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</si>
  <si>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</si>
  <si>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</si>
  <si>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</si>
  <si>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</si>
  <si>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</si>
  <si>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</si>
  <si>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</si>
  <si>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</si>
  <si>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</si>
  <si>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</si>
  <si>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</si>
  <si>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</si>
  <si>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</si>
  <si>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</si>
  <si>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</si>
  <si>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</si>
  <si>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</si>
  <si>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</si>
  <si>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</si>
  <si>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</si>
  <si>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</si>
  <si>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</si>
  <si>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</si>
  <si>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</si>
  <si>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</si>
  <si>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</si>
  <si>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</si>
  <si>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</si>
  <si>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</si>
  <si>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</si>
  <si>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</si>
  <si>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</si>
  <si>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</si>
  <si>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</si>
  <si>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</si>
  <si>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</si>
  <si>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</si>
  <si>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</si>
  <si>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</si>
  <si>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</si>
  <si>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</si>
  <si>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</si>
  <si>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</si>
  <si>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</si>
  <si>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</si>
  <si>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</si>
  <si>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</si>
  <si>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</si>
  <si>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</si>
  <si>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</si>
  <si>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</si>
  <si>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</si>
  <si>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</si>
  <si>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</si>
  <si>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</si>
  <si>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</si>
  <si>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</si>
  <si>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</si>
  <si>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</si>
  <si>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</si>
  <si>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</si>
  <si>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</si>
  <si>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</si>
  <si>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</si>
  <si>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</si>
  <si>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</si>
  <si>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</si>
  <si>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</si>
  <si>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</si>
  <si>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</si>
  <si>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</si>
  <si>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</si>
  <si>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</si>
  <si>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</si>
  <si>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</si>
  <si>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</si>
  <si>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</si>
  <si>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</si>
  <si>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</si>
  <si>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</si>
  <si>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</si>
  <si>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</si>
  <si>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</si>
  <si>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</si>
  <si>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</si>
  <si>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</si>
  <si>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</si>
  <si>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</si>
  <si>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</si>
  <si>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</si>
  <si>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</si>
  <si>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</si>
  <si>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</si>
  <si>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</si>
  <si>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</si>
  <si>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</si>
  <si>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</si>
  <si>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</si>
  <si>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</si>
  <si>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</si>
  <si>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</si>
  <si>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</si>
  <si>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</si>
  <si>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</si>
  <si>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</si>
  <si>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</si>
  <si>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</si>
  <si>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</si>
  <si>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</si>
  <si>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</si>
  <si>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</si>
  <si>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</si>
  <si>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</si>
  <si>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</si>
  <si>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</si>
  <si>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</si>
  <si>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</si>
  <si>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</si>
  <si>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</si>
  <si>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</si>
  <si>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</si>
  <si>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</si>
  <si>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</si>
  <si>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</si>
  <si>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</si>
  <si>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</si>
  <si>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</si>
  <si>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</si>
  <si>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</si>
  <si>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</si>
  <si>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</si>
  <si>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</si>
  <si>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</si>
  <si>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</si>
  <si>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</si>
  <si>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</si>
  <si>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</si>
  <si>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</si>
  <si>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</si>
  <si>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</si>
  <si>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</si>
  <si>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</si>
  <si>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</si>
  <si>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</si>
  <si>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</si>
  <si>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</si>
  <si>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</si>
  <si>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</si>
  <si>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</si>
  <si>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</si>
  <si>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</si>
  <si>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</si>
  <si>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</si>
  <si>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</si>
  <si>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</si>
  <si>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</si>
  <si>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</si>
  <si>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</si>
  <si>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</si>
  <si>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</si>
  <si>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</si>
  <si>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</si>
  <si>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</si>
  <si>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</si>
  <si>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</si>
  <si>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</si>
  <si>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</si>
  <si>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</si>
  <si>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</si>
  <si>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</si>
  <si>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</si>
  <si>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</si>
  <si>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</si>
  <si>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</si>
  <si>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</si>
  <si>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</si>
  <si>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</si>
  <si>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</si>
  <si>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</si>
  <si>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</si>
  <si>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</si>
  <si>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</si>
  <si>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</si>
  <si>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</si>
  <si>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</si>
  <si>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</si>
  <si>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</si>
  <si>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</si>
  <si>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</si>
  <si>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</si>
  <si>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</si>
  <si>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</si>
  <si>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</si>
  <si>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</si>
  <si>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</si>
  <si>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</si>
  <si>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</si>
  <si>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</si>
  <si>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</si>
  <si>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</si>
  <si>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</si>
  <si>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</si>
  <si>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</si>
  <si>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</si>
  <si>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</si>
  <si>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UniqueHandle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</si>
  <si>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</si>
  <si>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</si>
  <si>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</si>
  <si>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</si>
  <si>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</si>
  <si>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</si>
  <si>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</si>
  <si>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</si>
  <si>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</si>
  <si>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</si>
  <si>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</si>
  <si>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</si>
  <si>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</si>
  <si>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</si>
  <si>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</si>
  <si>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D:\Pavel\match\DBs\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</si>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</sst>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9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1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41402.725891203707</v>
      </c>
      <c r="C1" s="124" t="s">
        <v>572</v>
      </c>
      <c r="J1" s="455" t="s">
        <v>1183</v>
      </c>
      <c r="K1" s="166"/>
      <c r="L1" s="57"/>
      <c r="M1" s="57"/>
      <c r="N1" s="57"/>
      <c r="O1" s="842" t="s">
        <v>581</v>
      </c>
      <c r="P1" s="842" t="s">
        <v>824</v>
      </c>
      <c r="Q1" s="842"/>
      <c r="R1" s="842"/>
      <c r="S1" s="842"/>
    </row>
    <row r="2" spans="1:23" ht="20.25" customHeight="1" x14ac:dyDescent="0.25">
      <c r="O2" s="843"/>
      <c r="P2" s="843"/>
      <c r="Q2" s="843"/>
      <c r="R2" s="843"/>
      <c r="S2" s="843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41402.725891203707</v>
      </c>
      <c r="B8" s="135" t="s">
        <v>550</v>
      </c>
      <c r="C8" s="140">
        <v>5682</v>
      </c>
      <c r="D8" s="140">
        <v>5</v>
      </c>
      <c r="E8" s="140">
        <v>2</v>
      </c>
      <c r="F8" t="s">
        <v>982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41402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41402.725266203706</v>
      </c>
      <c r="B10" t="s">
        <v>555</v>
      </c>
      <c r="C10" s="144">
        <v>1305</v>
      </c>
      <c r="D10" s="138">
        <v>8</v>
      </c>
      <c r="E10" s="138">
        <v>2</v>
      </c>
      <c r="F10" t="s">
        <v>656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41402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41402.71607638889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41402.717175925929</v>
      </c>
      <c r="B14" s="135" t="s">
        <v>557</v>
      </c>
      <c r="C14" s="140">
        <v>4569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41402.71597222222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41402.712094907409</v>
      </c>
      <c r="B15" t="s">
        <v>560</v>
      </c>
      <c r="C15" s="144">
        <v>1079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41402.710416666669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41402.711793981478</v>
      </c>
      <c r="B16" t="s">
        <v>562</v>
      </c>
      <c r="C16" s="144">
        <v>3391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41402.710416666669</v>
      </c>
      <c r="O16" s="137"/>
      <c r="Q16" s="137"/>
    </row>
    <row r="17" spans="1:20" ht="15.75" x14ac:dyDescent="0.3">
      <c r="A17" s="247">
        <v>41402.714259259257</v>
      </c>
      <c r="B17" t="s">
        <v>136</v>
      </c>
      <c r="C17" s="144">
        <v>4173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41402.713888888888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41402.711238425924</v>
      </c>
      <c r="B19" t="s">
        <v>567</v>
      </c>
      <c r="C19" s="144">
        <v>1954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41402.636805555558</v>
      </c>
      <c r="O19" s="137"/>
      <c r="Q19" s="137"/>
    </row>
    <row r="20" spans="1:20" ht="15.75" x14ac:dyDescent="0.3">
      <c r="A20" s="247">
        <v>41402.720694444448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41402.720138888886</v>
      </c>
      <c r="O20" s="137"/>
      <c r="Q20" s="137"/>
    </row>
    <row r="21" spans="1:20" ht="15.75" x14ac:dyDescent="0.3">
      <c r="A21" s="247">
        <v>41402.721932870372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41402.72152777778</v>
      </c>
      <c r="O21" s="137"/>
      <c r="Q21" s="137"/>
    </row>
    <row r="22" spans="1:20" ht="15.75" x14ac:dyDescent="0.3">
      <c r="A22" s="247">
        <v>41402.713483796295</v>
      </c>
      <c r="B22" t="s">
        <v>570</v>
      </c>
      <c r="C22" s="144">
        <v>751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41402.713194444441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4">
        <v>41402.724687499998</v>
      </c>
      <c r="B29" s="287" t="s">
        <v>590</v>
      </c>
      <c r="C29" s="288">
        <v>1673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41399.717824074076</v>
      </c>
      <c r="O29" s="287" t="s">
        <v>314</v>
      </c>
      <c r="P29" s="523">
        <v>3</v>
      </c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>
        <v>3</v>
      </c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>
        <v>3</v>
      </c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>
        <v>3</v>
      </c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>
        <v>3</v>
      </c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41398.850706018522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41402.725891203707</v>
      </c>
      <c r="B43" s="148" t="s">
        <v>792</v>
      </c>
      <c r="C43" s="274">
        <v>11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41402.72583333333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41402.725266203706</v>
      </c>
      <c r="B44" s="148" t="s">
        <v>667</v>
      </c>
      <c r="C44" s="274">
        <v>3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41402.725243055553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41401.105011574073</v>
      </c>
      <c r="B47" s="148" t="s">
        <v>1110</v>
      </c>
      <c r="C47" s="274">
        <v>4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41401.078692129631</v>
      </c>
      <c r="O47" s="814"/>
      <c r="P47" s="159" t="s">
        <v>1111</v>
      </c>
      <c r="Q47" s="814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2"/>
  <sheetViews>
    <sheetView tabSelected="1" topLeftCell="A63" zoomScale="90" zoomScaleNormal="90" workbookViewId="0">
      <selection activeCell="B69" sqref="B69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41402.725891203707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44" t="s">
        <v>606</v>
      </c>
      <c r="F3" s="846" t="s">
        <v>607</v>
      </c>
      <c r="G3" s="847"/>
      <c r="H3" s="847"/>
      <c r="I3" s="847"/>
      <c r="J3" s="848"/>
      <c r="K3" s="846" t="s">
        <v>608</v>
      </c>
      <c r="L3" s="847"/>
      <c r="M3" s="847"/>
      <c r="N3" s="847"/>
      <c r="O3" s="848"/>
    </row>
    <row r="4" spans="1:15" s="122" customFormat="1" ht="15.75" thickBot="1" x14ac:dyDescent="0.3">
      <c r="B4" s="157" t="s">
        <v>603</v>
      </c>
      <c r="C4" s="122" t="s">
        <v>604</v>
      </c>
      <c r="E4" s="845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41402.707905092589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41402.723460648151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41402.723460648151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41402.723564814813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41402.723634259259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41402.707106481481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41402.715983796297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41402.715995370374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41402.715995370374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41402.71601851852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41402.716064814813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41402.71607638889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41402.716840277775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41402.717164351852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41402.717175925929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41402.718831018516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99"/>
      <c r="B32" s="800" t="s">
        <v>612</v>
      </c>
      <c r="C32" s="80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41402.712048611109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41402.712094907409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214"/>
      <c r="O34" s="221"/>
    </row>
    <row r="35" spans="1:15" hidden="1" outlineLevel="1" x14ac:dyDescent="0.25">
      <c r="A35" s="751">
        <v>41402.712094907409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751">
        <v>41402.712222222224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41402.715879629628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41402.71601851852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41402.71607638889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hidden="1" outlineLevel="1" x14ac:dyDescent="0.25">
      <c r="A44" s="751">
        <v>41402.72452546296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hidden="1" outlineLevel="1" x14ac:dyDescent="0.25">
      <c r="A45" s="751">
        <v>41402.724537037036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hidden="1" outlineLevel="1" x14ac:dyDescent="0.25">
      <c r="A46" s="751">
        <v>41402.724687499998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x14ac:dyDescent="0.25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L131</f>
        <v>Платежи</v>
      </c>
      <c r="M52" s="197"/>
      <c r="N52" s="300" t="str">
        <f>TOCmatch!B14</f>
        <v>SF</v>
      </c>
      <c r="O52" s="198"/>
    </row>
    <row r="53" spans="1:15" s="186" customFormat="1" ht="15.75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41397.583854166667</v>
      </c>
      <c r="B66" s="195" t="s">
        <v>768</v>
      </c>
      <c r="C66" s="802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41397.583854166667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11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41402.725891203707</v>
      </c>
      <c r="B70" s="752" t="s">
        <v>982</v>
      </c>
      <c r="C70" s="827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41402.725891203707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28">
        <v>10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751"/>
      <c r="B73" s="752" t="s">
        <v>612</v>
      </c>
      <c r="C73" s="753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751">
        <v>41402.725266203706</v>
      </c>
      <c r="B74" s="752" t="s">
        <v>656</v>
      </c>
      <c r="C74" s="827" t="str">
        <f>F13&amp;"/"&amp;B14</f>
        <v>LOAD_1C_DOG/InsMyCol</v>
      </c>
      <c r="D74" s="195"/>
      <c r="E74" s="196" t="s">
        <v>70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751">
        <v>41402.725266203706</v>
      </c>
      <c r="B75" s="754" t="s">
        <v>619</v>
      </c>
      <c r="C75" s="572" t="str">
        <f>B74</f>
        <v>NewContr</v>
      </c>
      <c r="D75" s="195"/>
      <c r="E75" s="196" t="s">
        <v>70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755"/>
      <c r="B76" s="756" t="s">
        <v>613</v>
      </c>
      <c r="C76" s="828">
        <v>2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5"/>
    </row>
    <row r="78" spans="1:16" s="172" customFormat="1" ht="15.75" thickTop="1" x14ac:dyDescent="0.25">
      <c r="A78" s="194">
        <v>41401.105000000003</v>
      </c>
      <c r="B78" s="195" t="s">
        <v>1110</v>
      </c>
      <c r="C78" s="802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5"/>
    </row>
    <row r="79" spans="1:16" s="172" customFormat="1" x14ac:dyDescent="0.25">
      <c r="A79" s="194">
        <v>41401.105011574073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5"/>
    </row>
    <row r="80" spans="1:16" s="186" customFormat="1" ht="15.75" thickBot="1" x14ac:dyDescent="0.3">
      <c r="A80" s="203"/>
      <c r="B80" s="204" t="s">
        <v>613</v>
      </c>
      <c r="C80" s="778">
        <v>3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4"/>
    </row>
    <row r="93" spans="1:16" ht="15.75" thickTop="1" x14ac:dyDescent="0.25">
      <c r="A93" s="194"/>
      <c r="B93" s="201" t="s">
        <v>1071</v>
      </c>
      <c r="C93" s="159" t="s">
        <v>592</v>
      </c>
      <c r="D93" s="5"/>
      <c r="E93" s="217" t="s">
        <v>201</v>
      </c>
      <c r="F93" s="839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5"/>
    </row>
    <row r="94" spans="1:16" x14ac:dyDescent="0.25">
      <c r="A94" s="194"/>
      <c r="B94" s="201" t="s">
        <v>1167</v>
      </c>
      <c r="C94" s="159" t="str">
        <f>B93</f>
        <v>BTO_Mail_track</v>
      </c>
      <c r="D94" s="5"/>
      <c r="E94" s="217"/>
      <c r="F94" s="839" t="str">
        <f>F93</f>
        <v>BTOlog</v>
      </c>
      <c r="G94" s="300" t="str">
        <f>L94</f>
        <v>BTO</v>
      </c>
      <c r="H94" s="840">
        <v>11</v>
      </c>
      <c r="I94" s="214"/>
      <c r="J94" s="221"/>
      <c r="K94" s="839" t="str">
        <f>F93</f>
        <v>BTOlog</v>
      </c>
      <c r="L94" s="300" t="str">
        <f>TOCmatch!B20</f>
        <v>BTO</v>
      </c>
      <c r="M94" s="197"/>
      <c r="N94" s="200"/>
      <c r="O94" s="198"/>
      <c r="P94" s="835"/>
    </row>
    <row r="95" spans="1:16" s="172" customFormat="1" x14ac:dyDescent="0.25">
      <c r="A95" s="194">
        <v>41344.938113425924</v>
      </c>
      <c r="B95" s="201" t="s">
        <v>619</v>
      </c>
      <c r="C95" s="460" t="str">
        <f>B94</f>
        <v>UniqueHandle</v>
      </c>
      <c r="D95" s="195"/>
      <c r="E95" s="196" t="s">
        <v>201</v>
      </c>
      <c r="F95" s="839" t="str">
        <f>F93</f>
        <v>BTOlog</v>
      </c>
      <c r="G95" s="200" t="s">
        <v>790</v>
      </c>
      <c r="H95" s="214" t="s">
        <v>1168</v>
      </c>
      <c r="I95" s="214" t="s">
        <v>1169</v>
      </c>
      <c r="J95" s="198"/>
      <c r="K95" s="839" t="str">
        <f>F95</f>
        <v>BTOlog</v>
      </c>
      <c r="M95" s="197"/>
      <c r="N95" s="200"/>
      <c r="O95" s="198"/>
      <c r="P95" s="835"/>
    </row>
    <row r="96" spans="1:16" s="186" customFormat="1" ht="15.75" thickBot="1" x14ac:dyDescent="0.3">
      <c r="A96" s="203"/>
      <c r="B96" s="204" t="s">
        <v>613</v>
      </c>
      <c r="C96" s="236"/>
      <c r="D96" s="204"/>
      <c r="E96" s="205" t="s">
        <v>201</v>
      </c>
      <c r="F96" s="206"/>
      <c r="G96" s="207"/>
      <c r="H96" s="207"/>
      <c r="I96" s="207"/>
      <c r="J96" s="208"/>
      <c r="K96" s="209"/>
      <c r="L96" s="210"/>
      <c r="M96" s="207"/>
      <c r="N96" s="210"/>
      <c r="O96" s="208"/>
      <c r="P96" s="836"/>
    </row>
    <row r="97" spans="1:15" s="513" customFormat="1" ht="16.5" thickTop="1" thickBot="1" x14ac:dyDescent="0.3">
      <c r="A97" s="757">
        <v>41201.045671296299</v>
      </c>
      <c r="B97" s="758" t="s">
        <v>612</v>
      </c>
      <c r="C97" s="759"/>
      <c r="D97" s="507"/>
      <c r="E97" s="508" t="s">
        <v>201</v>
      </c>
      <c r="F97" s="509" t="s">
        <v>819</v>
      </c>
      <c r="G97" s="507"/>
      <c r="H97" s="507"/>
      <c r="I97" s="507"/>
      <c r="J97" s="510"/>
      <c r="K97" s="511" t="str">
        <f>K6</f>
        <v>Платежи</v>
      </c>
      <c r="L97" s="512"/>
      <c r="M97" s="507"/>
      <c r="N97" s="512"/>
      <c r="O97" s="510"/>
    </row>
    <row r="98" spans="1:15" s="172" customFormat="1" ht="16.5" thickTop="1" thickBot="1" x14ac:dyDescent="0.3">
      <c r="A98" s="263">
        <v>41289.96565972222</v>
      </c>
      <c r="B98" s="457" t="s">
        <v>822</v>
      </c>
      <c r="C98" s="458"/>
      <c r="D98" s="195"/>
      <c r="E98" s="449" t="s">
        <v>70</v>
      </c>
      <c r="F98" s="199" t="str">
        <f>F73</f>
        <v>HANDL_NewContract</v>
      </c>
      <c r="G98" s="685" t="str">
        <f>F97</f>
        <v>WP_PaidOpp</v>
      </c>
      <c r="H98" s="685" t="str">
        <f>B104</f>
        <v>WP_Paid</v>
      </c>
      <c r="I98" s="686">
        <v>7</v>
      </c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41289.96565972222</v>
      </c>
      <c r="B99" s="264" t="s">
        <v>821</v>
      </c>
      <c r="C99" s="572" t="str">
        <f>B98</f>
        <v>ProcReset</v>
      </c>
      <c r="D99" s="195"/>
      <c r="E99" s="196" t="s">
        <v>70</v>
      </c>
      <c r="F99" s="514">
        <f>C76</f>
        <v>2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263">
        <v>41289.965682870374</v>
      </c>
      <c r="B100" s="457" t="s">
        <v>822</v>
      </c>
      <c r="C100" s="458"/>
      <c r="D100" s="195"/>
      <c r="E100" s="449" t="s">
        <v>70</v>
      </c>
      <c r="F100" s="199" t="str">
        <f>F69</f>
        <v>HANDL_PaidContr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821</v>
      </c>
      <c r="C101" s="460" t="str">
        <f>B99</f>
        <v>CheckProc0</v>
      </c>
      <c r="D101" s="195"/>
      <c r="E101" s="196" t="s">
        <v>201</v>
      </c>
      <c r="F101" s="698">
        <f>C72</f>
        <v>10</v>
      </c>
      <c r="G101" s="220"/>
      <c r="H101" s="197"/>
      <c r="I101" s="197"/>
      <c r="J101" s="198"/>
      <c r="K101" s="199"/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802</v>
      </c>
      <c r="G102" s="197"/>
      <c r="H102" s="197"/>
      <c r="I102" s="197"/>
      <c r="J102" s="198"/>
      <c r="K102" s="266" t="str">
        <f>F102</f>
        <v>NewOpp</v>
      </c>
      <c r="L102" s="200"/>
      <c r="M102" s="197"/>
      <c r="N102" s="200"/>
      <c r="O102" s="198"/>
    </row>
    <row r="103" spans="1:15" s="172" customFormat="1" x14ac:dyDescent="0.25">
      <c r="A103" s="194"/>
      <c r="B103" s="195" t="s">
        <v>666</v>
      </c>
      <c r="C103" s="237"/>
      <c r="D103" s="211"/>
      <c r="E103" s="196" t="s">
        <v>201</v>
      </c>
      <c r="F103" s="266" t="s">
        <v>792</v>
      </c>
      <c r="G103" s="197"/>
      <c r="H103" s="197"/>
      <c r="I103" s="197"/>
      <c r="J103" s="198"/>
      <c r="K103" s="266" t="str">
        <f>F103</f>
        <v>NewPayment</v>
      </c>
      <c r="L103" s="200"/>
      <c r="M103" s="197"/>
      <c r="N103" s="200"/>
      <c r="O103" s="198"/>
    </row>
    <row r="104" spans="1:15" s="172" customFormat="1" ht="15.75" thickBot="1" x14ac:dyDescent="0.3">
      <c r="A104" s="666"/>
      <c r="B104" s="667" t="s">
        <v>964</v>
      </c>
      <c r="C104" s="668" t="str">
        <f>B99</f>
        <v>CheckProc0</v>
      </c>
      <c r="D104" s="667"/>
      <c r="E104" s="669" t="s">
        <v>201</v>
      </c>
      <c r="F104" s="670" t="s">
        <v>820</v>
      </c>
      <c r="G104" s="684" t="s">
        <v>201</v>
      </c>
      <c r="H104" s="672"/>
      <c r="I104" s="672"/>
      <c r="J104" s="673"/>
      <c r="K104" s="674" t="str">
        <f>K97</f>
        <v>Платежи</v>
      </c>
      <c r="L104" s="675" t="str">
        <f>TOCmatch!B17</f>
        <v>SFacc</v>
      </c>
      <c r="M104" s="675" t="str">
        <f>TOCmatch!B16</f>
        <v>SFopp</v>
      </c>
      <c r="N104" s="675" t="str">
        <f>TOCmatch!B15</f>
        <v>SFD</v>
      </c>
      <c r="O104" s="673"/>
    </row>
    <row r="105" spans="1:15" s="172" customFormat="1" ht="15.75" thickTop="1" x14ac:dyDescent="0.25">
      <c r="A105" s="194"/>
      <c r="B105" s="201" t="s">
        <v>619</v>
      </c>
      <c r="C105" s="460" t="str">
        <f>B104</f>
        <v>WP_Paid</v>
      </c>
      <c r="D105" s="195"/>
      <c r="E105" s="196" t="s">
        <v>201</v>
      </c>
      <c r="F105" s="266" t="s">
        <v>802</v>
      </c>
      <c r="G105" s="200" t="s">
        <v>790</v>
      </c>
      <c r="H105" s="214" t="s">
        <v>868</v>
      </c>
      <c r="I105" s="214" t="s">
        <v>946</v>
      </c>
      <c r="J105" s="198"/>
      <c r="K105" s="266" t="str">
        <f>F105</f>
        <v>NewOpp</v>
      </c>
      <c r="L105" s="200"/>
      <c r="M105" s="197"/>
      <c r="N105" s="200"/>
      <c r="O105" s="198"/>
    </row>
    <row r="106" spans="1:15" s="172" customFormat="1" x14ac:dyDescent="0.25">
      <c r="A106" s="194"/>
      <c r="B106" s="201" t="s">
        <v>619</v>
      </c>
      <c r="C106" s="460" t="str">
        <f>B104</f>
        <v>WP_Paid</v>
      </c>
      <c r="D106" s="195"/>
      <c r="E106" s="196" t="s">
        <v>201</v>
      </c>
      <c r="F106" s="266" t="s">
        <v>792</v>
      </c>
      <c r="G106" s="200" t="s">
        <v>790</v>
      </c>
      <c r="H106" s="214" t="s">
        <v>797</v>
      </c>
      <c r="I106" s="214" t="s">
        <v>798</v>
      </c>
      <c r="J106" s="198"/>
      <c r="K106" s="266" t="str">
        <f>F106</f>
        <v>NewPayment</v>
      </c>
      <c r="L106" s="200"/>
      <c r="M106" s="197"/>
      <c r="N106" s="200"/>
      <c r="O106" s="198"/>
    </row>
    <row r="107" spans="1:15" s="173" customFormat="1" x14ac:dyDescent="0.25">
      <c r="A107" s="715"/>
      <c r="B107" s="201" t="s">
        <v>613</v>
      </c>
      <c r="C107" s="716">
        <v>0</v>
      </c>
      <c r="D107" s="201"/>
      <c r="E107" s="202" t="s">
        <v>201</v>
      </c>
      <c r="F107" s="506"/>
      <c r="G107" s="197"/>
      <c r="H107" s="197"/>
      <c r="I107" s="197"/>
      <c r="J107" s="198"/>
      <c r="K107" s="199"/>
      <c r="L107" s="200"/>
      <c r="M107" s="197"/>
      <c r="N107" s="200"/>
      <c r="O107" s="198"/>
    </row>
    <row r="108" spans="1:15" s="679" customFormat="1" ht="15.75" thickBot="1" x14ac:dyDescent="0.3">
      <c r="A108" s="713">
        <v>41201.045671296299</v>
      </c>
      <c r="B108" s="227" t="s">
        <v>612</v>
      </c>
      <c r="C108" s="714"/>
      <c r="D108" s="302"/>
      <c r="E108" s="676" t="s">
        <v>201</v>
      </c>
      <c r="F108" s="677" t="s">
        <v>959</v>
      </c>
      <c r="G108" s="302"/>
      <c r="H108" s="302"/>
      <c r="I108" s="302"/>
      <c r="J108" s="305"/>
      <c r="K108" s="678" t="str">
        <f>TOCmatch!B$8</f>
        <v>Платежи</v>
      </c>
      <c r="L108" s="307"/>
      <c r="M108" s="302"/>
      <c r="N108" s="307"/>
      <c r="O108" s="305"/>
    </row>
    <row r="109" spans="1:15" s="172" customFormat="1" ht="15.75" thickTop="1" x14ac:dyDescent="0.25">
      <c r="A109" s="263">
        <v>41218.822870370372</v>
      </c>
      <c r="B109" s="264" t="s">
        <v>666</v>
      </c>
      <c r="C109" s="265"/>
      <c r="D109" s="211"/>
      <c r="E109" s="196"/>
      <c r="F109" s="266" t="s">
        <v>914</v>
      </c>
      <c r="G109" s="197"/>
      <c r="H109" s="197"/>
      <c r="I109" s="197"/>
      <c r="J109" s="198"/>
      <c r="K109" s="266" t="str">
        <f>F109</f>
        <v>NewAcc</v>
      </c>
      <c r="L109" s="200"/>
      <c r="M109" s="197"/>
      <c r="N109" s="200"/>
      <c r="O109" s="198"/>
    </row>
    <row r="110" spans="1:15" s="172" customFormat="1" x14ac:dyDescent="0.25">
      <c r="A110" s="263"/>
      <c r="B110" s="264" t="s">
        <v>962</v>
      </c>
      <c r="C110" s="460" t="str">
        <f>B109</f>
        <v>NewSheet</v>
      </c>
      <c r="D110" s="211"/>
      <c r="E110" s="196"/>
      <c r="F110" s="682"/>
      <c r="G110" s="197"/>
      <c r="H110" s="197"/>
      <c r="I110" s="197"/>
      <c r="J110" s="198"/>
      <c r="K110" s="266"/>
      <c r="L110" s="200"/>
      <c r="M110" s="197"/>
      <c r="N110" s="200"/>
      <c r="O110" s="198"/>
    </row>
    <row r="111" spans="1:15" s="172" customFormat="1" x14ac:dyDescent="0.25">
      <c r="A111" s="194"/>
      <c r="B111" s="195" t="s">
        <v>617</v>
      </c>
      <c r="C111" s="235"/>
      <c r="D111" s="195"/>
      <c r="E111" s="196" t="s">
        <v>201</v>
      </c>
      <c r="F111" s="213" t="s">
        <v>579</v>
      </c>
      <c r="G111" s="220" t="s">
        <v>967</v>
      </c>
      <c r="H111" s="197"/>
      <c r="I111" s="197"/>
      <c r="J111" s="198"/>
      <c r="K111" s="199"/>
      <c r="L111" s="200"/>
      <c r="M111" s="197"/>
      <c r="N111" s="200"/>
      <c r="O111" s="198"/>
    </row>
    <row r="112" spans="1:15" s="172" customFormat="1" ht="15.75" thickBot="1" x14ac:dyDescent="0.3">
      <c r="A112" s="666">
        <v>41218.824293981481</v>
      </c>
      <c r="B112" s="667" t="s">
        <v>964</v>
      </c>
      <c r="C112" s="668" t="str">
        <f>B110</f>
        <v>SFaccDicBuild</v>
      </c>
      <c r="D112" s="667"/>
      <c r="E112" s="669" t="s">
        <v>201</v>
      </c>
      <c r="F112" s="670" t="s">
        <v>960</v>
      </c>
      <c r="G112" s="671"/>
      <c r="H112" s="672"/>
      <c r="I112" s="672"/>
      <c r="J112" s="673"/>
      <c r="K112" s="674" t="str">
        <f>K108</f>
        <v>Платежи</v>
      </c>
      <c r="L112" s="675">
        <f>TOCmatch!B28</f>
        <v>0</v>
      </c>
      <c r="M112" s="675">
        <f>TOCmatch!B27</f>
        <v>0</v>
      </c>
      <c r="N112" s="675">
        <f>TOCmatch!B26</f>
        <v>0</v>
      </c>
      <c r="O112" s="673"/>
    </row>
    <row r="113" spans="1:15" s="172" customFormat="1" ht="15.75" thickTop="1" x14ac:dyDescent="0.25">
      <c r="A113" s="194">
        <v>41218.824293981481</v>
      </c>
      <c r="B113" s="201" t="s">
        <v>619</v>
      </c>
      <c r="C113" s="460" t="str">
        <f>B112</f>
        <v>WP_Paid</v>
      </c>
      <c r="D113" s="195"/>
      <c r="E113" s="196" t="s">
        <v>201</v>
      </c>
      <c r="F113" s="266" t="str">
        <f>F109</f>
        <v>NewAcc</v>
      </c>
      <c r="G113" s="200" t="s">
        <v>790</v>
      </c>
      <c r="H113" s="214" t="s">
        <v>868</v>
      </c>
      <c r="I113" s="214" t="s">
        <v>946</v>
      </c>
      <c r="J113" s="198"/>
      <c r="K113" s="266" t="str">
        <f>F113</f>
        <v>NewAcc</v>
      </c>
      <c r="L113" s="200"/>
      <c r="M113" s="197"/>
      <c r="N113" s="200"/>
      <c r="O113" s="198"/>
    </row>
    <row r="114" spans="1:15" s="186" customFormat="1" x14ac:dyDescent="0.25">
      <c r="A114" s="203"/>
      <c r="B114" s="204" t="s">
        <v>613</v>
      </c>
      <c r="C114" s="236">
        <v>5</v>
      </c>
      <c r="D114" s="204"/>
      <c r="E114" s="205" t="s">
        <v>201</v>
      </c>
      <c r="F114" s="206"/>
      <c r="G114" s="207"/>
      <c r="H114" s="207"/>
      <c r="I114" s="207"/>
      <c r="J114" s="208"/>
      <c r="K114" s="209"/>
      <c r="L114" s="210"/>
      <c r="M114" s="207"/>
      <c r="N114" s="210"/>
      <c r="O114" s="208"/>
    </row>
    <row r="115" spans="1:15" s="172" customFormat="1" x14ac:dyDescent="0.25">
      <c r="A115" s="194"/>
      <c r="B115" s="195" t="s">
        <v>612</v>
      </c>
      <c r="C115" s="237"/>
      <c r="D115" s="211"/>
      <c r="E115" s="196" t="s">
        <v>201</v>
      </c>
      <c r="F115" s="212" t="s">
        <v>635</v>
      </c>
      <c r="G115" s="197"/>
      <c r="H115" s="197"/>
      <c r="I115" s="197"/>
      <c r="J115" s="198"/>
      <c r="K115" s="187" t="s">
        <v>550</v>
      </c>
      <c r="L115" s="200"/>
      <c r="M115" s="197"/>
      <c r="N115" s="200"/>
      <c r="O115" s="198"/>
    </row>
    <row r="116" spans="1:15" s="172" customFormat="1" x14ac:dyDescent="0.25">
      <c r="A116" s="216"/>
      <c r="B116" s="195" t="s">
        <v>617</v>
      </c>
      <c r="C116" s="235"/>
      <c r="D116" s="195"/>
      <c r="E116" s="196"/>
      <c r="F116" s="213" t="s">
        <v>70</v>
      </c>
      <c r="G116" s="220"/>
      <c r="H116" s="197"/>
      <c r="I116" s="197"/>
      <c r="J116" s="198"/>
      <c r="K116" s="199"/>
      <c r="L116" s="200"/>
      <c r="M116" s="197"/>
      <c r="N116" s="200"/>
      <c r="O116" s="198"/>
    </row>
    <row r="117" spans="1:15" ht="30" x14ac:dyDescent="0.25">
      <c r="A117" s="216"/>
      <c r="B117" s="201" t="s">
        <v>624</v>
      </c>
      <c r="C117" s="234" t="s">
        <v>652</v>
      </c>
      <c r="D117" s="5"/>
      <c r="E117" s="217" t="s">
        <v>201</v>
      </c>
      <c r="F117" s="199"/>
      <c r="G117" s="200"/>
      <c r="H117" s="214"/>
      <c r="I117" s="214"/>
      <c r="J117" s="221"/>
      <c r="K117" s="222" t="s">
        <v>550</v>
      </c>
      <c r="L117" s="214" t="s">
        <v>562</v>
      </c>
      <c r="M117" s="214"/>
      <c r="N117" s="214"/>
      <c r="O117" s="221"/>
    </row>
    <row r="118" spans="1:15" s="186" customFormat="1" x14ac:dyDescent="0.25">
      <c r="A118" s="203"/>
      <c r="B118" s="204" t="s">
        <v>613</v>
      </c>
      <c r="C118" s="236"/>
      <c r="D118" s="204"/>
      <c r="E118" s="205" t="s">
        <v>201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5" s="135" customFormat="1" x14ac:dyDescent="0.25">
      <c r="A119" s="224"/>
      <c r="B119" s="225" t="s">
        <v>589</v>
      </c>
      <c r="C119" s="226" t="s">
        <v>126</v>
      </c>
      <c r="D119" s="227"/>
      <c r="E119" s="228"/>
      <c r="F119" s="229"/>
      <c r="G119" s="223"/>
      <c r="H119" s="223"/>
      <c r="I119" s="223"/>
      <c r="J119" s="230"/>
      <c r="K119" s="229" t="s">
        <v>588</v>
      </c>
      <c r="L119" s="223"/>
      <c r="M119" s="223"/>
      <c r="N119" s="223"/>
      <c r="O119" s="230"/>
    </row>
    <row r="120" spans="1:15" x14ac:dyDescent="0.25">
      <c r="A120" s="231"/>
      <c r="B120" s="232">
        <v>1043</v>
      </c>
      <c r="C120" s="233"/>
      <c r="D120" s="5"/>
      <c r="E120" s="196"/>
      <c r="F120" s="219"/>
      <c r="G120" s="214"/>
      <c r="H120" s="214"/>
      <c r="I120" s="214"/>
      <c r="J120" s="215"/>
      <c r="K120" s="219" t="s">
        <v>588</v>
      </c>
      <c r="L120" s="214"/>
      <c r="M120" s="214"/>
      <c r="N120" s="214"/>
      <c r="O120" s="215"/>
    </row>
    <row r="121" spans="1:15" s="135" customFormat="1" ht="15.75" thickBot="1" x14ac:dyDescent="0.3">
      <c r="A121" s="134"/>
      <c r="B121" s="155" t="s">
        <v>589</v>
      </c>
      <c r="C121" s="193" t="s">
        <v>126</v>
      </c>
      <c r="D121" s="156"/>
      <c r="E121" s="191"/>
      <c r="F121" s="175"/>
      <c r="G121" s="176"/>
      <c r="H121" s="176"/>
      <c r="I121" s="176"/>
      <c r="J121" s="177"/>
      <c r="K121" s="175" t="s">
        <v>595</v>
      </c>
      <c r="L121" s="176"/>
      <c r="M121" s="176"/>
      <c r="N121" s="176"/>
      <c r="O121" s="177"/>
    </row>
    <row r="122" spans="1:15" x14ac:dyDescent="0.25">
      <c r="A122" s="144"/>
    </row>
    <row r="123" spans="1:15" s="172" customFormat="1" x14ac:dyDescent="0.25">
      <c r="A123" s="194"/>
      <c r="B123" s="195" t="s">
        <v>617</v>
      </c>
      <c r="C123" s="235"/>
      <c r="D123" s="195"/>
      <c r="E123" s="196" t="s">
        <v>201</v>
      </c>
      <c r="F123" s="213" t="s">
        <v>579</v>
      </c>
      <c r="G123" s="220" t="s">
        <v>967</v>
      </c>
      <c r="H123" s="197"/>
      <c r="I123" s="197"/>
      <c r="J123" s="198"/>
      <c r="K123" s="199"/>
      <c r="L123" s="200"/>
      <c r="M123" s="197"/>
      <c r="N123" s="200"/>
      <c r="O123" s="198"/>
    </row>
    <row r="125" spans="1:15" ht="45" hidden="1" outlineLevel="1" x14ac:dyDescent="0.25">
      <c r="A125" s="194">
        <v>41217.705717592595</v>
      </c>
      <c r="B125" s="195" t="s">
        <v>640</v>
      </c>
      <c r="C125" s="234" t="s">
        <v>639</v>
      </c>
      <c r="D125" s="214"/>
      <c r="E125" s="217" t="s">
        <v>201</v>
      </c>
      <c r="F125" s="213" t="s">
        <v>560</v>
      </c>
      <c r="G125" s="200" t="s">
        <v>555</v>
      </c>
      <c r="H125" s="220" t="s">
        <v>94</v>
      </c>
      <c r="I125" s="220" t="s">
        <v>128</v>
      </c>
      <c r="J125" s="221"/>
      <c r="L125" s="300" t="str">
        <f>TOCmatch!B$15</f>
        <v>SFD</v>
      </c>
      <c r="M125" s="214"/>
      <c r="N125" s="214"/>
      <c r="O125" s="221"/>
    </row>
    <row r="126" spans="1:15" collapsed="1" x14ac:dyDescent="0.25"/>
    <row r="128" spans="1:15" s="148" customFormat="1" hidden="1" outlineLevel="1" x14ac:dyDescent="0.25">
      <c r="A128" s="194">
        <v>41217.684374999997</v>
      </c>
      <c r="B128" s="195" t="s">
        <v>594</v>
      </c>
      <c r="C128" s="234" t="s">
        <v>592</v>
      </c>
      <c r="D128" s="195"/>
      <c r="E128" s="196" t="s">
        <v>201</v>
      </c>
      <c r="F128" s="424" t="s">
        <v>766</v>
      </c>
      <c r="G128" s="425" t="s">
        <v>767</v>
      </c>
      <c r="H128" s="197"/>
      <c r="I128" s="197"/>
      <c r="J128" s="215"/>
      <c r="K128" s="199">
        <f>TOCmatch!B100</f>
        <v>0</v>
      </c>
      <c r="L128" s="300" t="str">
        <f>TOCmatch!B$17</f>
        <v>SFacc</v>
      </c>
      <c r="M128" s="300" t="str">
        <f>TOCmatch!B$15</f>
        <v>SFD</v>
      </c>
      <c r="N128" s="214"/>
      <c r="O128" s="215"/>
    </row>
    <row r="129" spans="1:15" collapsed="1" x14ac:dyDescent="0.25"/>
    <row r="131" spans="1:15" s="148" customFormat="1" hidden="1" outlineLevel="1" x14ac:dyDescent="0.25">
      <c r="A131" s="194">
        <v>41227.065937500003</v>
      </c>
      <c r="B131" s="195" t="s">
        <v>845</v>
      </c>
      <c r="C131" s="654" t="str">
        <f>B50</f>
        <v>InsMyCol</v>
      </c>
      <c r="D131" s="195"/>
      <c r="E131" s="196" t="s">
        <v>201</v>
      </c>
      <c r="F131" s="213" t="s">
        <v>128</v>
      </c>
      <c r="G131" s="220" t="s">
        <v>91</v>
      </c>
      <c r="H131" s="220" t="s">
        <v>110</v>
      </c>
      <c r="I131" s="220" t="s">
        <v>795</v>
      </c>
      <c r="J131" s="544"/>
      <c r="K131" s="546" t="str">
        <f>K48</f>
        <v>Склад</v>
      </c>
      <c r="L131" s="200" t="str">
        <f>TOCmatch!B8</f>
        <v>Платежи</v>
      </c>
      <c r="M131" s="214"/>
      <c r="N131" s="172"/>
      <c r="O131" s="198"/>
    </row>
    <row r="132" spans="1:15" collapsed="1" x14ac:dyDescent="0.25"/>
  </sheetData>
  <autoFilter ref="A4:O12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"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9" t="s">
        <v>354</v>
      </c>
      <c r="I49" s="850"/>
      <c r="J49" s="850"/>
      <c r="K49" s="843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1" t="s">
        <v>354</v>
      </c>
      <c r="N50" s="852"/>
      <c r="O50" s="852"/>
      <c r="P50" s="852"/>
      <c r="Q50" s="853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51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251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41" t="s">
        <v>1170</v>
      </c>
    </row>
    <row r="9" spans="1:4" x14ac:dyDescent="0.25">
      <c r="A9" s="36">
        <v>41399</v>
      </c>
      <c r="B9" s="121">
        <v>0.69373842592592594</v>
      </c>
      <c r="C9" s="26" t="s">
        <v>1171</v>
      </c>
    </row>
    <row r="10" spans="1:4" x14ac:dyDescent="0.25">
      <c r="A10" s="36">
        <v>41399</v>
      </c>
      <c r="B10" s="121">
        <v>0.69822916666666668</v>
      </c>
      <c r="C10" s="26" t="s">
        <v>1171</v>
      </c>
    </row>
    <row r="11" spans="1:4" x14ac:dyDescent="0.25">
      <c r="A11" s="36">
        <v>41399</v>
      </c>
      <c r="B11" s="121">
        <v>0.70775462962962965</v>
      </c>
      <c r="C11" s="26" t="s">
        <v>1172</v>
      </c>
    </row>
    <row r="12" spans="1:4" ht="45" x14ac:dyDescent="0.25">
      <c r="A12" s="36">
        <v>41399</v>
      </c>
      <c r="B12" s="121">
        <v>0.71197916666666661</v>
      </c>
      <c r="C12" s="841" t="s">
        <v>1173</v>
      </c>
    </row>
    <row r="13" spans="1:4" x14ac:dyDescent="0.25">
      <c r="A13" s="36">
        <v>41399</v>
      </c>
      <c r="B13" s="121">
        <v>0.71725694444444443</v>
      </c>
      <c r="C13" s="26" t="s">
        <v>1174</v>
      </c>
    </row>
    <row r="14" spans="1:4" ht="45" x14ac:dyDescent="0.25">
      <c r="A14" s="36">
        <v>41399</v>
      </c>
      <c r="B14" s="121">
        <v>0.71781249999999996</v>
      </c>
      <c r="C14" s="841" t="s">
        <v>1175</v>
      </c>
    </row>
    <row r="15" spans="1:4" ht="60" x14ac:dyDescent="0.25">
      <c r="A15" s="36">
        <v>41401</v>
      </c>
      <c r="B15" s="121">
        <v>6.3287037037037031E-2</v>
      </c>
      <c r="C15" s="841" t="s">
        <v>1176</v>
      </c>
    </row>
    <row r="16" spans="1:4" ht="60" x14ac:dyDescent="0.25">
      <c r="A16" s="36">
        <v>41401</v>
      </c>
      <c r="B16" s="121">
        <v>6.3553240740740743E-2</v>
      </c>
      <c r="C16" s="841" t="s">
        <v>1176</v>
      </c>
    </row>
    <row r="17" spans="1:3" x14ac:dyDescent="0.25">
      <c r="A17" s="36">
        <v>41401</v>
      </c>
      <c r="B17" s="121">
        <v>6.5104166666666671E-2</v>
      </c>
      <c r="C17" s="26" t="s">
        <v>1177</v>
      </c>
    </row>
    <row r="18" spans="1:3" ht="45" x14ac:dyDescent="0.25">
      <c r="A18" s="36">
        <v>41401</v>
      </c>
      <c r="B18" s="121">
        <v>6.5856481481481488E-2</v>
      </c>
      <c r="C18" s="841" t="s">
        <v>1178</v>
      </c>
    </row>
    <row r="19" spans="1:3" x14ac:dyDescent="0.25">
      <c r="A19" s="36">
        <v>41401</v>
      </c>
      <c r="B19" s="121">
        <v>7.4606481481481482E-2</v>
      </c>
      <c r="C19" s="26" t="s">
        <v>1179</v>
      </c>
    </row>
    <row r="20" spans="1:3" x14ac:dyDescent="0.25">
      <c r="A20" s="36">
        <v>41401</v>
      </c>
      <c r="B20" s="121">
        <v>7.4745370370370365E-2</v>
      </c>
      <c r="C20" s="26" t="s">
        <v>1180</v>
      </c>
    </row>
    <row r="21" spans="1:3" x14ac:dyDescent="0.25">
      <c r="A21" s="36">
        <v>41401</v>
      </c>
      <c r="B21" s="121">
        <v>7.6018518518518527E-2</v>
      </c>
      <c r="C21" s="26" t="s">
        <v>1179</v>
      </c>
    </row>
    <row r="22" spans="1:3" x14ac:dyDescent="0.25">
      <c r="A22" s="36">
        <v>41401</v>
      </c>
      <c r="B22" s="121">
        <v>7.6168981481481476E-2</v>
      </c>
      <c r="C22" s="26" t="s">
        <v>1180</v>
      </c>
    </row>
    <row r="23" spans="1:3" x14ac:dyDescent="0.25">
      <c r="A23" s="36">
        <v>41401</v>
      </c>
      <c r="B23" s="121">
        <v>9.8599537037037041E-2</v>
      </c>
      <c r="C23" s="26" t="s">
        <v>1181</v>
      </c>
    </row>
    <row r="24" spans="1:3" x14ac:dyDescent="0.25">
      <c r="A24" s="36">
        <v>41401</v>
      </c>
      <c r="B24" s="121">
        <v>0.10483796296296295</v>
      </c>
      <c r="C24" s="26" t="s">
        <v>1179</v>
      </c>
    </row>
    <row r="25" spans="1:3" x14ac:dyDescent="0.25">
      <c r="A25" s="36">
        <v>41401</v>
      </c>
      <c r="B25" s="121">
        <v>0.105</v>
      </c>
      <c r="C25" s="26" t="s">
        <v>1182</v>
      </c>
    </row>
    <row r="26" spans="1:3" x14ac:dyDescent="0.25">
      <c r="A26" s="36">
        <v>41401</v>
      </c>
      <c r="B26" s="121">
        <v>0.52673611111111118</v>
      </c>
      <c r="C26" s="26" t="s">
        <v>1184</v>
      </c>
    </row>
    <row r="27" spans="1:3" x14ac:dyDescent="0.25">
      <c r="A27" s="36">
        <v>41401</v>
      </c>
      <c r="B27" s="121">
        <v>0.55690972222222224</v>
      </c>
      <c r="C27" s="26" t="s">
        <v>1185</v>
      </c>
    </row>
    <row r="28" spans="1:3" x14ac:dyDescent="0.25">
      <c r="A28" s="36">
        <v>41401</v>
      </c>
      <c r="B28" s="121">
        <v>0.68530092592592595</v>
      </c>
      <c r="C28" s="26" t="s">
        <v>1186</v>
      </c>
    </row>
    <row r="29" spans="1:3" x14ac:dyDescent="0.25">
      <c r="A29" s="36">
        <v>41402</v>
      </c>
      <c r="B29" s="121">
        <v>0.61458333333333337</v>
      </c>
      <c r="C29" s="26" t="s">
        <v>1187</v>
      </c>
    </row>
    <row r="30" spans="1:3" x14ac:dyDescent="0.25">
      <c r="A30" s="36">
        <v>41402</v>
      </c>
      <c r="B30" s="121">
        <v>0.63364583333333335</v>
      </c>
      <c r="C30" s="26" t="s">
        <v>1188</v>
      </c>
    </row>
    <row r="31" spans="1:3" x14ac:dyDescent="0.25">
      <c r="A31" s="36">
        <v>41402</v>
      </c>
      <c r="B31" s="121">
        <v>0.63766203703703705</v>
      </c>
      <c r="C31" s="26" t="s">
        <v>1189</v>
      </c>
    </row>
    <row r="32" spans="1:3" x14ac:dyDescent="0.25">
      <c r="A32" s="36">
        <v>41402</v>
      </c>
      <c r="B32" s="121">
        <v>0.65077546296296296</v>
      </c>
      <c r="C32" s="26" t="s">
        <v>1190</v>
      </c>
    </row>
    <row r="33" spans="1:3" x14ac:dyDescent="0.25">
      <c r="A33" s="36">
        <v>41402</v>
      </c>
      <c r="B33" s="121">
        <v>0.70674768518518516</v>
      </c>
      <c r="C33" s="26" t="s">
        <v>1191</v>
      </c>
    </row>
    <row r="34" spans="1:3" ht="45" x14ac:dyDescent="0.25">
      <c r="A34" s="36">
        <v>41402</v>
      </c>
      <c r="B34" s="121">
        <v>0.70721064814814805</v>
      </c>
      <c r="C34" s="841" t="s">
        <v>1192</v>
      </c>
    </row>
    <row r="35" spans="1:3" x14ac:dyDescent="0.25">
      <c r="A35" s="36">
        <v>41402</v>
      </c>
      <c r="B35" s="121">
        <v>0.70775462962962965</v>
      </c>
      <c r="C35" s="26" t="s">
        <v>1193</v>
      </c>
    </row>
    <row r="36" spans="1:3" ht="45" x14ac:dyDescent="0.25">
      <c r="A36" s="36">
        <v>41402</v>
      </c>
      <c r="B36" s="121">
        <v>0.70886574074074071</v>
      </c>
      <c r="C36" s="841" t="s">
        <v>1194</v>
      </c>
    </row>
    <row r="37" spans="1:3" x14ac:dyDescent="0.25">
      <c r="A37" s="36">
        <v>41402</v>
      </c>
      <c r="B37" s="121">
        <v>0.7112384259259259</v>
      </c>
      <c r="C37" s="26" t="s">
        <v>1195</v>
      </c>
    </row>
    <row r="38" spans="1:3" x14ac:dyDescent="0.25">
      <c r="A38" s="36">
        <v>41402</v>
      </c>
      <c r="B38" s="121">
        <v>0.7114583333333333</v>
      </c>
      <c r="C38" s="26" t="s">
        <v>1196</v>
      </c>
    </row>
    <row r="39" spans="1:3" x14ac:dyDescent="0.25">
      <c r="A39" s="36">
        <v>41402</v>
      </c>
      <c r="B39" s="121">
        <v>0.71179398148148154</v>
      </c>
      <c r="C39" s="26" t="s">
        <v>1197</v>
      </c>
    </row>
    <row r="40" spans="1:3" x14ac:dyDescent="0.25">
      <c r="A40" s="36">
        <v>41402</v>
      </c>
      <c r="B40" s="121">
        <v>0.71203703703703702</v>
      </c>
      <c r="C40" s="26" t="s">
        <v>1198</v>
      </c>
    </row>
    <row r="41" spans="1:3" ht="30" x14ac:dyDescent="0.25">
      <c r="A41" s="36">
        <v>41402</v>
      </c>
      <c r="B41" s="121">
        <v>0.71209490740740744</v>
      </c>
      <c r="C41" s="841" t="s">
        <v>1199</v>
      </c>
    </row>
    <row r="42" spans="1:3" ht="45" x14ac:dyDescent="0.25">
      <c r="A42" s="36">
        <v>41402</v>
      </c>
      <c r="B42" s="121">
        <v>0.71218750000000008</v>
      </c>
      <c r="C42" s="841" t="s">
        <v>1200</v>
      </c>
    </row>
    <row r="43" spans="1:3" x14ac:dyDescent="0.25">
      <c r="A43" s="36">
        <v>41402</v>
      </c>
      <c r="B43" s="121">
        <v>0.71348379629629621</v>
      </c>
      <c r="C43" s="26" t="s">
        <v>1201</v>
      </c>
    </row>
    <row r="44" spans="1:3" x14ac:dyDescent="0.25">
      <c r="A44" s="36">
        <v>41402</v>
      </c>
      <c r="B44" s="121">
        <v>0.71425925925925926</v>
      </c>
      <c r="C44" s="26" t="s">
        <v>1202</v>
      </c>
    </row>
    <row r="45" spans="1:3" ht="45" x14ac:dyDescent="0.25">
      <c r="A45" s="36">
        <v>41402</v>
      </c>
      <c r="B45" s="121">
        <v>0.71569444444444441</v>
      </c>
      <c r="C45" s="841" t="s">
        <v>1203</v>
      </c>
    </row>
    <row r="46" spans="1:3" ht="45" x14ac:dyDescent="0.25">
      <c r="A46" s="36">
        <v>41402</v>
      </c>
      <c r="B46" s="121">
        <v>0.71598379629629638</v>
      </c>
      <c r="C46" s="841" t="s">
        <v>1204</v>
      </c>
    </row>
    <row r="47" spans="1:3" ht="30" x14ac:dyDescent="0.25">
      <c r="A47" s="36">
        <v>41402</v>
      </c>
      <c r="B47" s="121">
        <v>0.71605324074074073</v>
      </c>
      <c r="C47" s="841" t="s">
        <v>1205</v>
      </c>
    </row>
    <row r="48" spans="1:3" x14ac:dyDescent="0.25">
      <c r="A48" s="36">
        <v>41402</v>
      </c>
      <c r="B48" s="121">
        <v>0.71677083333333336</v>
      </c>
      <c r="C48" s="26" t="s">
        <v>1206</v>
      </c>
    </row>
    <row r="49" spans="1:3" ht="30" x14ac:dyDescent="0.25">
      <c r="A49" s="36">
        <v>41402</v>
      </c>
      <c r="B49" s="121">
        <v>0.7171643518518519</v>
      </c>
      <c r="C49" s="841" t="s">
        <v>1207</v>
      </c>
    </row>
    <row r="50" spans="1:3" ht="45" x14ac:dyDescent="0.25">
      <c r="A50" s="36">
        <v>41402</v>
      </c>
      <c r="B50" s="121">
        <v>0.71866898148148151</v>
      </c>
      <c r="C50" s="841" t="s">
        <v>1208</v>
      </c>
    </row>
    <row r="51" spans="1:3" x14ac:dyDescent="0.25">
      <c r="A51" s="36">
        <v>41402</v>
      </c>
      <c r="B51" s="121">
        <v>0.72069444444444442</v>
      </c>
      <c r="C51" s="26" t="s">
        <v>1209</v>
      </c>
    </row>
    <row r="52" spans="1:3" x14ac:dyDescent="0.25">
      <c r="A52" s="36">
        <v>41402</v>
      </c>
      <c r="B52" s="121">
        <v>0.72099537037037031</v>
      </c>
      <c r="C52" s="26" t="s">
        <v>1210</v>
      </c>
    </row>
    <row r="53" spans="1:3" x14ac:dyDescent="0.25">
      <c r="A53" s="36">
        <v>41402</v>
      </c>
      <c r="B53" s="121">
        <v>0.72193287037037035</v>
      </c>
      <c r="C53" s="26" t="s">
        <v>1211</v>
      </c>
    </row>
    <row r="54" spans="1:3" ht="45" x14ac:dyDescent="0.25">
      <c r="A54" s="36">
        <v>41402</v>
      </c>
      <c r="B54" s="121">
        <v>0.72344907407407411</v>
      </c>
      <c r="C54" s="841" t="s">
        <v>1212</v>
      </c>
    </row>
    <row r="55" spans="1:3" x14ac:dyDescent="0.25">
      <c r="A55" s="36">
        <v>41402</v>
      </c>
      <c r="B55" s="121">
        <v>0.72452546296296294</v>
      </c>
      <c r="C55" s="26" t="s">
        <v>1213</v>
      </c>
    </row>
    <row r="56" spans="1:3" ht="45" x14ac:dyDescent="0.25">
      <c r="A56" s="36">
        <v>41402</v>
      </c>
      <c r="B56" s="121">
        <v>0.72468749999999993</v>
      </c>
      <c r="C56" s="841" t="s">
        <v>1214</v>
      </c>
    </row>
    <row r="57" spans="1:3" x14ac:dyDescent="0.25">
      <c r="A57" s="36">
        <v>41402</v>
      </c>
      <c r="B57" s="121">
        <v>0.72525462962962972</v>
      </c>
      <c r="C57" s="26" t="s">
        <v>1215</v>
      </c>
    </row>
    <row r="58" spans="1:3" x14ac:dyDescent="0.25">
      <c r="A58" s="36">
        <v>41402</v>
      </c>
      <c r="B58" s="121">
        <v>0.72525462962962972</v>
      </c>
      <c r="C58" s="26" t="s">
        <v>1216</v>
      </c>
    </row>
    <row r="59" spans="1:3" x14ac:dyDescent="0.25">
      <c r="A59" s="36">
        <v>41402</v>
      </c>
      <c r="B59" s="121">
        <v>0.72525462962962972</v>
      </c>
      <c r="C59" s="26" t="s">
        <v>1217</v>
      </c>
    </row>
    <row r="60" spans="1:3" x14ac:dyDescent="0.25">
      <c r="A60" s="36">
        <v>41402</v>
      </c>
      <c r="B60" s="121">
        <v>0.72525462962962972</v>
      </c>
      <c r="C60" s="26" t="s">
        <v>1216</v>
      </c>
    </row>
    <row r="61" spans="1:3" x14ac:dyDescent="0.25">
      <c r="A61" s="36">
        <v>41402</v>
      </c>
      <c r="B61" s="121">
        <v>0.72525462962962972</v>
      </c>
      <c r="C61" s="26" t="s">
        <v>1218</v>
      </c>
    </row>
    <row r="62" spans="1:3" x14ac:dyDescent="0.25">
      <c r="A62" s="36">
        <v>41402</v>
      </c>
      <c r="B62" s="121">
        <v>0.72525462962962972</v>
      </c>
      <c r="C62" s="26" t="s">
        <v>1218</v>
      </c>
    </row>
    <row r="63" spans="1:3" x14ac:dyDescent="0.25">
      <c r="A63" s="36">
        <v>41402</v>
      </c>
      <c r="B63" s="121">
        <v>0.72525462962962972</v>
      </c>
      <c r="C63" s="26" t="s">
        <v>1219</v>
      </c>
    </row>
    <row r="64" spans="1:3" x14ac:dyDescent="0.25">
      <c r="A64" s="36">
        <v>41402</v>
      </c>
      <c r="B64" s="121">
        <v>0.72525462962962972</v>
      </c>
      <c r="C64" s="26" t="s">
        <v>1220</v>
      </c>
    </row>
    <row r="65" spans="1:3" x14ac:dyDescent="0.25">
      <c r="A65" s="36">
        <v>41402</v>
      </c>
      <c r="B65" s="121">
        <v>0.72525462962962972</v>
      </c>
      <c r="C65" s="26" t="s">
        <v>1221</v>
      </c>
    </row>
    <row r="66" spans="1:3" x14ac:dyDescent="0.25">
      <c r="A66" s="36">
        <v>41402</v>
      </c>
      <c r="B66" s="121">
        <v>0.72525462962962972</v>
      </c>
      <c r="C66" s="26" t="s">
        <v>1222</v>
      </c>
    </row>
    <row r="67" spans="1:3" x14ac:dyDescent="0.25">
      <c r="A67" s="36">
        <v>41402</v>
      </c>
      <c r="B67" s="121">
        <v>0.72525462962962972</v>
      </c>
      <c r="C67" s="26" t="s">
        <v>1223</v>
      </c>
    </row>
    <row r="68" spans="1:3" x14ac:dyDescent="0.25">
      <c r="A68" s="36">
        <v>41402</v>
      </c>
      <c r="B68" s="121">
        <v>0.72525462962962972</v>
      </c>
      <c r="C68" s="26" t="s">
        <v>1224</v>
      </c>
    </row>
    <row r="69" spans="1:3" x14ac:dyDescent="0.25">
      <c r="A69" s="36">
        <v>41402</v>
      </c>
      <c r="B69" s="121">
        <v>0.72525462962962972</v>
      </c>
      <c r="C69" s="26" t="s">
        <v>1216</v>
      </c>
    </row>
    <row r="70" spans="1:3" x14ac:dyDescent="0.25">
      <c r="A70" s="36">
        <v>41402</v>
      </c>
      <c r="B70" s="121">
        <v>0.72525462962962972</v>
      </c>
      <c r="C70" s="26" t="s">
        <v>1225</v>
      </c>
    </row>
    <row r="71" spans="1:3" x14ac:dyDescent="0.25">
      <c r="A71" s="36">
        <v>41402</v>
      </c>
      <c r="B71" s="121">
        <v>0.72525462962962972</v>
      </c>
      <c r="C71" s="26" t="s">
        <v>1225</v>
      </c>
    </row>
    <row r="72" spans="1:3" x14ac:dyDescent="0.25">
      <c r="A72" s="36">
        <v>41402</v>
      </c>
      <c r="B72" s="121">
        <v>0.72525462962962972</v>
      </c>
      <c r="C72" s="26" t="s">
        <v>1226</v>
      </c>
    </row>
    <row r="73" spans="1:3" x14ac:dyDescent="0.25">
      <c r="A73" s="36">
        <v>41402</v>
      </c>
      <c r="B73" s="121">
        <v>0.72525462962962972</v>
      </c>
      <c r="C73" s="26" t="s">
        <v>1221</v>
      </c>
    </row>
    <row r="74" spans="1:3" x14ac:dyDescent="0.25">
      <c r="A74" s="36">
        <v>41402</v>
      </c>
      <c r="B74" s="121">
        <v>0.72525462962962972</v>
      </c>
      <c r="C74" s="26" t="s">
        <v>1221</v>
      </c>
    </row>
    <row r="75" spans="1:3" x14ac:dyDescent="0.25">
      <c r="A75" s="36">
        <v>41402</v>
      </c>
      <c r="B75" s="121">
        <v>0.72525462962962972</v>
      </c>
      <c r="C75" s="26" t="s">
        <v>1227</v>
      </c>
    </row>
    <row r="76" spans="1:3" x14ac:dyDescent="0.25">
      <c r="A76" s="36">
        <v>41402</v>
      </c>
      <c r="B76" s="121">
        <v>0.72525462962962972</v>
      </c>
      <c r="C76" s="26" t="s">
        <v>1228</v>
      </c>
    </row>
    <row r="77" spans="1:3" x14ac:dyDescent="0.25">
      <c r="A77" s="36">
        <v>41402</v>
      </c>
      <c r="B77" s="121">
        <v>0.72525462962962972</v>
      </c>
      <c r="C77" s="26" t="s">
        <v>1228</v>
      </c>
    </row>
    <row r="78" spans="1:3" x14ac:dyDescent="0.25">
      <c r="A78" s="36">
        <v>41402</v>
      </c>
      <c r="B78" s="121">
        <v>0.72525462962962972</v>
      </c>
      <c r="C78" s="26" t="s">
        <v>1225</v>
      </c>
    </row>
    <row r="79" spans="1:3" x14ac:dyDescent="0.25">
      <c r="A79" s="36">
        <v>41402</v>
      </c>
      <c r="B79" s="121">
        <v>0.72525462962962972</v>
      </c>
      <c r="C79" s="26" t="s">
        <v>1229</v>
      </c>
    </row>
    <row r="80" spans="1:3" x14ac:dyDescent="0.25">
      <c r="A80" s="36">
        <v>41402</v>
      </c>
      <c r="B80" s="121">
        <v>0.72526620370370365</v>
      </c>
      <c r="C80" s="26" t="s">
        <v>1230</v>
      </c>
    </row>
    <row r="81" spans="1:3" x14ac:dyDescent="0.25">
      <c r="A81" s="36">
        <v>41402</v>
      </c>
      <c r="B81" s="121">
        <v>0.72585648148148152</v>
      </c>
      <c r="C81" s="26" t="s">
        <v>1231</v>
      </c>
    </row>
    <row r="82" spans="1:3" x14ac:dyDescent="0.25">
      <c r="A82" s="36">
        <v>41402</v>
      </c>
      <c r="B82" s="121">
        <v>0.72585648148148152</v>
      </c>
      <c r="C82" s="26" t="s">
        <v>1232</v>
      </c>
    </row>
    <row r="83" spans="1:3" x14ac:dyDescent="0.25">
      <c r="A83" s="36">
        <v>41402</v>
      </c>
      <c r="B83" s="121">
        <v>0.72585648148148152</v>
      </c>
      <c r="C83" s="26" t="s">
        <v>1233</v>
      </c>
    </row>
    <row r="84" spans="1:3" x14ac:dyDescent="0.25">
      <c r="A84" s="36">
        <v>41402</v>
      </c>
      <c r="B84" s="121">
        <v>0.72585648148148152</v>
      </c>
      <c r="C84" s="26" t="s">
        <v>1234</v>
      </c>
    </row>
    <row r="85" spans="1:3" x14ac:dyDescent="0.25">
      <c r="A85" s="36">
        <v>41402</v>
      </c>
      <c r="B85" s="121">
        <v>0.72585648148148152</v>
      </c>
      <c r="C85" s="26" t="s">
        <v>1235</v>
      </c>
    </row>
    <row r="86" spans="1:3" x14ac:dyDescent="0.25">
      <c r="A86" s="36">
        <v>41402</v>
      </c>
      <c r="B86" s="121">
        <v>0.72585648148148152</v>
      </c>
      <c r="C86" s="26" t="s">
        <v>1236</v>
      </c>
    </row>
    <row r="87" spans="1:3" x14ac:dyDescent="0.25">
      <c r="A87" s="36">
        <v>41402</v>
      </c>
      <c r="B87" s="121">
        <v>0.72585648148148152</v>
      </c>
      <c r="C87" s="26" t="s">
        <v>1237</v>
      </c>
    </row>
    <row r="88" spans="1:3" x14ac:dyDescent="0.25">
      <c r="A88" s="36">
        <v>41402</v>
      </c>
      <c r="B88" s="121">
        <v>0.72585648148148152</v>
      </c>
      <c r="C88" s="26" t="s">
        <v>1238</v>
      </c>
    </row>
    <row r="89" spans="1:3" x14ac:dyDescent="0.25">
      <c r="A89" s="36">
        <v>41402</v>
      </c>
      <c r="B89" s="121">
        <v>0.72585648148148152</v>
      </c>
      <c r="C89" s="26" t="s">
        <v>1239</v>
      </c>
    </row>
    <row r="90" spans="1:3" x14ac:dyDescent="0.25">
      <c r="A90" s="36">
        <v>41402</v>
      </c>
      <c r="B90" s="121">
        <v>0.72585648148148152</v>
      </c>
      <c r="C90" s="26" t="s">
        <v>1240</v>
      </c>
    </row>
    <row r="91" spans="1:3" x14ac:dyDescent="0.25">
      <c r="A91" s="36">
        <v>41402</v>
      </c>
      <c r="B91" s="121">
        <v>0.72585648148148152</v>
      </c>
      <c r="C91" s="26" t="s">
        <v>1241</v>
      </c>
    </row>
    <row r="92" spans="1:3" x14ac:dyDescent="0.25">
      <c r="A92" s="36">
        <v>41402</v>
      </c>
      <c r="B92" s="121">
        <v>0.72585648148148152</v>
      </c>
      <c r="C92" s="26" t="s">
        <v>1242</v>
      </c>
    </row>
    <row r="93" spans="1:3" x14ac:dyDescent="0.25">
      <c r="A93" s="36">
        <v>41402</v>
      </c>
      <c r="B93" s="121">
        <v>0.72585648148148152</v>
      </c>
      <c r="C93" s="26" t="s">
        <v>1243</v>
      </c>
    </row>
    <row r="94" spans="1:3" x14ac:dyDescent="0.25">
      <c r="A94" s="36">
        <v>41402</v>
      </c>
      <c r="B94" s="121">
        <v>0.72585648148148152</v>
      </c>
      <c r="C94" s="26" t="s">
        <v>1244</v>
      </c>
    </row>
    <row r="95" spans="1:3" x14ac:dyDescent="0.25">
      <c r="A95" s="36">
        <v>41402</v>
      </c>
      <c r="B95" s="121">
        <v>0.72586805555555556</v>
      </c>
      <c r="C95" s="26" t="s">
        <v>1245</v>
      </c>
    </row>
    <row r="96" spans="1:3" x14ac:dyDescent="0.25">
      <c r="A96" s="36">
        <v>41402</v>
      </c>
      <c r="B96" s="121">
        <v>0.72586805555555556</v>
      </c>
      <c r="C96" s="26" t="s">
        <v>1246</v>
      </c>
    </row>
    <row r="97" spans="1:3" x14ac:dyDescent="0.25">
      <c r="A97" s="36">
        <v>41402</v>
      </c>
      <c r="B97" s="121">
        <v>0.72586805555555556</v>
      </c>
      <c r="C97" s="26" t="s">
        <v>1247</v>
      </c>
    </row>
    <row r="98" spans="1:3" x14ac:dyDescent="0.25">
      <c r="A98" s="36">
        <v>41402</v>
      </c>
      <c r="B98" s="121">
        <v>0.72586805555555556</v>
      </c>
      <c r="C98" s="26" t="s">
        <v>1248</v>
      </c>
    </row>
    <row r="99" spans="1:3" x14ac:dyDescent="0.25">
      <c r="A99" s="36">
        <v>41402</v>
      </c>
      <c r="B99" s="121">
        <v>0.72586805555555556</v>
      </c>
      <c r="C99" s="26" t="s">
        <v>1235</v>
      </c>
    </row>
    <row r="100" spans="1:3" x14ac:dyDescent="0.25">
      <c r="A100" s="36">
        <v>41402</v>
      </c>
      <c r="B100" s="121">
        <v>0.72586805555555556</v>
      </c>
      <c r="C100" s="26" t="s">
        <v>1249</v>
      </c>
    </row>
    <row r="101" spans="1:3" x14ac:dyDescent="0.25">
      <c r="A101" s="36">
        <v>41402</v>
      </c>
      <c r="B101" s="121">
        <v>0.72586805555555556</v>
      </c>
      <c r="C101" s="26" t="s">
        <v>1250</v>
      </c>
    </row>
    <row r="102" spans="1:3" x14ac:dyDescent="0.25">
      <c r="A102" s="36">
        <v>41402</v>
      </c>
      <c r="B102" s="121">
        <v>0.72586805555555556</v>
      </c>
      <c r="C102" s="26" t="s">
        <v>1251</v>
      </c>
    </row>
    <row r="103" spans="1:3" x14ac:dyDescent="0.25">
      <c r="A103" s="36">
        <v>41402</v>
      </c>
      <c r="B103" s="121">
        <v>0.72586805555555556</v>
      </c>
      <c r="C103" s="26" t="s">
        <v>1252</v>
      </c>
    </row>
    <row r="104" spans="1:3" x14ac:dyDescent="0.25">
      <c r="A104" s="36">
        <v>41402</v>
      </c>
      <c r="B104" s="121">
        <v>0.72586805555555556</v>
      </c>
      <c r="C104" s="26" t="s">
        <v>1253</v>
      </c>
    </row>
    <row r="105" spans="1:3" x14ac:dyDescent="0.25">
      <c r="A105" s="36">
        <v>41402</v>
      </c>
      <c r="B105" s="121">
        <v>0.72586805555555556</v>
      </c>
      <c r="C105" s="26" t="s">
        <v>1254</v>
      </c>
    </row>
    <row r="106" spans="1:3" x14ac:dyDescent="0.25">
      <c r="A106" s="36">
        <v>41402</v>
      </c>
      <c r="B106" s="121">
        <v>0.72586805555555556</v>
      </c>
      <c r="C106" s="26" t="s">
        <v>1255</v>
      </c>
    </row>
    <row r="107" spans="1:3" x14ac:dyDescent="0.25">
      <c r="A107" s="36">
        <v>41402</v>
      </c>
      <c r="B107" s="121">
        <v>0.72586805555555556</v>
      </c>
      <c r="C107" s="26" t="s">
        <v>1256</v>
      </c>
    </row>
    <row r="108" spans="1:3" x14ac:dyDescent="0.25">
      <c r="A108" s="36">
        <v>41402</v>
      </c>
      <c r="B108" s="121">
        <v>0.72586805555555556</v>
      </c>
      <c r="C108" s="26" t="s">
        <v>1257</v>
      </c>
    </row>
    <row r="109" spans="1:3" x14ac:dyDescent="0.25">
      <c r="A109" s="36">
        <v>41402</v>
      </c>
      <c r="B109" s="121">
        <v>0.72586805555555556</v>
      </c>
      <c r="C109" s="26" t="s">
        <v>1258</v>
      </c>
    </row>
    <row r="110" spans="1:3" x14ac:dyDescent="0.25">
      <c r="A110" s="36">
        <v>41402</v>
      </c>
      <c r="B110" s="121">
        <v>0.72586805555555556</v>
      </c>
      <c r="C110" s="26" t="s">
        <v>1238</v>
      </c>
    </row>
    <row r="111" spans="1:3" x14ac:dyDescent="0.25">
      <c r="A111" s="36">
        <v>41402</v>
      </c>
      <c r="B111" s="121">
        <v>0.72586805555555556</v>
      </c>
      <c r="C111" s="26" t="s">
        <v>1259</v>
      </c>
    </row>
    <row r="112" spans="1:3" x14ac:dyDescent="0.25">
      <c r="A112" s="36">
        <v>41402</v>
      </c>
      <c r="B112" s="121">
        <v>0.72586805555555556</v>
      </c>
      <c r="C112" s="26" t="s">
        <v>1260</v>
      </c>
    </row>
    <row r="113" spans="1:3" x14ac:dyDescent="0.25">
      <c r="A113" s="36">
        <v>41402</v>
      </c>
      <c r="B113" s="121">
        <v>0.72586805555555556</v>
      </c>
      <c r="C113" s="26" t="s">
        <v>1261</v>
      </c>
    </row>
    <row r="114" spans="1:3" x14ac:dyDescent="0.25">
      <c r="A114" s="36">
        <v>41402</v>
      </c>
      <c r="B114" s="121">
        <v>0.72586805555555556</v>
      </c>
      <c r="C114" s="26" t="s">
        <v>1262</v>
      </c>
    </row>
    <row r="115" spans="1:3" x14ac:dyDescent="0.25">
      <c r="A115" s="36">
        <v>41402</v>
      </c>
      <c r="B115" s="121">
        <v>0.72586805555555556</v>
      </c>
      <c r="C115" s="26" t="s">
        <v>1262</v>
      </c>
    </row>
    <row r="116" spans="1:3" x14ac:dyDescent="0.25">
      <c r="A116" s="36">
        <v>41402</v>
      </c>
      <c r="B116" s="121">
        <v>0.72586805555555556</v>
      </c>
      <c r="C116" s="26" t="s">
        <v>1263</v>
      </c>
    </row>
    <row r="117" spans="1:3" x14ac:dyDescent="0.25">
      <c r="A117" s="36">
        <v>41402</v>
      </c>
      <c r="B117" s="121">
        <v>0.72586805555555556</v>
      </c>
      <c r="C117" s="26" t="s">
        <v>1262</v>
      </c>
    </row>
    <row r="118" spans="1:3" x14ac:dyDescent="0.25">
      <c r="A118" s="36">
        <v>41402</v>
      </c>
      <c r="B118" s="121">
        <v>0.72586805555555556</v>
      </c>
      <c r="C118" s="26" t="s">
        <v>1262</v>
      </c>
    </row>
    <row r="119" spans="1:3" x14ac:dyDescent="0.25">
      <c r="A119" s="36">
        <v>41402</v>
      </c>
      <c r="B119" s="121">
        <v>0.72586805555555556</v>
      </c>
      <c r="C119" s="26" t="s">
        <v>1238</v>
      </c>
    </row>
    <row r="120" spans="1:3" x14ac:dyDescent="0.25">
      <c r="A120" s="36">
        <v>41402</v>
      </c>
      <c r="B120" s="121">
        <v>0.72586805555555556</v>
      </c>
      <c r="C120" s="26" t="s">
        <v>1264</v>
      </c>
    </row>
    <row r="121" spans="1:3" x14ac:dyDescent="0.25">
      <c r="A121" s="36">
        <v>41402</v>
      </c>
      <c r="B121" s="121">
        <v>0.72586805555555556</v>
      </c>
      <c r="C121" s="26" t="s">
        <v>1256</v>
      </c>
    </row>
    <row r="122" spans="1:3" x14ac:dyDescent="0.25">
      <c r="A122" s="36">
        <v>41402</v>
      </c>
      <c r="B122" s="121">
        <v>0.72586805555555556</v>
      </c>
      <c r="C122" s="26" t="s">
        <v>1256</v>
      </c>
    </row>
    <row r="123" spans="1:3" x14ac:dyDescent="0.25">
      <c r="A123" s="36">
        <v>41402</v>
      </c>
      <c r="B123" s="121">
        <v>0.72586805555555556</v>
      </c>
      <c r="C123" s="26" t="s">
        <v>1265</v>
      </c>
    </row>
    <row r="124" spans="1:3" x14ac:dyDescent="0.25">
      <c r="A124" s="36">
        <v>41402</v>
      </c>
      <c r="B124" s="121">
        <v>0.7258796296296296</v>
      </c>
      <c r="C124" s="26" t="s">
        <v>1256</v>
      </c>
    </row>
    <row r="125" spans="1:3" x14ac:dyDescent="0.25">
      <c r="A125" s="36">
        <v>41402</v>
      </c>
      <c r="B125" s="121">
        <v>0.7258796296296296</v>
      </c>
      <c r="C125" s="26" t="s">
        <v>1254</v>
      </c>
    </row>
    <row r="126" spans="1:3" x14ac:dyDescent="0.25">
      <c r="A126" s="36">
        <v>41402</v>
      </c>
      <c r="B126" s="121">
        <v>0.7258796296296296</v>
      </c>
      <c r="C126" s="26" t="s">
        <v>1262</v>
      </c>
    </row>
    <row r="127" spans="1:3" x14ac:dyDescent="0.25">
      <c r="A127" s="36">
        <v>41402</v>
      </c>
      <c r="B127" s="121">
        <v>0.7258796296296296</v>
      </c>
      <c r="C127" s="26" t="s">
        <v>1266</v>
      </c>
    </row>
    <row r="128" spans="1:3" x14ac:dyDescent="0.25">
      <c r="A128" s="36">
        <v>41402</v>
      </c>
      <c r="B128" s="121">
        <v>0.7258796296296296</v>
      </c>
      <c r="C128" s="26" t="s">
        <v>1267</v>
      </c>
    </row>
    <row r="129" spans="1:3" x14ac:dyDescent="0.25">
      <c r="A129" s="36">
        <v>41402</v>
      </c>
      <c r="B129" s="121">
        <v>0.7258796296296296</v>
      </c>
      <c r="C129" s="26" t="s">
        <v>1268</v>
      </c>
    </row>
    <row r="130" spans="1:3" x14ac:dyDescent="0.25">
      <c r="A130" s="36">
        <v>41402</v>
      </c>
      <c r="B130" s="121">
        <v>0.7258796296296296</v>
      </c>
      <c r="C130" s="26" t="s">
        <v>1262</v>
      </c>
    </row>
    <row r="131" spans="1:3" x14ac:dyDescent="0.25">
      <c r="A131" s="36">
        <v>41402</v>
      </c>
      <c r="B131" s="121">
        <v>0.7258796296296296</v>
      </c>
      <c r="C131" s="26" t="s">
        <v>1269</v>
      </c>
    </row>
    <row r="132" spans="1:3" x14ac:dyDescent="0.25">
      <c r="A132" s="36">
        <v>41402</v>
      </c>
      <c r="B132" s="121">
        <v>0.7258796296296296</v>
      </c>
      <c r="C132" s="26" t="s">
        <v>1270</v>
      </c>
    </row>
    <row r="133" spans="1:3" x14ac:dyDescent="0.25">
      <c r="A133" s="36">
        <v>41402</v>
      </c>
      <c r="B133" s="121">
        <v>0.7258796296296296</v>
      </c>
      <c r="C133" s="26" t="s">
        <v>1271</v>
      </c>
    </row>
    <row r="134" spans="1:3" x14ac:dyDescent="0.25">
      <c r="A134" s="36">
        <v>41402</v>
      </c>
      <c r="B134" s="121">
        <v>0.7258796296296296</v>
      </c>
      <c r="C134" s="26" t="s">
        <v>1272</v>
      </c>
    </row>
    <row r="135" spans="1:3" x14ac:dyDescent="0.25">
      <c r="A135" s="36">
        <v>41402</v>
      </c>
      <c r="B135" s="121">
        <v>0.7258796296296296</v>
      </c>
      <c r="C135" s="26" t="s">
        <v>1273</v>
      </c>
    </row>
    <row r="136" spans="1:3" x14ac:dyDescent="0.25">
      <c r="A136" s="36">
        <v>41402</v>
      </c>
      <c r="B136" s="121">
        <v>0.7258796296296296</v>
      </c>
      <c r="C136" s="26" t="s">
        <v>1274</v>
      </c>
    </row>
    <row r="137" spans="1:3" x14ac:dyDescent="0.25">
      <c r="A137" s="36">
        <v>41402</v>
      </c>
      <c r="B137" s="121">
        <v>0.7258796296296296</v>
      </c>
      <c r="C137" s="26" t="s">
        <v>1275</v>
      </c>
    </row>
    <row r="138" spans="1:3" x14ac:dyDescent="0.25">
      <c r="A138" s="36">
        <v>41402</v>
      </c>
      <c r="B138" s="121">
        <v>0.7258796296296296</v>
      </c>
      <c r="C138" s="26" t="s">
        <v>1276</v>
      </c>
    </row>
    <row r="139" spans="1:3" x14ac:dyDescent="0.25">
      <c r="A139" s="36">
        <v>41402</v>
      </c>
      <c r="B139" s="121">
        <v>0.7258796296296296</v>
      </c>
      <c r="C139" s="26" t="s">
        <v>1277</v>
      </c>
    </row>
    <row r="140" spans="1:3" x14ac:dyDescent="0.25">
      <c r="A140" s="36">
        <v>41402</v>
      </c>
      <c r="B140" s="121">
        <v>0.7258796296296296</v>
      </c>
      <c r="C140" s="26" t="s">
        <v>1278</v>
      </c>
    </row>
    <row r="141" spans="1:3" x14ac:dyDescent="0.25">
      <c r="A141" s="36">
        <v>41402</v>
      </c>
      <c r="B141" s="121">
        <v>0.7258796296296296</v>
      </c>
      <c r="C141" s="26" t="s">
        <v>1279</v>
      </c>
    </row>
    <row r="142" spans="1:3" x14ac:dyDescent="0.25">
      <c r="A142" s="36">
        <v>41402</v>
      </c>
      <c r="B142" s="121">
        <v>0.7258796296296296</v>
      </c>
      <c r="C142" s="26" t="s">
        <v>1262</v>
      </c>
    </row>
    <row r="143" spans="1:3" x14ac:dyDescent="0.25">
      <c r="A143" s="36">
        <v>41402</v>
      </c>
      <c r="B143" s="121">
        <v>0.7258796296296296</v>
      </c>
      <c r="C143" s="26" t="s">
        <v>1279</v>
      </c>
    </row>
    <row r="144" spans="1:3" x14ac:dyDescent="0.25">
      <c r="A144" s="36">
        <v>41402</v>
      </c>
      <c r="B144" s="121">
        <v>0.7258796296296296</v>
      </c>
      <c r="C144" s="26" t="s">
        <v>1280</v>
      </c>
    </row>
    <row r="145" spans="1:3" x14ac:dyDescent="0.25">
      <c r="A145" s="36">
        <v>41402</v>
      </c>
      <c r="B145" s="121">
        <v>0.7258796296296296</v>
      </c>
      <c r="C145" s="26" t="s">
        <v>1279</v>
      </c>
    </row>
    <row r="146" spans="1:3" x14ac:dyDescent="0.25">
      <c r="A146" s="36">
        <v>41402</v>
      </c>
      <c r="B146" s="121">
        <v>0.7258796296296296</v>
      </c>
      <c r="C146" s="26" t="s">
        <v>1279</v>
      </c>
    </row>
    <row r="147" spans="1:3" x14ac:dyDescent="0.25">
      <c r="A147" s="36">
        <v>41402</v>
      </c>
      <c r="B147" s="121">
        <v>0.7258796296296296</v>
      </c>
      <c r="C147" s="26" t="s">
        <v>1281</v>
      </c>
    </row>
    <row r="148" spans="1:3" x14ac:dyDescent="0.25">
      <c r="A148" s="36">
        <v>41402</v>
      </c>
      <c r="B148" s="121">
        <v>0.7258796296296296</v>
      </c>
      <c r="C148" s="26" t="s">
        <v>1282</v>
      </c>
    </row>
    <row r="149" spans="1:3" x14ac:dyDescent="0.25">
      <c r="A149" s="36">
        <v>41402</v>
      </c>
      <c r="B149" s="121">
        <v>0.7258796296296296</v>
      </c>
      <c r="C149" s="26" t="s">
        <v>1283</v>
      </c>
    </row>
    <row r="150" spans="1:3" x14ac:dyDescent="0.25">
      <c r="A150" s="36">
        <v>41402</v>
      </c>
      <c r="B150" s="121">
        <v>0.7258796296296296</v>
      </c>
      <c r="C150" s="26" t="s">
        <v>1284</v>
      </c>
    </row>
    <row r="151" spans="1:3" x14ac:dyDescent="0.25">
      <c r="A151" s="36">
        <v>41402</v>
      </c>
      <c r="B151" s="121">
        <v>0.7258796296296296</v>
      </c>
      <c r="C151" s="26" t="s">
        <v>1285</v>
      </c>
    </row>
    <row r="152" spans="1:3" x14ac:dyDescent="0.25">
      <c r="A152" s="36">
        <v>41402</v>
      </c>
      <c r="B152" s="121">
        <v>0.7258796296296296</v>
      </c>
      <c r="C152" s="26" t="s">
        <v>1286</v>
      </c>
    </row>
    <row r="153" spans="1:3" x14ac:dyDescent="0.25">
      <c r="A153" s="36">
        <v>41402</v>
      </c>
      <c r="B153" s="121">
        <v>0.7258796296296296</v>
      </c>
      <c r="C153" s="26" t="s">
        <v>1286</v>
      </c>
    </row>
    <row r="154" spans="1:3" x14ac:dyDescent="0.25">
      <c r="A154" s="36">
        <v>41402</v>
      </c>
      <c r="B154" s="121">
        <v>0.7258796296296296</v>
      </c>
      <c r="C154" s="26" t="s">
        <v>1287</v>
      </c>
    </row>
    <row r="155" spans="1:3" x14ac:dyDescent="0.25">
      <c r="A155" s="36">
        <v>41402</v>
      </c>
      <c r="B155" s="121">
        <v>0.7258796296296296</v>
      </c>
      <c r="C155" s="26" t="s">
        <v>1288</v>
      </c>
    </row>
    <row r="156" spans="1:3" x14ac:dyDescent="0.25">
      <c r="A156" s="36">
        <v>41402</v>
      </c>
      <c r="B156" s="121">
        <v>0.7258796296296296</v>
      </c>
      <c r="C156" s="26" t="s">
        <v>1289</v>
      </c>
    </row>
    <row r="157" spans="1:3" x14ac:dyDescent="0.25">
      <c r="A157" s="36">
        <v>41402</v>
      </c>
      <c r="B157" s="121">
        <v>0.7258796296296296</v>
      </c>
      <c r="C157" s="26" t="s">
        <v>1290</v>
      </c>
    </row>
    <row r="158" spans="1:3" x14ac:dyDescent="0.25">
      <c r="A158" s="36">
        <v>41402</v>
      </c>
      <c r="B158" s="121">
        <v>0.7258796296296296</v>
      </c>
      <c r="C158" s="26" t="s">
        <v>1291</v>
      </c>
    </row>
    <row r="159" spans="1:3" x14ac:dyDescent="0.25">
      <c r="A159" s="36">
        <v>41402</v>
      </c>
      <c r="B159" s="121">
        <v>0.7258796296296296</v>
      </c>
      <c r="C159" s="26" t="s">
        <v>1265</v>
      </c>
    </row>
    <row r="160" spans="1:3" x14ac:dyDescent="0.25">
      <c r="A160" s="36">
        <v>41402</v>
      </c>
      <c r="B160" s="121">
        <v>0.7258796296296296</v>
      </c>
      <c r="C160" s="26" t="s">
        <v>1292</v>
      </c>
    </row>
    <row r="161" spans="1:3" x14ac:dyDescent="0.25">
      <c r="A161" s="36">
        <v>41402</v>
      </c>
      <c r="B161" s="121">
        <v>0.7258796296296296</v>
      </c>
      <c r="C161" s="26" t="s">
        <v>1293</v>
      </c>
    </row>
    <row r="162" spans="1:3" x14ac:dyDescent="0.25">
      <c r="A162" s="36">
        <v>41402</v>
      </c>
      <c r="B162" s="121">
        <v>0.7258796296296296</v>
      </c>
      <c r="C162" s="26" t="s">
        <v>1294</v>
      </c>
    </row>
    <row r="163" spans="1:3" x14ac:dyDescent="0.25">
      <c r="A163" s="36">
        <v>41402</v>
      </c>
      <c r="B163" s="121">
        <v>0.7258796296296296</v>
      </c>
      <c r="C163" s="26" t="s">
        <v>1295</v>
      </c>
    </row>
    <row r="164" spans="1:3" x14ac:dyDescent="0.25">
      <c r="A164" s="36">
        <v>41402</v>
      </c>
      <c r="B164" s="121">
        <v>0.7258796296296296</v>
      </c>
      <c r="C164" s="26" t="s">
        <v>1296</v>
      </c>
    </row>
    <row r="165" spans="1:3" x14ac:dyDescent="0.25">
      <c r="A165" s="36">
        <v>41402</v>
      </c>
      <c r="B165" s="121">
        <v>0.7258796296296296</v>
      </c>
      <c r="C165" s="26" t="s">
        <v>1297</v>
      </c>
    </row>
    <row r="166" spans="1:3" x14ac:dyDescent="0.25">
      <c r="A166" s="36">
        <v>41402</v>
      </c>
      <c r="B166" s="121">
        <v>0.7258796296296296</v>
      </c>
      <c r="C166" s="26" t="s">
        <v>1298</v>
      </c>
    </row>
    <row r="167" spans="1:3" x14ac:dyDescent="0.25">
      <c r="A167" s="36">
        <v>41402</v>
      </c>
      <c r="B167" s="121">
        <v>0.7258796296296296</v>
      </c>
      <c r="C167" s="26" t="s">
        <v>1299</v>
      </c>
    </row>
    <row r="168" spans="1:3" x14ac:dyDescent="0.25">
      <c r="A168" s="36">
        <v>41402</v>
      </c>
      <c r="B168" s="121">
        <v>0.7258796296296296</v>
      </c>
      <c r="C168" s="26" t="s">
        <v>1300</v>
      </c>
    </row>
    <row r="169" spans="1:3" x14ac:dyDescent="0.25">
      <c r="A169" s="36">
        <v>41402</v>
      </c>
      <c r="B169" s="121">
        <v>0.7258796296296296</v>
      </c>
      <c r="C169" s="26" t="s">
        <v>1301</v>
      </c>
    </row>
    <row r="170" spans="1:3" x14ac:dyDescent="0.25">
      <c r="A170" s="36">
        <v>41402</v>
      </c>
      <c r="B170" s="121">
        <v>0.7258796296296296</v>
      </c>
      <c r="C170" s="26" t="s">
        <v>1302</v>
      </c>
    </row>
    <row r="171" spans="1:3" x14ac:dyDescent="0.25">
      <c r="A171" s="36">
        <v>41402</v>
      </c>
      <c r="B171" s="121">
        <v>0.7258796296296296</v>
      </c>
      <c r="C171" s="26" t="s">
        <v>1269</v>
      </c>
    </row>
    <row r="172" spans="1:3" x14ac:dyDescent="0.25">
      <c r="A172" s="36">
        <v>41402</v>
      </c>
      <c r="B172" s="121">
        <v>0.7258796296296296</v>
      </c>
      <c r="C172" s="26" t="s">
        <v>1303</v>
      </c>
    </row>
    <row r="173" spans="1:3" x14ac:dyDescent="0.25">
      <c r="A173" s="36">
        <v>41402</v>
      </c>
      <c r="B173" s="121">
        <v>0.7258796296296296</v>
      </c>
      <c r="C173" s="26" t="s">
        <v>1304</v>
      </c>
    </row>
    <row r="174" spans="1:3" x14ac:dyDescent="0.25">
      <c r="A174" s="36">
        <v>41402</v>
      </c>
      <c r="B174" s="121">
        <v>0.7258796296296296</v>
      </c>
      <c r="C174" s="26" t="s">
        <v>1305</v>
      </c>
    </row>
    <row r="175" spans="1:3" x14ac:dyDescent="0.25">
      <c r="A175" s="36">
        <v>41402</v>
      </c>
      <c r="B175" s="121">
        <v>0.7258796296296296</v>
      </c>
      <c r="C175" s="26" t="s">
        <v>1306</v>
      </c>
    </row>
    <row r="176" spans="1:3" x14ac:dyDescent="0.25">
      <c r="A176" s="36">
        <v>41402</v>
      </c>
      <c r="B176" s="121">
        <v>0.7258796296296296</v>
      </c>
      <c r="C176" s="26" t="s">
        <v>1254</v>
      </c>
    </row>
    <row r="177" spans="1:3" x14ac:dyDescent="0.25">
      <c r="A177" s="36">
        <v>41402</v>
      </c>
      <c r="B177" s="121">
        <v>0.7258796296296296</v>
      </c>
      <c r="C177" s="26" t="s">
        <v>1307</v>
      </c>
    </row>
    <row r="178" spans="1:3" x14ac:dyDescent="0.25">
      <c r="A178" s="36">
        <v>41402</v>
      </c>
      <c r="B178" s="121">
        <v>0.7258796296296296</v>
      </c>
      <c r="C178" s="26" t="s">
        <v>1308</v>
      </c>
    </row>
    <row r="179" spans="1:3" x14ac:dyDescent="0.25">
      <c r="A179" s="36">
        <v>41402</v>
      </c>
      <c r="B179" s="121">
        <v>0.7258796296296296</v>
      </c>
      <c r="C179" s="26" t="s">
        <v>1292</v>
      </c>
    </row>
    <row r="180" spans="1:3" x14ac:dyDescent="0.25">
      <c r="A180" s="36">
        <v>41402</v>
      </c>
      <c r="B180" s="121">
        <v>0.7258796296296296</v>
      </c>
      <c r="C180" s="26" t="s">
        <v>1309</v>
      </c>
    </row>
    <row r="181" spans="1:3" x14ac:dyDescent="0.25">
      <c r="A181" s="36">
        <v>41402</v>
      </c>
      <c r="B181" s="121">
        <v>0.7258796296296296</v>
      </c>
      <c r="C181" s="26" t="s">
        <v>1310</v>
      </c>
    </row>
    <row r="182" spans="1:3" x14ac:dyDescent="0.25">
      <c r="A182" s="36">
        <v>41402</v>
      </c>
      <c r="B182" s="121">
        <v>0.7258796296296296</v>
      </c>
      <c r="C182" s="26" t="s">
        <v>1310</v>
      </c>
    </row>
    <row r="183" spans="1:3" x14ac:dyDescent="0.25">
      <c r="A183" s="36">
        <v>41402</v>
      </c>
      <c r="B183" s="121">
        <v>0.7258796296296296</v>
      </c>
      <c r="C183" s="26" t="s">
        <v>1311</v>
      </c>
    </row>
    <row r="184" spans="1:3" x14ac:dyDescent="0.25">
      <c r="A184" s="36">
        <v>41402</v>
      </c>
      <c r="B184" s="121">
        <v>0.7258796296296296</v>
      </c>
      <c r="C184" s="26" t="s">
        <v>1305</v>
      </c>
    </row>
    <row r="185" spans="1:3" x14ac:dyDescent="0.25">
      <c r="A185" s="36">
        <v>41402</v>
      </c>
      <c r="B185" s="121">
        <v>0.7258796296296296</v>
      </c>
      <c r="C185" s="26" t="s">
        <v>1312</v>
      </c>
    </row>
    <row r="186" spans="1:3" x14ac:dyDescent="0.25">
      <c r="A186" s="36">
        <v>41402</v>
      </c>
      <c r="B186" s="121">
        <v>0.7258796296296296</v>
      </c>
      <c r="C186" s="26" t="s">
        <v>1313</v>
      </c>
    </row>
    <row r="187" spans="1:3" x14ac:dyDescent="0.25">
      <c r="A187" s="36">
        <v>41402</v>
      </c>
      <c r="B187" s="121">
        <v>0.7258796296296296</v>
      </c>
      <c r="C187" s="26" t="s">
        <v>1314</v>
      </c>
    </row>
    <row r="188" spans="1:3" x14ac:dyDescent="0.25">
      <c r="A188" s="36">
        <v>41402</v>
      </c>
      <c r="B188" s="121">
        <v>0.7258796296296296</v>
      </c>
      <c r="C188" s="26" t="s">
        <v>1275</v>
      </c>
    </row>
    <row r="189" spans="1:3" x14ac:dyDescent="0.25">
      <c r="A189" s="36">
        <v>41402</v>
      </c>
      <c r="B189" s="121">
        <v>0.7258796296296296</v>
      </c>
      <c r="C189" s="26" t="s">
        <v>1315</v>
      </c>
    </row>
    <row r="190" spans="1:3" x14ac:dyDescent="0.25">
      <c r="A190" s="36">
        <v>41402</v>
      </c>
      <c r="B190" s="121">
        <v>0.7258796296296296</v>
      </c>
      <c r="C190" s="26" t="s">
        <v>1316</v>
      </c>
    </row>
    <row r="191" spans="1:3" x14ac:dyDescent="0.25">
      <c r="A191" s="36">
        <v>41402</v>
      </c>
      <c r="B191" s="121">
        <v>0.7258796296296296</v>
      </c>
      <c r="C191" s="26" t="s">
        <v>1317</v>
      </c>
    </row>
    <row r="192" spans="1:3" x14ac:dyDescent="0.25">
      <c r="A192" s="36">
        <v>41402</v>
      </c>
      <c r="B192" s="121">
        <v>0.7258796296296296</v>
      </c>
      <c r="C192" s="26" t="s">
        <v>1312</v>
      </c>
    </row>
    <row r="193" spans="1:3" x14ac:dyDescent="0.25">
      <c r="A193" s="36">
        <v>41402</v>
      </c>
      <c r="B193" s="121">
        <v>0.7258796296296296</v>
      </c>
      <c r="C193" s="26" t="s">
        <v>1318</v>
      </c>
    </row>
    <row r="194" spans="1:3" x14ac:dyDescent="0.25">
      <c r="A194" s="36">
        <v>41402</v>
      </c>
      <c r="B194" s="121">
        <v>0.7258796296296296</v>
      </c>
      <c r="C194" s="26" t="s">
        <v>1319</v>
      </c>
    </row>
    <row r="195" spans="1:3" x14ac:dyDescent="0.25">
      <c r="A195" s="36">
        <v>41402</v>
      </c>
      <c r="B195" s="121">
        <v>0.7258796296296296</v>
      </c>
      <c r="C195" s="26" t="s">
        <v>1256</v>
      </c>
    </row>
    <row r="196" spans="1:3" x14ac:dyDescent="0.25">
      <c r="A196" s="36">
        <v>41402</v>
      </c>
      <c r="B196" s="121">
        <v>0.7258796296296296</v>
      </c>
      <c r="C196" s="26" t="s">
        <v>1256</v>
      </c>
    </row>
    <row r="197" spans="1:3" x14ac:dyDescent="0.25">
      <c r="A197" s="36">
        <v>41402</v>
      </c>
      <c r="B197" s="121">
        <v>0.7258796296296296</v>
      </c>
      <c r="C197" s="26" t="s">
        <v>1256</v>
      </c>
    </row>
    <row r="198" spans="1:3" x14ac:dyDescent="0.25">
      <c r="A198" s="36">
        <v>41402</v>
      </c>
      <c r="B198" s="121">
        <v>0.7258796296296296</v>
      </c>
      <c r="C198" s="26" t="s">
        <v>1320</v>
      </c>
    </row>
    <row r="199" spans="1:3" x14ac:dyDescent="0.25">
      <c r="A199" s="36">
        <v>41402</v>
      </c>
      <c r="B199" s="121">
        <v>0.7258796296296296</v>
      </c>
      <c r="C199" s="26" t="s">
        <v>1321</v>
      </c>
    </row>
    <row r="200" spans="1:3" x14ac:dyDescent="0.25">
      <c r="A200" s="36">
        <v>41402</v>
      </c>
      <c r="B200" s="121">
        <v>0.7258796296296296</v>
      </c>
      <c r="C200" s="26" t="s">
        <v>1267</v>
      </c>
    </row>
    <row r="201" spans="1:3" x14ac:dyDescent="0.25">
      <c r="A201" s="36">
        <v>41402</v>
      </c>
      <c r="B201" s="121">
        <v>0.7258796296296296</v>
      </c>
      <c r="C201" s="26" t="s">
        <v>1322</v>
      </c>
    </row>
    <row r="202" spans="1:3" x14ac:dyDescent="0.25">
      <c r="A202" s="36">
        <v>41402</v>
      </c>
      <c r="B202" s="121">
        <v>0.7258796296296296</v>
      </c>
      <c r="C202" s="26" t="s">
        <v>1323</v>
      </c>
    </row>
    <row r="203" spans="1:3" x14ac:dyDescent="0.25">
      <c r="A203" s="36">
        <v>41402</v>
      </c>
      <c r="B203" s="121">
        <v>0.7258796296296296</v>
      </c>
      <c r="C203" s="26" t="s">
        <v>1324</v>
      </c>
    </row>
    <row r="204" spans="1:3" x14ac:dyDescent="0.25">
      <c r="A204" s="36">
        <v>41402</v>
      </c>
      <c r="B204" s="121">
        <v>0.7258796296296296</v>
      </c>
      <c r="C204" s="26" t="s">
        <v>1325</v>
      </c>
    </row>
    <row r="205" spans="1:3" x14ac:dyDescent="0.25">
      <c r="A205" s="36">
        <v>41402</v>
      </c>
      <c r="B205" s="121">
        <v>0.7258796296296296</v>
      </c>
      <c r="C205" s="26" t="s">
        <v>1269</v>
      </c>
    </row>
    <row r="206" spans="1:3" x14ac:dyDescent="0.25">
      <c r="A206" s="36">
        <v>41402</v>
      </c>
      <c r="B206" s="121">
        <v>0.7258796296296296</v>
      </c>
      <c r="C206" s="26" t="s">
        <v>1326</v>
      </c>
    </row>
    <row r="207" spans="1:3" x14ac:dyDescent="0.25">
      <c r="A207" s="36">
        <v>41402</v>
      </c>
      <c r="B207" s="121">
        <v>0.7258796296296296</v>
      </c>
      <c r="C207" s="26" t="s">
        <v>1327</v>
      </c>
    </row>
    <row r="208" spans="1:3" x14ac:dyDescent="0.25">
      <c r="A208" s="36">
        <v>41402</v>
      </c>
      <c r="B208" s="121">
        <v>0.7258796296296296</v>
      </c>
      <c r="C208" s="26" t="s">
        <v>1328</v>
      </c>
    </row>
    <row r="209" spans="1:3" x14ac:dyDescent="0.25">
      <c r="A209" s="36">
        <v>41402</v>
      </c>
      <c r="B209" s="121">
        <v>0.7258796296296296</v>
      </c>
      <c r="C209" s="26" t="s">
        <v>1329</v>
      </c>
    </row>
    <row r="210" spans="1:3" x14ac:dyDescent="0.25">
      <c r="A210" s="36">
        <v>41402</v>
      </c>
      <c r="B210" s="121">
        <v>0.7258796296296296</v>
      </c>
      <c r="C210" s="26" t="s">
        <v>1330</v>
      </c>
    </row>
    <row r="211" spans="1:3" x14ac:dyDescent="0.25">
      <c r="A211" s="36">
        <v>41402</v>
      </c>
      <c r="B211" s="121">
        <v>0.7258796296296296</v>
      </c>
      <c r="C211" s="26" t="s">
        <v>1331</v>
      </c>
    </row>
    <row r="212" spans="1:3" x14ac:dyDescent="0.25">
      <c r="A212" s="36">
        <v>41402</v>
      </c>
      <c r="B212" s="121">
        <v>0.7258796296296296</v>
      </c>
      <c r="C212" s="26" t="s">
        <v>1331</v>
      </c>
    </row>
    <row r="213" spans="1:3" x14ac:dyDescent="0.25">
      <c r="A213" s="36">
        <v>41402</v>
      </c>
      <c r="B213" s="121">
        <v>0.7258796296296296</v>
      </c>
      <c r="C213" s="26" t="s">
        <v>1332</v>
      </c>
    </row>
    <row r="214" spans="1:3" x14ac:dyDescent="0.25">
      <c r="A214" s="36">
        <v>41402</v>
      </c>
      <c r="B214" s="121">
        <v>0.7258796296296296</v>
      </c>
      <c r="C214" s="26" t="s">
        <v>1264</v>
      </c>
    </row>
    <row r="215" spans="1:3" x14ac:dyDescent="0.25">
      <c r="A215" s="36">
        <v>41402</v>
      </c>
      <c r="B215" s="121">
        <v>0.7258796296296296</v>
      </c>
      <c r="C215" s="26" t="s">
        <v>1333</v>
      </c>
    </row>
    <row r="216" spans="1:3" x14ac:dyDescent="0.25">
      <c r="A216" s="36">
        <v>41402</v>
      </c>
      <c r="B216" s="121">
        <v>0.7258796296296296</v>
      </c>
      <c r="C216" s="26" t="s">
        <v>1334</v>
      </c>
    </row>
    <row r="217" spans="1:3" x14ac:dyDescent="0.25">
      <c r="A217" s="36">
        <v>41402</v>
      </c>
      <c r="B217" s="121">
        <v>0.7258796296296296</v>
      </c>
      <c r="C217" s="26" t="s">
        <v>1334</v>
      </c>
    </row>
    <row r="218" spans="1:3" x14ac:dyDescent="0.25">
      <c r="A218" s="36">
        <v>41402</v>
      </c>
      <c r="B218" s="121">
        <v>0.7258796296296296</v>
      </c>
      <c r="C218" s="26" t="s">
        <v>1335</v>
      </c>
    </row>
    <row r="219" spans="1:3" x14ac:dyDescent="0.25">
      <c r="A219" s="36">
        <v>41402</v>
      </c>
      <c r="B219" s="121">
        <v>0.7258796296296296</v>
      </c>
      <c r="C219" s="26" t="s">
        <v>1336</v>
      </c>
    </row>
    <row r="220" spans="1:3" x14ac:dyDescent="0.25">
      <c r="A220" s="36">
        <v>41402</v>
      </c>
      <c r="B220" s="121">
        <v>0.7258796296296296</v>
      </c>
      <c r="C220" s="26" t="s">
        <v>1337</v>
      </c>
    </row>
    <row r="221" spans="1:3" x14ac:dyDescent="0.25">
      <c r="A221" s="36">
        <v>41402</v>
      </c>
      <c r="B221" s="121">
        <v>0.7258796296296296</v>
      </c>
      <c r="C221" s="26" t="s">
        <v>1338</v>
      </c>
    </row>
    <row r="222" spans="1:3" x14ac:dyDescent="0.25">
      <c r="A222" s="36">
        <v>41402</v>
      </c>
      <c r="B222" s="121">
        <v>0.7258796296296296</v>
      </c>
      <c r="C222" s="26" t="s">
        <v>1339</v>
      </c>
    </row>
    <row r="223" spans="1:3" x14ac:dyDescent="0.25">
      <c r="A223" s="36">
        <v>41402</v>
      </c>
      <c r="B223" s="121">
        <v>0.7258796296296296</v>
      </c>
      <c r="C223" s="26" t="s">
        <v>1340</v>
      </c>
    </row>
    <row r="224" spans="1:3" x14ac:dyDescent="0.25">
      <c r="A224" s="36">
        <v>41402</v>
      </c>
      <c r="B224" s="121">
        <v>0.7258796296296296</v>
      </c>
      <c r="C224" s="26" t="s">
        <v>1339</v>
      </c>
    </row>
    <row r="225" spans="1:3" x14ac:dyDescent="0.25">
      <c r="A225" s="36">
        <v>41402</v>
      </c>
      <c r="B225" s="121">
        <v>0.7258796296296296</v>
      </c>
      <c r="C225" s="26" t="s">
        <v>1341</v>
      </c>
    </row>
    <row r="226" spans="1:3" x14ac:dyDescent="0.25">
      <c r="A226" s="36">
        <v>41402</v>
      </c>
      <c r="B226" s="121">
        <v>0.7258796296296296</v>
      </c>
      <c r="C226" s="26" t="s">
        <v>1342</v>
      </c>
    </row>
    <row r="227" spans="1:3" x14ac:dyDescent="0.25">
      <c r="A227" s="36">
        <v>41402</v>
      </c>
      <c r="B227" s="121">
        <v>0.7258796296296296</v>
      </c>
      <c r="C227" s="26" t="s">
        <v>1342</v>
      </c>
    </row>
    <row r="228" spans="1:3" x14ac:dyDescent="0.25">
      <c r="A228" s="36">
        <v>41402</v>
      </c>
      <c r="B228" s="121">
        <v>0.7258796296296296</v>
      </c>
      <c r="C228" s="26" t="s">
        <v>1267</v>
      </c>
    </row>
    <row r="229" spans="1:3" x14ac:dyDescent="0.25">
      <c r="A229" s="36">
        <v>41402</v>
      </c>
      <c r="B229" s="121">
        <v>0.7258796296296296</v>
      </c>
      <c r="C229" s="26" t="s">
        <v>1340</v>
      </c>
    </row>
    <row r="230" spans="1:3" x14ac:dyDescent="0.25">
      <c r="A230" s="36">
        <v>41402</v>
      </c>
      <c r="B230" s="121">
        <v>0.7258796296296296</v>
      </c>
      <c r="C230" s="26" t="s">
        <v>1254</v>
      </c>
    </row>
    <row r="231" spans="1:3" x14ac:dyDescent="0.25">
      <c r="A231" s="36">
        <v>41402</v>
      </c>
      <c r="B231" s="121">
        <v>0.7258796296296296</v>
      </c>
      <c r="C231" s="26" t="s">
        <v>1343</v>
      </c>
    </row>
    <row r="232" spans="1:3" x14ac:dyDescent="0.25">
      <c r="A232" s="36">
        <v>41402</v>
      </c>
      <c r="B232" s="121">
        <v>0.7258796296296296</v>
      </c>
      <c r="C232" s="26" t="s">
        <v>1344</v>
      </c>
    </row>
    <row r="233" spans="1:3" x14ac:dyDescent="0.25">
      <c r="A233" s="36">
        <v>41402</v>
      </c>
      <c r="B233" s="121">
        <v>0.7258796296296296</v>
      </c>
      <c r="C233" s="26" t="s">
        <v>1345</v>
      </c>
    </row>
    <row r="234" spans="1:3" x14ac:dyDescent="0.25">
      <c r="A234" s="36">
        <v>41402</v>
      </c>
      <c r="B234" s="121">
        <v>0.7258796296296296</v>
      </c>
      <c r="C234" s="26" t="s">
        <v>1346</v>
      </c>
    </row>
    <row r="235" spans="1:3" x14ac:dyDescent="0.25">
      <c r="A235" s="36">
        <v>41402</v>
      </c>
      <c r="B235" s="121">
        <v>0.7258796296296296</v>
      </c>
      <c r="C235" s="26" t="s">
        <v>1347</v>
      </c>
    </row>
    <row r="236" spans="1:3" x14ac:dyDescent="0.25">
      <c r="A236" s="36">
        <v>41402</v>
      </c>
      <c r="B236" s="121">
        <v>0.7258796296296296</v>
      </c>
      <c r="C236" s="26" t="s">
        <v>1334</v>
      </c>
    </row>
    <row r="237" spans="1:3" x14ac:dyDescent="0.25">
      <c r="A237" s="36">
        <v>41402</v>
      </c>
      <c r="B237" s="121">
        <v>0.7258796296296296</v>
      </c>
      <c r="C237" s="26" t="s">
        <v>1348</v>
      </c>
    </row>
    <row r="238" spans="1:3" x14ac:dyDescent="0.25">
      <c r="A238" s="36">
        <v>41402</v>
      </c>
      <c r="B238" s="121">
        <v>0.7258796296296296</v>
      </c>
      <c r="C238" s="26" t="s">
        <v>1317</v>
      </c>
    </row>
    <row r="239" spans="1:3" x14ac:dyDescent="0.25">
      <c r="A239" s="36">
        <v>41402</v>
      </c>
      <c r="B239" s="121">
        <v>0.7258796296296296</v>
      </c>
      <c r="C239" s="26" t="s">
        <v>1349</v>
      </c>
    </row>
    <row r="240" spans="1:3" x14ac:dyDescent="0.25">
      <c r="A240" s="36">
        <v>41402</v>
      </c>
      <c r="B240" s="121">
        <v>0.7258796296296296</v>
      </c>
      <c r="C240" s="26" t="s">
        <v>1350</v>
      </c>
    </row>
    <row r="241" spans="1:3" x14ac:dyDescent="0.25">
      <c r="A241" s="36">
        <v>41402</v>
      </c>
      <c r="B241" s="121">
        <v>0.7258796296296296</v>
      </c>
      <c r="C241" s="26" t="s">
        <v>1316</v>
      </c>
    </row>
    <row r="242" spans="1:3" x14ac:dyDescent="0.25">
      <c r="A242" s="36">
        <v>41402</v>
      </c>
      <c r="B242" s="121">
        <v>0.7258796296296296</v>
      </c>
      <c r="C242" s="26" t="s">
        <v>1351</v>
      </c>
    </row>
    <row r="243" spans="1:3" x14ac:dyDescent="0.25">
      <c r="A243" s="36">
        <v>41402</v>
      </c>
      <c r="B243" s="121">
        <v>0.7258796296296296</v>
      </c>
      <c r="C243" s="26" t="s">
        <v>1352</v>
      </c>
    </row>
    <row r="244" spans="1:3" x14ac:dyDescent="0.25">
      <c r="A244" s="36">
        <v>41402</v>
      </c>
      <c r="B244" s="121">
        <v>0.7258796296296296</v>
      </c>
      <c r="C244" s="26" t="s">
        <v>1339</v>
      </c>
    </row>
    <row r="245" spans="1:3" x14ac:dyDescent="0.25">
      <c r="A245" s="36">
        <v>41402</v>
      </c>
      <c r="B245" s="121">
        <v>0.7258796296296296</v>
      </c>
      <c r="C245" s="26" t="s">
        <v>1353</v>
      </c>
    </row>
    <row r="246" spans="1:3" x14ac:dyDescent="0.25">
      <c r="A246" s="36">
        <v>41402</v>
      </c>
      <c r="B246" s="121">
        <v>0.7258796296296296</v>
      </c>
      <c r="C246" s="26" t="s">
        <v>1354</v>
      </c>
    </row>
    <row r="247" spans="1:3" x14ac:dyDescent="0.25">
      <c r="A247" s="36">
        <v>41402</v>
      </c>
      <c r="B247" s="121">
        <v>0.7258796296296296</v>
      </c>
      <c r="C247" s="26" t="s">
        <v>1355</v>
      </c>
    </row>
    <row r="248" spans="1:3" x14ac:dyDescent="0.25">
      <c r="A248" s="36">
        <v>41402</v>
      </c>
      <c r="B248" s="121">
        <v>0.7258796296296296</v>
      </c>
      <c r="C248" s="26" t="s">
        <v>1356</v>
      </c>
    </row>
    <row r="249" spans="1:3" x14ac:dyDescent="0.25">
      <c r="A249" s="36">
        <v>41402</v>
      </c>
      <c r="B249" s="121">
        <v>0.7258796296296296</v>
      </c>
      <c r="C249" s="26" t="s">
        <v>1357</v>
      </c>
    </row>
    <row r="250" spans="1:3" x14ac:dyDescent="0.25">
      <c r="A250" s="36">
        <v>41402</v>
      </c>
      <c r="B250" s="121">
        <v>0.7258796296296296</v>
      </c>
      <c r="C250" s="26" t="s">
        <v>1358</v>
      </c>
    </row>
    <row r="251" spans="1:3" x14ac:dyDescent="0.25">
      <c r="A251" s="36">
        <v>41402</v>
      </c>
      <c r="B251" s="121">
        <v>0.72589120370370364</v>
      </c>
      <c r="C251" s="26" t="s">
        <v>1359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70" zoomScale="80" zoomScaleNormal="80" workbookViewId="0">
      <selection activeCell="N112" sqref="N112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4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5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5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5"/>
      <c r="B49" s="253" t="s">
        <v>772</v>
      </c>
      <c r="C49" s="412">
        <v>2</v>
      </c>
      <c r="D49" s="412"/>
    </row>
    <row r="50" spans="1:7" s="407" customFormat="1" x14ac:dyDescent="0.25">
      <c r="A50" s="855"/>
      <c r="B50" s="253" t="s">
        <v>773</v>
      </c>
      <c r="C50" s="412"/>
      <c r="D50" s="412"/>
    </row>
    <row r="51" spans="1:7" s="407" customFormat="1" ht="15.75" thickBot="1" x14ac:dyDescent="0.3">
      <c r="A51" s="856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4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5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5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5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5"/>
      <c r="B63" s="253" t="s">
        <v>773</v>
      </c>
      <c r="C63" s="327"/>
      <c r="D63" s="327"/>
    </row>
    <row r="64" spans="1:7" s="314" customFormat="1" ht="15.75" thickBot="1" x14ac:dyDescent="0.3">
      <c r="A64" s="856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3"/>
      <c r="C78" s="557"/>
      <c r="D78" s="819">
        <v>41367</v>
      </c>
      <c r="E78" s="818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6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22" t="s">
        <v>677</v>
      </c>
      <c r="N160" s="824" t="s">
        <v>679</v>
      </c>
    </row>
    <row r="161" spans="1:38" s="314" customFormat="1" ht="25.5" x14ac:dyDescent="0.25">
      <c r="A161" s="253" t="s">
        <v>769</v>
      </c>
      <c r="B161" s="826" t="s">
        <v>1116</v>
      </c>
      <c r="C161" s="539" t="s">
        <v>1099</v>
      </c>
      <c r="D161" s="811" t="s">
        <v>1129</v>
      </c>
      <c r="E161" s="811" t="s">
        <v>1103</v>
      </c>
      <c r="F161" s="810" t="s">
        <v>1104</v>
      </c>
      <c r="G161" s="810" t="s">
        <v>1105</v>
      </c>
      <c r="H161" s="810" t="s">
        <v>1106</v>
      </c>
      <c r="I161" s="821" t="s">
        <v>1107</v>
      </c>
      <c r="J161" s="812" t="s">
        <v>1108</v>
      </c>
      <c r="K161" s="813" t="s">
        <v>1109</v>
      </c>
      <c r="L161" s="823" t="s">
        <v>1132</v>
      </c>
      <c r="M161" s="823" t="s">
        <v>1131</v>
      </c>
      <c r="N161" s="823" t="s">
        <v>1130</v>
      </c>
    </row>
    <row r="162" spans="1:38" s="314" customFormat="1" x14ac:dyDescent="0.25">
      <c r="A162" s="254" t="s">
        <v>770</v>
      </c>
      <c r="B162" s="803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9">
        <v>45</v>
      </c>
      <c r="E163" s="809">
        <v>5</v>
      </c>
      <c r="F163" s="809">
        <v>7</v>
      </c>
      <c r="G163" s="809">
        <v>16</v>
      </c>
      <c r="H163" s="809">
        <v>10</v>
      </c>
      <c r="I163" s="809" t="s">
        <v>1145</v>
      </c>
      <c r="J163" s="809" t="s">
        <v>1119</v>
      </c>
      <c r="K163" s="809">
        <v>10</v>
      </c>
      <c r="L163" s="809" t="s">
        <v>1133</v>
      </c>
      <c r="M163" s="809" t="s">
        <v>988</v>
      </c>
      <c r="N163" s="809" t="s">
        <v>988</v>
      </c>
    </row>
    <row r="164" spans="1:38" s="314" customFormat="1" x14ac:dyDescent="0.25">
      <c r="A164" s="253" t="s">
        <v>772</v>
      </c>
      <c r="B164" s="820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5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7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3"/>
      <c r="C169" s="803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8" t="s">
        <v>1102</v>
      </c>
      <c r="D172" s="805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30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8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31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7" t="s">
        <v>1122</v>
      </c>
      <c r="I179" s="144" t="s">
        <v>906</v>
      </c>
      <c r="J179" s="817" t="s">
        <v>1120</v>
      </c>
      <c r="K179" s="817" t="s">
        <v>1121</v>
      </c>
      <c r="L179" s="831"/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3"/>
      <c r="N180"/>
    </row>
    <row r="181" spans="1:47" s="118" customFormat="1" x14ac:dyDescent="0.25">
      <c r="A181" s="253" t="s">
        <v>782</v>
      </c>
      <c r="D181" s="837" t="s">
        <v>1090</v>
      </c>
      <c r="E181" s="118" t="s">
        <v>1150</v>
      </c>
      <c r="F181" s="118" t="s">
        <v>1156</v>
      </c>
      <c r="G181" s="118" t="s">
        <v>1151</v>
      </c>
      <c r="I181" s="829" t="s">
        <v>1155</v>
      </c>
      <c r="L181" s="832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4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1" t="s">
        <v>2</v>
      </c>
      <c r="S11" s="862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5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3"/>
      <c r="S12" s="864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5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5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5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6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4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5" t="s">
        <v>814</v>
      </c>
      <c r="S17" s="866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5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7"/>
      <c r="S18" s="868"/>
      <c r="T18" s="618"/>
      <c r="W18" s="665"/>
      <c r="X18" s="505"/>
    </row>
    <row r="19" spans="1:37" x14ac:dyDescent="0.25">
      <c r="A19" s="855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5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5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6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4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7" t="s">
        <v>803</v>
      </c>
      <c r="M23" s="858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5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9">
        <f>HYPERLINK("https://eu1.salesforce.com/"&amp;F24,G24)</f>
        <v>0</v>
      </c>
      <c r="M24" s="860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5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5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5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6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4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1" t="s">
        <v>2</v>
      </c>
      <c r="S37" s="862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5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3"/>
      <c r="S38" s="864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5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5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5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6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4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5" t="s">
        <v>814</v>
      </c>
      <c r="S43" s="866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5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7"/>
      <c r="S44" s="868"/>
      <c r="T44" s="618"/>
      <c r="W44" s="665"/>
      <c r="X44" s="505"/>
    </row>
    <row r="45" spans="1:35" x14ac:dyDescent="0.25">
      <c r="A45" s="855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5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5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6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4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7" t="s">
        <v>803</v>
      </c>
      <c r="M49" s="858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5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9">
        <f>HYPERLINK("https://eu1.salesforce.com/"&amp;F50,G50)</f>
        <v>0</v>
      </c>
      <c r="M50" s="860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5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5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5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6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2013-05-08T13:36:55Z</dcterms:modified>
</cp:coreProperties>
</file>