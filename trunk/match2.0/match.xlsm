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2345" yWindow="-15" windowWidth="12225" windowHeight="11550" activeTab="4"/>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Header!$A$105:$C$106</definedName>
    <definedName name="HDR_AccntUpd" comment="18.6.12 HDR_AccntUpd шапка изменений Организаций SF, включая связь с 1С">Header!$A$102:$N$102</definedName>
    <definedName name="HDR_AdAcc" comment="11.6.12 - Шапка полей новой Организации">Header!$A$99:$V$99</definedName>
    <definedName name="HDR_BTOmails" comment="12.6.12 HDR_BTOmails шапка для извлекаемых писем БТО">Header!$A$118:$J$119</definedName>
    <definedName name="HDR_ContrLnk" comment="18.3.12 шапка для листа C_ContrLnk - связка Договора с Проектом">Header!$A$93:$B$93</definedName>
    <definedName name="HDR_NewContract" comment="25.3.12 HDR_NewContract - шапка &quot;голубого&quot; листа в NewContract">Header!$B$82:$V$86</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Header!$A$109:$C$109</definedName>
    <definedName name="HDR_NewPayment" comment="24.9.12  занесение Платежей в SF. Они записываются в файл Payment.csv и загружаются в SF Data Loader'ом">Header!$B$74:$H$79</definedName>
    <definedName name="HDR_NewSN" comment="6.6.12 шапки для занесения новыз SN в SF -- 2PASS">Header!$A$115:$C$115</definedName>
    <definedName name="HDR_P_ADSKlink" comment="14/5/12 новые связи Платежей и Контрактов ADSK">Header!$A$112:$C$112</definedName>
    <definedName name="HDR_PaymentUpd" comment="11.3.12 Update Платежа - связывание существующего Платежа с Договором">Header!$A$96:$B$96</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We!$A$36:$C$38</definedName>
    <definedName name="SF_MyCol" comment="14.7.12 SF_MyCol SFDC.xlsm SF формулы -- используется для связки с Платежами 1С">Header!$A$45:$B$47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Header!$A$54:$B$56</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Process!$A$76:$L$84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L59" i="1989" l="1"/>
  <c r="C59" i="1989" l="1"/>
  <c r="K57" i="1989" l="1"/>
  <c r="F60" i="1989"/>
  <c r="C60" i="1989"/>
  <c r="C54" i="1989"/>
  <c r="F55" i="1989"/>
  <c r="C55" i="1989"/>
  <c r="L54" i="1989"/>
  <c r="K51" i="1989"/>
  <c r="K54" i="1989" s="1"/>
  <c r="C66" i="1989" l="1"/>
  <c r="L65" i="1989" l="1"/>
  <c r="L30" i="1989" l="1"/>
  <c r="V23" i="763" l="1"/>
  <c r="U23" i="763"/>
  <c r="T23" i="763"/>
  <c r="V1085" i="763" l="1"/>
  <c r="U1085" i="763"/>
  <c r="M17" i="1989" l="1"/>
  <c r="C20" i="1989"/>
  <c r="C18" i="1989"/>
  <c r="F17" i="1989" l="1"/>
  <c r="L17" i="1989"/>
  <c r="C17" i="1989"/>
  <c r="L81" i="1989" l="1"/>
  <c r="F81" i="1989" s="1"/>
  <c r="B46" i="763" l="1"/>
  <c r="F50" i="763"/>
  <c r="A50" i="763" s="1"/>
  <c r="F51" i="763"/>
  <c r="A51" i="763" s="1"/>
  <c r="B55" i="763"/>
  <c r="A55" i="763" s="1"/>
  <c r="B6" i="763"/>
  <c r="E6" i="763"/>
  <c r="A11" i="763"/>
  <c r="A36" i="763" s="1"/>
  <c r="R11" i="763"/>
  <c r="F15" i="763"/>
  <c r="G15" i="763"/>
  <c r="I15" i="763"/>
  <c r="A59" i="763" l="1"/>
  <c r="J1089" i="763"/>
  <c r="J1088" i="763"/>
  <c r="J1087" i="763"/>
  <c r="J1086" i="763"/>
  <c r="J1085" i="763"/>
  <c r="C1089" i="763"/>
  <c r="C1088" i="763"/>
  <c r="C1087" i="763"/>
  <c r="C1086" i="763"/>
  <c r="C1085" i="763"/>
  <c r="J24" i="763"/>
  <c r="C25" i="763"/>
  <c r="J25" i="763"/>
  <c r="C26" i="763"/>
  <c r="J26" i="763"/>
  <c r="C27" i="763"/>
  <c r="J27" i="763"/>
  <c r="F11" i="763"/>
  <c r="G11" i="763" s="1"/>
  <c r="H11" i="763" s="1"/>
  <c r="C23" i="763"/>
  <c r="J23" i="763"/>
  <c r="C24" i="763"/>
  <c r="J1090" i="763" l="1"/>
  <c r="L1085" i="763" s="1"/>
  <c r="C1090" i="763"/>
  <c r="D1085" i="763" s="1"/>
  <c r="J28" i="763"/>
  <c r="L23" i="763" s="1"/>
  <c r="C28" i="763"/>
  <c r="D26" i="763" s="1"/>
  <c r="L1086" i="763" l="1"/>
  <c r="L1088" i="763"/>
  <c r="D1089" i="763"/>
  <c r="L1087" i="763"/>
  <c r="D1087" i="763"/>
  <c r="L1089" i="763"/>
  <c r="D1088" i="763"/>
  <c r="D1086" i="763"/>
  <c r="L26" i="763"/>
  <c r="L24" i="763"/>
  <c r="D25" i="763"/>
  <c r="L25" i="763"/>
  <c r="L27" i="763"/>
  <c r="D23" i="763"/>
  <c r="D27" i="763"/>
  <c r="D24" i="763"/>
  <c r="L36" i="1989" l="1"/>
  <c r="K36" i="1989"/>
  <c r="L82" i="1989" l="1"/>
  <c r="L10" i="1989"/>
  <c r="F10" i="1989" s="1"/>
  <c r="L80" i="1989" l="1"/>
  <c r="F80" i="1989" s="1"/>
  <c r="L9" i="1989"/>
  <c r="F9" i="1989" s="1"/>
  <c r="L8" i="1989"/>
  <c r="F8" i="1989" s="1"/>
  <c r="I28" i="1988" l="1"/>
  <c r="I22" i="1988"/>
  <c r="F38" i="1989" l="1"/>
  <c r="F32" i="1989"/>
  <c r="F66" i="1989"/>
  <c r="H21" i="1988" l="1"/>
  <c r="H16" i="1988"/>
  <c r="H17" i="1988"/>
  <c r="H18" i="1988"/>
  <c r="H19" i="1988"/>
  <c r="H20" i="1988"/>
  <c r="H14" i="1988"/>
  <c r="H15" i="1988"/>
  <c r="N20" i="1989" l="1"/>
  <c r="K12" i="1989" l="1"/>
  <c r="K13" i="1989"/>
  <c r="F44" i="1989" l="1"/>
  <c r="F43" i="1989"/>
  <c r="F42" i="1989"/>
  <c r="N26" i="1989"/>
  <c r="L19" i="1989"/>
  <c r="K40" i="1989" l="1"/>
  <c r="T14" i="1988"/>
  <c r="T15" i="1988"/>
  <c r="T17" i="1988"/>
  <c r="K42" i="1989" l="1"/>
  <c r="K44" i="1989"/>
  <c r="K43" i="1989"/>
  <c r="K22" i="1989"/>
  <c r="K26" i="1989" s="1"/>
  <c r="C24" i="1989"/>
  <c r="K25" i="1989" l="1"/>
  <c r="K23" i="1989"/>
  <c r="K24" i="1989"/>
  <c r="F37" i="1989" l="1"/>
  <c r="K16" i="1989" l="1"/>
  <c r="K17" i="1989" s="1"/>
  <c r="K80" i="1989"/>
  <c r="K81" i="1989" s="1"/>
  <c r="K82" i="1989"/>
  <c r="K68" i="1989" s="1"/>
  <c r="C26" i="1989" l="1"/>
  <c r="F11" i="1989" l="1"/>
  <c r="F31" i="1989" l="1"/>
  <c r="F100" i="1989"/>
  <c r="K15" i="1989" l="1"/>
  <c r="K59" i="1989" s="1"/>
  <c r="K62" i="1989" l="1"/>
  <c r="K65" i="1989" s="1"/>
  <c r="K20" i="1989"/>
  <c r="K19" i="1989"/>
  <c r="K18" i="1989"/>
  <c r="C7" i="1989"/>
  <c r="K7" i="1989"/>
  <c r="K11" i="1989"/>
  <c r="AS156" i="763" l="1"/>
  <c r="AR156" i="763"/>
  <c r="AQ156" i="763"/>
  <c r="AP156" i="763"/>
  <c r="AO156" i="763"/>
  <c r="AN156" i="763"/>
  <c r="AM156" i="763"/>
  <c r="AL156" i="763"/>
  <c r="AK156" i="763"/>
  <c r="AJ156" i="763"/>
  <c r="AI156" i="763"/>
  <c r="AH156" i="763"/>
  <c r="AF156" i="763"/>
  <c r="AE156" i="763"/>
  <c r="AD156" i="763"/>
  <c r="AC156" i="763"/>
  <c r="AB156" i="763"/>
  <c r="AA156" i="763"/>
  <c r="Z156" i="763"/>
  <c r="Y156" i="763"/>
  <c r="X156" i="763"/>
  <c r="W156" i="763"/>
  <c r="V156" i="763"/>
  <c r="U156" i="763"/>
  <c r="S156" i="763"/>
  <c r="R156" i="763"/>
  <c r="Q156" i="763"/>
  <c r="P156" i="763"/>
  <c r="O156" i="763"/>
  <c r="N156" i="763"/>
  <c r="M156" i="763"/>
  <c r="L156" i="763"/>
  <c r="K156" i="763"/>
  <c r="J156" i="763"/>
  <c r="I156" i="763"/>
  <c r="H156" i="763"/>
  <c r="F156" i="763"/>
  <c r="E156" i="763"/>
  <c r="D156" i="763"/>
  <c r="C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T156" i="763" s="1"/>
  <c r="AG123" i="763"/>
  <c r="AG156" i="763" s="1"/>
  <c r="T123" i="763"/>
  <c r="T156" i="763" s="1"/>
  <c r="G123" i="763"/>
  <c r="G156" i="763" s="1"/>
  <c r="AU124" i="763" l="1"/>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0" i="763"/>
  <c r="AU151" i="763"/>
  <c r="AU152" i="763"/>
  <c r="AU153" i="763"/>
  <c r="AU154" i="763"/>
  <c r="AU155" i="763"/>
  <c r="AU123" i="763"/>
  <c r="AU156"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<sst xmlns="http://schemas.openxmlformats.org/spreadsheetml/2006/main" count="2375" uniqueCount="1037">
  <si>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</si>
  <si>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</si>
  <si>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</si>
  <si>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</si>
  <si>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</si>
  <si>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</si>
  <si>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</si>
  <si>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</si>
  <si>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</si>
  <si>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</si>
  <si>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</si>
  <si>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</si>
  <si>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</si>
  <si>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</si>
  <si>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</si>
  <si>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</si>
  <si>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</si>
  <si>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</si>
  <si>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</si>
  <si>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</si>
  <si>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</si>
  <si>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</si>
  <si>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</si>
  <si>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</si>
  <si>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</si>
  <si>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</si>
  <si>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</si>
  <si>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</si>
  <si>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</si>
  <si>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</si>
  <si>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</si>
  <si>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</si>
  <si>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</si>
  <si>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</si>
  <si>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</si>
  <si>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</si>
  <si>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</si>
  <si>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</si>
  <si>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</si>
  <si>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</si>
  <si>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</si>
  <si>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</si>
  <si>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</si>
  <si>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</si>
  <si>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</si>
  <si>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</si>
  <si>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</si>
  <si>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</si>
  <si>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</si>
  <si>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</si>
  <si>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</si>
  <si>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</si>
  <si>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</si>
  <si>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</si>
  <si>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</si>
  <si>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</si>
  <si>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</si>
  <si>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</si>
  <si>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</si>
  <si>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</si>
  <si>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</si>
  <si>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</si>
  <si>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</si>
  <si>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</si>
  <si>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</si>
  <si>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</si>
  <si>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</si>
  <si>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</si>
  <si>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</si>
  <si>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</si>
  <si>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</si>
  <si>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</si>
  <si>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</si>
  <si>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</si>
  <si>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</si>
  <si>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</si>
  <si>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</si>
  <si>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</si>
  <si>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</si>
  <si>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</si>
  <si>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</si>
  <si>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</si>
  <si>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</si>
  <si>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</si>
  <si>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</si>
  <si>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</si>
  <si>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</si>
  <si>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</si>
  <si>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</si>
  <si>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</si>
  <si>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</si>
  <si>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</si>
  <si>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</si>
  <si>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</si>
  <si>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</si>
  <si>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</si>
  <si>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</si>
  <si>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</si>
  <si>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</si>
  <si>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</si>
  <si>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</si>
  <si>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</si>
  <si>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</si>
  <si>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</si>
  <si>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</si>
  <si>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</si>
  <si>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</si>
  <si>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</si>
  <si>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</si>
  <si>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</si>
  <si>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</si>
  <si>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</si>
  <si>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</si>
  <si>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</si>
  <si>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</si>
  <si>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</si>
  <si>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</si>
  <si>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</si>
  <si>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</si>
  <si>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</si>
  <si>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</si>
  <si>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</si>
  <si>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</si>
  <si>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</si>
  <si>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</si>
  <si>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</si>
  <si>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</si>
  <si>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</si>
  <si>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</si>
  <si>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</si>
  <si>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</si>
  <si>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</si>
  <si>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</si>
  <si>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</si>
  <si>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</si>
  <si>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</si>
  <si>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</si>
  <si>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</si>
  <si>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</si>
  <si>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</si>
  <si>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</si>
  <si>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</si>
  <si>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</si>
  <si>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</si>
  <si>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</si>
  <si>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</si>
  <si>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</si>
  <si>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</si>
  <si>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</si>
  <si>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</si>
  <si>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</si>
  <si>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</si>
  <si>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</si>
  <si>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</si>
  <si>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</si>
  <si>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</si>
  <si>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</si>
  <si>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</si>
  <si>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</si>
  <si>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</si>
  <si>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</si>
  <si>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</si>
  <si>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</si>
  <si>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</si>
  <si>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</si>
  <si>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</si>
  <si>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</si>
  <si>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</si>
  <si>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</si>
  <si>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</si>
  <si>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</si>
  <si>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</si>
  <si>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</si>
  <si>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</si>
  <si>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</si>
  <si>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</si>
  <si>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</si>
  <si>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</si>
  <si>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</si>
  <si>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</si>
  <si>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</si>
  <si>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</si>
  <si>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</si>
  <si>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</si>
  <si>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</si>
  <si>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</si>
  <si>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</si>
  <si>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</si>
  <si>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</si>
  <si>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</si>
  <si>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</si>
  <si>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</si>
  <si>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</si>
  <si>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</si>
  <si>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</si>
  <si>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</si>
  <si>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</si>
  <si>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</si>
  <si>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</si>
  <si>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</si>
  <si>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</si>
  <si>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</si>
  <si>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</si>
  <si>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</si>
  <si>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</si>
  <si>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</si>
  <si>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</si>
  <si>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</si>
  <si>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</si>
  <si>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</si>
  <si>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</si>
  <si>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</si>
  <si>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</si>
  <si>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</si>
  <si>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</si>
  <si>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</si>
  <si>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</si>
  <si>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</si>
  <si>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</si>
  <si>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</si>
  <si>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</si>
  <si>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</si>
  <si>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</si>
  <si>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</si>
  <si>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</si>
  <si>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</si>
  <si>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</si>
  <si>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</si>
  <si>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</si>
  <si>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</si>
  <si>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</si>
  <si>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</si>
  <si>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</si>
  <si>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</si>
  <si>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</si>
  <si>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</si>
  <si>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</si>
  <si>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</si>
  <si>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</si>
  <si>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</si>
  <si>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</si>
  <si>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</si>
  <si>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</si>
  <si>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</si>
  <si>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</si>
  <si>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</si>
  <si>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</si>
  <si>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</si>
  <si>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</si>
  <si>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</si>
  <si>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</si>
  <si>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</si>
  <si>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</si>
  <si>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</si>
  <si>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</si>
  <si>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</si>
  <si>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</si>
  <si>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</si>
  <si>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</si>
  <si>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</si>
  <si>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</si>
  <si>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</si>
  <si>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</si>
  <si>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</si>
  <si>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</si>
  <si>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</si>
  <si>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</si>
  <si>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</si>
  <si>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</si>
  <si>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</si>
  <si>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</si>
  <si>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</si>
  <si>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</si>
  <si>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</si>
  <si>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</si>
  <si>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</si>
  <si>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</si>
  <si>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</si>
  <si>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</si>
  <si>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</si>
  <si>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</si>
  <si>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</si>
  <si>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</si>
  <si>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</si>
  <si>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</si>
  <si>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</si>
  <si>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</si>
  <si>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</si>
  <si>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</si>
  <si>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</si>
  <si>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</si>
  <si>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</si>
  <si>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</si>
  <si>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</si>
  <si>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</si>
  <si>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</si>
  <si>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</si>
  <si>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</si>
  <si>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</si>
  <si>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</si>
  <si>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</si>
  <si>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</si>
  <si>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</si>
  <si>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</si>
  <si>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</si>
  <si>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</si>
  <si>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</si>
  <si>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</si>
  <si>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</si>
  <si>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</si>
  <si>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</si>
  <si>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</si>
  <si>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</si>
  <si>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</si>
  <si>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</si>
  <si>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</si>
  <si>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</si>
  <si>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</si>
  <si>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</si>
  <si>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</si>
  <si>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</si>
  <si>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</si>
  <si>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</si>
  <si>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</si>
  <si>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</si>
  <si>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</si>
  <si>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</si>
  <si>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</si>
  <si>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</si>
  <si>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</si>
  <si>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</si>
  <si>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</si>
  <si>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</si>
  <si>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</si>
  <si>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</si>
  <si>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</si>
  <si>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</si>
  <si>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</si>
  <si>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</si>
  <si>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</si>
  <si>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</si>
  <si>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</si>
  <si>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</si>
  <si>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</si>
  <si>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</si>
  <si>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</si>
  <si>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</si>
  <si>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</si>
  <si>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</si>
  <si>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</si>
  <si>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</si>
  <si>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</si>
  <si>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</si>
  <si>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</si>
  <si>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</si>
  <si>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</si>
  <si>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</si>
  <si>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</si>
  <si>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</si>
  <si>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</si>
  <si>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</si>
  <si>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</si>
  <si>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</si>
  <si>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</si>
  <si>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</si>
  <si>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</si>
  <si>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</si>
  <si>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</si>
  <si>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</si>
  <si>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</si>
  <si>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</si>
  <si>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</si>
  <si>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</si>
  <si>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</si>
  <si>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</si>
  <si>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</si>
  <si>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</si>
  <si>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</si>
  <si>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</si>
  <si>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</si>
  <si>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</si>
  <si>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</si>
  <si>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</si>
  <si>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</si>
  <si>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</si>
  <si>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</si>
  <si>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</si>
  <si>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</si>
  <si>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</si>
  <si>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</si>
  <si>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</si>
  <si>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</si>
  <si>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</si>
  <si>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</si>
  <si>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</si>
  <si>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</si>
  <si>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</si>
  <si>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</si>
  <si>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</si>
  <si>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</si>
  <si>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</si>
  <si>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</si>
  <si>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</si>
  <si>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</si>
  <si>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</si>
  <si>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</si>
  <si>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</si>
  <si>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</si>
  <si>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</si>
  <si>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</si>
  <si>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</si>
  <si>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</si>
  <si>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</si>
  <si>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</si>
  <si>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</si>
  <si>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</si>
  <si>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</si>
  <si>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</si>
  <si>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</si>
  <si>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</si>
  <si>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</si>
  <si>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</si>
  <si>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</si>
  <si>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</si>
  <si>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</si>
  <si>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</si>
  <si>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</si>
  <si>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</si>
  <si>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</si>
  <si>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</si>
  <si>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</si>
  <si>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</si>
  <si>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</si>
  <si>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</si>
  <si>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</si>
  <si>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</si>
  <si>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</si>
  <si>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</si>
  <si>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</si>
  <si>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</si>
  <si>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</si>
  <si>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</si>
  <si>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</si>
  <si>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</si>
  <si>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</si>
  <si>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</si>
  <si>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</si>
  <si>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</si>
  <si>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</si>
  <si>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</si>
  <si>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</si>
  <si>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</si>
  <si>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</si>
  <si>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</si>
  <si>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</si>
  <si>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</si>
  <si>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</si>
  <si>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</si>
  <si>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</si>
  <si>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</si>
  <si>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</si>
  <si>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</si>
  <si>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</si>
  <si>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</si>
  <si>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</si>
  <si>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</si>
  <si>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</si>
  <si>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</si>
  <si>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</si>
  <si>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</si>
  <si>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</si>
  <si>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</si>
  <si>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</si>
  <si>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</si>
  <si>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</si>
  <si>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</si>
  <si>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</si>
  <si>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</si>
  <si>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</si>
  <si>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</si>
  <si>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</si>
  <si>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</si>
  <si>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</si>
  <si>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</si>
  <si>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</si>
  <si>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</si>
  <si>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</si>
  <si>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</si>
  <si>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</si>
  <si>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</si>
  <si>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</si>
  <si>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</si>
  <si>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</si>
  <si>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</si>
  <si>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</si>
  <si>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</si>
  <si>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</si>
  <si>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</si>
  <si>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</si>
  <si>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</si>
  <si>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</si>
  <si>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</si>
  <si>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</si>
  <si>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</si>
  <si>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</si>
  <si>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</si>
  <si>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</si>
  <si>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</si>
  <si>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</si>
  <si>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</si>
  <si>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</si>
  <si>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</si>
  <si>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</si>
  <si>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</si>
  <si>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</si>
  <si>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</si>
  <si>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</si>
  <si>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</si>
  <si>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</si>
  <si>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</si>
  <si>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</si>
  <si>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</si>
  <si>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</si>
  <si>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</si>
  <si>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</si>
  <si>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</si>
  <si>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</si>
  <si>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</si>
  <si>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</si>
  <si>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</si>
  <si>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</si>
  <si>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</si>
  <si>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</si>
  <si>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</si>
  <si>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</si>
  <si>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</si>
  <si>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</si>
  <si>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</si>
  <si>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</si>
  <si>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</si>
  <si>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</si>
  <si>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</si>
  <si>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</si>
  <si>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</si>
  <si>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</si>
  <si>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</si>
  <si>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</si>
  <si>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</si>
  <si>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</si>
  <si>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</si>
  <si>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</si>
  <si>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</si>
  <si>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</si>
  <si>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</si>
  <si>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</si>
  <si>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</si>
  <si>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</si>
  <si>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</si>
  <si>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</si>
  <si>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</si>
  <si>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</si>
  <si>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</si>
  <si>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</si>
  <si>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</si>
  <si>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</si>
  <si>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</si>
  <si>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</si>
  <si>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</si>
  <si>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</si>
  <si>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</si>
  <si>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</si>
  <si>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</si>
  <si>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</si>
  <si>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</si>
  <si>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</si>
  <si>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</si>
  <si>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</si>
  <si>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</si>
  <si>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</si>
  <si>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</si>
  <si>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</si>
  <si>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</si>
  <si>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</si>
  <si>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</si>
  <si>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</si>
  <si>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</si>
  <si>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</si>
  <si>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</si>
  <si>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</si>
  <si>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</si>
  <si>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</si>
  <si>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</si>
  <si>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</si>
  <si>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</si>
  <si>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</si>
  <si>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</si>
  <si>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</si>
  <si>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</si>
  <si>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</si>
  <si>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</si>
  <si>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</si>
  <si>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</si>
  <si>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</si>
  <si>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</si>
  <si>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</si>
  <si>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</si>
  <si>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</si>
  <si>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</si>
  <si>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</si>
  <si>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</si>
  <si>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</si>
  <si>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</si>
  <si>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</si>
  <si>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</si>
  <si>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</si>
  <si>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</si>
  <si>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</si>
  <si>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</si>
  <si>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</si>
  <si>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</si>
  <si>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</si>
  <si>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</si>
  <si>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</si>
  <si>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</si>
  <si>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</si>
  <si>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</si>
  <si>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</si>
  <si>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</si>
  <si>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</si>
  <si>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</si>
  <si>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</si>
  <si>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</si>
  <si>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</si>
  <si>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</si>
  <si>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</si>
  <si>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</si>
  <si>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</si>
  <si>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</si>
  <si>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</si>
  <si>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</si>
  <si>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</si>
  <si>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</si>
  <si>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</si>
  <si>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</si>
  <si>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</si>
  <si>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</si>
  <si>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</si>
  <si>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</si>
  <si>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</si>
  <si>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</si>
  <si>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</si>
  <si>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</si>
  <si>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</si>
  <si>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</si>
  <si>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</si>
  <si>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</si>
  <si>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</si>
  <si>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</si>
  <si>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</si>
  <si>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</si>
  <si>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</si>
  <si>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</si>
  <si>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</si>
  <si>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</si>
  <si>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</si>
  <si>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</si>
  <si>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</si>
  <si>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</si>
  <si>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</si>
  <si>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</si>
  <si>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</si>
  <si>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</si>
  <si>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</si>
  <si>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</si>
  <si>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</si>
  <si>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</si>
  <si>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</si>
  <si>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</si>
  <si>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</si>
  <si>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</si>
  <si>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</si>
  <si>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</si>
  <si>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</si>
  <si>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</si>
  <si>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</si>
  <si>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</si>
  <si>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</si>
  <si>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</si>
  <si>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</si>
  <si>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</si>
  <si>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</si>
  <si>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</si>
  <si>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</si>
  <si>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</si>
  <si>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</si>
  <si>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</si>
  <si>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</si>
  <si>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</si>
  <si>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</si>
  <si>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</si>
  <si>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</si>
  <si>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</si>
  <si>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</si>
  <si>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</si>
  <si>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</si>
  <si>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</si>
  <si>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</si>
  <si>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</si>
  <si>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</si>
  <si>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</si>
  <si>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</si>
  <si>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</si>
  <si>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</si>
  <si>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</si>
  <si>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</si>
  <si>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</si>
  <si>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</si>
  <si>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</si>
  <si>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</si>
  <si>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</si>
  <si>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</si>
  <si>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</si>
  <si>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</si>
  <si>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</si>
  <si>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</si>
  <si>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</si>
  <si>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</si>
  <si>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</si>
  <si>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</si>
  <si>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</si>
  <si>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</si>
  <si>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</si>
  <si>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</si>
  <si>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</si>
  <si>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</si>
  <si>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</si>
  <si>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</si>
  <si>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</si>
  <si>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</si>
  <si>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</si>
  <si>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</si>
  <si>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</si>
  <si>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</si>
  <si>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</si>
  <si>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</si>
  <si>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</si>
  <si>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</si>
  <si>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</si>
  <si>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</si>
  <si>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</si>
  <si>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</si>
  <si>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</si>
  <si>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</si>
  <si>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</si>
  <si>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</si>
  <si>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</si>
  <si>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</si>
  <si>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</si>
  <si>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</si>
  <si>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</si>
  <si>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</si>
  <si>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</si>
  <si>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</si>
  <si>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</si>
  <si>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</si>
  <si>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</si>
  <si>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</si>
  <si>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</si>
  <si>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</si>
  <si>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</si>
  <si>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</si>
  <si>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</si>
  <si>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</si>
  <si>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</si>
  <si>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</si>
  <si>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</si>
  <si>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</si>
  <si>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</si>
  <si>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</si>
  <si>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</si>
  <si>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</si>
  <si>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</si>
  <si>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</si>
  <si>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</si>
  <si>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</si>
  <si>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</si>
  <si>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</si>
  <si>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</si>
  <si>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</si>
  <si>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</si>
  <si>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</si>
  <si>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</si>
  <si>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</si>
  <si>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</si>
  <si>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</si>
  <si>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</si>
  <si>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</si>
  <si>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</si>
  <si>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</si>
  <si>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</si>
  <si>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</si>
  <si>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</si>
  <si>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</si>
  <si>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</si>
  <si>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</si>
  <si>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</si>
  <si>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</si>
  <si>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</si>
  <si>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</si>
  <si>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</si>
  <si>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</si>
  <si>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</si>
  <si>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</si>
  <si>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</si>
  <si>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</si>
  <si>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</si>
  <si>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</si>
  <si>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</si>
  <si>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</si>
  <si>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</si>
  <si>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</si>
  <si>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</si>
  <si>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</si>
  <si>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</si>
  <si>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</si>
  <si>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</si>
  <si>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</si>
  <si>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</si>
  <si>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</si>
  <si>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</si>
  <si>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</si>
  <si>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</si>
  <si>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</si>
  <si>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</si>
  <si>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</si>
  <si>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</si>
  <si>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</si>
  <si>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</si>
  <si>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</si>
  <si>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</si>
  <si>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</si>
  <si>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</si>
  <si>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</si>
  <si>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</si>
  <si>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</si>
  <si>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</si>
  <si>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</si>
  <si>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</si>
  <si>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</si>
  <si>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</si>
  <si>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</si>
  <si>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</si>
  <si>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</si>
  <si>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</si>
  <si>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</si>
  <si>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</si>
  <si>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</si>
  <si>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</si>
  <si>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</si>
  <si>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</si>
  <si>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</si>
  <si>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</si>
  <si>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</si>
  <si>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</si>
  <si>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</si>
  <si>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</si>
  <si>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</si>
  <si>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</si>
  <si>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</si>
  <si>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</si>
  <si>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</si>
  <si>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</si>
  <si>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</si>
  <si>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</si>
  <si>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</si>
  <si>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</si>
  <si>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</si>
  <si>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</si>
  <si>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</si>
  <si>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</si>
  <si>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</si>
  <si>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</si>
  <si>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</si>
  <si>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</si>
  <si>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</si>
  <si>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</si>
  <si>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</si>
  <si>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</si>
  <si>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</si>
  <si>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</si>
  <si>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</si>
  <si>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</si>
  <si>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</si>
  <si>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</si>
  <si>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</si>
  <si>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</si>
  <si>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</si>
  <si>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</si>
  <si>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</si>
  <si>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</si>
  <si>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</si>
  <si>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</si>
  <si>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</si>
  <si>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</si>
  <si>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</si>
  <si>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</si>
  <si>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</si>
  <si>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</si>
  <si>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</si>
  <si>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</si>
  <si>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</si>
  <si>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</si>
  <si>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</si>
  <si>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</si>
  <si>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</si>
  <si>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</si>
  <si>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</si>
  <si>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</si>
  <si>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</si>
  <si>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</si>
  <si>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</si>
  <si>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</si>
  <si>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</si>
  <si>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</si>
  <si>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</si>
  <si>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</si>
  <si>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MoveToMatch: В файл 'SFDC.xlsx' загружен новый отчет 'SFD'; EOL=730 строк, в прежнем 723</t>
  </si>
  <si>
    <t>C:\Users\Pavel_Khrapkin\Documents\Pavel\match\Match2.0\DBs\</t>
  </si>
  <si>
    <t>MoveToMatch: В файл '1C.xlsx' загружен новый отчет 'Договоры'; EOL=1036 строк, в прежнем 1027</t>
  </si>
  <si>
    <t>&lt;! ERROR !&gt; GetRep.CheckStamp&gt; Запрос не существующего в ТОС отчета SFD</t>
  </si>
  <si>
    <t>MoveToMatch: В файл '1C.xlsx' загружен новый отчет 'Договоры'; EOL=1036 строк, в прежнем 1036</t>
  </si>
  <si>
    <t>MoveToMatch: В файл 'SFDC.xlsx' загружен новый отчет 'SFD'; EOL=730 строк, в прежнем 730</t>
  </si>
  <si>
    <t>MoveToMatch: В файл 'SFDC.xlsx' загружен новый отчет 'SFacc'; EOL=3875 строк, в прежнем 3874</t>
  </si>
  <si>
    <t>MoveToMatch: В файл 'SFDC.xlsx' загружен новый отчет 'SFopp'; EOL=2759 строк, в прежнем 2756</t>
  </si>
  <si>
    <t>MoveToMatch: В файл 'SFDC.xlsx' загружен новый отчет 'SFacc'; EOL=3875 строк, в прежнем 3875</t>
  </si>
  <si>
    <t>MoveToMatch: В файл 'SFDC.xlsx' загружен новый отчет 'SFacc'; EOL=3874 строк, в прежнем 3875</t>
  </si>
  <si>
    <t>&lt; WARNING &gt; Адаптер&gt; ссылка SFacc/3:4/W(001D000000nUyIr) не работает, результат &lt;пусто&gt;</t>
  </si>
  <si>
    <t>&lt; WARNING &gt; Адаптер Продавец_в_SF(Гогина Ольга Олеговна) не получил данных</t>
  </si>
  <si>
    <t>MoveToMatch: В файл 'SFDC.xlsx' загружен новый отчет 'SFD'; EOL=731 строк, в прежнем 730</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</si>
  <si>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</si>
  <si>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</si>
  <si>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</si>
  <si>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</si>
  <si>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</si>
  <si>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</si>
  <si>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</si>
  <si>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 xml:space="preserve">&lt;! ERROR !&gt; ToProc: Не найден Процесс </t>
  </si>
  <si>
    <t>ВНИМАНИЕ:&lt;&gt; Процесс HANDL_PaidContr перед выполнением Шага NewPaidDog</t>
  </si>
  <si>
    <t>MoveToMatch: В файл 'SFDC.xlsx' загружен новый отчет 'SFopp'; EOL=2761 строк, в прежнем 2759</t>
  </si>
  <si>
    <t>MoveToMatch: В файл 'SFDC.xlsx' загружен новый отчет 'SFD'; EOL=731 строк, в прежнем 731</t>
  </si>
  <si>
    <t>SFD/4:15</t>
  </si>
  <si>
    <t>SFD/4:17</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</si>
  <si>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</si>
  <si>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</si>
  <si>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</si>
  <si>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</si>
  <si>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</si>
  <si>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</si>
  <si>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</si>
  <si>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</si>
  <si>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</si>
  <si>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</si>
  <si>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</si>
  <si>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</si>
  <si>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</si>
  <si>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</si>
  <si>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</si>
  <si>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</si>
  <si>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</si>
  <si>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</si>
  <si>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</si>
  <si>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</si>
  <si>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</si>
  <si>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</si>
  <si>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</si>
  <si>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</si>
  <si>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</si>
  <si>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</si>
  <si>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</si>
  <si>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</si>
  <si>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</si>
  <si>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</si>
  <si>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</si>
  <si>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</si>
  <si>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</si>
  <si>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</si>
  <si>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</si>
  <si>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</si>
  <si>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</si>
  <si>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</si>
  <si>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</si>
  <si>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</si>
  <si>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</si>
  <si>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</si>
  <si>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</si>
  <si>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</si>
  <si>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</si>
  <si>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</si>
  <si>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</si>
  <si>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</si>
  <si>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</si>
  <si>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</si>
  <si>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</si>
  <si>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</si>
  <si>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</si>
  <si>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</si>
  <si>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</si>
  <si>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</si>
  <si>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</si>
  <si>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</si>
  <si>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</si>
  <si>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</si>
  <si>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</si>
  <si>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</si>
  <si>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</si>
  <si>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</si>
  <si>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</si>
  <si>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</si>
  <si>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</si>
  <si>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</si>
  <si>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</si>
  <si>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</si>
  <si>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</si>
  <si>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</si>
  <si>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</si>
  <si>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</si>
  <si>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</si>
  <si>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</si>
  <si>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</si>
  <si>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</si>
  <si>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</si>
  <si>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ВНИМАНИЕ:&lt;&gt; Процесс HANDL_PaidContr перед выполнением Шага WrCSV</t>
  </si>
  <si>
    <t>Payment.txt</t>
  </si>
  <si>
    <t>quotaPayment.bat</t>
  </si>
  <si>
    <t>ВНИМАНИЕ:&lt;&gt; Процесс HANDL_PaidContr перед выполнением Шага NewSheet</t>
  </si>
  <si>
    <t>MoveToMatch: В файл 'SFDC.xlsx' загружен новый отчет 'SF'; EOL=3650 строк, в прежнем 3621</t>
  </si>
  <si>
    <t>MoveToMatch: В файл 'SFDC.xlsx' загружен новый отчет 'SFD'; EOL=730 строк, в прежнем 731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</si>
</sst>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5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38">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9" fontId="268" fillId="40" borderId="0" xfId="0" applyFont="1" applyFill="1"/>
    <xf numFmtId="49" fontId="0" fillId="40" borderId="0" xfId="0" applyNumberFormat="1" applyFill="1" applyAlignment="1">
      <alignment horizont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0" fillId="0" borderId="31" xfId="0" applyBorder="1" applyAlignment="1">
      <alignment horizontal="center"/>
    </xf>
    <xf numFmtId="169" fontId="314" fillId="6" borderId="0" xfId="0" applyFont="1" applyFill="1" applyAlignment="1">
      <alignment horizontal="left"/>
    </xf>
    <xf numFmtId="167" fontId="0" fillId="0" borderId="43" xfId="0" applyNumberFormat="1" applyFill="1" applyBorder="1" applyAlignment="1">
      <alignment horizontal="center" vertical="center"/>
    </xf>
    <xf numFmtId="49" fontId="0" fillId="0" borderId="43" xfId="0" applyNumberFormat="1" applyFill="1" applyBorder="1" applyAlignment="1">
      <alignment horizontal="left" vertical="center" wrapText="1"/>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9" borderId="0" xfId="0" applyFont="1" applyFill="1"/>
    <xf numFmtId="169" fontId="268" fillId="49" borderId="41" xfId="0" applyFont="1" applyFill="1" applyBorder="1"/>
    <xf numFmtId="169" fontId="268" fillId="50" borderId="0" xfId="0" applyFont="1" applyFill="1"/>
    <xf numFmtId="169" fontId="268" fillId="50"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161</xdr:row>
      <xdr:rowOff>0</xdr:rowOff>
    </xdr:from>
    <xdr:to>
      <xdr:col>3</xdr:col>
      <xdr:colOff>152400</xdr:colOff>
      <xdr:row>161</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164</xdr:row>
      <xdr:rowOff>0</xdr:rowOff>
    </xdr:from>
    <xdr:to>
      <xdr:col>2</xdr:col>
      <xdr:colOff>9525</xdr:colOff>
      <xdr:row>164</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166</xdr:row>
      <xdr:rowOff>0</xdr:rowOff>
    </xdr:from>
    <xdr:to>
      <xdr:col>2</xdr:col>
      <xdr:colOff>9525</xdr:colOff>
      <xdr:row>166</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168</xdr:row>
      <xdr:rowOff>0</xdr:rowOff>
    </xdr:from>
    <xdr:to>
      <xdr:col>2</xdr:col>
      <xdr:colOff>9525</xdr:colOff>
      <xdr:row>168</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170</xdr:row>
      <xdr:rowOff>0</xdr:rowOff>
    </xdr:from>
    <xdr:to>
      <xdr:col>2</xdr:col>
      <xdr:colOff>9525</xdr:colOff>
      <xdr:row>170</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170</xdr:row>
      <xdr:rowOff>0</xdr:rowOff>
    </xdr:from>
    <xdr:to>
      <xdr:col>4</xdr:col>
      <xdr:colOff>9525</xdr:colOff>
      <xdr:row>170</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171</xdr:row>
      <xdr:rowOff>0</xdr:rowOff>
    </xdr:from>
    <xdr:to>
      <xdr:col>2</xdr:col>
      <xdr:colOff>9525</xdr:colOff>
      <xdr:row>171</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171</xdr:row>
      <xdr:rowOff>0</xdr:rowOff>
    </xdr:from>
    <xdr:to>
      <xdr:col>4</xdr:col>
      <xdr:colOff>9525</xdr:colOff>
      <xdr:row>171</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152400</xdr:colOff>
      <xdr:row>162</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163</xdr:row>
      <xdr:rowOff>0</xdr:rowOff>
    </xdr:from>
    <xdr:to>
      <xdr:col>3</xdr:col>
      <xdr:colOff>152400</xdr:colOff>
      <xdr:row>163</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164</xdr:row>
      <xdr:rowOff>0</xdr:rowOff>
    </xdr:from>
    <xdr:to>
      <xdr:col>3</xdr:col>
      <xdr:colOff>152400</xdr:colOff>
      <xdr:row>164</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152400</xdr:colOff>
      <xdr:row>168</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170</xdr:row>
      <xdr:rowOff>0</xdr:rowOff>
    </xdr:from>
    <xdr:to>
      <xdr:col>3</xdr:col>
      <xdr:colOff>152400</xdr:colOff>
      <xdr:row>170</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171</xdr:row>
      <xdr:rowOff>0</xdr:rowOff>
    </xdr:from>
    <xdr:to>
      <xdr:col>3</xdr:col>
      <xdr:colOff>152400</xdr:colOff>
      <xdr:row>171</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171</xdr:row>
      <xdr:rowOff>0</xdr:rowOff>
    </xdr:from>
    <xdr:to>
      <xdr:col>2</xdr:col>
      <xdr:colOff>9525</xdr:colOff>
      <xdr:row>171</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171</xdr:row>
      <xdr:rowOff>0</xdr:rowOff>
    </xdr:from>
    <xdr:to>
      <xdr:col>4</xdr:col>
      <xdr:colOff>9525</xdr:colOff>
      <xdr:row>171</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152400</xdr:colOff>
      <xdr:row>171</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9525</xdr:colOff>
      <xdr:row>172</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172</xdr:row>
      <xdr:rowOff>0</xdr:rowOff>
    </xdr:from>
    <xdr:to>
      <xdr:col>4</xdr:col>
      <xdr:colOff>9525</xdr:colOff>
      <xdr:row>172</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152400</xdr:colOff>
      <xdr:row>172</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zoomScale="70" zoomScaleNormal="70" workbookViewId="0">
      <selection activeCell="B14" sqref="B14"/>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41177.044085648151</v>
      </c>
      <c r="C1" s="129" t="s">
        <v>599</v>
      </c>
      <c r="J1" s="506" t="s">
        <v>927</v>
      </c>
      <c r="K1" s="171"/>
      <c r="L1" s="61"/>
      <c r="M1" s="61"/>
      <c r="N1" s="61"/>
      <c r="O1" s="524" t="s">
        <v>608</v>
      </c>
      <c r="P1" s="524"/>
      <c r="Q1" s="524"/>
      <c r="R1" s="524"/>
      <c r="S1" s="524"/>
    </row>
    <row r="2" spans="1:24" ht="20.25" customHeight="1" x14ac:dyDescent="0.25">
      <c r="O2" s="525"/>
      <c r="P2" s="525"/>
      <c r="Q2" s="525"/>
      <c r="R2" s="525"/>
      <c r="S2" s="525"/>
    </row>
    <row r="3" spans="1:24" s="127" customFormat="1" x14ac:dyDescent="0.25">
      <c r="A3" s="127" t="s">
        <v>120</v>
      </c>
      <c r="B3" s="127" t="s">
        <v>578</v>
      </c>
      <c r="C3" s="162" t="s">
        <v>579</v>
      </c>
      <c r="D3" s="127" t="s">
        <v>604</v>
      </c>
      <c r="E3" s="127" t="s">
        <v>609</v>
      </c>
      <c r="F3" s="127" t="s">
        <v>619</v>
      </c>
      <c r="G3" s="127" t="s">
        <v>644</v>
      </c>
      <c r="H3" s="127" t="s">
        <v>580</v>
      </c>
      <c r="I3" s="127" t="s">
        <v>581</v>
      </c>
      <c r="J3" s="131" t="s">
        <v>585</v>
      </c>
      <c r="K3" s="147" t="s">
        <v>600</v>
      </c>
      <c r="L3" s="131" t="s">
        <v>601</v>
      </c>
      <c r="M3" s="131" t="s">
        <v>602</v>
      </c>
      <c r="N3" s="162" t="s">
        <v>621</v>
      </c>
      <c r="O3" s="127" t="s">
        <v>605</v>
      </c>
      <c r="T3" s="127" t="s">
        <v>607</v>
      </c>
    </row>
    <row r="4" spans="1:24" s="175" customFormat="1" x14ac:dyDescent="0.25">
      <c r="A4" s="253"/>
      <c r="B4" s="173" t="s">
        <v>624</v>
      </c>
      <c r="C4" s="174">
        <v>38</v>
      </c>
      <c r="H4" s="173" t="s">
        <v>625</v>
      </c>
      <c r="I4" s="173" t="s">
        <v>624</v>
      </c>
      <c r="J4" s="173" t="s">
        <v>624</v>
      </c>
      <c r="K4" s="176" t="s">
        <v>626</v>
      </c>
      <c r="L4" s="157">
        <v>1</v>
      </c>
      <c r="M4" s="157">
        <v>3</v>
      </c>
      <c r="N4" s="172">
        <v>41112.947581018518</v>
      </c>
    </row>
    <row r="5" spans="1:24" s="175" customFormat="1" x14ac:dyDescent="0.25">
      <c r="A5" s="253"/>
      <c r="B5" s="173" t="s">
        <v>643</v>
      </c>
      <c r="C5" s="174" t="s">
        <v>696</v>
      </c>
      <c r="H5" s="173" t="s">
        <v>625</v>
      </c>
      <c r="I5" s="173" t="s">
        <v>643</v>
      </c>
      <c r="J5" s="173" t="s">
        <v>643</v>
      </c>
      <c r="K5" s="176" t="s">
        <v>626</v>
      </c>
      <c r="L5" s="157">
        <v>1</v>
      </c>
      <c r="M5" s="157">
        <v>3</v>
      </c>
      <c r="N5" s="172">
        <v>41120.947581018518</v>
      </c>
    </row>
    <row r="6" spans="1:24" s="175" customFormat="1" x14ac:dyDescent="0.25">
      <c r="A6" s="253"/>
      <c r="B6" s="173" t="s">
        <v>629</v>
      </c>
      <c r="C6" s="174" t="s">
        <v>579</v>
      </c>
      <c r="H6" s="173" t="s">
        <v>702</v>
      </c>
      <c r="I6" s="173"/>
      <c r="J6" s="173" t="s">
        <v>627</v>
      </c>
      <c r="K6" s="176" t="s">
        <v>626</v>
      </c>
      <c r="L6" s="157">
        <v>3</v>
      </c>
      <c r="M6" s="157">
        <v>1</v>
      </c>
      <c r="N6" s="172">
        <v>41112.947581018518</v>
      </c>
      <c r="O6" s="173" t="s">
        <v>320</v>
      </c>
    </row>
    <row r="7" spans="1:24" s="175" customFormat="1" x14ac:dyDescent="0.25">
      <c r="A7" s="253"/>
      <c r="B7" s="173"/>
      <c r="C7" s="174">
        <v>0</v>
      </c>
      <c r="D7" s="256"/>
      <c r="H7" s="173"/>
      <c r="I7" s="173"/>
      <c r="J7" s="173" t="s">
        <v>628</v>
      </c>
      <c r="K7" s="176" t="s">
        <v>603</v>
      </c>
      <c r="L7" s="157">
        <v>6</v>
      </c>
      <c r="M7" s="157">
        <v>1</v>
      </c>
      <c r="N7" s="172"/>
    </row>
    <row r="8" spans="1:24" s="140" customFormat="1" x14ac:dyDescent="0.25">
      <c r="A8" s="254">
        <v>41177.043206018519</v>
      </c>
      <c r="B8" s="140" t="s">
        <v>577</v>
      </c>
      <c r="C8" s="145">
        <v>4689</v>
      </c>
      <c r="D8" s="145">
        <v>5</v>
      </c>
      <c r="E8" s="145">
        <v>2</v>
      </c>
      <c r="F8" s="140" t="s">
        <v>675</v>
      </c>
      <c r="G8" s="145" t="s">
        <v>112</v>
      </c>
      <c r="H8" s="140" t="s">
        <v>711</v>
      </c>
      <c r="I8" s="151" t="s">
        <v>577</v>
      </c>
      <c r="J8" s="141" t="s">
        <v>68</v>
      </c>
      <c r="K8" s="148" t="s">
        <v>603</v>
      </c>
      <c r="L8" s="146">
        <v>1</v>
      </c>
      <c r="M8" s="146" t="s">
        <v>677</v>
      </c>
      <c r="N8" s="139">
        <v>41169</v>
      </c>
      <c r="O8" s="150" t="s">
        <v>320</v>
      </c>
      <c r="P8" s="150"/>
      <c r="Q8" s="150"/>
      <c r="T8" s="140" t="s">
        <v>656</v>
      </c>
      <c r="X8" s="163"/>
    </row>
    <row r="9" spans="1:24" s="153" customFormat="1" x14ac:dyDescent="0.25">
      <c r="A9" s="255"/>
      <c r="B9" s="153" t="s">
        <v>577</v>
      </c>
      <c r="C9" s="154"/>
      <c r="D9" s="154"/>
      <c r="E9" s="154"/>
      <c r="J9" s="155" t="s">
        <v>67</v>
      </c>
      <c r="K9" s="156" t="s">
        <v>603</v>
      </c>
      <c r="L9" s="157">
        <v>1</v>
      </c>
      <c r="M9" s="157" t="s">
        <v>684</v>
      </c>
      <c r="N9" s="152"/>
      <c r="O9" s="158"/>
      <c r="P9" s="158"/>
      <c r="Q9" s="158"/>
      <c r="T9" s="164"/>
    </row>
    <row r="10" spans="1:24" x14ac:dyDescent="0.25">
      <c r="A10" s="253">
        <v>41177.044085648151</v>
      </c>
      <c r="B10" t="s">
        <v>582</v>
      </c>
      <c r="C10" s="149">
        <v>1036</v>
      </c>
      <c r="D10" s="143">
        <v>8</v>
      </c>
      <c r="E10" s="143">
        <v>2</v>
      </c>
      <c r="F10" t="s">
        <v>675</v>
      </c>
      <c r="G10" s="154" t="s">
        <v>112</v>
      </c>
      <c r="H10" t="s">
        <v>711</v>
      </c>
      <c r="I10" s="167" t="s">
        <v>582</v>
      </c>
      <c r="J10" s="132" t="s">
        <v>610</v>
      </c>
      <c r="K10" s="133" t="s">
        <v>603</v>
      </c>
      <c r="L10" s="157">
        <v>1</v>
      </c>
      <c r="M10" s="157" t="s">
        <v>678</v>
      </c>
      <c r="N10" s="128">
        <v>41176</v>
      </c>
      <c r="O10" s="142" t="s">
        <v>320</v>
      </c>
      <c r="P10" s="142"/>
      <c r="Q10" s="142"/>
      <c r="T10" t="s">
        <v>657</v>
      </c>
    </row>
    <row r="11" spans="1:24" x14ac:dyDescent="0.25">
      <c r="A11" s="255"/>
      <c r="B11" t="s">
        <v>582</v>
      </c>
      <c r="C11" s="149"/>
      <c r="D11" s="143"/>
      <c r="E11" s="143"/>
      <c r="G11" s="153"/>
      <c r="I11" s="153"/>
      <c r="J11" s="132" t="s">
        <v>611</v>
      </c>
      <c r="K11" s="133" t="s">
        <v>603</v>
      </c>
      <c r="L11" s="157">
        <v>1</v>
      </c>
      <c r="M11" s="157" t="s">
        <v>683</v>
      </c>
      <c r="N11" s="128"/>
      <c r="O11" s="165"/>
      <c r="P11" s="165"/>
      <c r="Q11" s="165"/>
    </row>
    <row r="12" spans="1:24" x14ac:dyDescent="0.25">
      <c r="A12" s="253">
        <v>41174.073391203703</v>
      </c>
      <c r="B12" t="s">
        <v>583</v>
      </c>
      <c r="C12" s="149">
        <v>2590</v>
      </c>
      <c r="D12" s="149">
        <v>1</v>
      </c>
      <c r="E12" s="149">
        <v>0</v>
      </c>
      <c r="F12" t="s">
        <v>675</v>
      </c>
      <c r="G12" s="154" t="s">
        <v>71</v>
      </c>
      <c r="H12" t="s">
        <v>711</v>
      </c>
      <c r="I12" s="168" t="s">
        <v>583</v>
      </c>
      <c r="J12" s="132" t="s">
        <v>612</v>
      </c>
      <c r="K12" s="133" t="s">
        <v>603</v>
      </c>
      <c r="L12" s="157" t="s">
        <v>676</v>
      </c>
      <c r="M12" s="157" t="s">
        <v>679</v>
      </c>
      <c r="N12" s="128">
        <v>41138</v>
      </c>
      <c r="O12" s="142" t="s">
        <v>320</v>
      </c>
      <c r="P12" s="142"/>
      <c r="Q12" s="142"/>
      <c r="T12" t="s">
        <v>658</v>
      </c>
    </row>
    <row r="13" spans="1:24" x14ac:dyDescent="0.25">
      <c r="A13" s="255"/>
      <c r="B13" t="s">
        <v>583</v>
      </c>
      <c r="C13" s="149"/>
      <c r="D13" s="149"/>
      <c r="E13" s="149"/>
      <c r="G13" s="2"/>
      <c r="I13" s="153"/>
      <c r="J13" s="132" t="s">
        <v>613</v>
      </c>
      <c r="K13" s="133" t="s">
        <v>603</v>
      </c>
      <c r="L13" s="157" t="s">
        <v>676</v>
      </c>
      <c r="M13" s="157" t="s">
        <v>680</v>
      </c>
      <c r="N13" s="166"/>
      <c r="O13" s="165"/>
      <c r="P13" s="165"/>
      <c r="Q13" s="165"/>
      <c r="T13" s="2"/>
    </row>
    <row r="14" spans="1:24" s="140" customFormat="1" ht="15.75" customHeight="1" x14ac:dyDescent="0.25">
      <c r="A14" s="254">
        <v>41177.042569444442</v>
      </c>
      <c r="B14" s="140" t="s">
        <v>584</v>
      </c>
      <c r="C14" s="145">
        <v>3650</v>
      </c>
      <c r="D14" s="145">
        <v>2</v>
      </c>
      <c r="E14" s="145">
        <v>6</v>
      </c>
      <c r="F14" s="140" t="s">
        <v>633</v>
      </c>
      <c r="G14" s="145" t="s">
        <v>91</v>
      </c>
      <c r="H14" s="140" t="str">
        <f>H$6</f>
        <v>SFDC.xlsx</v>
      </c>
      <c r="I14" s="169" t="s">
        <v>584</v>
      </c>
      <c r="J14" s="141" t="s">
        <v>586</v>
      </c>
      <c r="K14" s="148" t="s">
        <v>603</v>
      </c>
      <c r="L14" s="146">
        <v>2</v>
      </c>
      <c r="M14" s="146" t="s">
        <v>681</v>
      </c>
      <c r="N14" s="277">
        <v>41177.041666666664</v>
      </c>
      <c r="O14" s="150"/>
      <c r="P14" s="150"/>
      <c r="Q14" s="150"/>
      <c r="T14" s="140" t="str">
        <f>Process!F28</f>
        <v>LOAD_SF</v>
      </c>
    </row>
    <row r="15" spans="1:24" ht="15.75" customHeight="1" x14ac:dyDescent="0.25">
      <c r="A15" s="253">
        <v>41177.043900462966</v>
      </c>
      <c r="B15" t="s">
        <v>587</v>
      </c>
      <c r="C15" s="149">
        <v>730</v>
      </c>
      <c r="D15" s="143">
        <v>2</v>
      </c>
      <c r="E15" s="143">
        <v>6</v>
      </c>
      <c r="F15" t="s">
        <v>633</v>
      </c>
      <c r="G15" s="154" t="s">
        <v>91</v>
      </c>
      <c r="H15" t="str">
        <f>H$6</f>
        <v>SFDC.xlsx</v>
      </c>
      <c r="I15" s="170" t="s">
        <v>587</v>
      </c>
      <c r="J15" s="132" t="s">
        <v>588</v>
      </c>
      <c r="K15" s="133" t="s">
        <v>603</v>
      </c>
      <c r="L15" s="144">
        <v>2</v>
      </c>
      <c r="M15" s="144" t="s">
        <v>681</v>
      </c>
      <c r="N15" s="128">
        <v>41177.043055555558</v>
      </c>
      <c r="O15" s="142"/>
      <c r="Q15" s="142"/>
      <c r="T15" s="153" t="str">
        <f>Process!F34</f>
        <v>LOAD_SFD</v>
      </c>
    </row>
    <row r="16" spans="1:24" ht="15.75" x14ac:dyDescent="0.3">
      <c r="A16" s="253">
        <v>41176.991331018522</v>
      </c>
      <c r="B16" t="s">
        <v>589</v>
      </c>
      <c r="C16" s="149">
        <v>2761</v>
      </c>
      <c r="D16" s="143" t="s">
        <v>606</v>
      </c>
      <c r="E16" s="143">
        <v>6</v>
      </c>
      <c r="F16" t="s">
        <v>620</v>
      </c>
      <c r="G16" s="154" t="s">
        <v>91</v>
      </c>
      <c r="H16" t="str">
        <f t="shared" ref="H16:H20" si="0">H$6</f>
        <v>SFDC.xlsx</v>
      </c>
      <c r="I16" s="170" t="s">
        <v>589</v>
      </c>
      <c r="J16" s="134" t="s">
        <v>590</v>
      </c>
      <c r="K16" s="133" t="s">
        <v>603</v>
      </c>
      <c r="L16" s="144">
        <v>2</v>
      </c>
      <c r="M16" s="144">
        <v>1</v>
      </c>
      <c r="N16" s="128">
        <v>41176.990972222222</v>
      </c>
      <c r="O16" s="142"/>
      <c r="Q16" s="142"/>
    </row>
    <row r="17" spans="1:20" ht="15.75" x14ac:dyDescent="0.3">
      <c r="A17" s="253">
        <v>41176.781041666669</v>
      </c>
      <c r="B17" t="s">
        <v>137</v>
      </c>
      <c r="C17" s="149">
        <v>3874</v>
      </c>
      <c r="D17" s="143" t="s">
        <v>606</v>
      </c>
      <c r="E17" s="143">
        <v>6</v>
      </c>
      <c r="F17" t="s">
        <v>620</v>
      </c>
      <c r="G17" s="154" t="s">
        <v>91</v>
      </c>
      <c r="H17" t="str">
        <f t="shared" si="0"/>
        <v>SFDC.xlsx</v>
      </c>
      <c r="I17" s="170" t="s">
        <v>137</v>
      </c>
      <c r="J17" s="135" t="s">
        <v>137</v>
      </c>
      <c r="K17" s="133" t="s">
        <v>603</v>
      </c>
      <c r="L17" s="144">
        <v>2</v>
      </c>
      <c r="M17" s="144">
        <v>1</v>
      </c>
      <c r="N17" s="128">
        <v>41174.051388888889</v>
      </c>
      <c r="O17" s="142"/>
      <c r="Q17" s="142"/>
      <c r="T17" t="str">
        <f>Process!F40</f>
        <v>LOAD_SFacc</v>
      </c>
    </row>
    <row r="18" spans="1:20" ht="15.75" x14ac:dyDescent="0.3">
      <c r="A18" s="253">
        <v>41170.018645833334</v>
      </c>
      <c r="B18" t="s">
        <v>592</v>
      </c>
      <c r="C18" s="149">
        <v>7326</v>
      </c>
      <c r="D18" s="143" t="s">
        <v>606</v>
      </c>
      <c r="E18" s="143">
        <v>6</v>
      </c>
      <c r="F18" t="s">
        <v>620</v>
      </c>
      <c r="G18" s="154" t="s">
        <v>115</v>
      </c>
      <c r="H18" t="str">
        <f t="shared" si="0"/>
        <v>SFDC.xlsx</v>
      </c>
      <c r="I18" s="170" t="s">
        <v>592</v>
      </c>
      <c r="J18" s="135" t="s">
        <v>591</v>
      </c>
      <c r="K18" s="133" t="s">
        <v>603</v>
      </c>
      <c r="L18" s="144">
        <v>2</v>
      </c>
      <c r="M18" s="144">
        <v>1</v>
      </c>
      <c r="N18" s="128">
        <v>41170.018055555556</v>
      </c>
      <c r="O18" s="142"/>
      <c r="Q18" s="142"/>
    </row>
    <row r="19" spans="1:20" ht="15.75" x14ac:dyDescent="0.3">
      <c r="A19" s="253">
        <v>41170.020729166667</v>
      </c>
      <c r="B19" t="s">
        <v>594</v>
      </c>
      <c r="C19" s="149">
        <v>1740</v>
      </c>
      <c r="D19" s="143" t="s">
        <v>606</v>
      </c>
      <c r="E19" s="143">
        <v>6</v>
      </c>
      <c r="F19" t="s">
        <v>620</v>
      </c>
      <c r="G19" s="154" t="s">
        <v>115</v>
      </c>
      <c r="H19" t="str">
        <f t="shared" si="0"/>
        <v>SFDC.xlsx</v>
      </c>
      <c r="I19" s="170" t="s">
        <v>594</v>
      </c>
      <c r="J19" s="136" t="s">
        <v>593</v>
      </c>
      <c r="K19" s="133" t="s">
        <v>603</v>
      </c>
      <c r="L19" s="144">
        <v>2</v>
      </c>
      <c r="M19" s="144">
        <v>1</v>
      </c>
      <c r="N19" s="128">
        <v>41170.020138888889</v>
      </c>
      <c r="O19" s="142"/>
      <c r="Q19" s="142"/>
    </row>
    <row r="20" spans="1:20" ht="15.75" x14ac:dyDescent="0.3">
      <c r="A20" s="253">
        <v>41170.021736111114</v>
      </c>
      <c r="B20" t="s">
        <v>595</v>
      </c>
      <c r="C20" s="149">
        <v>194</v>
      </c>
      <c r="D20" s="143" t="s">
        <v>606</v>
      </c>
      <c r="E20" s="143">
        <v>6</v>
      </c>
      <c r="F20" t="s">
        <v>620</v>
      </c>
      <c r="G20" s="154" t="s">
        <v>71</v>
      </c>
      <c r="H20" t="str">
        <f t="shared" si="0"/>
        <v>SFDC.xlsx</v>
      </c>
      <c r="I20" s="170" t="s">
        <v>595</v>
      </c>
      <c r="J20" s="137" t="s">
        <v>596</v>
      </c>
      <c r="K20" s="133" t="s">
        <v>603</v>
      </c>
      <c r="L20" s="144">
        <v>2</v>
      </c>
      <c r="M20" s="144">
        <v>1</v>
      </c>
      <c r="N20" s="128">
        <v>41170.020833333336</v>
      </c>
      <c r="O20" s="142"/>
      <c r="Q20" s="142"/>
    </row>
    <row r="21" spans="1:20" ht="15.75" x14ac:dyDescent="0.3">
      <c r="A21" s="253">
        <v>41170.022337962961</v>
      </c>
      <c r="B21" t="s">
        <v>597</v>
      </c>
      <c r="C21" s="149">
        <v>362</v>
      </c>
      <c r="D21" s="143" t="s">
        <v>606</v>
      </c>
      <c r="E21" s="143">
        <v>6</v>
      </c>
      <c r="F21" t="s">
        <v>620</v>
      </c>
      <c r="G21" s="154" t="s">
        <v>115</v>
      </c>
      <c r="H21" t="str">
        <f>H$6</f>
        <v>SFDC.xlsx</v>
      </c>
      <c r="I21" s="170" t="s">
        <v>597</v>
      </c>
      <c r="J21" s="138" t="s">
        <v>598</v>
      </c>
      <c r="K21" s="307" t="s">
        <v>603</v>
      </c>
      <c r="L21" s="144">
        <v>2</v>
      </c>
      <c r="M21" s="144">
        <v>1</v>
      </c>
      <c r="N21" s="166">
        <v>41170.021527777775</v>
      </c>
      <c r="O21" s="142"/>
      <c r="Q21" s="142"/>
    </row>
    <row r="22" spans="1:20" s="140" customFormat="1" x14ac:dyDescent="0.25">
      <c r="A22" s="254"/>
      <c r="B22" s="140" t="s">
        <v>614</v>
      </c>
      <c r="C22" s="161">
        <v>3586</v>
      </c>
      <c r="D22" s="161" t="s">
        <v>127</v>
      </c>
      <c r="E22" s="161"/>
      <c r="F22" s="140" t="s">
        <v>620</v>
      </c>
      <c r="H22" s="140" t="s">
        <v>712</v>
      </c>
      <c r="I22" s="281" t="str">
        <f>B22</f>
        <v>Склад</v>
      </c>
      <c r="J22" s="141" t="s">
        <v>65</v>
      </c>
      <c r="K22" s="156" t="s">
        <v>603</v>
      </c>
      <c r="L22" s="146">
        <v>3</v>
      </c>
      <c r="M22" s="146">
        <v>7</v>
      </c>
      <c r="N22" s="139"/>
      <c r="O22" s="150" t="s">
        <v>320</v>
      </c>
      <c r="Q22" s="150"/>
      <c r="R22" s="159"/>
      <c r="T22" s="140" t="s">
        <v>662</v>
      </c>
    </row>
    <row r="23" spans="1:20" s="153" customFormat="1" x14ac:dyDescent="0.25">
      <c r="A23" s="283"/>
      <c r="C23" s="284"/>
      <c r="D23" s="284"/>
      <c r="E23" s="284"/>
      <c r="I23" s="285"/>
      <c r="J23" s="155" t="s">
        <v>713</v>
      </c>
      <c r="K23" s="156" t="s">
        <v>603</v>
      </c>
      <c r="L23" s="157">
        <v>3</v>
      </c>
      <c r="M23" s="157">
        <v>8</v>
      </c>
      <c r="N23" s="152"/>
      <c r="O23" s="158" t="s">
        <v>320</v>
      </c>
      <c r="Q23" s="158"/>
      <c r="R23" s="286"/>
    </row>
    <row r="24" spans="1:20" s="153" customFormat="1" x14ac:dyDescent="0.25">
      <c r="A24" s="283"/>
      <c r="C24" s="284"/>
      <c r="D24" s="284"/>
      <c r="E24" s="284"/>
      <c r="I24" s="285"/>
      <c r="J24" s="155" t="s">
        <v>714</v>
      </c>
      <c r="K24" s="156" t="s">
        <v>603</v>
      </c>
      <c r="L24" s="157">
        <v>3</v>
      </c>
      <c r="M24" s="157">
        <v>9</v>
      </c>
      <c r="N24" s="152"/>
      <c r="O24" s="158" t="s">
        <v>320</v>
      </c>
      <c r="Q24" s="158"/>
      <c r="R24" s="286"/>
    </row>
    <row r="25" spans="1:20" s="153" customFormat="1" x14ac:dyDescent="0.25">
      <c r="A25" s="283"/>
      <c r="C25" s="284"/>
      <c r="D25" s="284"/>
      <c r="E25" s="284"/>
      <c r="I25" s="285"/>
      <c r="J25" s="155" t="s">
        <v>715</v>
      </c>
      <c r="K25" s="156" t="s">
        <v>603</v>
      </c>
      <c r="L25" s="157">
        <v>3</v>
      </c>
      <c r="M25" s="157">
        <v>11</v>
      </c>
      <c r="N25" s="152"/>
      <c r="O25" s="158" t="s">
        <v>320</v>
      </c>
      <c r="Q25" s="158"/>
      <c r="R25" s="286"/>
    </row>
    <row r="26" spans="1:20" s="153" customFormat="1" x14ac:dyDescent="0.25">
      <c r="A26" s="283"/>
      <c r="C26" s="284"/>
      <c r="D26" s="284"/>
      <c r="E26" s="284"/>
      <c r="I26" s="285"/>
      <c r="J26" s="155" t="s">
        <v>716</v>
      </c>
      <c r="K26" s="156" t="s">
        <v>603</v>
      </c>
      <c r="L26" s="157">
        <v>3</v>
      </c>
      <c r="M26" s="157">
        <v>12</v>
      </c>
      <c r="N26" s="152"/>
      <c r="O26" s="158" t="s">
        <v>320</v>
      </c>
      <c r="Q26" s="158"/>
      <c r="R26" s="286"/>
    </row>
    <row r="27" spans="1:20" s="289" customFormat="1" x14ac:dyDescent="0.25">
      <c r="A27" s="288"/>
      <c r="C27" s="290"/>
      <c r="D27" s="290"/>
      <c r="E27" s="290"/>
      <c r="I27" s="291"/>
      <c r="J27" s="292" t="s">
        <v>717</v>
      </c>
      <c r="K27" s="293" t="s">
        <v>603</v>
      </c>
      <c r="L27" s="294">
        <v>3</v>
      </c>
      <c r="M27" s="294">
        <v>10</v>
      </c>
      <c r="N27" s="295"/>
      <c r="O27" s="296"/>
      <c r="Q27" s="296"/>
      <c r="R27" s="297"/>
    </row>
    <row r="28" spans="1:20" s="299" customFormat="1" x14ac:dyDescent="0.25">
      <c r="A28" s="298"/>
      <c r="B28" s="299" t="s">
        <v>618</v>
      </c>
      <c r="C28" s="300">
        <v>1043</v>
      </c>
      <c r="H28" s="299" t="s">
        <v>712</v>
      </c>
      <c r="I28" s="301" t="str">
        <f>B28</f>
        <v>Заказы</v>
      </c>
      <c r="J28" s="302" t="s">
        <v>718</v>
      </c>
      <c r="K28" s="303" t="s">
        <v>603</v>
      </c>
      <c r="L28" s="304">
        <v>1</v>
      </c>
      <c r="M28" s="304">
        <v>10</v>
      </c>
      <c r="N28" s="305"/>
      <c r="O28" s="299" t="s">
        <v>320</v>
      </c>
      <c r="T28" s="299" t="s">
        <v>663</v>
      </c>
    </row>
    <row r="29" spans="1:20" s="153" customFormat="1" x14ac:dyDescent="0.25">
      <c r="A29" s="306"/>
      <c r="C29" s="284"/>
      <c r="I29" s="287"/>
      <c r="J29" s="155" t="s">
        <v>719</v>
      </c>
      <c r="K29" s="156" t="s">
        <v>603</v>
      </c>
      <c r="L29" s="157">
        <v>1</v>
      </c>
      <c r="M29" s="157">
        <v>11</v>
      </c>
      <c r="N29" s="152"/>
      <c r="O29" s="153" t="s">
        <v>320</v>
      </c>
    </row>
    <row r="30" spans="1:20" x14ac:dyDescent="0.25">
      <c r="A30" s="270"/>
      <c r="C30" s="276"/>
      <c r="H30" s="153"/>
      <c r="I30" s="287"/>
      <c r="J30" s="155" t="s">
        <v>65</v>
      </c>
      <c r="K30" s="156" t="s">
        <v>603</v>
      </c>
      <c r="L30" s="157">
        <v>1</v>
      </c>
      <c r="M30" s="157">
        <v>12</v>
      </c>
      <c r="N30" s="152"/>
      <c r="O30" t="s">
        <v>320</v>
      </c>
    </row>
    <row r="31" spans="1:20" x14ac:dyDescent="0.25">
      <c r="A31" s="270"/>
      <c r="C31" s="276"/>
      <c r="H31" s="153"/>
      <c r="I31" s="287"/>
      <c r="J31" s="155" t="s">
        <v>1</v>
      </c>
      <c r="K31" s="156" t="s">
        <v>603</v>
      </c>
      <c r="L31" s="157">
        <v>1</v>
      </c>
      <c r="M31" s="157">
        <v>13</v>
      </c>
      <c r="N31" s="152"/>
      <c r="O31" t="s">
        <v>320</v>
      </c>
    </row>
    <row r="32" spans="1:20" x14ac:dyDescent="0.25">
      <c r="A32" s="270"/>
      <c r="C32" s="276"/>
      <c r="H32" s="153"/>
      <c r="I32" s="287"/>
      <c r="J32" s="155" t="s">
        <v>720</v>
      </c>
      <c r="K32" s="156" t="s">
        <v>603</v>
      </c>
      <c r="L32" s="157">
        <v>1</v>
      </c>
      <c r="M32" s="157">
        <v>14</v>
      </c>
      <c r="N32" s="152"/>
      <c r="O32" t="s">
        <v>320</v>
      </c>
    </row>
    <row r="33" spans="1:20" x14ac:dyDescent="0.25">
      <c r="A33" s="270"/>
      <c r="C33" s="276"/>
      <c r="H33" s="153"/>
      <c r="I33" s="287"/>
      <c r="J33" s="155" t="s">
        <v>721</v>
      </c>
      <c r="K33" s="156" t="s">
        <v>603</v>
      </c>
      <c r="L33" s="157">
        <v>1</v>
      </c>
      <c r="M33" s="157">
        <v>16</v>
      </c>
      <c r="N33" s="152"/>
      <c r="O33" t="s">
        <v>320</v>
      </c>
    </row>
    <row r="34" spans="1:20" x14ac:dyDescent="0.25">
      <c r="A34" s="270"/>
      <c r="C34" s="276"/>
      <c r="H34" s="153"/>
      <c r="I34" s="287"/>
      <c r="J34" s="155" t="s">
        <v>722</v>
      </c>
      <c r="K34" s="307" t="s">
        <v>603</v>
      </c>
      <c r="L34" s="157">
        <v>1</v>
      </c>
      <c r="M34" s="157">
        <v>17</v>
      </c>
      <c r="N34" s="152"/>
    </row>
    <row r="35" spans="1:20" s="140" customFormat="1" x14ac:dyDescent="0.25">
      <c r="A35" s="254"/>
      <c r="B35" s="140" t="s">
        <v>615</v>
      </c>
      <c r="C35" s="161" t="s">
        <v>617</v>
      </c>
      <c r="D35" s="161" t="s">
        <v>127</v>
      </c>
      <c r="E35" s="161"/>
      <c r="F35" s="505"/>
      <c r="H35" s="140" t="s">
        <v>623</v>
      </c>
      <c r="I35" s="282" t="s">
        <v>725</v>
      </c>
      <c r="J35" s="141" t="s">
        <v>723</v>
      </c>
      <c r="K35" s="156" t="s">
        <v>603</v>
      </c>
      <c r="L35" s="146">
        <v>3</v>
      </c>
      <c r="M35" s="146">
        <v>1</v>
      </c>
      <c r="N35" s="139"/>
      <c r="O35" s="150" t="s">
        <v>320</v>
      </c>
      <c r="Q35" s="150"/>
      <c r="R35" s="159"/>
      <c r="T35" s="140" t="s">
        <v>664</v>
      </c>
    </row>
    <row r="36" spans="1:20" x14ac:dyDescent="0.25">
      <c r="A36" s="255"/>
      <c r="I36" s="313"/>
      <c r="J36" s="155" t="s">
        <v>724</v>
      </c>
      <c r="K36" s="156" t="s">
        <v>603</v>
      </c>
      <c r="L36" s="157">
        <v>3</v>
      </c>
      <c r="M36" s="157">
        <v>3</v>
      </c>
      <c r="O36" t="s">
        <v>320</v>
      </c>
    </row>
    <row r="37" spans="1:20" x14ac:dyDescent="0.25">
      <c r="A37" s="255"/>
      <c r="I37" s="313"/>
      <c r="J37" s="155" t="s">
        <v>189</v>
      </c>
      <c r="K37" s="156" t="s">
        <v>603</v>
      </c>
      <c r="L37" s="157">
        <v>3</v>
      </c>
      <c r="M37" s="157">
        <v>9</v>
      </c>
      <c r="O37" t="s">
        <v>320</v>
      </c>
    </row>
    <row r="38" spans="1:20" s="309" customFormat="1" x14ac:dyDescent="0.25">
      <c r="A38" s="308"/>
      <c r="C38" s="310"/>
      <c r="I38" s="313"/>
      <c r="J38" s="311" t="s">
        <v>375</v>
      </c>
      <c r="K38" s="307" t="s">
        <v>603</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00"/>
  <sheetViews>
    <sheetView topLeftCell="A6" zoomScale="80" zoomScaleNormal="80" workbookViewId="0">
      <selection activeCell="I35" sqref="I35"/>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41177.044085648151</v>
      </c>
      <c r="C1" s="129" t="s">
        <v>630</v>
      </c>
      <c r="D1" s="129"/>
      <c r="G1" s="509"/>
      <c r="H1" s="509"/>
      <c r="I1" s="509"/>
    </row>
    <row r="2" spans="1:21" ht="15" customHeight="1" thickBot="1" x14ac:dyDescent="0.35">
      <c r="B2" s="129"/>
    </row>
    <row r="3" spans="1:21" ht="15.75" customHeight="1" x14ac:dyDescent="0.25">
      <c r="E3" s="526" t="s">
        <v>634</v>
      </c>
      <c r="F3" s="528" t="s">
        <v>635</v>
      </c>
      <c r="G3" s="529"/>
      <c r="H3" s="529"/>
      <c r="I3" s="529"/>
      <c r="J3" s="530"/>
      <c r="K3" s="528" t="s">
        <v>636</v>
      </c>
      <c r="L3" s="529"/>
      <c r="M3" s="529"/>
      <c r="N3" s="529"/>
      <c r="O3" s="530"/>
    </row>
    <row r="4" spans="1:21" s="127" customFormat="1" ht="15.75" thickBot="1" x14ac:dyDescent="0.3">
      <c r="B4" s="162" t="s">
        <v>631</v>
      </c>
      <c r="C4" s="127" t="s">
        <v>632</v>
      </c>
      <c r="E4" s="527"/>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620</v>
      </c>
      <c r="C5" s="186"/>
      <c r="D5" s="186"/>
      <c r="E5" s="197"/>
      <c r="F5" s="188"/>
      <c r="G5" s="189"/>
      <c r="H5" s="189"/>
      <c r="I5" s="189"/>
      <c r="J5" s="190"/>
      <c r="K5" s="188"/>
      <c r="L5" s="189"/>
      <c r="M5" s="189"/>
      <c r="N5" s="189"/>
      <c r="O5" s="190"/>
    </row>
    <row r="6" spans="1:21" s="177" customFormat="1" x14ac:dyDescent="0.25">
      <c r="A6" s="317"/>
      <c r="B6" s="318" t="s">
        <v>640</v>
      </c>
      <c r="C6" s="317"/>
      <c r="E6" s="194"/>
      <c r="F6" s="193" t="s">
        <v>656</v>
      </c>
      <c r="G6" s="178"/>
      <c r="H6" s="178"/>
      <c r="I6" s="178"/>
      <c r="J6" s="179"/>
      <c r="K6" s="192" t="s">
        <v>577</v>
      </c>
      <c r="L6" s="178"/>
      <c r="M6" s="178"/>
      <c r="N6" s="178"/>
      <c r="O6" s="179"/>
      <c r="T6" s="127"/>
      <c r="U6" s="127"/>
    </row>
    <row r="7" spans="1:21" s="177" customFormat="1" outlineLevel="1" x14ac:dyDescent="0.25">
      <c r="A7" s="271">
        <v>41176.825057870374</v>
      </c>
      <c r="B7" s="272" t="s">
        <v>622</v>
      </c>
      <c r="C7" s="315" t="str">
        <f>B5</f>
        <v>Loaded</v>
      </c>
      <c r="D7" s="200"/>
      <c r="E7" s="201" t="s">
        <v>70</v>
      </c>
      <c r="F7" s="452" t="s">
        <v>821</v>
      </c>
      <c r="G7" s="453" t="s">
        <v>822</v>
      </c>
      <c r="H7" s="202"/>
      <c r="I7" s="202"/>
      <c r="J7" s="203"/>
      <c r="K7" s="204" t="str">
        <f>TOCmatch!B8</f>
        <v>Платежи</v>
      </c>
      <c r="L7" s="205"/>
      <c r="M7" s="202"/>
      <c r="N7" s="205"/>
      <c r="O7" s="203"/>
      <c r="T7" s="127"/>
      <c r="U7" s="127"/>
    </row>
    <row r="8" spans="1:21" s="177" customFormat="1" outlineLevel="1" x14ac:dyDescent="0.25">
      <c r="A8" s="271">
        <v>41176.82508101852</v>
      </c>
      <c r="B8" s="272" t="s">
        <v>647</v>
      </c>
      <c r="C8" s="315" t="s">
        <v>622</v>
      </c>
      <c r="D8" s="6"/>
      <c r="E8" s="201" t="s">
        <v>70</v>
      </c>
      <c r="F8" s="314" t="str">
        <f>L8</f>
        <v>SFacc</v>
      </c>
      <c r="G8" s="225" t="s">
        <v>94</v>
      </c>
      <c r="H8" s="225" t="s">
        <v>92</v>
      </c>
      <c r="I8" s="225" t="s">
        <v>126</v>
      </c>
      <c r="J8" s="225" t="s">
        <v>70</v>
      </c>
      <c r="K8" s="192" t="s">
        <v>577</v>
      </c>
      <c r="L8" s="314" t="str">
        <f>TOCmatch!B17</f>
        <v>SFacc</v>
      </c>
      <c r="M8" s="202"/>
      <c r="N8" s="205"/>
      <c r="O8" s="203"/>
    </row>
    <row r="9" spans="1:21" s="177" customFormat="1" outlineLevel="1" x14ac:dyDescent="0.25">
      <c r="A9" s="271">
        <v>41177.042743055557</v>
      </c>
      <c r="B9" s="272" t="s">
        <v>647</v>
      </c>
      <c r="C9" s="512" t="s">
        <v>665</v>
      </c>
      <c r="D9" s="6"/>
      <c r="E9" s="201" t="s">
        <v>70</v>
      </c>
      <c r="F9" s="314" t="str">
        <f>L9</f>
        <v>SF</v>
      </c>
      <c r="G9" s="225" t="s">
        <v>94</v>
      </c>
      <c r="H9" s="225" t="s">
        <v>111</v>
      </c>
      <c r="I9" s="225" t="s">
        <v>91</v>
      </c>
      <c r="J9" s="225" t="s">
        <v>92</v>
      </c>
      <c r="K9" s="192" t="s">
        <v>577</v>
      </c>
      <c r="L9" s="314" t="str">
        <f>TOCmatch!B14</f>
        <v>SF</v>
      </c>
      <c r="M9" s="202"/>
      <c r="N9" s="205"/>
      <c r="O9" s="203"/>
    </row>
    <row r="10" spans="1:21" s="177" customFormat="1" outlineLevel="1" x14ac:dyDescent="0.25">
      <c r="A10" s="271">
        <v>41176.827662037038</v>
      </c>
      <c r="B10" s="272" t="s">
        <v>647</v>
      </c>
      <c r="C10" s="512" t="s">
        <v>665</v>
      </c>
      <c r="D10" s="6"/>
      <c r="E10" s="201" t="s">
        <v>70</v>
      </c>
      <c r="F10" s="314" t="str">
        <f>L10</f>
        <v>SF_PA</v>
      </c>
      <c r="G10" s="225" t="s">
        <v>94</v>
      </c>
      <c r="H10" s="225" t="s">
        <v>94</v>
      </c>
      <c r="I10" s="225" t="s">
        <v>92</v>
      </c>
      <c r="J10" s="225" t="s">
        <v>41</v>
      </c>
      <c r="K10" s="192" t="s">
        <v>577</v>
      </c>
      <c r="L10" s="314" t="str">
        <f>TOCmatch!B20</f>
        <v>SF_PA</v>
      </c>
      <c r="M10" s="202"/>
      <c r="N10" s="205"/>
      <c r="O10" s="203"/>
    </row>
    <row r="11" spans="1:21" s="177" customFormat="1" outlineLevel="1" x14ac:dyDescent="0.25">
      <c r="A11" s="271">
        <v>41176.827673611115</v>
      </c>
      <c r="B11" s="272" t="s">
        <v>633</v>
      </c>
      <c r="C11" s="516"/>
      <c r="D11" s="200"/>
      <c r="E11" s="201" t="s">
        <v>70</v>
      </c>
      <c r="F11" s="204" t="str">
        <f>K6</f>
        <v>Платежи</v>
      </c>
      <c r="G11" s="225" t="s">
        <v>112</v>
      </c>
      <c r="H11" s="202"/>
      <c r="I11" s="202"/>
      <c r="J11" s="203"/>
      <c r="K11" s="204" t="str">
        <f>TOCmatch!B8</f>
        <v>Платежи</v>
      </c>
      <c r="L11" s="205"/>
      <c r="M11" s="202"/>
      <c r="N11" s="205"/>
      <c r="O11" s="203"/>
    </row>
    <row r="12" spans="1:21" s="178" customFormat="1" outlineLevel="1" x14ac:dyDescent="0.25">
      <c r="A12" s="510">
        <v>41177.043136574073</v>
      </c>
      <c r="B12" s="511" t="s">
        <v>645</v>
      </c>
      <c r="C12" s="512" t="s">
        <v>647</v>
      </c>
      <c r="D12" s="6"/>
      <c r="E12" s="207" t="s">
        <v>70</v>
      </c>
      <c r="F12" s="218"/>
      <c r="G12" s="202"/>
      <c r="H12" s="202"/>
      <c r="I12" s="202"/>
      <c r="J12" s="203"/>
      <c r="K12" s="204" t="str">
        <f>TOCmatch!B8</f>
        <v>Платежи</v>
      </c>
      <c r="L12" s="205"/>
      <c r="M12" s="202"/>
      <c r="N12" s="205"/>
      <c r="O12" s="203"/>
    </row>
    <row r="13" spans="1:21" outlineLevel="1" x14ac:dyDescent="0.25">
      <c r="A13" s="271">
        <v>41177.043206018519</v>
      </c>
      <c r="B13" s="272" t="s">
        <v>675</v>
      </c>
      <c r="C13" s="512" t="s">
        <v>647</v>
      </c>
      <c r="D13" s="6"/>
      <c r="E13" s="222" t="s">
        <v>70</v>
      </c>
      <c r="F13" s="204"/>
      <c r="G13" s="205"/>
      <c r="H13" s="219"/>
      <c r="I13" s="219"/>
      <c r="J13" s="220"/>
      <c r="K13" s="204" t="str">
        <f>K9</f>
        <v>Платежи</v>
      </c>
      <c r="L13" s="205"/>
      <c r="M13" s="205"/>
      <c r="N13" s="205"/>
      <c r="O13" s="220"/>
    </row>
    <row r="14" spans="1:21" s="191" customFormat="1" outlineLevel="1" x14ac:dyDescent="0.25">
      <c r="A14" s="513"/>
      <c r="B14" s="514" t="s">
        <v>641</v>
      </c>
      <c r="C14" s="515"/>
      <c r="D14" s="209"/>
      <c r="E14" s="210"/>
      <c r="F14" s="211"/>
      <c r="G14" s="212"/>
      <c r="H14" s="212"/>
      <c r="I14" s="212"/>
      <c r="J14" s="213"/>
      <c r="K14" s="214"/>
      <c r="L14" s="215"/>
      <c r="M14" s="212"/>
      <c r="N14" s="215"/>
      <c r="O14" s="213"/>
    </row>
    <row r="15" spans="1:21" s="177" customFormat="1" x14ac:dyDescent="0.25">
      <c r="A15" s="319"/>
      <c r="B15" s="320" t="s">
        <v>640</v>
      </c>
      <c r="C15" s="321"/>
      <c r="D15" s="322"/>
      <c r="E15" s="323" t="s">
        <v>202</v>
      </c>
      <c r="F15" s="324" t="s">
        <v>657</v>
      </c>
      <c r="G15" s="322"/>
      <c r="H15" s="322"/>
      <c r="I15" s="322"/>
      <c r="J15" s="325"/>
      <c r="K15" s="326" t="str">
        <f>TOCmatch!B10</f>
        <v>Договоры</v>
      </c>
      <c r="L15" s="327"/>
      <c r="M15" s="322"/>
      <c r="N15" s="327"/>
      <c r="O15" s="325"/>
    </row>
    <row r="16" spans="1:21" s="153" customFormat="1" outlineLevel="1" x14ac:dyDescent="0.25">
      <c r="A16" s="271">
        <v>41176.763807870368</v>
      </c>
      <c r="B16" s="272" t="s">
        <v>622</v>
      </c>
      <c r="C16" s="315" t="s">
        <v>620</v>
      </c>
      <c r="D16" s="200"/>
      <c r="E16" s="201" t="s">
        <v>70</v>
      </c>
      <c r="F16" s="452" t="s">
        <v>836</v>
      </c>
      <c r="G16" s="453" t="s">
        <v>837</v>
      </c>
      <c r="H16" s="202"/>
      <c r="I16" s="202"/>
      <c r="J16" s="220"/>
      <c r="K16" s="204" t="str">
        <f>TOCmatch!B10</f>
        <v>Договоры</v>
      </c>
      <c r="L16" s="219"/>
      <c r="M16" s="219"/>
      <c r="N16" s="219"/>
      <c r="O16" s="220"/>
    </row>
    <row r="17" spans="1:15" s="177" customFormat="1" outlineLevel="1" x14ac:dyDescent="0.25">
      <c r="A17" s="271">
        <v>41177.043993055559</v>
      </c>
      <c r="B17" s="272" t="s">
        <v>838</v>
      </c>
      <c r="C17" s="315" t="str">
        <f>B16</f>
        <v>InsMyCol</v>
      </c>
      <c r="D17" s="200"/>
      <c r="E17" s="477" t="s">
        <v>70</v>
      </c>
      <c r="F17" s="452" t="str">
        <f>F16</f>
        <v>HDR_1C_Contract_MyCol</v>
      </c>
      <c r="G17" s="225"/>
      <c r="H17" s="202"/>
      <c r="I17" s="202"/>
      <c r="J17" s="202"/>
      <c r="K17" s="204" t="str">
        <f>K16</f>
        <v>Договоры</v>
      </c>
      <c r="L17" s="314" t="str">
        <f>TOCmatch!B17</f>
        <v>SFacc</v>
      </c>
      <c r="M17" s="314" t="str">
        <f>TOCmatch!B15</f>
        <v>SFD</v>
      </c>
      <c r="N17" s="205"/>
      <c r="O17" s="203"/>
    </row>
    <row r="18" spans="1:15" s="153" customFormat="1" outlineLevel="1" x14ac:dyDescent="0.25">
      <c r="A18" s="510">
        <v>41177.044027777774</v>
      </c>
      <c r="B18" s="272" t="s">
        <v>633</v>
      </c>
      <c r="C18" s="315" t="str">
        <f>B17</f>
        <v>Adapt</v>
      </c>
      <c r="D18" s="200"/>
      <c r="E18" s="201" t="s">
        <v>70</v>
      </c>
      <c r="F18" s="279" t="s">
        <v>582</v>
      </c>
      <c r="G18" s="225" t="s">
        <v>133</v>
      </c>
      <c r="H18" s="219"/>
      <c r="I18" s="219"/>
      <c r="J18" s="220"/>
      <c r="K18" s="204" t="str">
        <f>TOCmatch!B10</f>
        <v>Договоры</v>
      </c>
      <c r="L18" s="219"/>
      <c r="M18" s="219"/>
      <c r="N18" s="219"/>
      <c r="O18" s="220"/>
    </row>
    <row r="19" spans="1:15" s="153" customFormat="1" outlineLevel="1" x14ac:dyDescent="0.25">
      <c r="A19" s="510">
        <v>41177.044050925928</v>
      </c>
      <c r="B19" s="511" t="s">
        <v>637</v>
      </c>
      <c r="C19" s="512" t="s">
        <v>838</v>
      </c>
      <c r="D19" s="6"/>
      <c r="E19" s="223" t="s">
        <v>70</v>
      </c>
      <c r="F19" s="280"/>
      <c r="G19" s="219"/>
      <c r="H19" s="219"/>
      <c r="I19" s="219"/>
      <c r="J19" s="220"/>
      <c r="K19" s="204" t="str">
        <f>TOCmatch!B10</f>
        <v>Договоры</v>
      </c>
      <c r="L19" s="314" t="str">
        <f>TOCmatch!B15</f>
        <v>SFD</v>
      </c>
      <c r="N19" s="219"/>
      <c r="O19" s="220"/>
    </row>
    <row r="20" spans="1:15" outlineLevel="1" x14ac:dyDescent="0.25">
      <c r="A20" s="271">
        <v>41177.044085648151</v>
      </c>
      <c r="B20" s="272" t="s">
        <v>675</v>
      </c>
      <c r="C20" s="315" t="str">
        <f t="shared" ref="C20" si="0">B19</f>
        <v>ContractPaint</v>
      </c>
      <c r="D20" s="6"/>
      <c r="E20" s="222" t="s">
        <v>70</v>
      </c>
      <c r="F20" s="279"/>
      <c r="G20" s="205"/>
      <c r="H20" s="219"/>
      <c r="I20" s="219"/>
      <c r="J20" s="220"/>
      <c r="K20" s="204" t="str">
        <f>K15</f>
        <v>Договоры</v>
      </c>
      <c r="L20" s="205"/>
      <c r="M20" s="205"/>
      <c r="N20" s="314" t="str">
        <f>TOCmatch!B17</f>
        <v>SFacc</v>
      </c>
      <c r="O20" s="220"/>
    </row>
    <row r="21" spans="1:15" s="191" customFormat="1" outlineLevel="1" x14ac:dyDescent="0.25">
      <c r="A21" s="513"/>
      <c r="B21" s="514" t="s">
        <v>641</v>
      </c>
      <c r="C21" s="515"/>
      <c r="D21" s="209"/>
      <c r="E21" s="210"/>
      <c r="F21" s="211"/>
      <c r="G21" s="212"/>
      <c r="H21" s="212"/>
      <c r="I21" s="212"/>
      <c r="J21" s="213"/>
      <c r="K21" s="214"/>
      <c r="L21" s="215"/>
      <c r="M21" s="212"/>
      <c r="N21" s="215"/>
      <c r="O21" s="213"/>
    </row>
    <row r="22" spans="1:15" s="177" customFormat="1" x14ac:dyDescent="0.25">
      <c r="A22" s="199"/>
      <c r="B22" s="200" t="s">
        <v>640</v>
      </c>
      <c r="C22" s="243"/>
      <c r="D22" s="216"/>
      <c r="E22" s="201"/>
      <c r="F22" s="224" t="s">
        <v>658</v>
      </c>
      <c r="G22" s="202"/>
      <c r="H22" s="202"/>
      <c r="I22" s="202"/>
      <c r="J22" s="203"/>
      <c r="K22" s="204" t="str">
        <f>TOCmatch!B12</f>
        <v>Список клиентов 1C</v>
      </c>
      <c r="L22" s="205"/>
      <c r="M22" s="202"/>
      <c r="N22" s="205"/>
      <c r="O22" s="203"/>
    </row>
    <row r="23" spans="1:15" s="177" customFormat="1" outlineLevel="1" x14ac:dyDescent="0.25">
      <c r="A23" s="221">
        <v>41139.843865740739</v>
      </c>
      <c r="B23" s="200" t="s">
        <v>674</v>
      </c>
      <c r="C23" s="240" t="s">
        <v>620</v>
      </c>
      <c r="D23" s="6"/>
      <c r="E23" s="201" t="s">
        <v>70</v>
      </c>
      <c r="F23" s="279"/>
      <c r="G23" s="225"/>
      <c r="H23" s="202"/>
      <c r="I23" s="202"/>
      <c r="J23" s="203"/>
      <c r="K23" s="204" t="str">
        <f>K22</f>
        <v>Список клиентов 1C</v>
      </c>
      <c r="L23" s="205"/>
      <c r="M23" s="202"/>
      <c r="N23" s="205"/>
      <c r="O23" s="203"/>
    </row>
    <row r="24" spans="1:15" s="153" customFormat="1" outlineLevel="1" x14ac:dyDescent="0.25">
      <c r="A24" s="271">
        <v>41162.095995370371</v>
      </c>
      <c r="B24" s="272" t="s">
        <v>622</v>
      </c>
      <c r="C24" s="334" t="str">
        <f>B23</f>
        <v>Acc1C_Bottom</v>
      </c>
      <c r="D24" s="200"/>
      <c r="E24" s="201" t="s">
        <v>70</v>
      </c>
      <c r="F24" s="204" t="s">
        <v>682</v>
      </c>
      <c r="G24" s="205"/>
      <c r="H24" s="202"/>
      <c r="I24" s="202"/>
      <c r="J24" s="220"/>
      <c r="K24" s="204" t="str">
        <f>K22</f>
        <v>Список клиентов 1C</v>
      </c>
      <c r="L24" s="219"/>
      <c r="M24" s="219"/>
      <c r="N24" s="219"/>
      <c r="O24" s="220"/>
    </row>
    <row r="25" spans="1:15" s="177" customFormat="1" outlineLevel="1" x14ac:dyDescent="0.25">
      <c r="A25" s="271">
        <v>41162.096585648149</v>
      </c>
      <c r="B25" s="272" t="s">
        <v>647</v>
      </c>
      <c r="C25" s="315" t="s">
        <v>622</v>
      </c>
      <c r="D25" s="6"/>
      <c r="E25" s="201" t="s">
        <v>70</v>
      </c>
      <c r="F25" s="278" t="s">
        <v>137</v>
      </c>
      <c r="G25" s="225" t="s">
        <v>94</v>
      </c>
      <c r="H25" s="225" t="s">
        <v>92</v>
      </c>
      <c r="I25" s="206" t="s">
        <v>92</v>
      </c>
      <c r="J25" s="225" t="s">
        <v>70</v>
      </c>
      <c r="K25" s="192" t="str">
        <f>K22</f>
        <v>Список клиентов 1C</v>
      </c>
      <c r="L25" s="205"/>
      <c r="M25" s="202"/>
      <c r="N25" s="205"/>
      <c r="O25" s="203"/>
    </row>
    <row r="26" spans="1:15" outlineLevel="1" x14ac:dyDescent="0.25">
      <c r="A26" s="199">
        <v>41174.073391203703</v>
      </c>
      <c r="B26" s="200" t="s">
        <v>675</v>
      </c>
      <c r="C26" s="240" t="str">
        <f>B24</f>
        <v>InsMyCol</v>
      </c>
      <c r="D26" s="6"/>
      <c r="E26" s="222" t="s">
        <v>202</v>
      </c>
      <c r="F26" s="204"/>
      <c r="G26" s="205"/>
      <c r="H26" s="219"/>
      <c r="I26" s="219"/>
      <c r="J26" s="220"/>
      <c r="K26" s="204" t="str">
        <f>K22</f>
        <v>Список клиентов 1C</v>
      </c>
      <c r="L26" s="205"/>
      <c r="M26" s="205"/>
      <c r="N26" s="314" t="str">
        <f>TOCmatch!B17</f>
        <v>SFacc</v>
      </c>
      <c r="O26" s="220"/>
    </row>
    <row r="27" spans="1:15" s="252" customFormat="1" ht="15.75" outlineLevel="1" thickBot="1" x14ac:dyDescent="0.3">
      <c r="A27" s="507"/>
      <c r="B27" s="245" t="s">
        <v>641</v>
      </c>
      <c r="C27" s="508"/>
      <c r="D27" s="245"/>
      <c r="E27" s="246"/>
      <c r="F27" s="247"/>
      <c r="G27" s="248"/>
      <c r="H27" s="248"/>
      <c r="I27" s="248"/>
      <c r="J27" s="249"/>
      <c r="K27" s="250"/>
      <c r="L27" s="251"/>
      <c r="M27" s="248"/>
      <c r="N27" s="251"/>
      <c r="O27" s="249"/>
    </row>
    <row r="28" spans="1:15" s="177" customFormat="1" ht="15.75" thickTop="1" x14ac:dyDescent="0.25">
      <c r="A28" s="502"/>
      <c r="B28" s="503" t="s">
        <v>640</v>
      </c>
      <c r="C28" s="504"/>
      <c r="D28" s="328"/>
      <c r="E28" s="329" t="s">
        <v>202</v>
      </c>
      <c r="F28" s="330" t="s">
        <v>659</v>
      </c>
      <c r="G28" s="328"/>
      <c r="H28" s="328"/>
      <c r="I28" s="328"/>
      <c r="J28" s="331"/>
      <c r="K28" s="332" t="s">
        <v>584</v>
      </c>
      <c r="L28" s="333"/>
      <c r="M28" s="328"/>
      <c r="N28" s="333"/>
      <c r="O28" s="331"/>
    </row>
    <row r="29" spans="1:15" outlineLevel="1" x14ac:dyDescent="0.25">
      <c r="A29" s="271">
        <v>41177.04241898148</v>
      </c>
      <c r="B29" s="272" t="s">
        <v>622</v>
      </c>
      <c r="C29" s="315" t="s">
        <v>620</v>
      </c>
      <c r="D29" s="200"/>
      <c r="E29" s="201" t="s">
        <v>70</v>
      </c>
      <c r="F29" s="204" t="s">
        <v>638</v>
      </c>
      <c r="G29" s="205" t="s">
        <v>639</v>
      </c>
      <c r="H29" s="219"/>
      <c r="I29" s="219"/>
      <c r="J29" s="226"/>
      <c r="K29" s="227" t="s">
        <v>584</v>
      </c>
      <c r="L29" s="219"/>
      <c r="M29" s="219"/>
      <c r="N29" s="219"/>
      <c r="O29" s="226"/>
    </row>
    <row r="30" spans="1:15" ht="45" outlineLevel="1" x14ac:dyDescent="0.25">
      <c r="A30" s="271">
        <v>41177.042523148149</v>
      </c>
      <c r="B30" s="272" t="s">
        <v>642</v>
      </c>
      <c r="C30" s="315" t="s">
        <v>669</v>
      </c>
      <c r="D30" s="219"/>
      <c r="E30" s="222" t="s">
        <v>70</v>
      </c>
      <c r="F30" s="218"/>
      <c r="G30" s="205"/>
      <c r="H30" s="219"/>
      <c r="I30" s="219"/>
      <c r="J30" s="226"/>
      <c r="K30" s="227" t="s">
        <v>584</v>
      </c>
      <c r="L30" s="219" t="str">
        <f>TOCmatch!B8</f>
        <v>Платежи</v>
      </c>
      <c r="M30" s="219"/>
      <c r="N30" s="219"/>
      <c r="O30" s="226"/>
    </row>
    <row r="31" spans="1:15" outlineLevel="1" x14ac:dyDescent="0.25">
      <c r="A31" s="271">
        <v>41177.042569444442</v>
      </c>
      <c r="B31" s="272" t="s">
        <v>633</v>
      </c>
      <c r="C31" s="315"/>
      <c r="D31" s="200"/>
      <c r="E31" s="201" t="s">
        <v>70</v>
      </c>
      <c r="F31" s="224" t="str">
        <f>K31</f>
        <v>SF</v>
      </c>
      <c r="G31" s="225" t="s">
        <v>91</v>
      </c>
      <c r="H31" s="219"/>
      <c r="I31" s="219"/>
      <c r="J31" s="220"/>
      <c r="K31" s="204" t="s">
        <v>584</v>
      </c>
      <c r="L31" s="219"/>
      <c r="M31" s="219"/>
      <c r="N31" s="219"/>
      <c r="O31" s="220"/>
    </row>
    <row r="32" spans="1:15" outlineLevel="1" x14ac:dyDescent="0.25">
      <c r="A32" s="271">
        <v>41177.043206018519</v>
      </c>
      <c r="B32" s="511" t="s">
        <v>685</v>
      </c>
      <c r="C32" s="315" t="s">
        <v>642</v>
      </c>
      <c r="D32" s="6"/>
      <c r="E32" s="222" t="s">
        <v>70</v>
      </c>
      <c r="F32" s="204" t="str">
        <f>F6</f>
        <v>LOAD_1C_P</v>
      </c>
      <c r="G32" s="205"/>
      <c r="H32" s="219"/>
      <c r="I32" s="219"/>
      <c r="J32" s="226"/>
      <c r="K32" s="227" t="s">
        <v>577</v>
      </c>
      <c r="L32" s="219"/>
      <c r="M32" s="219"/>
      <c r="N32" s="219"/>
      <c r="O32" s="226"/>
    </row>
    <row r="33" spans="1:15" s="191" customFormat="1" outlineLevel="1" x14ac:dyDescent="0.25">
      <c r="A33" s="513"/>
      <c r="B33" s="514" t="s">
        <v>641</v>
      </c>
      <c r="C33" s="515"/>
      <c r="D33" s="209"/>
      <c r="E33" s="210" t="s">
        <v>202</v>
      </c>
      <c r="F33" s="211"/>
      <c r="G33" s="212"/>
      <c r="H33" s="212"/>
      <c r="I33" s="212"/>
      <c r="J33" s="213"/>
      <c r="K33" s="214" t="s">
        <v>584</v>
      </c>
      <c r="L33" s="215"/>
      <c r="M33" s="212"/>
      <c r="N33" s="215"/>
      <c r="O33" s="213"/>
    </row>
    <row r="34" spans="1:15" s="177" customFormat="1" x14ac:dyDescent="0.25">
      <c r="A34" s="319"/>
      <c r="B34" s="320" t="s">
        <v>640</v>
      </c>
      <c r="C34" s="321"/>
      <c r="D34" s="322"/>
      <c r="E34" s="323" t="s">
        <v>202</v>
      </c>
      <c r="F34" s="324" t="s">
        <v>660</v>
      </c>
      <c r="G34" s="322"/>
      <c r="H34" s="322"/>
      <c r="I34" s="322"/>
      <c r="J34" s="325"/>
      <c r="K34" s="326" t="s">
        <v>587</v>
      </c>
      <c r="L34" s="327"/>
      <c r="M34" s="322"/>
      <c r="N34" s="327"/>
      <c r="O34" s="325"/>
    </row>
    <row r="35" spans="1:15" outlineLevel="1" x14ac:dyDescent="0.25">
      <c r="A35" s="271">
        <v>41177.043807870374</v>
      </c>
      <c r="B35" s="272" t="s">
        <v>622</v>
      </c>
      <c r="C35" s="315" t="s">
        <v>620</v>
      </c>
      <c r="D35" s="200"/>
      <c r="E35" s="201" t="s">
        <v>70</v>
      </c>
      <c r="F35" s="204" t="s">
        <v>670</v>
      </c>
      <c r="G35" s="205" t="s">
        <v>671</v>
      </c>
      <c r="H35" s="219"/>
      <c r="I35" s="219"/>
      <c r="J35" s="226"/>
      <c r="K35" s="227" t="s">
        <v>587</v>
      </c>
      <c r="L35" s="219"/>
      <c r="M35" s="219"/>
      <c r="N35" s="219"/>
      <c r="O35" s="226"/>
    </row>
    <row r="36" spans="1:15" ht="45" outlineLevel="1" x14ac:dyDescent="0.25">
      <c r="A36" s="271">
        <v>41177.043854166666</v>
      </c>
      <c r="B36" s="272" t="s">
        <v>673</v>
      </c>
      <c r="C36" s="315" t="s">
        <v>672</v>
      </c>
      <c r="D36" s="219"/>
      <c r="E36" s="222" t="s">
        <v>70</v>
      </c>
      <c r="F36" s="218" t="s">
        <v>587</v>
      </c>
      <c r="G36" s="205" t="s">
        <v>582</v>
      </c>
      <c r="H36" s="225" t="s">
        <v>94</v>
      </c>
      <c r="I36" s="225" t="s">
        <v>129</v>
      </c>
      <c r="J36" s="226"/>
      <c r="K36" s="6" t="str">
        <f>TOCmatch!B10</f>
        <v>Договоры</v>
      </c>
      <c r="L36" s="314" t="str">
        <f>TOCmatch!B15</f>
        <v>SFD</v>
      </c>
      <c r="M36" s="219"/>
      <c r="N36" s="219"/>
      <c r="O36" s="226"/>
    </row>
    <row r="37" spans="1:15" outlineLevel="1" x14ac:dyDescent="0.25">
      <c r="A37" s="271">
        <v>41177.043900462966</v>
      </c>
      <c r="B37" s="272" t="s">
        <v>633</v>
      </c>
      <c r="C37" s="315"/>
      <c r="D37" s="200"/>
      <c r="E37" s="201" t="s">
        <v>70</v>
      </c>
      <c r="F37" s="224" t="str">
        <f>K37</f>
        <v>SFD</v>
      </c>
      <c r="G37" s="225" t="s">
        <v>129</v>
      </c>
      <c r="H37" s="219"/>
      <c r="I37" s="219"/>
      <c r="J37" s="220"/>
      <c r="K37" s="227" t="s">
        <v>587</v>
      </c>
      <c r="L37" s="219"/>
      <c r="M37" s="219"/>
      <c r="N37" s="219"/>
      <c r="O37" s="220"/>
    </row>
    <row r="38" spans="1:15" outlineLevel="1" x14ac:dyDescent="0.25">
      <c r="A38" s="271">
        <v>41177.044085648151</v>
      </c>
      <c r="B38" s="511" t="s">
        <v>685</v>
      </c>
      <c r="C38" s="512" t="s">
        <v>673</v>
      </c>
      <c r="D38" s="6"/>
      <c r="E38" s="222" t="s">
        <v>70</v>
      </c>
      <c r="F38" s="204" t="str">
        <f>F15</f>
        <v>LOAD_1C_DOG</v>
      </c>
      <c r="G38" s="205"/>
      <c r="H38" s="219"/>
      <c r="I38" s="219"/>
      <c r="J38" s="226"/>
      <c r="K38" s="227" t="s">
        <v>582</v>
      </c>
      <c r="L38" s="219"/>
      <c r="M38" s="219"/>
      <c r="N38" s="219"/>
      <c r="O38" s="226"/>
    </row>
    <row r="39" spans="1:15" s="191" customFormat="1" outlineLevel="1" x14ac:dyDescent="0.25">
      <c r="A39" s="513"/>
      <c r="B39" s="514" t="s">
        <v>641</v>
      </c>
      <c r="C39" s="515"/>
      <c r="D39" s="209"/>
      <c r="E39" s="210" t="s">
        <v>202</v>
      </c>
      <c r="F39" s="211"/>
      <c r="G39" s="212"/>
      <c r="H39" s="212"/>
      <c r="I39" s="212"/>
      <c r="J39" s="213"/>
      <c r="K39" s="214"/>
      <c r="L39" s="215"/>
      <c r="M39" s="212"/>
      <c r="N39" s="215"/>
      <c r="O39" s="213"/>
    </row>
    <row r="40" spans="1:15" s="177" customFormat="1" x14ac:dyDescent="0.25">
      <c r="A40" s="319"/>
      <c r="B40" s="320" t="s">
        <v>640</v>
      </c>
      <c r="C40" s="321"/>
      <c r="D40" s="322"/>
      <c r="E40" s="323" t="s">
        <v>202</v>
      </c>
      <c r="F40" s="324" t="s">
        <v>661</v>
      </c>
      <c r="G40" s="322"/>
      <c r="H40" s="322"/>
      <c r="I40" s="322"/>
      <c r="J40" s="325"/>
      <c r="K40" s="326" t="str">
        <f>TOCmatch!B17</f>
        <v>SFacc</v>
      </c>
      <c r="L40" s="327"/>
      <c r="M40" s="322"/>
      <c r="N40" s="327"/>
      <c r="O40" s="325"/>
    </row>
    <row r="41" spans="1:15" s="177" customFormat="1" outlineLevel="1" x14ac:dyDescent="0.25">
      <c r="A41" s="221"/>
      <c r="B41" s="200" t="s">
        <v>646</v>
      </c>
      <c r="C41" s="241"/>
      <c r="D41" s="200"/>
      <c r="E41" s="201"/>
      <c r="F41" s="218" t="s">
        <v>70</v>
      </c>
      <c r="G41" s="225"/>
      <c r="H41" s="202"/>
      <c r="I41" s="202"/>
      <c r="J41" s="203"/>
      <c r="K41" s="204"/>
      <c r="L41" s="205"/>
      <c r="M41" s="202"/>
      <c r="N41" s="205"/>
      <c r="O41" s="203"/>
    </row>
    <row r="42" spans="1:15" outlineLevel="1" x14ac:dyDescent="0.25">
      <c r="A42" s="199">
        <v>41176.738425925927</v>
      </c>
      <c r="B42" s="200" t="s">
        <v>685</v>
      </c>
      <c r="C42" s="240"/>
      <c r="D42" s="6"/>
      <c r="E42" s="222" t="s">
        <v>202</v>
      </c>
      <c r="F42" s="204" t="str">
        <f>F6</f>
        <v>LOAD_1C_P</v>
      </c>
      <c r="G42" s="205"/>
      <c r="H42" s="219"/>
      <c r="I42" s="219"/>
      <c r="J42" s="220"/>
      <c r="K42" s="204" t="str">
        <f>K40</f>
        <v>SFacc</v>
      </c>
      <c r="L42" s="205"/>
      <c r="M42" s="205"/>
      <c r="N42" s="219"/>
      <c r="O42" s="220"/>
    </row>
    <row r="43" spans="1:15" outlineLevel="1" x14ac:dyDescent="0.25">
      <c r="A43" s="199">
        <v>41174.073252314818</v>
      </c>
      <c r="B43" s="200" t="s">
        <v>685</v>
      </c>
      <c r="C43" s="240"/>
      <c r="D43" s="6"/>
      <c r="E43" s="222" t="s">
        <v>202</v>
      </c>
      <c r="F43" s="204" t="str">
        <f>F15</f>
        <v>LOAD_1C_DOG</v>
      </c>
      <c r="G43" s="205"/>
      <c r="H43" s="219"/>
      <c r="I43" s="219"/>
      <c r="J43" s="220"/>
      <c r="K43" s="204" t="str">
        <f>K40</f>
        <v>SFacc</v>
      </c>
      <c r="L43" s="205"/>
      <c r="M43" s="205"/>
      <c r="N43" s="219"/>
      <c r="O43" s="220"/>
    </row>
    <row r="44" spans="1:15" outlineLevel="1" x14ac:dyDescent="0.25">
      <c r="A44" s="199">
        <v>41174.073391203703</v>
      </c>
      <c r="B44" s="200" t="s">
        <v>685</v>
      </c>
      <c r="C44" s="240"/>
      <c r="D44" s="6"/>
      <c r="E44" s="222" t="s">
        <v>202</v>
      </c>
      <c r="F44" s="204" t="str">
        <f>F22</f>
        <v>LOAD_1C_ACC</v>
      </c>
      <c r="G44" s="205"/>
      <c r="H44" s="219"/>
      <c r="I44" s="219"/>
      <c r="J44" s="220"/>
      <c r="K44" s="204" t="str">
        <f>K40</f>
        <v>SFacc</v>
      </c>
      <c r="L44" s="205"/>
      <c r="M44" s="205"/>
      <c r="N44" s="219"/>
      <c r="O44" s="220"/>
    </row>
    <row r="45" spans="1:15" s="252" customFormat="1" ht="15.75" outlineLevel="1" thickBot="1" x14ac:dyDescent="0.3">
      <c r="A45" s="507"/>
      <c r="B45" s="245" t="s">
        <v>641</v>
      </c>
      <c r="C45" s="508"/>
      <c r="D45" s="245"/>
      <c r="E45" s="246"/>
      <c r="F45" s="247"/>
      <c r="G45" s="248"/>
      <c r="H45" s="248"/>
      <c r="I45" s="248"/>
      <c r="J45" s="249"/>
      <c r="K45" s="250"/>
      <c r="L45" s="251"/>
      <c r="M45" s="248"/>
      <c r="N45" s="251"/>
      <c r="O45" s="249"/>
    </row>
    <row r="46" spans="1:15" s="177" customFormat="1" ht="15.75" thickTop="1" x14ac:dyDescent="0.25">
      <c r="A46" s="199"/>
      <c r="B46" s="200" t="s">
        <v>640</v>
      </c>
      <c r="C46" s="243"/>
      <c r="D46" s="216"/>
      <c r="E46" s="201" t="s">
        <v>202</v>
      </c>
      <c r="F46" s="217" t="s">
        <v>666</v>
      </c>
      <c r="G46" s="202"/>
      <c r="H46" s="202"/>
      <c r="I46" s="202"/>
      <c r="J46" s="203"/>
      <c r="K46" s="192" t="s">
        <v>577</v>
      </c>
      <c r="L46" s="205"/>
      <c r="M46" s="202"/>
      <c r="N46" s="205"/>
      <c r="O46" s="203"/>
    </row>
    <row r="47" spans="1:15" s="177" customFormat="1" x14ac:dyDescent="0.25">
      <c r="A47" s="221"/>
      <c r="B47" s="200" t="s">
        <v>646</v>
      </c>
      <c r="C47" s="241"/>
      <c r="D47" s="200"/>
      <c r="E47" s="201"/>
      <c r="F47" s="218" t="s">
        <v>70</v>
      </c>
      <c r="G47" s="225"/>
      <c r="H47" s="202"/>
      <c r="I47" s="202"/>
      <c r="J47" s="203"/>
      <c r="K47" s="204"/>
      <c r="L47" s="205"/>
      <c r="M47" s="202"/>
      <c r="N47" s="205"/>
      <c r="O47" s="203"/>
    </row>
    <row r="48" spans="1:15" ht="30" x14ac:dyDescent="0.25">
      <c r="A48" s="221"/>
      <c r="B48" s="206" t="s">
        <v>686</v>
      </c>
      <c r="C48" s="240" t="s">
        <v>687</v>
      </c>
      <c r="D48" s="6"/>
      <c r="E48" s="222" t="s">
        <v>202</v>
      </c>
      <c r="F48" s="204"/>
      <c r="G48" s="205"/>
      <c r="H48" s="219"/>
      <c r="I48" s="219"/>
      <c r="J48" s="226"/>
      <c r="K48" s="227" t="s">
        <v>577</v>
      </c>
      <c r="L48" s="219"/>
      <c r="M48" s="219"/>
      <c r="N48" s="219"/>
      <c r="O48" s="226"/>
    </row>
    <row r="49" spans="1:16" x14ac:dyDescent="0.25">
      <c r="A49" s="221"/>
      <c r="B49" s="206" t="s">
        <v>649</v>
      </c>
      <c r="C49" s="244" t="s">
        <v>648</v>
      </c>
      <c r="D49" s="6"/>
      <c r="E49" s="222"/>
      <c r="F49" s="204" t="s">
        <v>650</v>
      </c>
      <c r="G49" s="205" t="s">
        <v>651</v>
      </c>
      <c r="H49" s="219" t="s">
        <v>652</v>
      </c>
      <c r="I49" s="219" t="s">
        <v>653</v>
      </c>
      <c r="J49" s="226"/>
      <c r="K49" s="227"/>
      <c r="L49" s="219"/>
      <c r="M49" s="219"/>
      <c r="N49" s="219"/>
      <c r="O49" s="226"/>
    </row>
    <row r="50" spans="1:16" s="191" customFormat="1" x14ac:dyDescent="0.25">
      <c r="A50" s="208"/>
      <c r="B50" s="209" t="s">
        <v>641</v>
      </c>
      <c r="C50" s="242"/>
      <c r="D50" s="209"/>
      <c r="E50" s="210" t="s">
        <v>202</v>
      </c>
      <c r="F50" s="211"/>
      <c r="G50" s="212"/>
      <c r="H50" s="212"/>
      <c r="I50" s="212"/>
      <c r="J50" s="213"/>
      <c r="K50" s="214"/>
      <c r="L50" s="215"/>
      <c r="M50" s="212"/>
      <c r="N50" s="215"/>
      <c r="O50" s="213"/>
    </row>
    <row r="51" spans="1:16" s="177" customFormat="1" x14ac:dyDescent="0.25">
      <c r="A51" s="271"/>
      <c r="B51" s="272" t="s">
        <v>640</v>
      </c>
      <c r="C51" s="273"/>
      <c r="D51" s="216"/>
      <c r="E51" s="201"/>
      <c r="F51" s="217" t="s">
        <v>939</v>
      </c>
      <c r="G51" s="202"/>
      <c r="H51" s="202"/>
      <c r="I51" s="202"/>
      <c r="J51" s="203"/>
      <c r="K51" s="192" t="str">
        <f>K9</f>
        <v>Платежи</v>
      </c>
      <c r="L51" s="205"/>
      <c r="M51" s="202"/>
      <c r="N51" s="205"/>
      <c r="O51" s="203"/>
      <c r="P51" s="520"/>
    </row>
    <row r="52" spans="1:16" s="177" customFormat="1" x14ac:dyDescent="0.25">
      <c r="A52" s="271">
        <v>41176.83766203704</v>
      </c>
      <c r="B52" s="272" t="s">
        <v>703</v>
      </c>
      <c r="C52" s="273"/>
      <c r="D52" s="216"/>
      <c r="E52" s="201"/>
      <c r="F52" s="274" t="s">
        <v>940</v>
      </c>
      <c r="G52" s="202"/>
      <c r="H52" s="202"/>
      <c r="I52" s="202"/>
      <c r="J52" s="203"/>
      <c r="K52" s="192"/>
      <c r="L52" s="205"/>
      <c r="M52" s="202"/>
      <c r="N52" s="205"/>
      <c r="O52" s="203"/>
      <c r="P52" s="520"/>
    </row>
    <row r="53" spans="1:16" s="177" customFormat="1" x14ac:dyDescent="0.25">
      <c r="A53" s="221"/>
      <c r="B53" s="200" t="s">
        <v>646</v>
      </c>
      <c r="C53" s="241"/>
      <c r="D53" s="200"/>
      <c r="E53" s="201"/>
      <c r="F53" s="218" t="s">
        <v>70</v>
      </c>
      <c r="G53" s="225"/>
      <c r="H53" s="202"/>
      <c r="I53" s="202"/>
      <c r="J53" s="203"/>
      <c r="K53" s="204"/>
      <c r="L53" s="205"/>
      <c r="M53" s="202"/>
      <c r="N53" s="205"/>
      <c r="O53" s="203"/>
      <c r="P53" s="520"/>
    </row>
    <row r="54" spans="1:16" s="177" customFormat="1" x14ac:dyDescent="0.25">
      <c r="A54" s="271">
        <v>41176.837731481479</v>
      </c>
      <c r="B54" s="272" t="s">
        <v>941</v>
      </c>
      <c r="C54" s="517" t="str">
        <f>F6&amp;"/"&amp;B12</f>
        <v>LOAD_1C_P/PaymentPaint</v>
      </c>
      <c r="D54" s="200"/>
      <c r="E54" s="201"/>
      <c r="F54" s="218"/>
      <c r="G54" s="225"/>
      <c r="H54" s="202"/>
      <c r="I54" s="202"/>
      <c r="J54" s="203"/>
      <c r="K54" s="204" t="str">
        <f>K51</f>
        <v>Платежи</v>
      </c>
      <c r="L54" s="314" t="str">
        <f>TOCmatch!B11</f>
        <v>Договоры</v>
      </c>
      <c r="M54" s="202"/>
      <c r="N54" s="205"/>
      <c r="O54" s="203"/>
      <c r="P54" s="520"/>
    </row>
    <row r="55" spans="1:16" s="177" customFormat="1" x14ac:dyDescent="0.25">
      <c r="A55" s="271">
        <v>41176.837766203702</v>
      </c>
      <c r="B55" s="511" t="s">
        <v>649</v>
      </c>
      <c r="C55" s="517" t="str">
        <f>B54</f>
        <v>NewPaidOpp</v>
      </c>
      <c r="D55" s="200"/>
      <c r="E55" s="201"/>
      <c r="F55" s="275" t="str">
        <f>F52</f>
        <v>NewPayment</v>
      </c>
      <c r="G55" s="205" t="s">
        <v>912</v>
      </c>
      <c r="H55" s="219" t="s">
        <v>693</v>
      </c>
      <c r="I55" s="219" t="s">
        <v>694</v>
      </c>
      <c r="J55" s="203"/>
      <c r="K55" s="204"/>
      <c r="L55" s="205"/>
      <c r="M55" s="202"/>
      <c r="N55" s="205"/>
      <c r="O55" s="203"/>
      <c r="P55" s="520"/>
    </row>
    <row r="56" spans="1:16" s="191" customFormat="1" x14ac:dyDescent="0.25">
      <c r="A56" s="513"/>
      <c r="B56" s="514" t="s">
        <v>641</v>
      </c>
      <c r="C56" s="515"/>
      <c r="D56" s="209"/>
      <c r="E56" s="210"/>
      <c r="F56" s="211"/>
      <c r="G56" s="212"/>
      <c r="H56" s="212"/>
      <c r="I56" s="212"/>
      <c r="J56" s="213"/>
      <c r="K56" s="214"/>
      <c r="L56" s="215"/>
      <c r="M56" s="212"/>
      <c r="N56" s="215"/>
      <c r="O56" s="213"/>
      <c r="P56" s="521"/>
    </row>
    <row r="57" spans="1:16" s="177" customFormat="1" x14ac:dyDescent="0.25">
      <c r="A57" s="199"/>
      <c r="B57" s="200" t="s">
        <v>640</v>
      </c>
      <c r="C57" s="243"/>
      <c r="D57" s="216"/>
      <c r="E57" s="201"/>
      <c r="F57" s="217" t="s">
        <v>942</v>
      </c>
      <c r="G57" s="202"/>
      <c r="H57" s="202"/>
      <c r="I57" s="202"/>
      <c r="J57" s="203"/>
      <c r="K57" s="192" t="str">
        <f>TOCmatch!B8</f>
        <v>Платежи</v>
      </c>
      <c r="L57" s="205"/>
      <c r="M57" s="202"/>
      <c r="N57" s="205"/>
      <c r="O57" s="203"/>
      <c r="P57" s="518"/>
    </row>
    <row r="58" spans="1:16" s="177" customFormat="1" x14ac:dyDescent="0.25">
      <c r="A58" s="271">
        <v>41177.034733796296</v>
      </c>
      <c r="B58" s="272" t="s">
        <v>703</v>
      </c>
      <c r="C58" s="273"/>
      <c r="D58" s="216"/>
      <c r="E58" s="201" t="s">
        <v>70</v>
      </c>
      <c r="F58" s="274" t="s">
        <v>940</v>
      </c>
      <c r="G58" s="202"/>
      <c r="H58" s="202"/>
      <c r="I58" s="202"/>
      <c r="J58" s="203"/>
      <c r="K58" s="192"/>
      <c r="L58" s="205"/>
      <c r="M58" s="202"/>
      <c r="N58" s="205"/>
      <c r="O58" s="203"/>
      <c r="P58" s="518"/>
    </row>
    <row r="59" spans="1:16" s="177" customFormat="1" x14ac:dyDescent="0.25">
      <c r="A59" s="199">
        <v>41177.034803240742</v>
      </c>
      <c r="B59" s="200" t="s">
        <v>943</v>
      </c>
      <c r="C59" s="523" t="str">
        <f>F6&amp;"/"&amp;B12</f>
        <v>LOAD_1C_P/PaymentPaint</v>
      </c>
      <c r="D59" s="200"/>
      <c r="E59" s="201" t="s">
        <v>202</v>
      </c>
      <c r="F59" s="218"/>
      <c r="G59" s="225"/>
      <c r="H59" s="202"/>
      <c r="I59" s="202"/>
      <c r="J59" s="203"/>
      <c r="K59" s="204" t="str">
        <f>K57</f>
        <v>Платежи</v>
      </c>
      <c r="L59" s="314" t="str">
        <f>TOCmatch!B15</f>
        <v>SFD</v>
      </c>
      <c r="M59" s="202"/>
      <c r="N59" s="205"/>
      <c r="O59" s="203"/>
      <c r="P59" s="518"/>
    </row>
    <row r="60" spans="1:16" s="177" customFormat="1" x14ac:dyDescent="0.25">
      <c r="A60" s="199">
        <v>41177.034826388888</v>
      </c>
      <c r="B60" s="206" t="s">
        <v>649</v>
      </c>
      <c r="C60" s="523" t="str">
        <f>B59</f>
        <v>NewPaidDog</v>
      </c>
      <c r="D60" s="200"/>
      <c r="E60" s="201" t="s">
        <v>202</v>
      </c>
      <c r="F60" s="275" t="str">
        <f>F58</f>
        <v>NewPayment</v>
      </c>
      <c r="G60" s="205" t="s">
        <v>912</v>
      </c>
      <c r="H60" s="219" t="s">
        <v>1032</v>
      </c>
      <c r="I60" s="219" t="s">
        <v>1033</v>
      </c>
      <c r="J60" s="203"/>
      <c r="K60" s="204"/>
      <c r="L60" s="205"/>
      <c r="M60" s="202"/>
      <c r="N60" s="205"/>
      <c r="O60" s="203"/>
      <c r="P60" s="518"/>
    </row>
    <row r="61" spans="1:16" s="191" customFormat="1" x14ac:dyDescent="0.25">
      <c r="A61" s="208"/>
      <c r="B61" s="209" t="s">
        <v>641</v>
      </c>
      <c r="C61" s="242"/>
      <c r="D61" s="209"/>
      <c r="E61" s="210"/>
      <c r="F61" s="211"/>
      <c r="G61" s="212"/>
      <c r="H61" s="212"/>
      <c r="I61" s="212"/>
      <c r="J61" s="213"/>
      <c r="K61" s="214"/>
      <c r="L61" s="215"/>
      <c r="M61" s="212"/>
      <c r="N61" s="215"/>
      <c r="O61" s="213"/>
      <c r="P61" s="519"/>
    </row>
    <row r="62" spans="1:16" s="177" customFormat="1" x14ac:dyDescent="0.25">
      <c r="A62" s="271"/>
      <c r="B62" s="272" t="s">
        <v>640</v>
      </c>
      <c r="C62" s="273"/>
      <c r="D62" s="216"/>
      <c r="E62" s="201" t="s">
        <v>202</v>
      </c>
      <c r="F62" s="217" t="s">
        <v>692</v>
      </c>
      <c r="G62" s="202"/>
      <c r="H62" s="202"/>
      <c r="I62" s="202"/>
      <c r="J62" s="203"/>
      <c r="K62" s="192" t="str">
        <f>K15</f>
        <v>Договоры</v>
      </c>
      <c r="L62" s="205"/>
      <c r="M62" s="202"/>
      <c r="N62" s="205"/>
      <c r="O62" s="203"/>
    </row>
    <row r="63" spans="1:16" s="177" customFormat="1" x14ac:dyDescent="0.25">
      <c r="A63" s="271">
        <v>41176.83766203704</v>
      </c>
      <c r="B63" s="272" t="s">
        <v>703</v>
      </c>
      <c r="C63" s="273"/>
      <c r="D63" s="216"/>
      <c r="E63" s="201" t="s">
        <v>70</v>
      </c>
      <c r="F63" s="274" t="s">
        <v>704</v>
      </c>
      <c r="G63" s="202"/>
      <c r="H63" s="202"/>
      <c r="I63" s="202"/>
      <c r="J63" s="203"/>
      <c r="K63" s="192"/>
      <c r="L63" s="205"/>
      <c r="M63" s="202"/>
      <c r="N63" s="205"/>
      <c r="O63" s="203"/>
    </row>
    <row r="64" spans="1:16" s="177" customFormat="1" x14ac:dyDescent="0.25">
      <c r="A64" s="221"/>
      <c r="B64" s="200" t="s">
        <v>646</v>
      </c>
      <c r="C64" s="241"/>
      <c r="D64" s="200"/>
      <c r="E64" s="201"/>
      <c r="F64" s="218" t="s">
        <v>70</v>
      </c>
      <c r="G64" s="225"/>
      <c r="H64" s="202"/>
      <c r="I64" s="202"/>
      <c r="J64" s="203"/>
      <c r="K64" s="204"/>
      <c r="L64" s="205"/>
      <c r="M64" s="202"/>
      <c r="N64" s="205"/>
      <c r="O64" s="203"/>
    </row>
    <row r="65" spans="1:15" s="177" customFormat="1" x14ac:dyDescent="0.25">
      <c r="A65" s="271">
        <v>41176.837731481479</v>
      </c>
      <c r="B65" s="272" t="s">
        <v>691</v>
      </c>
      <c r="C65" s="517" t="s">
        <v>893</v>
      </c>
      <c r="D65" s="200"/>
      <c r="E65" s="201" t="s">
        <v>70</v>
      </c>
      <c r="F65" s="218"/>
      <c r="G65" s="225"/>
      <c r="H65" s="202"/>
      <c r="I65" s="202"/>
      <c r="J65" s="203"/>
      <c r="K65" s="204" t="str">
        <f>K62</f>
        <v>Договоры</v>
      </c>
      <c r="L65" s="314" t="str">
        <f>TOCmatch!B17</f>
        <v>SFacc</v>
      </c>
      <c r="M65" s="202"/>
      <c r="N65" s="205"/>
      <c r="O65" s="203"/>
    </row>
    <row r="66" spans="1:15" s="177" customFormat="1" x14ac:dyDescent="0.25">
      <c r="A66" s="271">
        <v>41176.837766203702</v>
      </c>
      <c r="B66" s="511" t="s">
        <v>649</v>
      </c>
      <c r="C66" s="517" t="str">
        <f>B65</f>
        <v>NewContr</v>
      </c>
      <c r="D66" s="200"/>
      <c r="E66" s="201" t="s">
        <v>70</v>
      </c>
      <c r="F66" s="275" t="str">
        <f>F63</f>
        <v>NewContract</v>
      </c>
      <c r="G66" s="205" t="s">
        <v>912</v>
      </c>
      <c r="H66" s="219" t="s">
        <v>693</v>
      </c>
      <c r="I66" s="219" t="s">
        <v>694</v>
      </c>
      <c r="J66" s="203"/>
      <c r="K66" s="204"/>
      <c r="L66" s="205"/>
      <c r="M66" s="202"/>
      <c r="N66" s="205"/>
      <c r="O66" s="203"/>
    </row>
    <row r="67" spans="1:15" s="191" customFormat="1" x14ac:dyDescent="0.25">
      <c r="A67" s="513"/>
      <c r="B67" s="514" t="s">
        <v>641</v>
      </c>
      <c r="C67" s="515"/>
      <c r="D67" s="209"/>
      <c r="E67" s="210" t="s">
        <v>202</v>
      </c>
      <c r="F67" s="211"/>
      <c r="G67" s="212"/>
      <c r="H67" s="212"/>
      <c r="I67" s="212"/>
      <c r="J67" s="213"/>
      <c r="K67" s="214"/>
      <c r="L67" s="215"/>
      <c r="M67" s="212"/>
      <c r="N67" s="215"/>
      <c r="O67" s="213"/>
    </row>
    <row r="68" spans="1:15" s="177" customFormat="1" x14ac:dyDescent="0.25">
      <c r="A68" s="271"/>
      <c r="B68" s="272" t="s">
        <v>640</v>
      </c>
      <c r="C68" s="273"/>
      <c r="D68" s="216"/>
      <c r="E68" s="201" t="s">
        <v>202</v>
      </c>
      <c r="F68" s="217" t="s">
        <v>688</v>
      </c>
      <c r="G68" s="202"/>
      <c r="H68" s="202"/>
      <c r="I68" s="202"/>
      <c r="J68" s="203"/>
      <c r="K68" s="192" t="str">
        <f>K82</f>
        <v>Договоры</v>
      </c>
      <c r="L68" s="205"/>
      <c r="M68" s="202"/>
      <c r="N68" s="205"/>
      <c r="O68" s="203"/>
    </row>
    <row r="69" spans="1:15" x14ac:dyDescent="0.25">
      <c r="A69" s="221"/>
      <c r="B69" s="206" t="s">
        <v>689</v>
      </c>
      <c r="C69" s="240" t="s">
        <v>691</v>
      </c>
      <c r="D69" s="6"/>
      <c r="E69" s="222" t="s">
        <v>202</v>
      </c>
      <c r="F69" s="204"/>
      <c r="G69" s="205"/>
      <c r="H69" s="219"/>
      <c r="I69" s="219"/>
      <c r="J69" s="226"/>
      <c r="K69" s="227" t="s">
        <v>582</v>
      </c>
      <c r="L69" s="219"/>
      <c r="M69" s="219"/>
      <c r="N69" s="219"/>
      <c r="O69" s="226"/>
    </row>
    <row r="70" spans="1:15" x14ac:dyDescent="0.25">
      <c r="A70" s="221"/>
      <c r="B70" s="206" t="s">
        <v>649</v>
      </c>
      <c r="C70" s="244" t="s">
        <v>689</v>
      </c>
      <c r="D70" s="6"/>
      <c r="E70" s="222"/>
      <c r="F70" s="204" t="s">
        <v>690</v>
      </c>
      <c r="G70" s="205" t="s">
        <v>651</v>
      </c>
      <c r="H70" s="219" t="s">
        <v>652</v>
      </c>
      <c r="I70" s="219" t="s">
        <v>653</v>
      </c>
      <c r="J70" s="226"/>
      <c r="K70" s="227"/>
      <c r="L70" s="219"/>
      <c r="M70" s="219"/>
      <c r="N70" s="219"/>
      <c r="O70" s="226"/>
    </row>
    <row r="71" spans="1:15" s="191" customFormat="1" x14ac:dyDescent="0.25">
      <c r="A71" s="208"/>
      <c r="B71" s="209" t="s">
        <v>641</v>
      </c>
      <c r="C71" s="242"/>
      <c r="D71" s="209"/>
      <c r="E71" s="210" t="s">
        <v>202</v>
      </c>
      <c r="F71" s="211"/>
      <c r="G71" s="212"/>
      <c r="H71" s="212"/>
      <c r="I71" s="212"/>
      <c r="J71" s="213"/>
      <c r="K71" s="214"/>
      <c r="L71" s="215"/>
      <c r="M71" s="212"/>
      <c r="N71" s="215"/>
      <c r="O71" s="213"/>
    </row>
    <row r="72" spans="1:15" s="177" customFormat="1" x14ac:dyDescent="0.25">
      <c r="A72" s="199"/>
      <c r="B72" s="200" t="s">
        <v>640</v>
      </c>
      <c r="C72" s="243"/>
      <c r="D72" s="216"/>
      <c r="E72" s="201" t="s">
        <v>202</v>
      </c>
      <c r="F72" s="217" t="s">
        <v>667</v>
      </c>
      <c r="G72" s="202"/>
      <c r="H72" s="202"/>
      <c r="I72" s="202"/>
      <c r="J72" s="203"/>
      <c r="K72" s="192" t="s">
        <v>577</v>
      </c>
      <c r="L72" s="205"/>
      <c r="M72" s="202"/>
      <c r="N72" s="205"/>
      <c r="O72" s="203"/>
    </row>
    <row r="73" spans="1:15" s="177" customFormat="1" x14ac:dyDescent="0.25">
      <c r="A73" s="221"/>
      <c r="B73" s="200" t="s">
        <v>646</v>
      </c>
      <c r="C73" s="241"/>
      <c r="D73" s="200"/>
      <c r="E73" s="201"/>
      <c r="F73" s="218" t="s">
        <v>70</v>
      </c>
      <c r="G73" s="225"/>
      <c r="H73" s="202"/>
      <c r="I73" s="202"/>
      <c r="J73" s="203"/>
      <c r="K73" s="204"/>
      <c r="L73" s="205"/>
      <c r="M73" s="202"/>
      <c r="N73" s="205"/>
      <c r="O73" s="203"/>
    </row>
    <row r="74" spans="1:15" ht="30" x14ac:dyDescent="0.25">
      <c r="A74" s="221"/>
      <c r="B74" s="206" t="s">
        <v>654</v>
      </c>
      <c r="C74" s="240" t="s">
        <v>687</v>
      </c>
      <c r="D74" s="6"/>
      <c r="E74" s="222" t="s">
        <v>202</v>
      </c>
      <c r="F74" s="204"/>
      <c r="G74" s="205"/>
      <c r="H74" s="219"/>
      <c r="I74" s="219"/>
      <c r="J74" s="226"/>
      <c r="K74" s="227" t="s">
        <v>577</v>
      </c>
      <c r="L74" s="219" t="s">
        <v>589</v>
      </c>
      <c r="M74" s="219"/>
      <c r="N74" s="219"/>
      <c r="O74" s="226"/>
    </row>
    <row r="75" spans="1:15" s="191" customFormat="1" x14ac:dyDescent="0.25">
      <c r="A75" s="208"/>
      <c r="B75" s="209" t="s">
        <v>641</v>
      </c>
      <c r="C75" s="242"/>
      <c r="D75" s="209"/>
      <c r="E75" s="210" t="s">
        <v>202</v>
      </c>
      <c r="F75" s="211"/>
      <c r="G75" s="212"/>
      <c r="H75" s="212"/>
      <c r="I75" s="212"/>
      <c r="J75" s="213"/>
      <c r="K75" s="214"/>
      <c r="L75" s="215"/>
      <c r="M75" s="212"/>
      <c r="N75" s="215"/>
      <c r="O75" s="213"/>
    </row>
    <row r="76" spans="1:15" s="140" customFormat="1" x14ac:dyDescent="0.25">
      <c r="A76" s="229"/>
      <c r="B76" s="230" t="s">
        <v>617</v>
      </c>
      <c r="C76" s="231" t="s">
        <v>127</v>
      </c>
      <c r="D76" s="232"/>
      <c r="E76" s="233"/>
      <c r="F76" s="234"/>
      <c r="G76" s="228"/>
      <c r="H76" s="228"/>
      <c r="I76" s="228"/>
      <c r="J76" s="235"/>
      <c r="K76" s="234" t="s">
        <v>616</v>
      </c>
      <c r="L76" s="228"/>
      <c r="M76" s="228"/>
      <c r="N76" s="228"/>
      <c r="O76" s="235"/>
    </row>
    <row r="77" spans="1:15" x14ac:dyDescent="0.25">
      <c r="A77" s="236"/>
      <c r="B77" s="237">
        <v>1043</v>
      </c>
      <c r="C77" s="238"/>
      <c r="D77" s="6"/>
      <c r="E77" s="201"/>
      <c r="F77" s="224"/>
      <c r="G77" s="219"/>
      <c r="H77" s="219"/>
      <c r="I77" s="219"/>
      <c r="J77" s="220"/>
      <c r="K77" s="224" t="s">
        <v>616</v>
      </c>
      <c r="L77" s="219"/>
      <c r="M77" s="219"/>
      <c r="N77" s="219"/>
      <c r="O77" s="220"/>
    </row>
    <row r="78" spans="1:15" s="140" customFormat="1" ht="15.75" thickBot="1" x14ac:dyDescent="0.3">
      <c r="A78" s="139"/>
      <c r="B78" s="160" t="s">
        <v>617</v>
      </c>
      <c r="C78" s="198" t="s">
        <v>127</v>
      </c>
      <c r="D78" s="161"/>
      <c r="E78" s="196"/>
      <c r="F78" s="180"/>
      <c r="G78" s="181"/>
      <c r="H78" s="181"/>
      <c r="I78" s="181"/>
      <c r="J78" s="182"/>
      <c r="K78" s="180" t="s">
        <v>623</v>
      </c>
      <c r="L78" s="181"/>
      <c r="M78" s="181"/>
      <c r="N78" s="181"/>
      <c r="O78" s="182"/>
    </row>
    <row r="80" spans="1:15" s="177" customFormat="1" outlineLevel="1" x14ac:dyDescent="0.25">
      <c r="A80" s="271">
        <v>41163.913182870368</v>
      </c>
      <c r="B80" s="272" t="s">
        <v>647</v>
      </c>
      <c r="C80" s="315" t="s">
        <v>622</v>
      </c>
      <c r="D80" s="6"/>
      <c r="E80" s="477"/>
      <c r="F80" s="314" t="str">
        <f>L80</f>
        <v>SFacc</v>
      </c>
      <c r="G80" s="225" t="s">
        <v>94</v>
      </c>
      <c r="H80" s="225" t="s">
        <v>92</v>
      </c>
      <c r="I80" s="225" t="s">
        <v>110</v>
      </c>
      <c r="J80" s="225" t="s">
        <v>70</v>
      </c>
      <c r="K80" s="204" t="str">
        <f>TOCmatch!B11</f>
        <v>Договоры</v>
      </c>
      <c r="L80" s="314" t="str">
        <f>TOCmatch!B17</f>
        <v>SFacc</v>
      </c>
      <c r="M80" s="219"/>
      <c r="N80" s="205"/>
      <c r="O80" s="203"/>
    </row>
    <row r="81" spans="1:15" s="177" customFormat="1" ht="45" outlineLevel="1" x14ac:dyDescent="0.25">
      <c r="A81" s="271">
        <v>41163.914687500001</v>
      </c>
      <c r="B81" s="272" t="s">
        <v>647</v>
      </c>
      <c r="C81" s="315" t="s">
        <v>668</v>
      </c>
      <c r="D81" s="6"/>
      <c r="E81" s="477"/>
      <c r="F81" s="314" t="str">
        <f>L81</f>
        <v>SFD</v>
      </c>
      <c r="G81" s="225" t="s">
        <v>94</v>
      </c>
      <c r="H81" s="225" t="s">
        <v>110</v>
      </c>
      <c r="I81" s="225" t="s">
        <v>129</v>
      </c>
      <c r="J81" s="225" t="s">
        <v>92</v>
      </c>
      <c r="K81" s="204" t="str">
        <f>K80</f>
        <v>Договоры</v>
      </c>
      <c r="L81" s="314" t="str">
        <f>TOCmatch!B15</f>
        <v>SFD</v>
      </c>
      <c r="M81" s="202"/>
      <c r="N81" s="205"/>
      <c r="O81" s="203"/>
    </row>
    <row r="82" spans="1:15" outlineLevel="1" x14ac:dyDescent="0.25">
      <c r="A82" s="199">
        <v>41162.93513888889</v>
      </c>
      <c r="B82" s="200" t="s">
        <v>655</v>
      </c>
      <c r="C82" s="239" t="s">
        <v>647</v>
      </c>
      <c r="D82" s="6"/>
      <c r="E82" s="222" t="s">
        <v>202</v>
      </c>
      <c r="F82" s="279"/>
      <c r="G82" s="205"/>
      <c r="H82" s="219"/>
      <c r="I82" s="219"/>
      <c r="J82" s="220"/>
      <c r="K82" s="204" t="str">
        <f>TOCmatch!B10</f>
        <v>Договоры</v>
      </c>
      <c r="L82" s="314" t="str">
        <f>TOCmatch!B15</f>
        <v>SFD</v>
      </c>
      <c r="M82" s="205"/>
      <c r="N82" s="219"/>
      <c r="O82" s="220"/>
    </row>
    <row r="83" spans="1:15" x14ac:dyDescent="0.25">
      <c r="B83" s="149"/>
    </row>
    <row r="84" spans="1:15" x14ac:dyDescent="0.25">
      <c r="A84" s="149"/>
    </row>
    <row r="100" spans="6:6" x14ac:dyDescent="0.25">
      <c r="F10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171</v>
      </c>
      <c r="B1" s="70" t="s">
        <v>154</v>
      </c>
    </row>
    <row r="2" spans="1:7" x14ac:dyDescent="0.25">
      <c r="A2" s="24" t="s">
        <v>3</v>
      </c>
      <c r="B2" s="28" t="s">
        <v>77</v>
      </c>
    </row>
    <row r="3" spans="1:7" x14ac:dyDescent="0.25">
      <c r="A3" s="25" t="s">
        <v>11</v>
      </c>
      <c r="B3" s="28" t="s">
        <v>84</v>
      </c>
    </row>
    <row r="4" spans="1:7" x14ac:dyDescent="0.25">
      <c r="A4" s="25" t="s">
        <v>8</v>
      </c>
      <c r="B4" s="28" t="s">
        <v>187</v>
      </c>
    </row>
    <row r="5" spans="1:7" x14ac:dyDescent="0.25">
      <c r="A5" s="25" t="s">
        <v>151</v>
      </c>
      <c r="B5" s="29" t="s">
        <v>190</v>
      </c>
    </row>
    <row r="6" spans="1:7" x14ac:dyDescent="0.25">
      <c r="A6" s="25" t="s">
        <v>36</v>
      </c>
      <c r="B6" s="29" t="s">
        <v>188</v>
      </c>
    </row>
    <row r="7" spans="1:7" x14ac:dyDescent="0.25">
      <c r="A7" s="25"/>
      <c r="B7" s="71"/>
    </row>
    <row r="8" spans="1:7" x14ac:dyDescent="0.25">
      <c r="A8" s="23" t="s">
        <v>215</v>
      </c>
      <c r="B8" s="70" t="s">
        <v>231</v>
      </c>
      <c r="C8" s="23" t="s">
        <v>203</v>
      </c>
      <c r="D8" s="23" t="s">
        <v>156</v>
      </c>
      <c r="E8" s="23" t="s">
        <v>217</v>
      </c>
      <c r="F8" s="47" t="s">
        <v>205</v>
      </c>
      <c r="G8" s="66" t="s">
        <v>233</v>
      </c>
    </row>
    <row r="9" spans="1:7" x14ac:dyDescent="0.25">
      <c r="A9" s="55" t="s">
        <v>35</v>
      </c>
      <c r="B9" s="72" t="s">
        <v>56</v>
      </c>
      <c r="C9" s="26" t="s">
        <v>69</v>
      </c>
      <c r="D9" s="42" t="s">
        <v>260</v>
      </c>
      <c r="E9" s="31" t="s">
        <v>219</v>
      </c>
      <c r="F9" s="48" t="s">
        <v>249</v>
      </c>
      <c r="G9" s="65">
        <v>0</v>
      </c>
    </row>
    <row r="10" spans="1:7" ht="50.25" customHeight="1" x14ac:dyDescent="0.25">
      <c r="A10" s="56" t="s">
        <v>7</v>
      </c>
      <c r="B10" s="73" t="s">
        <v>44</v>
      </c>
      <c r="C10" s="41" t="s">
        <v>74</v>
      </c>
      <c r="D10" s="42" t="s">
        <v>172</v>
      </c>
      <c r="E10" s="43" t="s">
        <v>218</v>
      </c>
      <c r="F10" s="57" t="s">
        <v>264</v>
      </c>
      <c r="G10" s="67">
        <v>0</v>
      </c>
    </row>
    <row r="11" spans="1:7" x14ac:dyDescent="0.25">
      <c r="A11" s="55" t="s">
        <v>34</v>
      </c>
      <c r="B11" s="72"/>
      <c r="C11" s="26" t="s">
        <v>69</v>
      </c>
      <c r="D11" s="42" t="s">
        <v>260</v>
      </c>
      <c r="E11" s="43"/>
      <c r="F11" s="49" t="s">
        <v>263</v>
      </c>
      <c r="G11" s="67">
        <v>1</v>
      </c>
    </row>
    <row r="12" spans="1:7" x14ac:dyDescent="0.25">
      <c r="A12" s="55" t="s">
        <v>38</v>
      </c>
      <c r="B12" s="72" t="s">
        <v>59</v>
      </c>
      <c r="C12" s="26" t="s">
        <v>37</v>
      </c>
      <c r="D12" s="21" t="s">
        <v>173</v>
      </c>
      <c r="E12" s="26"/>
      <c r="F12" s="48" t="s">
        <v>104</v>
      </c>
      <c r="G12" s="65">
        <v>0</v>
      </c>
    </row>
    <row r="13" spans="1:7" x14ac:dyDescent="0.25">
      <c r="A13" s="55" t="s">
        <v>29</v>
      </c>
      <c r="B13" s="72" t="s">
        <v>55</v>
      </c>
      <c r="C13" s="26" t="s">
        <v>21</v>
      </c>
      <c r="D13" s="21" t="s">
        <v>174</v>
      </c>
      <c r="E13" s="26"/>
      <c r="F13" s="58" t="s">
        <v>258</v>
      </c>
      <c r="G13" s="65">
        <v>0</v>
      </c>
    </row>
    <row r="14" spans="1:7" x14ac:dyDescent="0.25">
      <c r="A14" s="55" t="s">
        <v>28</v>
      </c>
      <c r="B14" s="72" t="s">
        <v>52</v>
      </c>
      <c r="C14" s="26" t="s">
        <v>20</v>
      </c>
      <c r="D14" s="21" t="s">
        <v>175</v>
      </c>
      <c r="E14" s="26" t="s">
        <v>33</v>
      </c>
      <c r="F14" s="58" t="s">
        <v>550</v>
      </c>
      <c r="G14" s="65">
        <v>0</v>
      </c>
    </row>
    <row r="15" spans="1:7" x14ac:dyDescent="0.25">
      <c r="A15" s="55" t="s">
        <v>6</v>
      </c>
      <c r="B15" s="72" t="s">
        <v>51</v>
      </c>
      <c r="C15" s="26" t="s">
        <v>75</v>
      </c>
      <c r="D15" s="21" t="s">
        <v>176</v>
      </c>
      <c r="E15" s="26" t="s">
        <v>22</v>
      </c>
      <c r="F15" s="58" t="s">
        <v>246</v>
      </c>
      <c r="G15" s="65">
        <v>0</v>
      </c>
    </row>
    <row r="16" spans="1:7" x14ac:dyDescent="0.25">
      <c r="A16" s="55" t="s">
        <v>27</v>
      </c>
      <c r="B16" s="72" t="s">
        <v>82</v>
      </c>
      <c r="C16" s="26" t="s">
        <v>101</v>
      </c>
      <c r="D16" s="21" t="s">
        <v>177</v>
      </c>
      <c r="E16" s="26" t="s">
        <v>22</v>
      </c>
      <c r="F16" s="58" t="s">
        <v>353</v>
      </c>
      <c r="G16" s="65">
        <v>0</v>
      </c>
    </row>
    <row r="17" spans="1:7" x14ac:dyDescent="0.25">
      <c r="A17" s="55" t="s">
        <v>95</v>
      </c>
      <c r="B17" s="74"/>
      <c r="C17" s="26" t="s">
        <v>78</v>
      </c>
      <c r="D17" s="21" t="s">
        <v>262</v>
      </c>
      <c r="E17" s="26"/>
      <c r="F17" s="58" t="s">
        <v>107</v>
      </c>
      <c r="G17" s="65">
        <v>0</v>
      </c>
    </row>
    <row r="18" spans="1:7" x14ac:dyDescent="0.25">
      <c r="A18" s="55" t="s">
        <v>10</v>
      </c>
      <c r="B18" s="72" t="s">
        <v>46</v>
      </c>
      <c r="C18" s="26" t="s">
        <v>19</v>
      </c>
      <c r="D18" s="21" t="s">
        <v>178</v>
      </c>
      <c r="E18" s="26" t="s">
        <v>5</v>
      </c>
      <c r="F18" s="58" t="s">
        <v>373</v>
      </c>
      <c r="G18" s="65">
        <v>0</v>
      </c>
    </row>
    <row r="19" spans="1:7" x14ac:dyDescent="0.25">
      <c r="A19" s="55" t="s">
        <v>9</v>
      </c>
      <c r="B19" s="74"/>
      <c r="C19" s="26" t="s">
        <v>76</v>
      </c>
      <c r="D19" s="21" t="s">
        <v>182</v>
      </c>
      <c r="E19" s="54" t="s">
        <v>5</v>
      </c>
      <c r="F19" s="58" t="s">
        <v>204</v>
      </c>
      <c r="G19" s="65">
        <v>0</v>
      </c>
    </row>
    <row r="20" spans="1:7" x14ac:dyDescent="0.25">
      <c r="A20" s="55" t="s">
        <v>30</v>
      </c>
      <c r="B20" s="72" t="s">
        <v>60</v>
      </c>
      <c r="C20" s="26" t="s">
        <v>25</v>
      </c>
      <c r="D20" s="31" t="s">
        <v>245</v>
      </c>
      <c r="E20" s="31" t="s">
        <v>247</v>
      </c>
      <c r="F20" s="58" t="s">
        <v>558</v>
      </c>
      <c r="G20" s="65">
        <v>0</v>
      </c>
    </row>
    <row r="21" spans="1:7" x14ac:dyDescent="0.25">
      <c r="A21" s="55" t="s">
        <v>32</v>
      </c>
      <c r="B21" s="72" t="s">
        <v>83</v>
      </c>
      <c r="C21" s="26" t="s">
        <v>22</v>
      </c>
      <c r="D21" s="21" t="s">
        <v>183</v>
      </c>
      <c r="E21" s="26" t="s">
        <v>22</v>
      </c>
      <c r="F21" s="58" t="s">
        <v>548</v>
      </c>
      <c r="G21" s="65">
        <v>0</v>
      </c>
    </row>
    <row r="22" spans="1:7" ht="30" x14ac:dyDescent="0.25">
      <c r="A22" s="56" t="s">
        <v>31</v>
      </c>
      <c r="B22" s="73" t="s">
        <v>48</v>
      </c>
      <c r="C22" s="41" t="s">
        <v>16</v>
      </c>
      <c r="D22" s="42" t="s">
        <v>179</v>
      </c>
      <c r="E22" s="43" t="s">
        <v>221</v>
      </c>
      <c r="F22" s="57" t="s">
        <v>551</v>
      </c>
      <c r="G22" s="65">
        <v>0</v>
      </c>
    </row>
    <row r="23" spans="1:7" x14ac:dyDescent="0.25">
      <c r="A23" s="55" t="s">
        <v>33</v>
      </c>
      <c r="B23" s="72" t="s">
        <v>50</v>
      </c>
      <c r="C23" s="26" t="s">
        <v>74</v>
      </c>
      <c r="D23" s="21" t="s">
        <v>172</v>
      </c>
      <c r="E23" s="26" t="s">
        <v>248</v>
      </c>
      <c r="F23" s="58" t="s">
        <v>251</v>
      </c>
      <c r="G23" s="65">
        <v>0</v>
      </c>
    </row>
    <row r="24" spans="1:7" x14ac:dyDescent="0.25">
      <c r="A24" s="55" t="s">
        <v>222</v>
      </c>
      <c r="B24" s="72" t="s">
        <v>50</v>
      </c>
      <c r="C24" s="26" t="s">
        <v>74</v>
      </c>
      <c r="D24" s="21" t="s">
        <v>172</v>
      </c>
      <c r="E24" s="31"/>
      <c r="F24" s="58" t="s">
        <v>106</v>
      </c>
      <c r="G24" s="65">
        <v>0</v>
      </c>
    </row>
    <row r="25" spans="1:7" x14ac:dyDescent="0.25">
      <c r="A25" s="55" t="s">
        <v>12</v>
      </c>
      <c r="B25" s="73" t="s">
        <v>73</v>
      </c>
      <c r="C25" s="26" t="s">
        <v>24</v>
      </c>
      <c r="D25" s="21" t="s">
        <v>180</v>
      </c>
      <c r="E25" s="31"/>
      <c r="F25" s="58" t="s">
        <v>250</v>
      </c>
      <c r="G25" s="65">
        <v>0</v>
      </c>
    </row>
    <row r="26" spans="1:7" x14ac:dyDescent="0.25">
      <c r="A26" s="55" t="s">
        <v>96</v>
      </c>
      <c r="B26" s="72" t="s">
        <v>98</v>
      </c>
      <c r="C26" s="26" t="s">
        <v>97</v>
      </c>
      <c r="D26" s="21" t="s">
        <v>181</v>
      </c>
      <c r="E26" s="31"/>
      <c r="F26" s="58" t="s">
        <v>374</v>
      </c>
      <c r="G26" s="65">
        <v>0</v>
      </c>
    </row>
    <row r="27" spans="1:7" x14ac:dyDescent="0.25">
      <c r="A27" s="55" t="s">
        <v>4</v>
      </c>
      <c r="B27" s="72" t="s">
        <v>72</v>
      </c>
      <c r="C27" s="26" t="s">
        <v>69</v>
      </c>
      <c r="D27" s="21" t="s">
        <v>260</v>
      </c>
      <c r="E27" s="31"/>
      <c r="F27" s="58" t="s">
        <v>269</v>
      </c>
      <c r="G27" s="65">
        <v>1</v>
      </c>
    </row>
    <row r="28" spans="1:7" x14ac:dyDescent="0.25">
      <c r="A28" s="55" t="s">
        <v>39</v>
      </c>
      <c r="B28" s="72" t="s">
        <v>80</v>
      </c>
      <c r="C28" s="26" t="s">
        <v>69</v>
      </c>
      <c r="D28" s="42" t="s">
        <v>260</v>
      </c>
      <c r="E28" s="31"/>
      <c r="F28" s="58" t="s">
        <v>106</v>
      </c>
      <c r="G28" s="65">
        <v>0</v>
      </c>
    </row>
    <row r="29" spans="1:7" x14ac:dyDescent="0.25">
      <c r="A29" s="55" t="s">
        <v>5</v>
      </c>
      <c r="B29" s="72" t="s">
        <v>54</v>
      </c>
      <c r="C29" s="26" t="s">
        <v>76</v>
      </c>
      <c r="D29" s="21" t="s">
        <v>182</v>
      </c>
      <c r="E29" s="31"/>
      <c r="F29" s="58" t="s">
        <v>552</v>
      </c>
      <c r="G29" s="65">
        <v>0</v>
      </c>
    </row>
    <row r="30" spans="1:7" x14ac:dyDescent="0.25">
      <c r="A30" s="55" t="s">
        <v>105</v>
      </c>
      <c r="B30" s="72" t="s">
        <v>81</v>
      </c>
      <c r="C30" s="26" t="s">
        <v>40</v>
      </c>
      <c r="D30" s="21" t="s">
        <v>261</v>
      </c>
      <c r="E30" s="26"/>
      <c r="F30" s="58" t="s">
        <v>144</v>
      </c>
      <c r="G30" s="65">
        <v>0</v>
      </c>
    </row>
    <row r="31" spans="1:7" x14ac:dyDescent="0.25">
      <c r="A31" s="55" t="s">
        <v>26</v>
      </c>
      <c r="B31" s="72" t="s">
        <v>49</v>
      </c>
      <c r="C31" s="26" t="s">
        <v>22</v>
      </c>
      <c r="D31" s="21" t="s">
        <v>183</v>
      </c>
      <c r="E31" s="31"/>
      <c r="F31" s="58" t="s">
        <v>268</v>
      </c>
      <c r="G31" s="65">
        <v>0</v>
      </c>
    </row>
    <row r="32" spans="1:7" x14ac:dyDescent="0.25">
      <c r="A32" s="55" t="s">
        <v>13</v>
      </c>
      <c r="B32" s="72" t="s">
        <v>47</v>
      </c>
      <c r="C32" s="26" t="s">
        <v>23</v>
      </c>
      <c r="D32" s="21" t="s">
        <v>184</v>
      </c>
      <c r="E32" s="31"/>
      <c r="F32" s="58" t="s">
        <v>257</v>
      </c>
      <c r="G32" s="65">
        <v>0</v>
      </c>
    </row>
    <row r="33" spans="1:9" x14ac:dyDescent="0.25">
      <c r="A33" s="55" t="s">
        <v>25</v>
      </c>
      <c r="B33" s="72"/>
      <c r="C33" s="26" t="s">
        <v>25</v>
      </c>
      <c r="D33" s="31" t="s">
        <v>245</v>
      </c>
      <c r="E33" s="31"/>
      <c r="F33" s="48"/>
      <c r="G33" s="65">
        <v>0</v>
      </c>
    </row>
    <row r="35" spans="1:9" x14ac:dyDescent="0.25">
      <c r="A35" s="23" t="s">
        <v>162</v>
      </c>
      <c r="B35" s="70" t="s">
        <v>163</v>
      </c>
      <c r="C35" s="23" t="s">
        <v>185</v>
      </c>
    </row>
    <row r="36" spans="1:9" ht="15" customHeight="1" x14ac:dyDescent="0.25">
      <c r="A36" s="27" t="s">
        <v>45</v>
      </c>
      <c r="B36" s="28" t="s">
        <v>17</v>
      </c>
      <c r="C36" s="28">
        <v>1</v>
      </c>
    </row>
    <row r="37" spans="1:9" x14ac:dyDescent="0.25">
      <c r="A37" s="27" t="s">
        <v>43</v>
      </c>
      <c r="B37" s="28" t="s">
        <v>15</v>
      </c>
      <c r="C37" s="29" t="s">
        <v>186</v>
      </c>
    </row>
    <row r="38" spans="1:9" x14ac:dyDescent="0.25">
      <c r="A38" s="27" t="s">
        <v>53</v>
      </c>
      <c r="B38" s="28" t="s">
        <v>14</v>
      </c>
      <c r="C38" s="29" t="s">
        <v>265</v>
      </c>
    </row>
    <row r="39" spans="1:9" x14ac:dyDescent="0.25">
      <c r="H39" s="531" t="s">
        <v>362</v>
      </c>
      <c r="I39" s="532"/>
    </row>
    <row r="40" spans="1:9" ht="30" x14ac:dyDescent="0.25">
      <c r="A40" s="31" t="s">
        <v>224</v>
      </c>
      <c r="B40" s="29" t="s">
        <v>385</v>
      </c>
      <c r="C40" s="45" t="s">
        <v>232</v>
      </c>
      <c r="D40" s="45" t="s">
        <v>150</v>
      </c>
      <c r="E40" s="50" t="s">
        <v>237</v>
      </c>
      <c r="F40" s="51" t="s">
        <v>243</v>
      </c>
      <c r="G40" s="60" t="s">
        <v>357</v>
      </c>
      <c r="H40" s="64" t="s">
        <v>359</v>
      </c>
      <c r="I40" s="64" t="s">
        <v>360</v>
      </c>
    </row>
    <row r="41" spans="1:9" ht="15.75" x14ac:dyDescent="0.3">
      <c r="A41" s="31" t="s">
        <v>138</v>
      </c>
      <c r="B41" s="75" t="s">
        <v>504</v>
      </c>
      <c r="C41" s="54" t="s">
        <v>230</v>
      </c>
      <c r="D41" s="53" t="s">
        <v>138</v>
      </c>
      <c r="E41" s="52" t="s">
        <v>138</v>
      </c>
      <c r="F41" s="48" t="s">
        <v>241</v>
      </c>
      <c r="G41" s="60" t="s">
        <v>356</v>
      </c>
      <c r="H41" s="31" t="s">
        <v>357</v>
      </c>
      <c r="I41" s="31" t="s">
        <v>358</v>
      </c>
    </row>
    <row r="42" spans="1:9" ht="15.75" x14ac:dyDescent="0.3">
      <c r="A42" s="31" t="s">
        <v>106</v>
      </c>
      <c r="B42" s="75" t="s">
        <v>270</v>
      </c>
      <c r="C42" s="54" t="s">
        <v>230</v>
      </c>
      <c r="D42" s="53" t="s">
        <v>106</v>
      </c>
      <c r="E42" s="52" t="s">
        <v>238</v>
      </c>
      <c r="F42" s="48" t="s">
        <v>240</v>
      </c>
      <c r="G42" s="60" t="s">
        <v>363</v>
      </c>
      <c r="H42" s="31" t="s">
        <v>357</v>
      </c>
      <c r="I42" s="31" t="s">
        <v>358</v>
      </c>
    </row>
    <row r="43" spans="1:9" ht="15.75" x14ac:dyDescent="0.3">
      <c r="A43" s="31" t="s">
        <v>18</v>
      </c>
      <c r="B43" s="75" t="s">
        <v>559</v>
      </c>
      <c r="C43" s="54" t="s">
        <v>230</v>
      </c>
      <c r="D43" s="53" t="s">
        <v>18</v>
      </c>
      <c r="E43" s="52" t="s">
        <v>220</v>
      </c>
      <c r="F43" s="48" t="s">
        <v>241</v>
      </c>
      <c r="G43" s="65" t="b">
        <v>1</v>
      </c>
    </row>
    <row r="44" spans="1:9" ht="15.75" x14ac:dyDescent="0.3">
      <c r="A44" s="31" t="s">
        <v>140</v>
      </c>
      <c r="B44" s="75" t="s">
        <v>228</v>
      </c>
      <c r="C44" s="54" t="s">
        <v>230</v>
      </c>
      <c r="D44" s="53" t="s">
        <v>140</v>
      </c>
      <c r="E44" s="52" t="s">
        <v>236</v>
      </c>
      <c r="F44" s="48" t="s">
        <v>242</v>
      </c>
      <c r="H44" s="31" t="s">
        <v>357</v>
      </c>
      <c r="I44" s="31" t="s">
        <v>358</v>
      </c>
    </row>
    <row r="45" spans="1:9" ht="15.75" x14ac:dyDescent="0.3">
      <c r="A45" s="31" t="s">
        <v>145</v>
      </c>
      <c r="B45" s="75" t="s">
        <v>549</v>
      </c>
      <c r="C45" s="54" t="s">
        <v>230</v>
      </c>
      <c r="D45" s="53" t="s">
        <v>145</v>
      </c>
      <c r="E45" s="52" t="s">
        <v>236</v>
      </c>
      <c r="F45" s="48" t="s">
        <v>242</v>
      </c>
      <c r="G45" s="60" t="s">
        <v>361</v>
      </c>
      <c r="H45" s="31" t="s">
        <v>357</v>
      </c>
      <c r="I45" s="31" t="s">
        <v>358</v>
      </c>
    </row>
    <row r="46" spans="1:9" ht="15.75" x14ac:dyDescent="0.3">
      <c r="A46" s="31" t="s">
        <v>225</v>
      </c>
      <c r="B46" s="75" t="s">
        <v>556</v>
      </c>
      <c r="C46" s="53" t="s">
        <v>225</v>
      </c>
      <c r="D46" s="53" t="s">
        <v>147</v>
      </c>
      <c r="E46" s="52" t="s">
        <v>235</v>
      </c>
      <c r="F46" s="48" t="s">
        <v>242</v>
      </c>
    </row>
    <row r="47" spans="1:9" x14ac:dyDescent="0.25">
      <c r="A47" s="31" t="s">
        <v>199</v>
      </c>
      <c r="B47" s="75" t="s">
        <v>572</v>
      </c>
      <c r="C47" s="54" t="s">
        <v>230</v>
      </c>
      <c r="D47" s="32" t="s">
        <v>139</v>
      </c>
      <c r="E47" s="52" t="s">
        <v>239</v>
      </c>
      <c r="F47" s="48" t="s">
        <v>240</v>
      </c>
      <c r="G47" s="60" t="s">
        <v>361</v>
      </c>
      <c r="H47" s="31" t="s">
        <v>357</v>
      </c>
      <c r="I47" s="31" t="s">
        <v>358</v>
      </c>
    </row>
    <row r="48" spans="1:9" ht="15.75" x14ac:dyDescent="0.3">
      <c r="A48" s="31" t="s">
        <v>107</v>
      </c>
      <c r="B48" s="75" t="s">
        <v>227</v>
      </c>
      <c r="C48" s="54" t="s">
        <v>230</v>
      </c>
      <c r="D48" s="53" t="s">
        <v>107</v>
      </c>
      <c r="E48" s="52" t="s">
        <v>235</v>
      </c>
      <c r="F48" s="48" t="s">
        <v>242</v>
      </c>
      <c r="G48" s="60" t="s">
        <v>361</v>
      </c>
      <c r="H48" s="31" t="s">
        <v>357</v>
      </c>
      <c r="I48" s="31" t="s">
        <v>358</v>
      </c>
    </row>
    <row r="49" spans="1:9" ht="15.75" x14ac:dyDescent="0.3">
      <c r="A49" s="31" t="s">
        <v>226</v>
      </c>
      <c r="B49" s="75" t="s">
        <v>553</v>
      </c>
      <c r="C49" s="53" t="s">
        <v>226</v>
      </c>
      <c r="D49" s="53" t="s">
        <v>142</v>
      </c>
      <c r="E49" s="52" t="s">
        <v>235</v>
      </c>
      <c r="F49" s="48" t="s">
        <v>242</v>
      </c>
    </row>
    <row r="50" spans="1:9" ht="15.75" x14ac:dyDescent="0.3">
      <c r="A50" s="31" t="s">
        <v>204</v>
      </c>
      <c r="B50" s="75" t="s">
        <v>566</v>
      </c>
      <c r="C50" s="53" t="s">
        <v>213</v>
      </c>
      <c r="D50" s="54" t="s">
        <v>141</v>
      </c>
      <c r="E50" s="52" t="s">
        <v>235</v>
      </c>
      <c r="F50" s="48" t="s">
        <v>242</v>
      </c>
      <c r="I50" s="31"/>
    </row>
    <row r="51" spans="1:9" ht="15.75" x14ac:dyDescent="0.3">
      <c r="A51" s="31" t="s">
        <v>104</v>
      </c>
      <c r="B51" s="75" t="s">
        <v>223</v>
      </c>
      <c r="C51" s="54" t="s">
        <v>230</v>
      </c>
      <c r="D51" s="53" t="s">
        <v>104</v>
      </c>
      <c r="E51" s="52" t="s">
        <v>104</v>
      </c>
      <c r="F51" s="48" t="s">
        <v>241</v>
      </c>
      <c r="G51" s="60" t="s">
        <v>361</v>
      </c>
      <c r="H51" s="31" t="s">
        <v>357</v>
      </c>
      <c r="I51" s="31" t="s">
        <v>358</v>
      </c>
    </row>
    <row r="52" spans="1:9" ht="15.75" x14ac:dyDescent="0.3">
      <c r="A52" s="31" t="s">
        <v>144</v>
      </c>
      <c r="B52" s="75" t="s">
        <v>144</v>
      </c>
      <c r="C52" s="54" t="s">
        <v>230</v>
      </c>
      <c r="D52" s="53" t="s">
        <v>144</v>
      </c>
      <c r="E52" s="52" t="s">
        <v>235</v>
      </c>
      <c r="F52" s="48" t="s">
        <v>242</v>
      </c>
      <c r="G52" s="60" t="s">
        <v>361</v>
      </c>
      <c r="H52" s="31" t="s">
        <v>357</v>
      </c>
      <c r="I52" s="31" t="s">
        <v>358</v>
      </c>
    </row>
    <row r="53" spans="1:9" x14ac:dyDescent="0.25">
      <c r="A53" s="59" t="s">
        <v>249</v>
      </c>
      <c r="B53" s="75" t="s">
        <v>555</v>
      </c>
      <c r="C53" s="54"/>
      <c r="D53" s="32"/>
      <c r="E53" s="52"/>
      <c r="F53" s="48"/>
    </row>
    <row r="54" spans="1:9" x14ac:dyDescent="0.25">
      <c r="C54" s="54"/>
      <c r="D54" s="54" t="s">
        <v>143</v>
      </c>
      <c r="E54" s="52" t="s">
        <v>235</v>
      </c>
      <c r="F54" s="48" t="s">
        <v>242</v>
      </c>
    </row>
    <row r="55" spans="1:9" x14ac:dyDescent="0.25">
      <c r="C55" s="54"/>
      <c r="D55" s="54" t="s">
        <v>148</v>
      </c>
      <c r="E55" s="52" t="s">
        <v>235</v>
      </c>
      <c r="F55" s="48" t="s">
        <v>242</v>
      </c>
    </row>
    <row r="56" spans="1:9" x14ac:dyDescent="0.25">
      <c r="A56" s="31"/>
      <c r="C56" s="54"/>
      <c r="D56" s="54" t="s">
        <v>149</v>
      </c>
      <c r="E56" s="52" t="s">
        <v>235</v>
      </c>
      <c r="F56" s="48" t="s">
        <v>242</v>
      </c>
    </row>
    <row r="57" spans="1:9" x14ac:dyDescent="0.25">
      <c r="C57" s="32"/>
      <c r="D57" s="54" t="s">
        <v>146</v>
      </c>
      <c r="E57" s="52" t="s">
        <v>235</v>
      </c>
      <c r="F57" s="48" t="s">
        <v>242</v>
      </c>
    </row>
    <row r="58" spans="1:9" x14ac:dyDescent="0.25">
      <c r="A58" s="76" t="s">
        <v>560</v>
      </c>
    </row>
    <row r="59" spans="1:9" x14ac:dyDescent="0.25">
      <c r="A59" s="31" t="s">
        <v>326</v>
      </c>
    </row>
    <row r="60" spans="1:9" x14ac:dyDescent="0.25">
      <c r="A60" s="31" t="s">
        <v>328</v>
      </c>
    </row>
    <row r="61" spans="1:9" x14ac:dyDescent="0.25">
      <c r="A61" s="31" t="s">
        <v>532</v>
      </c>
      <c r="B61" s="29" t="s">
        <v>70</v>
      </c>
    </row>
    <row r="62" spans="1:9" x14ac:dyDescent="0.25">
      <c r="A62" s="31" t="s">
        <v>299</v>
      </c>
      <c r="B62" s="28">
        <v>1</v>
      </c>
    </row>
    <row r="63" spans="1:9" x14ac:dyDescent="0.25">
      <c r="A63" s="31" t="s">
        <v>297</v>
      </c>
      <c r="B63" s="28">
        <v>1</v>
      </c>
    </row>
    <row r="64" spans="1:9" x14ac:dyDescent="0.25">
      <c r="A64" s="31" t="s">
        <v>305</v>
      </c>
      <c r="B64" s="28">
        <v>1</v>
      </c>
    </row>
    <row r="65" spans="1:7" x14ac:dyDescent="0.25">
      <c r="A65" s="31" t="s">
        <v>312</v>
      </c>
    </row>
    <row r="66" spans="1:7" x14ac:dyDescent="0.25">
      <c r="A66" s="31" t="s">
        <v>542</v>
      </c>
    </row>
    <row r="67" spans="1:7" x14ac:dyDescent="0.25">
      <c r="A67" s="31" t="s">
        <v>539</v>
      </c>
      <c r="B67" s="29" t="s">
        <v>70</v>
      </c>
    </row>
    <row r="68" spans="1:7" x14ac:dyDescent="0.25">
      <c r="A68" s="31" t="s">
        <v>371</v>
      </c>
      <c r="F68" s="21"/>
      <c r="G68" s="21"/>
    </row>
    <row r="69" spans="1:7" x14ac:dyDescent="0.25">
      <c r="A69" s="31" t="s">
        <v>288</v>
      </c>
      <c r="F69" s="21"/>
      <c r="G69" s="21"/>
    </row>
    <row r="70" spans="1:7" x14ac:dyDescent="0.25">
      <c r="A70" s="31" t="s">
        <v>329</v>
      </c>
      <c r="F70" s="21"/>
      <c r="G70" s="21"/>
    </row>
    <row r="71" spans="1:7" x14ac:dyDescent="0.25">
      <c r="A71" s="31" t="s">
        <v>295</v>
      </c>
      <c r="F71" s="21"/>
      <c r="G71" s="21"/>
    </row>
    <row r="72" spans="1:7" x14ac:dyDescent="0.25">
      <c r="A72" s="31" t="s">
        <v>298</v>
      </c>
      <c r="B72" s="28">
        <v>1</v>
      </c>
      <c r="F72" s="21"/>
      <c r="G72" s="21"/>
    </row>
    <row r="73" spans="1:7" x14ac:dyDescent="0.25">
      <c r="A73" s="31" t="s">
        <v>301</v>
      </c>
      <c r="B73" s="28">
        <v>1</v>
      </c>
      <c r="F73" s="21"/>
      <c r="G73" s="21"/>
    </row>
    <row r="74" spans="1:7" x14ac:dyDescent="0.25">
      <c r="A74" s="31" t="s">
        <v>327</v>
      </c>
      <c r="F74" s="21"/>
      <c r="G74" s="21"/>
    </row>
    <row r="75" spans="1:7" x14ac:dyDescent="0.25">
      <c r="A75" s="31" t="s">
        <v>340</v>
      </c>
      <c r="F75" s="21"/>
      <c r="G75" s="21"/>
    </row>
    <row r="76" spans="1:7" x14ac:dyDescent="0.25">
      <c r="A76" s="31" t="s">
        <v>308</v>
      </c>
      <c r="F76" s="21"/>
      <c r="G76" s="21"/>
    </row>
    <row r="77" spans="1:7" x14ac:dyDescent="0.25">
      <c r="A77" s="31" t="s">
        <v>311</v>
      </c>
      <c r="F77" s="21"/>
      <c r="G77" s="21"/>
    </row>
    <row r="78" spans="1:7" x14ac:dyDescent="0.25">
      <c r="A78" s="31" t="s">
        <v>292</v>
      </c>
      <c r="B78" s="28">
        <v>1</v>
      </c>
      <c r="F78" s="21"/>
      <c r="G78" s="21"/>
    </row>
    <row r="79" spans="1:7" x14ac:dyDescent="0.25">
      <c r="A79" s="31" t="s">
        <v>274</v>
      </c>
      <c r="B79" s="28">
        <v>1</v>
      </c>
      <c r="F79" s="21"/>
      <c r="G79" s="21"/>
    </row>
    <row r="80" spans="1:7" x14ac:dyDescent="0.25">
      <c r="A80" s="31" t="s">
        <v>273</v>
      </c>
      <c r="F80" s="21"/>
      <c r="G80" s="21"/>
    </row>
    <row r="81" spans="1:7" x14ac:dyDescent="0.25">
      <c r="A81" s="31" t="s">
        <v>318</v>
      </c>
      <c r="B81" s="28">
        <v>1</v>
      </c>
      <c r="F81" s="21"/>
      <c r="G81" s="21"/>
    </row>
    <row r="82" spans="1:7" x14ac:dyDescent="0.25">
      <c r="A82" s="31" t="s">
        <v>368</v>
      </c>
      <c r="F82" s="21"/>
      <c r="G82" s="21"/>
    </row>
    <row r="83" spans="1:7" x14ac:dyDescent="0.25">
      <c r="A83" s="31" t="s">
        <v>304</v>
      </c>
      <c r="B83" s="28">
        <v>1</v>
      </c>
      <c r="F83" s="21"/>
      <c r="G83" s="21"/>
    </row>
    <row r="84" spans="1:7" x14ac:dyDescent="0.25">
      <c r="A84" s="31" t="s">
        <v>284</v>
      </c>
      <c r="B84" s="28">
        <v>1</v>
      </c>
      <c r="F84" s="21"/>
      <c r="G84" s="21"/>
    </row>
    <row r="85" spans="1:7" x14ac:dyDescent="0.25">
      <c r="A85" s="31" t="s">
        <v>275</v>
      </c>
      <c r="F85" s="21"/>
      <c r="G85" s="21"/>
    </row>
    <row r="86" spans="1:7" x14ac:dyDescent="0.25">
      <c r="A86" s="31" t="s">
        <v>277</v>
      </c>
      <c r="F86" s="21"/>
      <c r="G86" s="21"/>
    </row>
    <row r="87" spans="1:7" x14ac:dyDescent="0.25">
      <c r="A87" s="31" t="s">
        <v>543</v>
      </c>
      <c r="F87" s="21"/>
      <c r="G87" s="21"/>
    </row>
    <row r="88" spans="1:7" x14ac:dyDescent="0.25">
      <c r="A88" s="31" t="s">
        <v>337</v>
      </c>
      <c r="F88" s="21"/>
      <c r="G88" s="21"/>
    </row>
    <row r="89" spans="1:7" x14ac:dyDescent="0.25">
      <c r="A89" s="31" t="s">
        <v>279</v>
      </c>
      <c r="F89" s="21"/>
      <c r="G89" s="21"/>
    </row>
    <row r="90" spans="1:7" x14ac:dyDescent="0.25">
      <c r="A90" s="31" t="s">
        <v>294</v>
      </c>
      <c r="F90" s="21"/>
      <c r="G90" s="21"/>
    </row>
    <row r="91" spans="1:7" x14ac:dyDescent="0.25">
      <c r="A91" s="31" t="s">
        <v>330</v>
      </c>
      <c r="B91" s="28">
        <v>1</v>
      </c>
      <c r="F91" s="21"/>
      <c r="G91" s="21"/>
    </row>
    <row r="92" spans="1:7" x14ac:dyDescent="0.25">
      <c r="A92" s="31" t="s">
        <v>287</v>
      </c>
      <c r="F92" s="21"/>
      <c r="G92" s="21"/>
    </row>
    <row r="93" spans="1:7" x14ac:dyDescent="0.25">
      <c r="A93" s="31" t="s">
        <v>316</v>
      </c>
      <c r="F93" s="21"/>
      <c r="G93" s="21"/>
    </row>
    <row r="94" spans="1:7" x14ac:dyDescent="0.25">
      <c r="A94" s="31" t="s">
        <v>339</v>
      </c>
      <c r="F94" s="21"/>
      <c r="G94" s="21"/>
    </row>
    <row r="95" spans="1:7" x14ac:dyDescent="0.25">
      <c r="A95" s="31" t="s">
        <v>303</v>
      </c>
      <c r="B95" s="28">
        <v>1</v>
      </c>
      <c r="F95" s="21"/>
      <c r="G95" s="21"/>
    </row>
    <row r="96" spans="1:7" x14ac:dyDescent="0.25">
      <c r="A96" s="31" t="s">
        <v>323</v>
      </c>
      <c r="F96" s="21"/>
      <c r="G96" s="21"/>
    </row>
    <row r="97" spans="1:7" x14ac:dyDescent="0.25">
      <c r="A97" s="31" t="s">
        <v>541</v>
      </c>
      <c r="F97" s="21"/>
      <c r="G97" s="21"/>
    </row>
    <row r="98" spans="1:7" x14ac:dyDescent="0.25">
      <c r="A98" s="31" t="s">
        <v>540</v>
      </c>
      <c r="F98" s="21"/>
      <c r="G98" s="21"/>
    </row>
    <row r="99" spans="1:7" x14ac:dyDescent="0.25">
      <c r="A99" s="31" t="s">
        <v>229</v>
      </c>
      <c r="F99" s="21"/>
      <c r="G99" s="21"/>
    </row>
    <row r="100" spans="1:7" x14ac:dyDescent="0.25">
      <c r="A100" s="31" t="s">
        <v>331</v>
      </c>
      <c r="B100" s="28">
        <v>1</v>
      </c>
      <c r="F100" s="21"/>
      <c r="G100" s="21"/>
    </row>
    <row r="101" spans="1:7" x14ac:dyDescent="0.25">
      <c r="A101" s="31" t="s">
        <v>334</v>
      </c>
      <c r="B101" s="28">
        <v>1</v>
      </c>
      <c r="F101" s="21"/>
      <c r="G101" s="21"/>
    </row>
    <row r="102" spans="1:7" x14ac:dyDescent="0.25">
      <c r="A102" s="31" t="s">
        <v>283</v>
      </c>
      <c r="F102" s="21"/>
      <c r="G102" s="21"/>
    </row>
    <row r="103" spans="1:7" x14ac:dyDescent="0.25">
      <c r="A103" s="31" t="s">
        <v>290</v>
      </c>
      <c r="F103" s="21"/>
      <c r="G103" s="21"/>
    </row>
    <row r="104" spans="1:7" x14ac:dyDescent="0.25">
      <c r="A104" s="31" t="s">
        <v>271</v>
      </c>
      <c r="F104" s="21"/>
      <c r="G104" s="21"/>
    </row>
    <row r="105" spans="1:7" x14ac:dyDescent="0.25">
      <c r="A105" s="31" t="s">
        <v>335</v>
      </c>
      <c r="B105" s="28">
        <v>1</v>
      </c>
      <c r="F105" s="21"/>
      <c r="G105" s="21"/>
    </row>
    <row r="106" spans="1:7" x14ac:dyDescent="0.25">
      <c r="A106" s="31" t="s">
        <v>291</v>
      </c>
      <c r="F106" s="21"/>
      <c r="G106" s="21"/>
    </row>
    <row r="107" spans="1:7" x14ac:dyDescent="0.25">
      <c r="A107" s="31" t="s">
        <v>302</v>
      </c>
      <c r="F107" s="21"/>
      <c r="G107" s="21"/>
    </row>
    <row r="108" spans="1:7" x14ac:dyDescent="0.25">
      <c r="A108" s="31" t="s">
        <v>296</v>
      </c>
      <c r="B108" s="28">
        <v>1</v>
      </c>
      <c r="F108" s="21"/>
      <c r="G108" s="21"/>
    </row>
    <row r="109" spans="1:7" x14ac:dyDescent="0.25">
      <c r="A109" s="31" t="s">
        <v>309</v>
      </c>
      <c r="F109" s="21"/>
      <c r="G109" s="21"/>
    </row>
    <row r="110" spans="1:7" x14ac:dyDescent="0.25">
      <c r="A110" s="31" t="s">
        <v>314</v>
      </c>
      <c r="F110" s="21"/>
      <c r="G110" s="21"/>
    </row>
    <row r="111" spans="1:7" x14ac:dyDescent="0.25">
      <c r="A111" s="31" t="s">
        <v>278</v>
      </c>
      <c r="F111" s="21"/>
      <c r="G111" s="21"/>
    </row>
    <row r="112" spans="1:7" x14ac:dyDescent="0.25">
      <c r="A112" s="31" t="s">
        <v>319</v>
      </c>
      <c r="F112" s="21"/>
      <c r="G112" s="21"/>
    </row>
    <row r="113" spans="1:7" x14ac:dyDescent="0.25">
      <c r="A113" s="31" t="s">
        <v>307</v>
      </c>
      <c r="B113" s="28">
        <v>1</v>
      </c>
      <c r="F113" s="21"/>
      <c r="G113" s="21"/>
    </row>
    <row r="114" spans="1:7" x14ac:dyDescent="0.25">
      <c r="A114" s="31" t="s">
        <v>325</v>
      </c>
      <c r="B114" s="28">
        <v>1</v>
      </c>
      <c r="F114" s="21"/>
      <c r="G114" s="21"/>
    </row>
    <row r="115" spans="1:7" x14ac:dyDescent="0.25">
      <c r="A115" s="31" t="s">
        <v>214</v>
      </c>
      <c r="F115" s="21"/>
      <c r="G115" s="21"/>
    </row>
    <row r="116" spans="1:7" x14ac:dyDescent="0.25">
      <c r="A116" s="31" t="s">
        <v>333</v>
      </c>
      <c r="B116" s="28">
        <v>1</v>
      </c>
      <c r="F116" s="21"/>
      <c r="G116" s="21"/>
    </row>
    <row r="117" spans="1:7" x14ac:dyDescent="0.25">
      <c r="A117" s="31" t="s">
        <v>280</v>
      </c>
      <c r="F117" s="21"/>
      <c r="G117" s="21"/>
    </row>
    <row r="118" spans="1:7" x14ac:dyDescent="0.25">
      <c r="A118" s="31" t="s">
        <v>317</v>
      </c>
      <c r="B118" s="28">
        <v>1</v>
      </c>
      <c r="F118" s="21"/>
      <c r="G118" s="21"/>
    </row>
    <row r="119" spans="1:7" x14ac:dyDescent="0.25">
      <c r="A119" s="31" t="s">
        <v>315</v>
      </c>
      <c r="F119" s="21"/>
      <c r="G119" s="21"/>
    </row>
    <row r="120" spans="1:7" x14ac:dyDescent="0.25">
      <c r="A120" s="31" t="s">
        <v>285</v>
      </c>
      <c r="F120" s="21"/>
      <c r="G120" s="21"/>
    </row>
    <row r="121" spans="1:7" x14ac:dyDescent="0.25">
      <c r="A121" s="31" t="s">
        <v>313</v>
      </c>
      <c r="F121" s="21"/>
      <c r="G121" s="21"/>
    </row>
    <row r="122" spans="1:7" x14ac:dyDescent="0.25">
      <c r="A122" s="31" t="s">
        <v>322</v>
      </c>
      <c r="F122" s="21"/>
      <c r="G122" s="21"/>
    </row>
    <row r="123" spans="1:7" x14ac:dyDescent="0.25">
      <c r="A123" s="31" t="s">
        <v>102</v>
      </c>
      <c r="F123" s="21"/>
      <c r="G123" s="21"/>
    </row>
    <row r="124" spans="1:7" x14ac:dyDescent="0.25">
      <c r="A124" s="31" t="s">
        <v>289</v>
      </c>
      <c r="F124" s="21"/>
      <c r="G124" s="21"/>
    </row>
    <row r="125" spans="1:7" x14ac:dyDescent="0.25">
      <c r="A125" s="31" t="s">
        <v>338</v>
      </c>
      <c r="B125" s="28">
        <v>1</v>
      </c>
      <c r="F125" s="21"/>
      <c r="G125" s="21"/>
    </row>
    <row r="126" spans="1:7" x14ac:dyDescent="0.25">
      <c r="A126" s="31" t="s">
        <v>336</v>
      </c>
      <c r="B126" s="28">
        <v>1</v>
      </c>
      <c r="F126" s="21"/>
      <c r="G126" s="21"/>
    </row>
    <row r="127" spans="1:7" x14ac:dyDescent="0.25">
      <c r="A127" s="31" t="s">
        <v>310</v>
      </c>
      <c r="F127" s="21"/>
      <c r="G127" s="21"/>
    </row>
    <row r="128" spans="1:7" x14ac:dyDescent="0.25">
      <c r="A128" s="31" t="s">
        <v>321</v>
      </c>
      <c r="B128" s="28">
        <v>1</v>
      </c>
      <c r="F128" s="21"/>
      <c r="G128" s="21"/>
    </row>
    <row r="129" spans="1:7" x14ac:dyDescent="0.25">
      <c r="A129" s="31" t="s">
        <v>544</v>
      </c>
      <c r="B129" s="29" t="s">
        <v>70</v>
      </c>
      <c r="F129" s="21"/>
      <c r="G129" s="21"/>
    </row>
    <row r="130" spans="1:7" x14ac:dyDescent="0.25">
      <c r="A130" s="31" t="s">
        <v>282</v>
      </c>
      <c r="F130" s="21"/>
      <c r="G130" s="21"/>
    </row>
    <row r="131" spans="1:7" x14ac:dyDescent="0.25">
      <c r="A131" s="31" t="s">
        <v>332</v>
      </c>
      <c r="B131" s="28">
        <v>1</v>
      </c>
      <c r="F131" s="21"/>
      <c r="G131" s="21"/>
    </row>
    <row r="132" spans="1:7" x14ac:dyDescent="0.25">
      <c r="A132" s="31" t="s">
        <v>276</v>
      </c>
      <c r="F132" s="21"/>
      <c r="G132" s="21"/>
    </row>
    <row r="133" spans="1:7" x14ac:dyDescent="0.25">
      <c r="A133" s="31" t="s">
        <v>370</v>
      </c>
      <c r="F133" s="21"/>
      <c r="G133" s="21"/>
    </row>
    <row r="134" spans="1:7" x14ac:dyDescent="0.25">
      <c r="A134" s="31" t="s">
        <v>306</v>
      </c>
      <c r="F134" s="21"/>
      <c r="G134" s="21"/>
    </row>
    <row r="135" spans="1:7" x14ac:dyDescent="0.25">
      <c r="A135" s="31" t="s">
        <v>545</v>
      </c>
      <c r="F135" s="21"/>
      <c r="G135" s="21"/>
    </row>
    <row r="136" spans="1:7" x14ac:dyDescent="0.25">
      <c r="A136" s="31" t="s">
        <v>272</v>
      </c>
      <c r="F136" s="21"/>
      <c r="G136" s="21"/>
    </row>
    <row r="137" spans="1:7" x14ac:dyDescent="0.25">
      <c r="A137" s="31" t="s">
        <v>538</v>
      </c>
      <c r="B137" s="29" t="s">
        <v>70</v>
      </c>
      <c r="F137" s="21"/>
      <c r="G137" s="21"/>
    </row>
    <row r="138" spans="1:7" x14ac:dyDescent="0.25">
      <c r="A138" s="31" t="s">
        <v>281</v>
      </c>
      <c r="F138" s="21"/>
      <c r="G138" s="21"/>
    </row>
    <row r="139" spans="1:7" x14ac:dyDescent="0.25">
      <c r="A139" s="31" t="s">
        <v>324</v>
      </c>
      <c r="F139" s="21"/>
      <c r="G139" s="21"/>
    </row>
    <row r="140" spans="1:7" x14ac:dyDescent="0.25">
      <c r="A140" s="31" t="s">
        <v>369</v>
      </c>
      <c r="F140" s="21"/>
      <c r="G140" s="21"/>
    </row>
    <row r="141" spans="1:7" x14ac:dyDescent="0.25">
      <c r="A141" s="31" t="s">
        <v>300</v>
      </c>
      <c r="B141" s="28">
        <v>1</v>
      </c>
      <c r="F141" s="21"/>
      <c r="G141" s="21"/>
    </row>
    <row r="142" spans="1:7" x14ac:dyDescent="0.25">
      <c r="A142" s="31" t="s">
        <v>293</v>
      </c>
      <c r="B142" s="28">
        <v>1</v>
      </c>
      <c r="F142" s="21"/>
      <c r="G142" s="21"/>
    </row>
    <row r="143" spans="1:7" x14ac:dyDescent="0.25">
      <c r="A143" s="31" t="s">
        <v>546</v>
      </c>
      <c r="F143" s="21"/>
      <c r="G143" s="21"/>
    </row>
    <row r="144" spans="1:7" x14ac:dyDescent="0.25">
      <c r="A144" s="31" t="s">
        <v>531</v>
      </c>
      <c r="F144" s="21"/>
      <c r="G144" s="21"/>
    </row>
    <row r="145" spans="1:7" x14ac:dyDescent="0.25">
      <c r="A145" s="31" t="s">
        <v>286</v>
      </c>
      <c r="F145" s="21"/>
      <c r="G145" s="21"/>
    </row>
    <row r="146" spans="1:7" x14ac:dyDescent="0.25">
      <c r="A146" s="31" t="s">
        <v>533</v>
      </c>
      <c r="B146" s="29" t="s">
        <v>70</v>
      </c>
      <c r="F146" s="21"/>
      <c r="G146" s="21"/>
    </row>
    <row r="147" spans="1:7" x14ac:dyDescent="0.25">
      <c r="F147" s="21"/>
      <c r="G147" s="21"/>
    </row>
    <row r="148" spans="1:7" x14ac:dyDescent="0.25">
      <c r="A148" s="77" t="s">
        <v>480</v>
      </c>
      <c r="F148" s="21"/>
      <c r="G148" s="21"/>
    </row>
    <row r="149" spans="1:7" x14ac:dyDescent="0.25">
      <c r="A149" s="21" t="s">
        <v>88</v>
      </c>
      <c r="F149" s="21"/>
      <c r="G149" s="21"/>
    </row>
    <row r="150" spans="1:7" x14ac:dyDescent="0.25">
      <c r="A150" s="31" t="s">
        <v>534</v>
      </c>
      <c r="B150" s="29" t="s">
        <v>535</v>
      </c>
      <c r="F150" s="21"/>
      <c r="G150" s="21"/>
    </row>
    <row r="151" spans="1:7" x14ac:dyDescent="0.25">
      <c r="A151" s="21" t="s">
        <v>507</v>
      </c>
      <c r="F151" s="21"/>
      <c r="G151" s="21"/>
    </row>
    <row r="152" spans="1:7" x14ac:dyDescent="0.25">
      <c r="A152" s="31" t="s">
        <v>201</v>
      </c>
      <c r="F152" s="21"/>
      <c r="G152" s="21"/>
    </row>
    <row r="153" spans="1:7" x14ac:dyDescent="0.25">
      <c r="A153" s="21" t="s">
        <v>196</v>
      </c>
      <c r="B153" s="21"/>
      <c r="F153" s="21"/>
      <c r="G153" s="21"/>
    </row>
    <row r="154" spans="1:7" x14ac:dyDescent="0.25">
      <c r="A154" s="21" t="s">
        <v>87</v>
      </c>
      <c r="F154" s="21"/>
      <c r="G154" s="21"/>
    </row>
    <row r="155" spans="1:7" x14ac:dyDescent="0.25">
      <c r="A155" s="21" t="s">
        <v>509</v>
      </c>
      <c r="B155" s="78" t="s">
        <v>510</v>
      </c>
      <c r="F155" s="21"/>
      <c r="G155" s="21"/>
    </row>
    <row r="156" spans="1:7" x14ac:dyDescent="0.25">
      <c r="A156" s="31" t="s">
        <v>537</v>
      </c>
      <c r="B156" s="78" t="s">
        <v>536</v>
      </c>
      <c r="F156" s="21"/>
      <c r="G156" s="21"/>
    </row>
    <row r="157" spans="1:7" x14ac:dyDescent="0.25">
      <c r="A157" s="21" t="s">
        <v>478</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192</v>
      </c>
      <c r="F162" s="21"/>
      <c r="G162" s="21"/>
    </row>
    <row r="163" spans="1:7" x14ac:dyDescent="0.25">
      <c r="A163" s="21" t="s">
        <v>89</v>
      </c>
      <c r="F163" s="21"/>
      <c r="G163" s="21"/>
    </row>
    <row r="164" spans="1:7" x14ac:dyDescent="0.25">
      <c r="A164" s="21" t="s">
        <v>479</v>
      </c>
      <c r="B164" s="31"/>
    </row>
    <row r="165" spans="1:7" x14ac:dyDescent="0.25">
      <c r="A165" s="21" t="s">
        <v>530</v>
      </c>
      <c r="F165" s="21"/>
      <c r="G165" s="21"/>
    </row>
    <row r="166" spans="1:7" x14ac:dyDescent="0.25">
      <c r="A166" s="21" t="s">
        <v>198</v>
      </c>
      <c r="C166" s="31" t="s">
        <v>511</v>
      </c>
      <c r="F166" s="21"/>
      <c r="G166" s="21"/>
    </row>
    <row r="167" spans="1:7" x14ac:dyDescent="0.25">
      <c r="A167" s="21" t="s">
        <v>194</v>
      </c>
      <c r="C167" s="31"/>
      <c r="F167" s="21"/>
      <c r="G167" s="21"/>
    </row>
    <row r="168" spans="1:7" x14ac:dyDescent="0.25">
      <c r="A168" s="21" t="s">
        <v>508</v>
      </c>
      <c r="B168" s="21" t="s">
        <v>476</v>
      </c>
      <c r="F168" s="21"/>
      <c r="G168" s="21"/>
    </row>
    <row r="169" spans="1:7" x14ac:dyDescent="0.25">
      <c r="A169" s="21" t="s">
        <v>506</v>
      </c>
      <c r="F169" s="21"/>
      <c r="G169" s="21"/>
    </row>
    <row r="170" spans="1:7" x14ac:dyDescent="0.25">
      <c r="A170" s="21" t="s">
        <v>200</v>
      </c>
      <c r="F170" s="21"/>
      <c r="G170" s="21"/>
    </row>
    <row r="171" spans="1:7" x14ac:dyDescent="0.25">
      <c r="A171" s="21" t="s">
        <v>475</v>
      </c>
    </row>
    <row r="172" spans="1:7" x14ac:dyDescent="0.25">
      <c r="A172" s="21" t="s">
        <v>477</v>
      </c>
      <c r="B172" s="31"/>
      <c r="F172" s="21"/>
      <c r="G172" s="21"/>
    </row>
    <row r="173" spans="1:7" x14ac:dyDescent="0.25">
      <c r="A173" s="21" t="s">
        <v>197</v>
      </c>
      <c r="B173" s="31"/>
      <c r="F173" s="21"/>
      <c r="G173" s="21"/>
    </row>
    <row r="174" spans="1:7" x14ac:dyDescent="0.25">
      <c r="A174" s="21" t="s">
        <v>195</v>
      </c>
      <c r="B174" s="31"/>
      <c r="F174" s="21"/>
      <c r="G174" s="21"/>
    </row>
    <row r="175" spans="1:7" x14ac:dyDescent="0.25">
      <c r="A175" s="21" t="s">
        <v>90</v>
      </c>
      <c r="F175" s="21"/>
      <c r="G175" s="21"/>
    </row>
    <row r="176" spans="1:7" x14ac:dyDescent="0.25">
      <c r="F176" s="21"/>
      <c r="G176" s="21"/>
    </row>
    <row r="177" spans="1:7" x14ac:dyDescent="0.25">
      <c r="A177" s="77" t="s">
        <v>487</v>
      </c>
      <c r="E177" s="78"/>
      <c r="F177" s="21"/>
      <c r="G177" s="21"/>
    </row>
    <row r="178" spans="1:7" x14ac:dyDescent="0.25">
      <c r="A178" s="31" t="s">
        <v>481</v>
      </c>
      <c r="E178"/>
      <c r="F178" s="21"/>
      <c r="G178" s="21"/>
    </row>
    <row r="179" spans="1:7" x14ac:dyDescent="0.25">
      <c r="A179" s="31" t="s">
        <v>482</v>
      </c>
      <c r="E179"/>
      <c r="F179" s="21"/>
      <c r="G179" s="21"/>
    </row>
    <row r="180" spans="1:7" x14ac:dyDescent="0.25">
      <c r="A180" s="31" t="s">
        <v>193</v>
      </c>
      <c r="E180"/>
      <c r="F180" s="21"/>
      <c r="G180" s="21"/>
    </row>
    <row r="181" spans="1:7" x14ac:dyDescent="0.25">
      <c r="A181" s="31" t="s">
        <v>483</v>
      </c>
      <c r="E181"/>
      <c r="F181" s="21"/>
      <c r="G181" s="21"/>
    </row>
    <row r="182" spans="1:7" x14ac:dyDescent="0.25">
      <c r="A182" s="21" t="s">
        <v>484</v>
      </c>
      <c r="E182"/>
      <c r="F182" s="21"/>
      <c r="G182" s="21"/>
    </row>
    <row r="183" spans="1:7" x14ac:dyDescent="0.25">
      <c r="D183" s="78"/>
      <c r="E183"/>
      <c r="F183" s="21"/>
      <c r="G183" s="21"/>
    </row>
    <row r="184" spans="1:7" x14ac:dyDescent="0.25">
      <c r="A184" s="76" t="s">
        <v>488</v>
      </c>
      <c r="D184" s="78"/>
      <c r="E184" s="78"/>
      <c r="F184" s="21"/>
      <c r="G184" s="21"/>
    </row>
    <row r="185" spans="1:7" x14ac:dyDescent="0.25">
      <c r="A185" s="31" t="s">
        <v>485</v>
      </c>
      <c r="D185" s="78"/>
      <c r="E185"/>
    </row>
    <row r="186" spans="1:7" x14ac:dyDescent="0.25">
      <c r="A186" s="31" t="s">
        <v>486</v>
      </c>
      <c r="D186" s="78"/>
      <c r="E186"/>
      <c r="F186" s="21"/>
      <c r="G186" s="21"/>
    </row>
    <row r="187" spans="1:7" x14ac:dyDescent="0.25">
      <c r="A187" s="31" t="s">
        <v>191</v>
      </c>
      <c r="D187" s="78"/>
      <c r="E187"/>
      <c r="F187" s="21"/>
      <c r="G187" s="21"/>
    </row>
    <row r="188" spans="1:7" x14ac:dyDescent="0.25">
      <c r="F188" s="21"/>
      <c r="G188" s="21"/>
    </row>
    <row r="189" spans="1:7" x14ac:dyDescent="0.25">
      <c r="A189" s="77" t="s">
        <v>379</v>
      </c>
      <c r="F189" s="21"/>
      <c r="G189" s="21"/>
    </row>
    <row r="190" spans="1:7" x14ac:dyDescent="0.25">
      <c r="A190" s="31" t="s">
        <v>378</v>
      </c>
      <c r="F190" s="21"/>
      <c r="G190" s="21"/>
    </row>
    <row r="191" spans="1:7" x14ac:dyDescent="0.25">
      <c r="A191" s="31" t="s">
        <v>471</v>
      </c>
      <c r="F191" s="21"/>
      <c r="G191" s="21"/>
    </row>
    <row r="192" spans="1:7" x14ac:dyDescent="0.25">
      <c r="A192" s="31" t="s">
        <v>469</v>
      </c>
    </row>
    <row r="193" spans="1:7" x14ac:dyDescent="0.25">
      <c r="A193" s="31" t="s">
        <v>473</v>
      </c>
    </row>
    <row r="194" spans="1:7" x14ac:dyDescent="0.25">
      <c r="A194" s="31" t="s">
        <v>470</v>
      </c>
    </row>
    <row r="195" spans="1:7" x14ac:dyDescent="0.25">
      <c r="A195" s="31" t="s">
        <v>376</v>
      </c>
    </row>
    <row r="196" spans="1:7" x14ac:dyDescent="0.25">
      <c r="A196" s="31" t="s">
        <v>472</v>
      </c>
    </row>
    <row r="197" spans="1:7" x14ac:dyDescent="0.25">
      <c r="A197" s="31" t="s">
        <v>380</v>
      </c>
    </row>
    <row r="198" spans="1:7" x14ac:dyDescent="0.25">
      <c r="A198" s="31" t="s">
        <v>372</v>
      </c>
    </row>
    <row r="199" spans="1:7" ht="15.75" thickBot="1" x14ac:dyDescent="0.3"/>
    <row r="200" spans="1:7" x14ac:dyDescent="0.25">
      <c r="A200" s="79" t="s">
        <v>384</v>
      </c>
      <c r="B200" s="83"/>
      <c r="C200" s="86" t="s">
        <v>489</v>
      </c>
      <c r="D200" s="87" t="s">
        <v>490</v>
      </c>
      <c r="E200" s="88"/>
      <c r="F200" s="89"/>
      <c r="G200" s="21"/>
    </row>
    <row r="201" spans="1:7" x14ac:dyDescent="0.25">
      <c r="A201" s="80" t="s">
        <v>496</v>
      </c>
      <c r="B201" s="84" t="s">
        <v>497</v>
      </c>
      <c r="C201" s="90" t="s">
        <v>467</v>
      </c>
      <c r="D201" s="33" t="s">
        <v>387</v>
      </c>
      <c r="E201" s="33"/>
      <c r="F201" s="81"/>
      <c r="G201" s="21"/>
    </row>
    <row r="202" spans="1:7" x14ac:dyDescent="0.25">
      <c r="A202" s="80" t="s">
        <v>465</v>
      </c>
      <c r="B202" s="84" t="s">
        <v>497</v>
      </c>
      <c r="C202" s="90" t="s">
        <v>383</v>
      </c>
      <c r="D202" s="33" t="s">
        <v>388</v>
      </c>
      <c r="E202" s="33"/>
      <c r="F202" s="81"/>
      <c r="G202" s="21"/>
    </row>
    <row r="203" spans="1:7" x14ac:dyDescent="0.25">
      <c r="A203" s="80" t="s">
        <v>463</v>
      </c>
      <c r="B203" s="84" t="s">
        <v>497</v>
      </c>
      <c r="C203" s="90" t="s">
        <v>383</v>
      </c>
      <c r="D203" s="33" t="s">
        <v>389</v>
      </c>
      <c r="E203" s="33"/>
      <c r="F203" s="81"/>
      <c r="G203" s="21"/>
    </row>
    <row r="204" spans="1:7" x14ac:dyDescent="0.25">
      <c r="A204" s="80" t="s">
        <v>386</v>
      </c>
      <c r="B204" s="85" t="s">
        <v>497</v>
      </c>
      <c r="C204" s="90" t="s">
        <v>383</v>
      </c>
      <c r="D204" s="33" t="s">
        <v>390</v>
      </c>
      <c r="E204" s="33"/>
      <c r="F204" s="81"/>
      <c r="G204" s="21"/>
    </row>
    <row r="205" spans="1:7" x14ac:dyDescent="0.25">
      <c r="A205" s="80" t="s">
        <v>474</v>
      </c>
      <c r="B205" s="84" t="s">
        <v>497</v>
      </c>
      <c r="C205" s="90" t="s">
        <v>495</v>
      </c>
      <c r="D205" s="33" t="s">
        <v>391</v>
      </c>
      <c r="E205" s="33"/>
      <c r="F205" s="81"/>
      <c r="G205" s="21"/>
    </row>
    <row r="206" spans="1:7" x14ac:dyDescent="0.25">
      <c r="A206" s="80" t="s">
        <v>464</v>
      </c>
      <c r="B206" s="84" t="s">
        <v>497</v>
      </c>
      <c r="C206" s="90" t="s">
        <v>500</v>
      </c>
      <c r="D206" s="33" t="s">
        <v>392</v>
      </c>
      <c r="E206" s="33"/>
      <c r="F206" s="81"/>
      <c r="G206" s="21"/>
    </row>
    <row r="207" spans="1:7" x14ac:dyDescent="0.25">
      <c r="A207" s="80" t="s">
        <v>382</v>
      </c>
      <c r="B207" s="84" t="s">
        <v>497</v>
      </c>
      <c r="C207" s="90" t="s">
        <v>468</v>
      </c>
      <c r="D207" s="33" t="s">
        <v>393</v>
      </c>
      <c r="E207" s="33"/>
      <c r="F207" s="81"/>
      <c r="G207" s="21"/>
    </row>
    <row r="208" spans="1:7" x14ac:dyDescent="0.25">
      <c r="A208" s="80" t="s">
        <v>495</v>
      </c>
      <c r="B208" s="84" t="s">
        <v>497</v>
      </c>
      <c r="C208" s="90" t="s">
        <v>524</v>
      </c>
      <c r="D208" s="33" t="s">
        <v>394</v>
      </c>
      <c r="E208" s="33"/>
      <c r="F208" s="81"/>
      <c r="G208" s="21"/>
    </row>
    <row r="209" spans="1:7" x14ac:dyDescent="0.25">
      <c r="A209" s="80" t="s">
        <v>512</v>
      </c>
      <c r="B209" s="84" t="s">
        <v>497</v>
      </c>
      <c r="C209" s="90" t="s">
        <v>524</v>
      </c>
      <c r="D209" s="33" t="s">
        <v>395</v>
      </c>
      <c r="E209" s="33"/>
      <c r="F209" s="81"/>
      <c r="G209" s="21"/>
    </row>
    <row r="210" spans="1:7" x14ac:dyDescent="0.25">
      <c r="A210" s="80" t="s">
        <v>513</v>
      </c>
      <c r="B210" s="84" t="s">
        <v>497</v>
      </c>
      <c r="C210" s="90" t="s">
        <v>524</v>
      </c>
      <c r="D210" s="33" t="s">
        <v>396</v>
      </c>
      <c r="E210" s="33"/>
      <c r="F210" s="81"/>
      <c r="G210" s="21"/>
    </row>
    <row r="211" spans="1:7" x14ac:dyDescent="0.25">
      <c r="A211" s="80" t="s">
        <v>492</v>
      </c>
      <c r="B211" s="84" t="s">
        <v>497</v>
      </c>
      <c r="C211" s="90" t="s">
        <v>463</v>
      </c>
      <c r="D211" s="85" t="s">
        <v>397</v>
      </c>
      <c r="E211" s="33"/>
      <c r="F211" s="81"/>
      <c r="G211" s="21"/>
    </row>
    <row r="212" spans="1:7" x14ac:dyDescent="0.25">
      <c r="A212" s="80" t="s">
        <v>515</v>
      </c>
      <c r="B212" s="84" t="s">
        <v>497</v>
      </c>
      <c r="C212" s="90" t="s">
        <v>463</v>
      </c>
      <c r="D212" s="33" t="s">
        <v>398</v>
      </c>
      <c r="E212" s="33"/>
      <c r="F212" s="81"/>
      <c r="G212" s="21"/>
    </row>
    <row r="213" spans="1:7" x14ac:dyDescent="0.25">
      <c r="A213" s="80" t="s">
        <v>493</v>
      </c>
      <c r="B213" s="84" t="s">
        <v>522</v>
      </c>
      <c r="C213" s="90" t="s">
        <v>491</v>
      </c>
      <c r="D213" s="33" t="s">
        <v>399</v>
      </c>
      <c r="E213" s="33"/>
      <c r="F213" s="81"/>
      <c r="G213" s="21"/>
    </row>
    <row r="214" spans="1:7" x14ac:dyDescent="0.25">
      <c r="A214" s="80" t="s">
        <v>494</v>
      </c>
      <c r="B214" s="84" t="s">
        <v>522</v>
      </c>
      <c r="C214" s="90" t="s">
        <v>386</v>
      </c>
      <c r="D214" s="33" t="s">
        <v>400</v>
      </c>
      <c r="E214" s="33"/>
      <c r="F214" s="81"/>
      <c r="G214" s="21"/>
    </row>
    <row r="215" spans="1:7" x14ac:dyDescent="0.25">
      <c r="A215" s="80" t="s">
        <v>381</v>
      </c>
      <c r="B215" s="84" t="s">
        <v>498</v>
      </c>
      <c r="C215" s="90" t="s">
        <v>382</v>
      </c>
      <c r="D215" s="33" t="s">
        <v>401</v>
      </c>
      <c r="E215" s="33"/>
      <c r="F215" s="81"/>
      <c r="G215" s="21"/>
    </row>
    <row r="216" spans="1:7" x14ac:dyDescent="0.25">
      <c r="A216" s="80" t="s">
        <v>491</v>
      </c>
      <c r="B216" s="85" t="s">
        <v>498</v>
      </c>
      <c r="C216" s="90" t="s">
        <v>494</v>
      </c>
      <c r="D216" s="33" t="s">
        <v>402</v>
      </c>
      <c r="E216" s="33"/>
      <c r="F216" s="81"/>
      <c r="G216" s="21"/>
    </row>
    <row r="217" spans="1:7" x14ac:dyDescent="0.25">
      <c r="A217" s="80" t="s">
        <v>468</v>
      </c>
      <c r="B217" s="85" t="s">
        <v>498</v>
      </c>
      <c r="C217" s="90" t="s">
        <v>494</v>
      </c>
      <c r="D217" s="33" t="s">
        <v>403</v>
      </c>
      <c r="E217" s="33"/>
      <c r="F217" s="81"/>
      <c r="G217" s="21"/>
    </row>
    <row r="218" spans="1:7" x14ac:dyDescent="0.25">
      <c r="A218" s="80" t="s">
        <v>514</v>
      </c>
      <c r="B218" s="85" t="s">
        <v>498</v>
      </c>
      <c r="C218" s="90" t="s">
        <v>464</v>
      </c>
      <c r="D218" s="33" t="s">
        <v>404</v>
      </c>
      <c r="E218" s="33"/>
      <c r="F218" s="81"/>
      <c r="G218" s="21"/>
    </row>
    <row r="219" spans="1:7" x14ac:dyDescent="0.25">
      <c r="A219" s="80" t="s">
        <v>466</v>
      </c>
      <c r="B219" s="84" t="s">
        <v>498</v>
      </c>
      <c r="C219" s="90" t="s">
        <v>466</v>
      </c>
      <c r="D219" s="33" t="s">
        <v>405</v>
      </c>
      <c r="E219" s="33"/>
      <c r="F219" s="81"/>
      <c r="G219" s="21"/>
    </row>
    <row r="220" spans="1:7" x14ac:dyDescent="0.25">
      <c r="A220" s="80" t="s">
        <v>523</v>
      </c>
      <c r="B220" s="84" t="s">
        <v>498</v>
      </c>
      <c r="C220" s="90" t="s">
        <v>465</v>
      </c>
      <c r="D220" s="33" t="s">
        <v>406</v>
      </c>
      <c r="E220" s="33"/>
      <c r="F220" s="81"/>
      <c r="G220" s="21"/>
    </row>
    <row r="221" spans="1:7" x14ac:dyDescent="0.25">
      <c r="A221" s="80" t="s">
        <v>519</v>
      </c>
      <c r="B221" s="84" t="s">
        <v>498</v>
      </c>
      <c r="C221" s="90" t="s">
        <v>386</v>
      </c>
      <c r="D221" s="33" t="s">
        <v>407</v>
      </c>
      <c r="E221" s="33"/>
      <c r="F221" s="81"/>
      <c r="G221" s="21"/>
    </row>
    <row r="222" spans="1:7" x14ac:dyDescent="0.25">
      <c r="A222" s="80" t="s">
        <v>518</v>
      </c>
      <c r="B222" s="85" t="s">
        <v>498</v>
      </c>
      <c r="C222" s="90" t="s">
        <v>474</v>
      </c>
      <c r="D222" s="33" t="s">
        <v>408</v>
      </c>
      <c r="E222" s="33"/>
      <c r="F222" s="81"/>
      <c r="G222" s="21"/>
    </row>
    <row r="223" spans="1:7" x14ac:dyDescent="0.25">
      <c r="A223" s="80" t="s">
        <v>516</v>
      </c>
      <c r="B223" s="84" t="s">
        <v>498</v>
      </c>
      <c r="C223" s="90" t="s">
        <v>474</v>
      </c>
      <c r="D223" s="33" t="s">
        <v>409</v>
      </c>
      <c r="E223" s="33"/>
      <c r="F223" s="81"/>
      <c r="G223" s="21"/>
    </row>
    <row r="224" spans="1:7" x14ac:dyDescent="0.25">
      <c r="A224" s="80" t="s">
        <v>517</v>
      </c>
      <c r="B224" s="84" t="s">
        <v>501</v>
      </c>
      <c r="C224" s="90" t="s">
        <v>496</v>
      </c>
      <c r="D224" s="33" t="s">
        <v>410</v>
      </c>
      <c r="E224" s="33"/>
      <c r="F224" s="81"/>
      <c r="G224" s="21"/>
    </row>
    <row r="225" spans="1:7" x14ac:dyDescent="0.25">
      <c r="A225" s="80" t="s">
        <v>467</v>
      </c>
      <c r="B225" s="84" t="s">
        <v>501</v>
      </c>
      <c r="C225" s="90" t="s">
        <v>496</v>
      </c>
      <c r="D225" s="33" t="s">
        <v>411</v>
      </c>
      <c r="E225" s="33"/>
      <c r="F225" s="81"/>
      <c r="G225" s="21"/>
    </row>
    <row r="226" spans="1:7" x14ac:dyDescent="0.25">
      <c r="A226" s="80" t="s">
        <v>502</v>
      </c>
      <c r="B226" s="84" t="s">
        <v>501</v>
      </c>
      <c r="C226" s="90" t="s">
        <v>496</v>
      </c>
      <c r="D226" s="33" t="s">
        <v>412</v>
      </c>
      <c r="E226" s="33"/>
      <c r="F226" s="81"/>
      <c r="G226" s="21"/>
    </row>
    <row r="227" spans="1:7" x14ac:dyDescent="0.25">
      <c r="A227" s="80" t="s">
        <v>499</v>
      </c>
      <c r="B227" s="84" t="s">
        <v>501</v>
      </c>
      <c r="C227" s="90" t="s">
        <v>512</v>
      </c>
      <c r="D227" s="33" t="s">
        <v>413</v>
      </c>
      <c r="E227" s="33"/>
      <c r="F227" s="81"/>
      <c r="G227" s="21"/>
    </row>
    <row r="228" spans="1:7" x14ac:dyDescent="0.25">
      <c r="A228" s="80" t="s">
        <v>500</v>
      </c>
      <c r="B228" s="84" t="s">
        <v>501</v>
      </c>
      <c r="C228" s="90" t="s">
        <v>492</v>
      </c>
      <c r="D228" s="33" t="s">
        <v>414</v>
      </c>
      <c r="E228" s="33"/>
      <c r="F228" s="81"/>
      <c r="G228" s="21"/>
    </row>
    <row r="229" spans="1:7" x14ac:dyDescent="0.25">
      <c r="A229" s="80" t="s">
        <v>520</v>
      </c>
      <c r="B229" s="84" t="s">
        <v>501</v>
      </c>
      <c r="C229" s="90" t="s">
        <v>492</v>
      </c>
      <c r="D229" s="33" t="s">
        <v>415</v>
      </c>
      <c r="E229" s="33"/>
      <c r="F229" s="81"/>
      <c r="G229" s="21"/>
    </row>
    <row r="230" spans="1:7" x14ac:dyDescent="0.25">
      <c r="A230" s="80" t="s">
        <v>503</v>
      </c>
      <c r="B230" s="84" t="s">
        <v>501</v>
      </c>
      <c r="C230" s="90" t="s">
        <v>492</v>
      </c>
      <c r="D230" s="33" t="s">
        <v>416</v>
      </c>
      <c r="E230" s="33"/>
      <c r="F230" s="81"/>
      <c r="G230" s="21"/>
    </row>
    <row r="231" spans="1:7" x14ac:dyDescent="0.25">
      <c r="A231" s="80" t="s">
        <v>42</v>
      </c>
      <c r="B231" s="84" t="s">
        <v>42</v>
      </c>
      <c r="C231" s="90" t="s">
        <v>493</v>
      </c>
      <c r="D231" s="33" t="s">
        <v>417</v>
      </c>
      <c r="E231" s="33"/>
      <c r="F231" s="81"/>
      <c r="G231" s="21"/>
    </row>
    <row r="232" spans="1:7" x14ac:dyDescent="0.25">
      <c r="A232" s="80" t="s">
        <v>383</v>
      </c>
      <c r="B232" s="84" t="s">
        <v>383</v>
      </c>
      <c r="C232" s="90" t="s">
        <v>493</v>
      </c>
      <c r="D232" s="33" t="s">
        <v>418</v>
      </c>
      <c r="E232" s="33"/>
      <c r="F232" s="81"/>
      <c r="G232" s="21"/>
    </row>
    <row r="233" spans="1:7" ht="15.75" thickBot="1" x14ac:dyDescent="0.3">
      <c r="A233" s="82" t="s">
        <v>524</v>
      </c>
      <c r="B233" s="95" t="s">
        <v>524</v>
      </c>
      <c r="C233" s="90" t="s">
        <v>493</v>
      </c>
      <c r="D233" s="33" t="s">
        <v>419</v>
      </c>
      <c r="E233" s="33"/>
      <c r="F233" s="81"/>
      <c r="G233" s="21"/>
    </row>
    <row r="234" spans="1:7" x14ac:dyDescent="0.25">
      <c r="C234" s="90" t="s">
        <v>465</v>
      </c>
      <c r="D234" s="33" t="s">
        <v>420</v>
      </c>
      <c r="E234" s="33"/>
      <c r="F234" s="81"/>
      <c r="G234" s="21"/>
    </row>
    <row r="235" spans="1:7" x14ac:dyDescent="0.25">
      <c r="C235" s="90" t="s">
        <v>465</v>
      </c>
      <c r="D235" s="33" t="s">
        <v>421</v>
      </c>
      <c r="E235" s="33"/>
      <c r="F235" s="81"/>
      <c r="G235" s="21"/>
    </row>
    <row r="236" spans="1:7" x14ac:dyDescent="0.25">
      <c r="C236" s="90" t="s">
        <v>465</v>
      </c>
      <c r="D236" s="33" t="s">
        <v>422</v>
      </c>
      <c r="E236" s="33"/>
      <c r="F236" s="81"/>
      <c r="G236" s="21"/>
    </row>
    <row r="237" spans="1:7" x14ac:dyDescent="0.25">
      <c r="C237" s="90" t="s">
        <v>515</v>
      </c>
      <c r="D237" s="33" t="s">
        <v>423</v>
      </c>
      <c r="E237" s="33"/>
      <c r="F237" s="81"/>
      <c r="G237" s="21"/>
    </row>
    <row r="238" spans="1:7" x14ac:dyDescent="0.25">
      <c r="C238" s="90" t="s">
        <v>386</v>
      </c>
      <c r="D238" s="33" t="s">
        <v>424</v>
      </c>
      <c r="E238" s="33"/>
      <c r="F238" s="81"/>
      <c r="G238" s="21"/>
    </row>
    <row r="239" spans="1:7" x14ac:dyDescent="0.25">
      <c r="C239" s="90" t="s">
        <v>513</v>
      </c>
      <c r="D239" s="33" t="s">
        <v>425</v>
      </c>
      <c r="E239" s="33"/>
      <c r="F239" s="81"/>
      <c r="G239" s="21"/>
    </row>
    <row r="240" spans="1:7" x14ac:dyDescent="0.25">
      <c r="C240" s="90" t="s">
        <v>491</v>
      </c>
      <c r="D240" s="33" t="s">
        <v>426</v>
      </c>
      <c r="E240" s="33"/>
      <c r="F240" s="81"/>
      <c r="G240" s="21"/>
    </row>
    <row r="241" spans="2:7" x14ac:dyDescent="0.25">
      <c r="C241" s="90" t="s">
        <v>383</v>
      </c>
      <c r="D241" s="33" t="s">
        <v>427</v>
      </c>
      <c r="E241" s="33"/>
      <c r="F241" s="81"/>
      <c r="G241" s="21"/>
    </row>
    <row r="242" spans="2:7" x14ac:dyDescent="0.25">
      <c r="C242" s="90" t="s">
        <v>383</v>
      </c>
      <c r="D242" s="33" t="s">
        <v>428</v>
      </c>
      <c r="E242" s="33"/>
      <c r="F242" s="81"/>
      <c r="G242" s="21"/>
    </row>
    <row r="243" spans="2:7" x14ac:dyDescent="0.25">
      <c r="B243" s="21"/>
      <c r="C243" s="90" t="s">
        <v>468</v>
      </c>
      <c r="D243" s="33" t="s">
        <v>429</v>
      </c>
      <c r="E243" s="33"/>
      <c r="F243" s="81"/>
      <c r="G243" s="21"/>
    </row>
    <row r="244" spans="2:7" x14ac:dyDescent="0.25">
      <c r="B244" s="21"/>
      <c r="C244" s="90" t="s">
        <v>468</v>
      </c>
      <c r="D244" s="33" t="s">
        <v>430</v>
      </c>
      <c r="E244" s="33"/>
      <c r="F244" s="81"/>
      <c r="G244" s="21"/>
    </row>
    <row r="245" spans="2:7" x14ac:dyDescent="0.25">
      <c r="B245" s="21"/>
      <c r="C245" s="90" t="s">
        <v>518</v>
      </c>
      <c r="D245" s="33" t="s">
        <v>431</v>
      </c>
      <c r="E245" s="33"/>
      <c r="F245" s="81"/>
      <c r="G245" s="21"/>
    </row>
    <row r="246" spans="2:7" x14ac:dyDescent="0.25">
      <c r="B246" s="21"/>
      <c r="C246" s="90" t="s">
        <v>519</v>
      </c>
      <c r="D246" s="33" t="s">
        <v>432</v>
      </c>
      <c r="E246" s="33"/>
      <c r="F246" s="81"/>
      <c r="G246" s="21"/>
    </row>
    <row r="247" spans="2:7" x14ac:dyDescent="0.25">
      <c r="B247" s="21"/>
      <c r="C247" s="90" t="s">
        <v>519</v>
      </c>
      <c r="D247" s="33" t="s">
        <v>433</v>
      </c>
      <c r="E247" s="33"/>
      <c r="F247" s="81"/>
      <c r="G247" s="21"/>
    </row>
    <row r="248" spans="2:7" x14ac:dyDescent="0.25">
      <c r="B248" s="21"/>
      <c r="C248" s="90" t="s">
        <v>519</v>
      </c>
      <c r="D248" s="33" t="s">
        <v>434</v>
      </c>
      <c r="E248" s="33"/>
      <c r="F248" s="81"/>
      <c r="G248" s="21"/>
    </row>
    <row r="249" spans="2:7" x14ac:dyDescent="0.25">
      <c r="B249" s="21"/>
      <c r="C249" s="90" t="s">
        <v>381</v>
      </c>
      <c r="D249" s="33" t="s">
        <v>435</v>
      </c>
      <c r="E249" s="33"/>
      <c r="F249" s="81"/>
      <c r="G249" s="21"/>
    </row>
    <row r="250" spans="2:7" x14ac:dyDescent="0.25">
      <c r="B250" s="21"/>
      <c r="C250" s="90" t="s">
        <v>381</v>
      </c>
      <c r="D250" s="33" t="s">
        <v>436</v>
      </c>
      <c r="E250" s="33"/>
      <c r="F250" s="81"/>
      <c r="G250" s="21"/>
    </row>
    <row r="251" spans="2:7" x14ac:dyDescent="0.25">
      <c r="B251" s="21"/>
      <c r="C251" s="90" t="s">
        <v>381</v>
      </c>
      <c r="D251" s="33" t="s">
        <v>437</v>
      </c>
      <c r="E251" s="33"/>
      <c r="F251" s="81"/>
      <c r="G251" s="21"/>
    </row>
    <row r="252" spans="2:7" x14ac:dyDescent="0.25">
      <c r="B252" s="21"/>
      <c r="C252" s="90" t="s">
        <v>514</v>
      </c>
      <c r="D252" s="33" t="s">
        <v>438</v>
      </c>
      <c r="E252" s="33"/>
      <c r="F252" s="81"/>
      <c r="G252" s="21"/>
    </row>
    <row r="253" spans="2:7" x14ac:dyDescent="0.25">
      <c r="B253" s="21"/>
      <c r="C253" s="90" t="s">
        <v>514</v>
      </c>
      <c r="D253" s="33" t="s">
        <v>439</v>
      </c>
      <c r="E253" s="33"/>
      <c r="F253" s="81"/>
      <c r="G253" s="21"/>
    </row>
    <row r="254" spans="2:7" x14ac:dyDescent="0.25">
      <c r="B254" s="21"/>
      <c r="C254" s="90" t="s">
        <v>514</v>
      </c>
      <c r="D254" s="33" t="s">
        <v>440</v>
      </c>
      <c r="E254" s="33"/>
      <c r="F254" s="81"/>
      <c r="G254" s="21"/>
    </row>
    <row r="255" spans="2:7" x14ac:dyDescent="0.25">
      <c r="B255" s="21"/>
      <c r="C255" s="90" t="s">
        <v>523</v>
      </c>
      <c r="D255" s="33" t="s">
        <v>441</v>
      </c>
      <c r="E255" s="33"/>
      <c r="F255" s="81"/>
      <c r="G255" s="21"/>
    </row>
    <row r="256" spans="2:7" x14ac:dyDescent="0.25">
      <c r="B256" s="21"/>
      <c r="C256" s="90" t="s">
        <v>523</v>
      </c>
      <c r="D256" s="33" t="s">
        <v>442</v>
      </c>
      <c r="E256" s="33"/>
      <c r="F256" s="81"/>
      <c r="G256" s="21"/>
    </row>
    <row r="257" spans="2:7" x14ac:dyDescent="0.25">
      <c r="B257" s="21"/>
      <c r="C257" s="90" t="s">
        <v>523</v>
      </c>
      <c r="D257" s="33" t="s">
        <v>443</v>
      </c>
      <c r="E257" s="33"/>
      <c r="F257" s="81"/>
      <c r="G257" s="21"/>
    </row>
    <row r="258" spans="2:7" x14ac:dyDescent="0.25">
      <c r="B258" s="21"/>
      <c r="C258" s="90" t="s">
        <v>520</v>
      </c>
      <c r="D258" s="33" t="s">
        <v>444</v>
      </c>
      <c r="E258" s="33"/>
      <c r="F258" s="81"/>
      <c r="G258" s="21"/>
    </row>
    <row r="259" spans="2:7" x14ac:dyDescent="0.25">
      <c r="B259" s="21"/>
      <c r="C259" s="90" t="s">
        <v>516</v>
      </c>
      <c r="D259" s="33" t="s">
        <v>445</v>
      </c>
      <c r="E259" s="33"/>
      <c r="F259" s="81"/>
      <c r="G259" s="21"/>
    </row>
    <row r="260" spans="2:7" x14ac:dyDescent="0.25">
      <c r="B260" s="21"/>
      <c r="C260" s="90" t="s">
        <v>516</v>
      </c>
      <c r="D260" s="33" t="s">
        <v>446</v>
      </c>
      <c r="E260" s="33"/>
      <c r="F260" s="81"/>
      <c r="G260" s="21"/>
    </row>
    <row r="261" spans="2:7" x14ac:dyDescent="0.25">
      <c r="B261" s="21"/>
      <c r="C261" s="90" t="s">
        <v>516</v>
      </c>
      <c r="D261" s="33" t="s">
        <v>447</v>
      </c>
      <c r="E261" s="33"/>
      <c r="F261" s="81"/>
      <c r="G261" s="21"/>
    </row>
    <row r="262" spans="2:7" x14ac:dyDescent="0.25">
      <c r="B262" s="21"/>
      <c r="C262" s="90" t="s">
        <v>516</v>
      </c>
      <c r="D262" s="33" t="s">
        <v>448</v>
      </c>
      <c r="E262" s="33"/>
      <c r="F262" s="81"/>
      <c r="G262" s="21"/>
    </row>
    <row r="263" spans="2:7" x14ac:dyDescent="0.25">
      <c r="B263" s="21"/>
      <c r="C263" s="90" t="s">
        <v>516</v>
      </c>
      <c r="D263" s="33" t="s">
        <v>449</v>
      </c>
      <c r="E263" s="33"/>
      <c r="F263" s="81"/>
      <c r="G263" s="21"/>
    </row>
    <row r="264" spans="2:7" x14ac:dyDescent="0.25">
      <c r="B264" s="21"/>
      <c r="C264" s="90" t="s">
        <v>516</v>
      </c>
      <c r="D264" s="33" t="s">
        <v>450</v>
      </c>
      <c r="E264" s="33"/>
      <c r="F264" s="81"/>
      <c r="G264" s="21"/>
    </row>
    <row r="265" spans="2:7" x14ac:dyDescent="0.25">
      <c r="B265" s="21"/>
      <c r="C265" s="90" t="s">
        <v>491</v>
      </c>
      <c r="D265" s="33" t="s">
        <v>451</v>
      </c>
      <c r="E265" s="33"/>
      <c r="F265" s="81"/>
      <c r="G265" s="21"/>
    </row>
    <row r="266" spans="2:7" x14ac:dyDescent="0.25">
      <c r="B266" s="21"/>
      <c r="C266" s="90" t="s">
        <v>491</v>
      </c>
      <c r="D266" s="33" t="s">
        <v>452</v>
      </c>
      <c r="E266" s="33"/>
      <c r="F266" s="81"/>
      <c r="G266" s="21"/>
    </row>
    <row r="267" spans="2:7" x14ac:dyDescent="0.25">
      <c r="B267" s="21"/>
      <c r="C267" s="90" t="s">
        <v>491</v>
      </c>
      <c r="D267" s="33" t="s">
        <v>453</v>
      </c>
      <c r="E267" s="33"/>
      <c r="F267" s="81"/>
      <c r="G267" s="21"/>
    </row>
    <row r="268" spans="2:7" x14ac:dyDescent="0.25">
      <c r="B268" s="21"/>
      <c r="C268" s="90" t="s">
        <v>500</v>
      </c>
      <c r="D268" s="33" t="s">
        <v>454</v>
      </c>
      <c r="E268" s="33"/>
      <c r="F268" s="81"/>
      <c r="G268" s="21"/>
    </row>
    <row r="269" spans="2:7" x14ac:dyDescent="0.25">
      <c r="B269" s="21"/>
      <c r="C269" s="90" t="s">
        <v>500</v>
      </c>
      <c r="D269" s="33" t="s">
        <v>455</v>
      </c>
      <c r="E269" s="33"/>
      <c r="F269" s="81"/>
      <c r="G269" s="21"/>
    </row>
    <row r="270" spans="2:7" x14ac:dyDescent="0.25">
      <c r="B270" s="21"/>
      <c r="C270" s="90" t="s">
        <v>500</v>
      </c>
      <c r="D270" s="33" t="s">
        <v>456</v>
      </c>
      <c r="E270" s="33"/>
      <c r="F270" s="81"/>
      <c r="G270" s="21"/>
    </row>
    <row r="271" spans="2:7" x14ac:dyDescent="0.25">
      <c r="B271" s="21"/>
      <c r="C271" s="90" t="s">
        <v>499</v>
      </c>
      <c r="D271" s="33" t="s">
        <v>457</v>
      </c>
      <c r="E271" s="33"/>
      <c r="F271" s="81"/>
      <c r="G271" s="21"/>
    </row>
    <row r="272" spans="2:7" x14ac:dyDescent="0.25">
      <c r="B272" s="21"/>
      <c r="C272" s="90" t="s">
        <v>499</v>
      </c>
      <c r="D272" s="33" t="s">
        <v>458</v>
      </c>
      <c r="E272" s="33"/>
      <c r="F272" s="81"/>
      <c r="G272" s="21"/>
    </row>
    <row r="273" spans="1:7" x14ac:dyDescent="0.25">
      <c r="B273" s="21"/>
      <c r="C273" s="90" t="s">
        <v>499</v>
      </c>
      <c r="D273" s="33" t="s">
        <v>459</v>
      </c>
      <c r="E273" s="33"/>
      <c r="F273" s="81"/>
      <c r="G273" s="21"/>
    </row>
    <row r="274" spans="1:7" x14ac:dyDescent="0.25">
      <c r="B274" s="21"/>
      <c r="C274" s="90" t="s">
        <v>517</v>
      </c>
      <c r="D274" s="85" t="s">
        <v>460</v>
      </c>
      <c r="E274" s="33"/>
      <c r="F274" s="81"/>
      <c r="G274" s="21"/>
    </row>
    <row r="275" spans="1:7" x14ac:dyDescent="0.25">
      <c r="B275" s="21"/>
      <c r="C275" s="90" t="s">
        <v>502</v>
      </c>
      <c r="D275" s="85" t="s">
        <v>461</v>
      </c>
      <c r="E275" s="33"/>
      <c r="F275" s="81"/>
      <c r="G275" s="21"/>
    </row>
    <row r="276" spans="1:7" ht="15.75" thickBot="1" x14ac:dyDescent="0.3">
      <c r="B276" s="21"/>
      <c r="C276" s="91" t="s">
        <v>503</v>
      </c>
      <c r="D276" s="94" t="s">
        <v>462</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69"/>
  <sheetViews>
    <sheetView topLeftCell="A410" workbookViewId="0">
      <selection activeCell="B446" sqref="B446"/>
    </sheetView>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216</v>
      </c>
      <c r="D1" s="44">
        <v>769</v>
      </c>
    </row>
    <row r="2" spans="1:4" x14ac:dyDescent="0.25">
      <c r="A2" s="40">
        <v>41161</v>
      </c>
      <c r="B2" s="126">
        <v>0.10347222222222223</v>
      </c>
      <c r="C2" s="30" t="s">
        <v>234</v>
      </c>
    </row>
    <row r="3" spans="1:4" x14ac:dyDescent="0.25">
      <c r="A3" s="40">
        <v>41161</v>
      </c>
      <c r="B3" s="126">
        <v>0.64894675925925926</v>
      </c>
      <c r="C3" s="30" t="s">
        <v>705</v>
      </c>
    </row>
    <row r="4" spans="1:4" x14ac:dyDescent="0.25">
      <c r="A4" s="40">
        <v>41161</v>
      </c>
      <c r="B4" s="126">
        <v>0.66543981481481485</v>
      </c>
      <c r="C4" s="30" t="s">
        <v>706</v>
      </c>
    </row>
    <row r="5" spans="1:4" x14ac:dyDescent="0.25">
      <c r="A5" s="40">
        <v>41161</v>
      </c>
      <c r="B5" s="126">
        <v>0.66763888888888889</v>
      </c>
      <c r="C5" s="30" t="s">
        <v>707</v>
      </c>
    </row>
    <row r="6" spans="1:4" x14ac:dyDescent="0.25">
      <c r="A6" s="40">
        <v>41161</v>
      </c>
      <c r="B6" s="126">
        <v>0.68001157407407409</v>
      </c>
      <c r="C6" s="30" t="s">
        <v>706</v>
      </c>
    </row>
    <row r="7" spans="1:4" x14ac:dyDescent="0.25">
      <c r="A7" s="40">
        <v>41161</v>
      </c>
      <c r="B7" s="126">
        <v>0.68549768518518517</v>
      </c>
      <c r="C7" s="30" t="s">
        <v>708</v>
      </c>
    </row>
    <row r="8" spans="1:4" x14ac:dyDescent="0.25">
      <c r="A8" s="40">
        <v>41161</v>
      </c>
      <c r="B8" s="126">
        <v>0.8114351851851852</v>
      </c>
      <c r="C8" s="30" t="s">
        <v>708</v>
      </c>
    </row>
    <row r="9" spans="1:4" x14ac:dyDescent="0.25">
      <c r="A9" s="40">
        <v>41161</v>
      </c>
      <c r="B9" s="126">
        <v>0.836400462962963</v>
      </c>
      <c r="C9" s="30" t="s">
        <v>709</v>
      </c>
    </row>
    <row r="10" spans="1:4" x14ac:dyDescent="0.25">
      <c r="A10" s="40">
        <v>41161</v>
      </c>
      <c r="B10" s="126">
        <v>0.83872685185185192</v>
      </c>
      <c r="C10" s="30" t="s">
        <v>709</v>
      </c>
    </row>
    <row r="11" spans="1:4" x14ac:dyDescent="0.25">
      <c r="A11" s="40">
        <v>41161</v>
      </c>
      <c r="B11" s="126">
        <v>0.83950231481481474</v>
      </c>
      <c r="C11" s="30" t="s">
        <v>709</v>
      </c>
    </row>
    <row r="12" spans="1:4" x14ac:dyDescent="0.25">
      <c r="A12" s="40">
        <v>41161</v>
      </c>
      <c r="B12" s="126">
        <v>0.84199074074074076</v>
      </c>
      <c r="C12" s="30" t="s">
        <v>710</v>
      </c>
    </row>
    <row r="13" spans="1:4" x14ac:dyDescent="0.25">
      <c r="A13" s="40">
        <v>41161</v>
      </c>
      <c r="B13" s="126">
        <v>0.88518518518518519</v>
      </c>
      <c r="C13" s="30" t="s">
        <v>708</v>
      </c>
    </row>
    <row r="14" spans="1:4" x14ac:dyDescent="0.25">
      <c r="A14" s="40">
        <v>41161</v>
      </c>
      <c r="B14" s="126">
        <v>0.9471180555555555</v>
      </c>
      <c r="C14" s="30" t="s">
        <v>726</v>
      </c>
    </row>
    <row r="15" spans="1:4" x14ac:dyDescent="0.25">
      <c r="A15" s="40">
        <v>41161</v>
      </c>
      <c r="B15" s="126">
        <v>0.97668981481481476</v>
      </c>
      <c r="C15" s="30" t="s">
        <v>727</v>
      </c>
    </row>
    <row r="16" spans="1:4" x14ac:dyDescent="0.25">
      <c r="A16" s="40">
        <v>41161</v>
      </c>
      <c r="B16" s="126">
        <v>0.97673611111111114</v>
      </c>
      <c r="C16" s="30" t="s">
        <v>726</v>
      </c>
    </row>
    <row r="17" spans="1:3" x14ac:dyDescent="0.25">
      <c r="A17" s="40">
        <v>41161</v>
      </c>
      <c r="B17" s="126">
        <v>0.9909027777777778</v>
      </c>
      <c r="C17" s="30" t="s">
        <v>727</v>
      </c>
    </row>
    <row r="18" spans="1:3" x14ac:dyDescent="0.25">
      <c r="A18" s="40">
        <v>41161</v>
      </c>
      <c r="B18" s="126">
        <v>0.99098379629629629</v>
      </c>
      <c r="C18" s="30" t="s">
        <v>728</v>
      </c>
    </row>
    <row r="19" spans="1:3" x14ac:dyDescent="0.25">
      <c r="A19" s="40">
        <v>41161</v>
      </c>
      <c r="B19" s="126">
        <v>0.99104166666666671</v>
      </c>
      <c r="C19" s="30" t="s">
        <v>729</v>
      </c>
    </row>
    <row r="20" spans="1:3" x14ac:dyDescent="0.25">
      <c r="A20" s="40">
        <v>41161</v>
      </c>
      <c r="B20" s="126">
        <v>0.99127314814814815</v>
      </c>
      <c r="C20" s="30" t="s">
        <v>730</v>
      </c>
    </row>
    <row r="21" spans="1:3" ht="45" x14ac:dyDescent="0.25">
      <c r="A21" s="40">
        <v>41162</v>
      </c>
      <c r="B21" s="126">
        <v>5.4965277777777773E-2</v>
      </c>
      <c r="C21" s="316" t="s">
        <v>731</v>
      </c>
    </row>
    <row r="22" spans="1:3" x14ac:dyDescent="0.25">
      <c r="A22" s="40">
        <v>41162</v>
      </c>
      <c r="B22" s="126">
        <v>5.543981481481481E-2</v>
      </c>
      <c r="C22" s="30" t="s">
        <v>708</v>
      </c>
    </row>
    <row r="23" spans="1:3" ht="45" x14ac:dyDescent="0.25">
      <c r="A23" s="40">
        <v>41162</v>
      </c>
      <c r="B23" s="126">
        <v>5.6134259259259266E-2</v>
      </c>
      <c r="C23" s="316" t="s">
        <v>732</v>
      </c>
    </row>
    <row r="24" spans="1:3" x14ac:dyDescent="0.25">
      <c r="A24" s="40">
        <v>41162</v>
      </c>
      <c r="B24" s="126">
        <v>7.1851851851851847E-2</v>
      </c>
      <c r="C24" s="30" t="s">
        <v>708</v>
      </c>
    </row>
    <row r="25" spans="1:3" ht="45" x14ac:dyDescent="0.25">
      <c r="A25" s="40">
        <v>41162</v>
      </c>
      <c r="B25" s="126">
        <v>7.2523148148148142E-2</v>
      </c>
      <c r="C25" s="316" t="s">
        <v>732</v>
      </c>
    </row>
    <row r="26" spans="1:3" x14ac:dyDescent="0.25">
      <c r="A26" s="40">
        <v>41162</v>
      </c>
      <c r="B26" s="126">
        <v>9.043981481481482E-2</v>
      </c>
      <c r="C26" s="30" t="s">
        <v>727</v>
      </c>
    </row>
    <row r="27" spans="1:3" x14ac:dyDescent="0.25">
      <c r="A27" s="40">
        <v>41162</v>
      </c>
      <c r="B27" s="126">
        <v>9.0520833333333328E-2</v>
      </c>
      <c r="C27" s="30" t="s">
        <v>728</v>
      </c>
    </row>
    <row r="28" spans="1:3" x14ac:dyDescent="0.25">
      <c r="A28" s="40">
        <v>41162</v>
      </c>
      <c r="B28" s="126">
        <v>9.0555555555555556E-2</v>
      </c>
      <c r="C28" s="30" t="s">
        <v>729</v>
      </c>
    </row>
    <row r="29" spans="1:3" x14ac:dyDescent="0.25">
      <c r="A29" s="40">
        <v>41162</v>
      </c>
      <c r="B29" s="126">
        <v>9.0810185185185188E-2</v>
      </c>
      <c r="C29" s="30" t="s">
        <v>730</v>
      </c>
    </row>
    <row r="30" spans="1:3" x14ac:dyDescent="0.25">
      <c r="A30" s="40">
        <v>41162</v>
      </c>
      <c r="B30" s="126">
        <v>9.5023148148148148E-2</v>
      </c>
      <c r="C30" s="30" t="s">
        <v>733</v>
      </c>
    </row>
    <row r="31" spans="1:3" ht="45" x14ac:dyDescent="0.25">
      <c r="A31" s="40">
        <v>41162</v>
      </c>
      <c r="B31" s="126">
        <v>9.5509259259259252E-2</v>
      </c>
      <c r="C31" s="316" t="s">
        <v>731</v>
      </c>
    </row>
    <row r="32" spans="1:3" x14ac:dyDescent="0.25">
      <c r="A32" s="40">
        <v>41162</v>
      </c>
      <c r="B32" s="126">
        <v>0.70186342592592599</v>
      </c>
      <c r="C32" s="30" t="s">
        <v>734</v>
      </c>
    </row>
    <row r="33" spans="1:3" x14ac:dyDescent="0.25">
      <c r="A33" s="40">
        <v>41162</v>
      </c>
      <c r="B33" s="126">
        <v>0.93384259259259261</v>
      </c>
      <c r="C33" s="30" t="s">
        <v>735</v>
      </c>
    </row>
    <row r="34" spans="1:3" x14ac:dyDescent="0.25">
      <c r="A34" s="40">
        <v>41162</v>
      </c>
      <c r="B34" s="126">
        <v>0.93483796296296295</v>
      </c>
      <c r="C34" s="30" t="s">
        <v>736</v>
      </c>
    </row>
    <row r="35" spans="1:3" x14ac:dyDescent="0.25">
      <c r="A35" s="40">
        <v>41162</v>
      </c>
      <c r="B35" s="126">
        <v>0.93518518518518512</v>
      </c>
      <c r="C35" s="30" t="s">
        <v>737</v>
      </c>
    </row>
    <row r="36" spans="1:3" x14ac:dyDescent="0.25">
      <c r="A36" s="40">
        <v>41162</v>
      </c>
      <c r="B36" s="126">
        <v>0.93565972222222227</v>
      </c>
      <c r="C36" s="30" t="s">
        <v>738</v>
      </c>
    </row>
    <row r="37" spans="1:3" x14ac:dyDescent="0.25">
      <c r="A37" s="40">
        <v>41162</v>
      </c>
      <c r="B37" s="126">
        <v>0.93657407407407411</v>
      </c>
      <c r="C37" s="30" t="s">
        <v>739</v>
      </c>
    </row>
    <row r="38" spans="1:3" x14ac:dyDescent="0.25">
      <c r="A38" s="40">
        <v>41162</v>
      </c>
      <c r="B38" s="126">
        <v>0.9371990740740741</v>
      </c>
      <c r="C38" s="30" t="s">
        <v>730</v>
      </c>
    </row>
    <row r="39" spans="1:3" x14ac:dyDescent="0.25">
      <c r="A39" s="40">
        <v>41163</v>
      </c>
      <c r="B39" s="126">
        <v>2.9629629629629628E-3</v>
      </c>
      <c r="C39" s="30" t="s">
        <v>818</v>
      </c>
    </row>
    <row r="40" spans="1:3" x14ac:dyDescent="0.25">
      <c r="A40" s="40">
        <v>41163</v>
      </c>
      <c r="B40" s="126">
        <v>3.0439814814814821E-3</v>
      </c>
      <c r="C40" s="30" t="s">
        <v>819</v>
      </c>
    </row>
    <row r="41" spans="1:3" x14ac:dyDescent="0.25">
      <c r="A41" s="40">
        <v>41163</v>
      </c>
      <c r="B41" s="126">
        <v>3.1481481481481482E-3</v>
      </c>
      <c r="C41" s="30" t="s">
        <v>820</v>
      </c>
    </row>
    <row r="42" spans="1:3" x14ac:dyDescent="0.25">
      <c r="A42" s="40">
        <v>41163</v>
      </c>
      <c r="B42" s="126">
        <v>8.1249999999999985E-3</v>
      </c>
      <c r="C42" s="30" t="s">
        <v>819</v>
      </c>
    </row>
    <row r="43" spans="1:3" x14ac:dyDescent="0.25">
      <c r="A43" s="40">
        <v>41163</v>
      </c>
      <c r="B43" s="126">
        <v>8.2060185185185187E-3</v>
      </c>
      <c r="C43" s="30" t="s">
        <v>820</v>
      </c>
    </row>
    <row r="44" spans="1:3" x14ac:dyDescent="0.25">
      <c r="A44" s="40">
        <v>41163</v>
      </c>
      <c r="B44" s="126">
        <v>1.4756944444444446E-2</v>
      </c>
      <c r="C44" s="30" t="s">
        <v>818</v>
      </c>
    </row>
    <row r="45" spans="1:3" x14ac:dyDescent="0.25">
      <c r="A45" s="40">
        <v>41163</v>
      </c>
      <c r="B45" s="126">
        <v>1.4849537037037036E-2</v>
      </c>
      <c r="C45" s="30" t="s">
        <v>819</v>
      </c>
    </row>
    <row r="46" spans="1:3" x14ac:dyDescent="0.25">
      <c r="A46" s="40">
        <v>41163</v>
      </c>
      <c r="B46" s="126">
        <v>1.486111111111111E-2</v>
      </c>
      <c r="C46" s="30" t="s">
        <v>820</v>
      </c>
    </row>
    <row r="47" spans="1:3" x14ac:dyDescent="0.25">
      <c r="A47" s="40">
        <v>41163</v>
      </c>
      <c r="B47" s="126">
        <v>2.8888888888888891E-2</v>
      </c>
      <c r="C47" s="30" t="s">
        <v>818</v>
      </c>
    </row>
    <row r="48" spans="1:3" x14ac:dyDescent="0.25">
      <c r="A48" s="40">
        <v>41163</v>
      </c>
      <c r="B48" s="126">
        <v>2.8969907407407406E-2</v>
      </c>
      <c r="C48" s="30" t="s">
        <v>819</v>
      </c>
    </row>
    <row r="49" spans="1:3" x14ac:dyDescent="0.25">
      <c r="A49" s="40">
        <v>41163</v>
      </c>
      <c r="B49" s="126">
        <v>2.8981481481481483E-2</v>
      </c>
      <c r="C49" s="30" t="s">
        <v>820</v>
      </c>
    </row>
    <row r="50" spans="1:3" x14ac:dyDescent="0.25">
      <c r="A50" s="40">
        <v>41163</v>
      </c>
      <c r="B50" s="126">
        <v>3.24537037037037E-2</v>
      </c>
      <c r="C50" s="30" t="s">
        <v>825</v>
      </c>
    </row>
    <row r="51" spans="1:3" x14ac:dyDescent="0.25">
      <c r="A51" s="40">
        <v>41163</v>
      </c>
      <c r="B51" s="126">
        <v>3.3090277777777781E-2</v>
      </c>
      <c r="C51" s="30" t="s">
        <v>825</v>
      </c>
    </row>
    <row r="52" spans="1:3" x14ac:dyDescent="0.25">
      <c r="A52" s="40">
        <v>41163</v>
      </c>
      <c r="B52" s="126">
        <v>3.3530092592592591E-2</v>
      </c>
      <c r="C52" s="30" t="s">
        <v>825</v>
      </c>
    </row>
    <row r="53" spans="1:3" x14ac:dyDescent="0.25">
      <c r="A53" s="40">
        <v>41163</v>
      </c>
      <c r="B53" s="126">
        <v>3.3831018518518517E-2</v>
      </c>
      <c r="C53" s="30" t="s">
        <v>826</v>
      </c>
    </row>
    <row r="54" spans="1:3" x14ac:dyDescent="0.25">
      <c r="A54" s="40">
        <v>41163</v>
      </c>
      <c r="B54" s="126">
        <v>3.408564814814815E-2</v>
      </c>
      <c r="C54" s="30" t="s">
        <v>827</v>
      </c>
    </row>
    <row r="55" spans="1:3" x14ac:dyDescent="0.25">
      <c r="A55" s="40">
        <v>41163</v>
      </c>
      <c r="B55" s="126">
        <v>3.4456018518518518E-2</v>
      </c>
      <c r="C55" s="30" t="s">
        <v>828</v>
      </c>
    </row>
    <row r="56" spans="1:3" x14ac:dyDescent="0.25">
      <c r="A56" s="40">
        <v>41163</v>
      </c>
      <c r="B56" s="126">
        <v>0.663599537037037</v>
      </c>
      <c r="C56" s="30" t="s">
        <v>831</v>
      </c>
    </row>
    <row r="57" spans="1:3" x14ac:dyDescent="0.25">
      <c r="A57" s="40">
        <v>41163</v>
      </c>
      <c r="B57" s="126">
        <v>0.6636805555555555</v>
      </c>
      <c r="C57" s="30" t="s">
        <v>832</v>
      </c>
    </row>
    <row r="58" spans="1:3" x14ac:dyDescent="0.25">
      <c r="A58" s="40">
        <v>41163</v>
      </c>
      <c r="B58" s="126">
        <v>0.66370370370370368</v>
      </c>
      <c r="C58" s="30" t="s">
        <v>833</v>
      </c>
    </row>
    <row r="59" spans="1:3" x14ac:dyDescent="0.25">
      <c r="A59" s="40">
        <v>41163</v>
      </c>
      <c r="B59" s="126">
        <v>0.66403935185185181</v>
      </c>
      <c r="C59" s="30" t="s">
        <v>834</v>
      </c>
    </row>
    <row r="60" spans="1:3" x14ac:dyDescent="0.25">
      <c r="A60" s="40">
        <v>41163</v>
      </c>
      <c r="B60" s="126">
        <v>0.66612268518518525</v>
      </c>
      <c r="C60" s="30" t="s">
        <v>834</v>
      </c>
    </row>
    <row r="61" spans="1:3" x14ac:dyDescent="0.25">
      <c r="A61" s="40">
        <v>41163</v>
      </c>
      <c r="B61" s="126">
        <v>0.66751157407407413</v>
      </c>
      <c r="C61" s="30" t="s">
        <v>736</v>
      </c>
    </row>
    <row r="62" spans="1:3" x14ac:dyDescent="0.25">
      <c r="A62" s="40">
        <v>41163</v>
      </c>
      <c r="B62" s="126">
        <v>0.67442129629629621</v>
      </c>
      <c r="C62" s="30" t="s">
        <v>831</v>
      </c>
    </row>
    <row r="63" spans="1:3" x14ac:dyDescent="0.25">
      <c r="A63" s="40">
        <v>41163</v>
      </c>
      <c r="B63" s="126">
        <v>0.67450231481481471</v>
      </c>
      <c r="C63" s="30" t="s">
        <v>832</v>
      </c>
    </row>
    <row r="64" spans="1:3" x14ac:dyDescent="0.25">
      <c r="A64" s="40">
        <v>41163</v>
      </c>
      <c r="B64" s="126">
        <v>0.67452546296296301</v>
      </c>
      <c r="C64" s="30" t="s">
        <v>833</v>
      </c>
    </row>
    <row r="65" spans="1:3" x14ac:dyDescent="0.25">
      <c r="A65" s="40">
        <v>41163</v>
      </c>
      <c r="B65" s="126">
        <v>0.67481481481481476</v>
      </c>
      <c r="C65" s="30" t="s">
        <v>834</v>
      </c>
    </row>
    <row r="66" spans="1:3" x14ac:dyDescent="0.25">
      <c r="A66" s="40">
        <v>41163</v>
      </c>
      <c r="B66" s="126">
        <v>0.86945601851851861</v>
      </c>
      <c r="C66" s="30" t="s">
        <v>834</v>
      </c>
    </row>
    <row r="67" spans="1:3" x14ac:dyDescent="0.25">
      <c r="A67" s="40">
        <v>41163</v>
      </c>
      <c r="B67" s="126">
        <v>0.89784722222222213</v>
      </c>
      <c r="C67" s="30" t="s">
        <v>834</v>
      </c>
    </row>
    <row r="68" spans="1:3" x14ac:dyDescent="0.25">
      <c r="A68" s="40">
        <v>41163</v>
      </c>
      <c r="B68" s="126">
        <v>0.89839120370370373</v>
      </c>
      <c r="C68" s="30" t="s">
        <v>834</v>
      </c>
    </row>
    <row r="69" spans="1:3" x14ac:dyDescent="0.25">
      <c r="A69" s="40">
        <v>41163</v>
      </c>
      <c r="B69" s="126">
        <v>0.91265046296296293</v>
      </c>
      <c r="C69" s="30" t="s">
        <v>834</v>
      </c>
    </row>
    <row r="70" spans="1:3" x14ac:dyDescent="0.25">
      <c r="A70" s="40">
        <v>41163</v>
      </c>
      <c r="B70" s="126">
        <v>0.91325231481481473</v>
      </c>
      <c r="C70" s="30" t="s">
        <v>834</v>
      </c>
    </row>
    <row r="71" spans="1:3" x14ac:dyDescent="0.25">
      <c r="A71" s="40">
        <v>41163</v>
      </c>
      <c r="B71" s="126">
        <v>0.91475694444444444</v>
      </c>
      <c r="C71" s="30" t="s">
        <v>736</v>
      </c>
    </row>
    <row r="72" spans="1:3" x14ac:dyDescent="0.25">
      <c r="A72" s="40">
        <v>41163</v>
      </c>
      <c r="B72" s="126">
        <v>0.91582175925925924</v>
      </c>
      <c r="C72" s="30" t="s">
        <v>834</v>
      </c>
    </row>
    <row r="73" spans="1:3" x14ac:dyDescent="0.25">
      <c r="A73" s="40">
        <v>41164</v>
      </c>
      <c r="B73" s="126">
        <v>5.4594907407407411E-2</v>
      </c>
      <c r="C73" s="30" t="s">
        <v>845</v>
      </c>
    </row>
    <row r="74" spans="1:3" x14ac:dyDescent="0.25">
      <c r="A74" s="40">
        <v>41164</v>
      </c>
      <c r="B74" s="126">
        <v>0.86435185185185182</v>
      </c>
      <c r="C74" s="30" t="s">
        <v>845</v>
      </c>
    </row>
    <row r="75" spans="1:3" x14ac:dyDescent="0.25">
      <c r="A75" s="40">
        <v>41164</v>
      </c>
      <c r="B75" s="126">
        <v>0.86456018518518529</v>
      </c>
      <c r="C75" s="30" t="s">
        <v>834</v>
      </c>
    </row>
    <row r="76" spans="1:3" x14ac:dyDescent="0.25">
      <c r="A76" s="40">
        <v>41164</v>
      </c>
      <c r="B76" s="126">
        <v>0.86504629629629637</v>
      </c>
      <c r="C76" s="30" t="s">
        <v>845</v>
      </c>
    </row>
    <row r="77" spans="1:3" x14ac:dyDescent="0.25">
      <c r="A77" s="40">
        <v>41164</v>
      </c>
      <c r="B77" s="126">
        <v>0.86543981481481491</v>
      </c>
      <c r="C77" s="30" t="s">
        <v>834</v>
      </c>
    </row>
    <row r="78" spans="1:3" x14ac:dyDescent="0.25">
      <c r="A78" s="40">
        <v>41164</v>
      </c>
      <c r="B78" s="126">
        <v>0.96499999999999997</v>
      </c>
      <c r="C78" s="30" t="s">
        <v>845</v>
      </c>
    </row>
    <row r="79" spans="1:3" x14ac:dyDescent="0.25">
      <c r="A79" s="40">
        <v>41164</v>
      </c>
      <c r="B79" s="126">
        <v>0.97818287037037033</v>
      </c>
      <c r="C79" s="30" t="s">
        <v>834</v>
      </c>
    </row>
    <row r="80" spans="1:3" x14ac:dyDescent="0.25">
      <c r="A80" s="40">
        <v>41164</v>
      </c>
      <c r="B80" s="126">
        <v>0.98564814814814816</v>
      </c>
      <c r="C80" s="30" t="s">
        <v>738</v>
      </c>
    </row>
    <row r="81" spans="1:3" x14ac:dyDescent="0.25">
      <c r="A81" s="40">
        <v>41166</v>
      </c>
      <c r="B81" s="126">
        <v>1.849537037037037E-2</v>
      </c>
      <c r="C81" s="30" t="s">
        <v>738</v>
      </c>
    </row>
    <row r="82" spans="1:3" x14ac:dyDescent="0.25">
      <c r="A82" s="40">
        <v>41166</v>
      </c>
      <c r="B82" s="126">
        <v>1.9351851851851853E-2</v>
      </c>
      <c r="C82" s="30" t="s">
        <v>738</v>
      </c>
    </row>
    <row r="83" spans="1:3" x14ac:dyDescent="0.25">
      <c r="A83" s="40">
        <v>41166</v>
      </c>
      <c r="B83" s="126">
        <v>2.045138888888889E-2</v>
      </c>
      <c r="C83" s="30" t="s">
        <v>738</v>
      </c>
    </row>
    <row r="84" spans="1:3" x14ac:dyDescent="0.25">
      <c r="A84" s="40">
        <v>41166</v>
      </c>
      <c r="B84" s="126">
        <v>2.7199074074074073E-2</v>
      </c>
      <c r="C84" s="30" t="s">
        <v>738</v>
      </c>
    </row>
    <row r="85" spans="1:3" x14ac:dyDescent="0.25">
      <c r="A85" s="40">
        <v>41166</v>
      </c>
      <c r="B85" s="126">
        <v>2.8032407407407409E-2</v>
      </c>
      <c r="C85" s="30" t="s">
        <v>739</v>
      </c>
    </row>
    <row r="86" spans="1:3" x14ac:dyDescent="0.25">
      <c r="A86" s="40">
        <v>41166</v>
      </c>
      <c r="B86" s="126">
        <v>2.9409722222222223E-2</v>
      </c>
      <c r="C86" s="30" t="s">
        <v>738</v>
      </c>
    </row>
    <row r="87" spans="1:3" x14ac:dyDescent="0.25">
      <c r="A87" s="40">
        <v>41166</v>
      </c>
      <c r="B87" s="126">
        <v>3.5787037037037034E-2</v>
      </c>
      <c r="C87" s="30" t="s">
        <v>739</v>
      </c>
    </row>
    <row r="88" spans="1:3" x14ac:dyDescent="0.25">
      <c r="A88" s="40">
        <v>41166</v>
      </c>
      <c r="B88" s="126">
        <v>3.6076388888888887E-2</v>
      </c>
      <c r="C88" s="30" t="s">
        <v>738</v>
      </c>
    </row>
    <row r="89" spans="1:3" x14ac:dyDescent="0.25">
      <c r="A89" s="40">
        <v>41166</v>
      </c>
      <c r="B89" s="126">
        <v>3.6111111111111115E-2</v>
      </c>
      <c r="C89" s="30" t="s">
        <v>739</v>
      </c>
    </row>
    <row r="90" spans="1:3" x14ac:dyDescent="0.25">
      <c r="A90" s="40">
        <v>41166</v>
      </c>
      <c r="B90" s="126">
        <v>4.3657407407407402E-2</v>
      </c>
      <c r="C90" s="30" t="s">
        <v>831</v>
      </c>
    </row>
    <row r="91" spans="1:3" x14ac:dyDescent="0.25">
      <c r="A91" s="40">
        <v>41166</v>
      </c>
      <c r="B91" s="126">
        <v>4.3657407407407402E-2</v>
      </c>
      <c r="C91" s="30" t="s">
        <v>832</v>
      </c>
    </row>
    <row r="92" spans="1:3" x14ac:dyDescent="0.25">
      <c r="A92" s="40">
        <v>41166</v>
      </c>
      <c r="B92" s="126">
        <v>4.3668981481481482E-2</v>
      </c>
      <c r="C92" s="30" t="s">
        <v>833</v>
      </c>
    </row>
    <row r="93" spans="1:3" x14ac:dyDescent="0.25">
      <c r="A93" s="40">
        <v>41166</v>
      </c>
      <c r="B93" s="126">
        <v>4.3796296296296298E-2</v>
      </c>
      <c r="C93" s="30" t="s">
        <v>845</v>
      </c>
    </row>
    <row r="94" spans="1:3" x14ac:dyDescent="0.25">
      <c r="A94" s="40">
        <v>41166</v>
      </c>
      <c r="B94" s="126">
        <v>4.3923611111111115E-2</v>
      </c>
      <c r="C94" s="30" t="s">
        <v>737</v>
      </c>
    </row>
    <row r="95" spans="1:3" x14ac:dyDescent="0.25">
      <c r="A95" s="40">
        <v>41166</v>
      </c>
      <c r="B95" s="126">
        <v>4.403935185185185E-2</v>
      </c>
      <c r="C95" s="30" t="s">
        <v>738</v>
      </c>
    </row>
    <row r="96" spans="1:3" x14ac:dyDescent="0.25">
      <c r="A96" s="40">
        <v>41166</v>
      </c>
      <c r="B96" s="126">
        <v>4.4108796296296299E-2</v>
      </c>
      <c r="C96" s="30" t="s">
        <v>739</v>
      </c>
    </row>
    <row r="97" spans="1:3" x14ac:dyDescent="0.25">
      <c r="A97" s="40">
        <v>41166</v>
      </c>
      <c r="B97" s="126">
        <v>4.4525462962962968E-2</v>
      </c>
      <c r="C97" s="30" t="s">
        <v>831</v>
      </c>
    </row>
    <row r="98" spans="1:3" x14ac:dyDescent="0.25">
      <c r="A98" s="40">
        <v>41166</v>
      </c>
      <c r="B98" s="126">
        <v>4.4525462962962968E-2</v>
      </c>
      <c r="C98" s="30" t="s">
        <v>832</v>
      </c>
    </row>
    <row r="99" spans="1:3" x14ac:dyDescent="0.25">
      <c r="A99" s="40">
        <v>41166</v>
      </c>
      <c r="B99" s="126">
        <v>4.4583333333333336E-2</v>
      </c>
      <c r="C99" s="30" t="s">
        <v>833</v>
      </c>
    </row>
    <row r="100" spans="1:3" x14ac:dyDescent="0.25">
      <c r="A100" s="40">
        <v>41166</v>
      </c>
      <c r="B100" s="126">
        <v>4.5057870370370373E-2</v>
      </c>
      <c r="C100" s="30" t="s">
        <v>845</v>
      </c>
    </row>
    <row r="101" spans="1:3" x14ac:dyDescent="0.25">
      <c r="A101" s="40">
        <v>41166</v>
      </c>
      <c r="B101" s="126">
        <v>6.3333333333333339E-2</v>
      </c>
      <c r="C101" s="30" t="s">
        <v>831</v>
      </c>
    </row>
    <row r="102" spans="1:3" x14ac:dyDescent="0.25">
      <c r="A102" s="40">
        <v>41166</v>
      </c>
      <c r="B102" s="126">
        <v>6.340277777777778E-2</v>
      </c>
      <c r="C102" s="30" t="s">
        <v>738</v>
      </c>
    </row>
    <row r="103" spans="1:3" x14ac:dyDescent="0.25">
      <c r="A103" s="40">
        <v>41166</v>
      </c>
      <c r="B103" s="126">
        <v>6.4340277777777774E-2</v>
      </c>
      <c r="C103" s="30" t="s">
        <v>831</v>
      </c>
    </row>
    <row r="104" spans="1:3" x14ac:dyDescent="0.25">
      <c r="A104" s="40">
        <v>41166</v>
      </c>
      <c r="B104" s="126">
        <v>6.4409722222222229E-2</v>
      </c>
      <c r="C104" s="30" t="s">
        <v>738</v>
      </c>
    </row>
    <row r="105" spans="1:3" x14ac:dyDescent="0.25">
      <c r="A105" s="40">
        <v>41166</v>
      </c>
      <c r="B105" s="126">
        <v>6.6932870370370365E-2</v>
      </c>
      <c r="C105" s="30" t="s">
        <v>831</v>
      </c>
    </row>
    <row r="106" spans="1:3" x14ac:dyDescent="0.25">
      <c r="A106" s="40">
        <v>41166</v>
      </c>
      <c r="B106" s="126">
        <v>6.700231481481482E-2</v>
      </c>
      <c r="C106" s="30" t="s">
        <v>738</v>
      </c>
    </row>
    <row r="107" spans="1:3" x14ac:dyDescent="0.25">
      <c r="A107" s="40">
        <v>41166</v>
      </c>
      <c r="B107" s="126">
        <v>6.7453703703703696E-2</v>
      </c>
      <c r="C107" s="30" t="s">
        <v>739</v>
      </c>
    </row>
    <row r="108" spans="1:3" x14ac:dyDescent="0.25">
      <c r="A108" s="40">
        <v>41166</v>
      </c>
      <c r="B108" s="126">
        <v>7.6550925925925925E-2</v>
      </c>
      <c r="C108" s="30" t="s">
        <v>831</v>
      </c>
    </row>
    <row r="109" spans="1:3" x14ac:dyDescent="0.25">
      <c r="A109" s="40">
        <v>41166</v>
      </c>
      <c r="B109" s="126">
        <v>7.6550925925925925E-2</v>
      </c>
      <c r="C109" s="30" t="s">
        <v>832</v>
      </c>
    </row>
    <row r="110" spans="1:3" x14ac:dyDescent="0.25">
      <c r="A110" s="40">
        <v>41166</v>
      </c>
      <c r="B110" s="126">
        <v>7.6574074074074072E-2</v>
      </c>
      <c r="C110" s="30" t="s">
        <v>833</v>
      </c>
    </row>
    <row r="111" spans="1:3" x14ac:dyDescent="0.25">
      <c r="A111" s="40">
        <v>41166</v>
      </c>
      <c r="B111" s="126">
        <v>7.7615740740740735E-2</v>
      </c>
      <c r="C111" s="30" t="s">
        <v>845</v>
      </c>
    </row>
    <row r="112" spans="1:3" x14ac:dyDescent="0.25">
      <c r="A112" s="40">
        <v>41166</v>
      </c>
      <c r="B112" s="126">
        <v>7.7743055555555551E-2</v>
      </c>
      <c r="C112" s="30" t="s">
        <v>737</v>
      </c>
    </row>
    <row r="113" spans="1:3" x14ac:dyDescent="0.25">
      <c r="A113" s="40">
        <v>41166</v>
      </c>
      <c r="B113" s="126">
        <v>7.7928240740740742E-2</v>
      </c>
      <c r="C113" s="30" t="s">
        <v>738</v>
      </c>
    </row>
    <row r="114" spans="1:3" x14ac:dyDescent="0.25">
      <c r="A114" s="40">
        <v>41166</v>
      </c>
      <c r="B114" s="126">
        <v>8.4745370370370374E-2</v>
      </c>
      <c r="C114" s="30" t="s">
        <v>831</v>
      </c>
    </row>
    <row r="115" spans="1:3" x14ac:dyDescent="0.25">
      <c r="A115" s="40">
        <v>41166</v>
      </c>
      <c r="B115" s="126">
        <v>8.7268518518518523E-2</v>
      </c>
      <c r="C115" s="30" t="s">
        <v>831</v>
      </c>
    </row>
    <row r="116" spans="1:3" x14ac:dyDescent="0.25">
      <c r="A116" s="40">
        <v>41166</v>
      </c>
      <c r="B116" s="126">
        <v>8.847222222222223E-2</v>
      </c>
      <c r="C116" s="30" t="s">
        <v>831</v>
      </c>
    </row>
    <row r="117" spans="1:3" x14ac:dyDescent="0.25">
      <c r="A117" s="40">
        <v>41166</v>
      </c>
      <c r="B117" s="126">
        <v>0.74009259259259252</v>
      </c>
      <c r="C117" s="30" t="s">
        <v>849</v>
      </c>
    </row>
    <row r="118" spans="1:3" x14ac:dyDescent="0.25">
      <c r="A118" s="40">
        <v>41169</v>
      </c>
      <c r="B118" s="126">
        <v>0.97760416666666661</v>
      </c>
      <c r="C118" s="30" t="s">
        <v>850</v>
      </c>
    </row>
    <row r="119" spans="1:3" x14ac:dyDescent="0.25">
      <c r="A119" s="40">
        <v>41169</v>
      </c>
      <c r="B119" s="126">
        <v>0.98293981481481474</v>
      </c>
      <c r="C119" s="30" t="s">
        <v>851</v>
      </c>
    </row>
    <row r="120" spans="1:3" x14ac:dyDescent="0.25">
      <c r="A120" s="40">
        <v>41169</v>
      </c>
      <c r="B120" s="126">
        <v>0.98604166666666659</v>
      </c>
      <c r="C120" s="30" t="s">
        <v>852</v>
      </c>
    </row>
    <row r="121" spans="1:3" x14ac:dyDescent="0.25">
      <c r="A121" s="40">
        <v>41169</v>
      </c>
      <c r="B121" s="126">
        <v>0.98604166666666659</v>
      </c>
      <c r="C121" s="30" t="s">
        <v>853</v>
      </c>
    </row>
    <row r="122" spans="1:3" x14ac:dyDescent="0.25">
      <c r="A122" s="40">
        <v>41169</v>
      </c>
      <c r="B122" s="126">
        <v>0.98608796296296297</v>
      </c>
      <c r="C122" s="30" t="s">
        <v>854</v>
      </c>
    </row>
    <row r="123" spans="1:3" x14ac:dyDescent="0.25">
      <c r="A123" s="40">
        <v>41169</v>
      </c>
      <c r="B123" s="126">
        <v>0.98631944444444442</v>
      </c>
      <c r="C123" s="30" t="s">
        <v>855</v>
      </c>
    </row>
    <row r="124" spans="1:3" x14ac:dyDescent="0.25">
      <c r="A124" s="40">
        <v>41169</v>
      </c>
      <c r="B124" s="126">
        <v>0.99392361111111116</v>
      </c>
      <c r="C124" s="30" t="s">
        <v>852</v>
      </c>
    </row>
    <row r="125" spans="1:3" x14ac:dyDescent="0.25">
      <c r="A125" s="40">
        <v>41169</v>
      </c>
      <c r="B125" s="126">
        <v>0.99392361111111116</v>
      </c>
      <c r="C125" s="30" t="s">
        <v>853</v>
      </c>
    </row>
    <row r="126" spans="1:3" x14ac:dyDescent="0.25">
      <c r="A126" s="40">
        <v>41169</v>
      </c>
      <c r="B126" s="126">
        <v>0.99395833333333339</v>
      </c>
      <c r="C126" s="30" t="s">
        <v>854</v>
      </c>
    </row>
    <row r="127" spans="1:3" x14ac:dyDescent="0.25">
      <c r="A127" s="40">
        <v>41169</v>
      </c>
      <c r="B127" s="126">
        <v>0.99413194444444442</v>
      </c>
      <c r="C127" s="30" t="s">
        <v>855</v>
      </c>
    </row>
    <row r="128" spans="1:3" x14ac:dyDescent="0.25">
      <c r="A128" s="40">
        <v>41169</v>
      </c>
      <c r="B128" s="126">
        <v>0.99665509259259266</v>
      </c>
      <c r="C128" s="30" t="s">
        <v>852</v>
      </c>
    </row>
    <row r="129" spans="1:3" x14ac:dyDescent="0.25">
      <c r="A129" s="40">
        <v>41169</v>
      </c>
      <c r="B129" s="126">
        <v>0.99665509259259266</v>
      </c>
      <c r="C129" s="30" t="s">
        <v>853</v>
      </c>
    </row>
    <row r="130" spans="1:3" x14ac:dyDescent="0.25">
      <c r="A130" s="40">
        <v>41169</v>
      </c>
      <c r="B130" s="126">
        <v>0.9966666666666667</v>
      </c>
      <c r="C130" s="30" t="s">
        <v>854</v>
      </c>
    </row>
    <row r="131" spans="1:3" x14ac:dyDescent="0.25">
      <c r="A131" s="40">
        <v>41169</v>
      </c>
      <c r="B131" s="126">
        <v>0.9968055555555555</v>
      </c>
      <c r="C131" s="30" t="s">
        <v>855</v>
      </c>
    </row>
    <row r="132" spans="1:3" x14ac:dyDescent="0.25">
      <c r="A132" s="40">
        <v>41169</v>
      </c>
      <c r="B132" s="126">
        <v>0.99903935185185189</v>
      </c>
      <c r="C132" s="30" t="s">
        <v>852</v>
      </c>
    </row>
    <row r="133" spans="1:3" x14ac:dyDescent="0.25">
      <c r="A133" s="40">
        <v>41169</v>
      </c>
      <c r="B133" s="126">
        <v>0.99903935185185189</v>
      </c>
      <c r="C133" s="30" t="s">
        <v>853</v>
      </c>
    </row>
    <row r="134" spans="1:3" x14ac:dyDescent="0.25">
      <c r="A134" s="40">
        <v>41169</v>
      </c>
      <c r="B134" s="126">
        <v>0.99906249999999996</v>
      </c>
      <c r="C134" s="30" t="s">
        <v>854</v>
      </c>
    </row>
    <row r="135" spans="1:3" x14ac:dyDescent="0.25">
      <c r="A135" s="40">
        <v>41169</v>
      </c>
      <c r="B135" s="126">
        <v>0.9991782407407408</v>
      </c>
      <c r="C135" s="30" t="s">
        <v>855</v>
      </c>
    </row>
    <row r="136" spans="1:3" x14ac:dyDescent="0.25">
      <c r="A136" s="40">
        <v>41170</v>
      </c>
      <c r="B136" s="126">
        <v>1.7708333333333332E-3</v>
      </c>
      <c r="C136" s="30" t="s">
        <v>856</v>
      </c>
    </row>
    <row r="137" spans="1:3" x14ac:dyDescent="0.25">
      <c r="A137" s="40">
        <v>41170</v>
      </c>
      <c r="B137" s="126">
        <v>2.0370370370370373E-3</v>
      </c>
      <c r="C137" s="30" t="s">
        <v>857</v>
      </c>
    </row>
    <row r="138" spans="1:3" x14ac:dyDescent="0.25">
      <c r="A138" s="40">
        <v>41170</v>
      </c>
      <c r="B138" s="126">
        <v>2.1296296296296298E-3</v>
      </c>
      <c r="C138" s="30" t="s">
        <v>825</v>
      </c>
    </row>
    <row r="139" spans="1:3" x14ac:dyDescent="0.25">
      <c r="A139" s="40">
        <v>41170</v>
      </c>
      <c r="B139" s="126">
        <v>2.4421296296296296E-3</v>
      </c>
      <c r="C139" s="30" t="s">
        <v>827</v>
      </c>
    </row>
    <row r="140" spans="1:3" x14ac:dyDescent="0.25">
      <c r="A140" s="40">
        <v>41170</v>
      </c>
      <c r="B140" s="126">
        <v>2.5925925925925925E-3</v>
      </c>
      <c r="C140" s="30" t="s">
        <v>828</v>
      </c>
    </row>
    <row r="141" spans="1:3" x14ac:dyDescent="0.25">
      <c r="A141" s="40">
        <v>41170</v>
      </c>
      <c r="B141" s="126">
        <v>5.347222222222222E-3</v>
      </c>
      <c r="C141" s="30" t="s">
        <v>858</v>
      </c>
    </row>
    <row r="142" spans="1:3" x14ac:dyDescent="0.25">
      <c r="A142" s="40">
        <v>41170</v>
      </c>
      <c r="B142" s="126">
        <v>5.347222222222222E-3</v>
      </c>
      <c r="C142" s="30" t="s">
        <v>728</v>
      </c>
    </row>
    <row r="143" spans="1:3" x14ac:dyDescent="0.25">
      <c r="A143" s="40">
        <v>41170</v>
      </c>
      <c r="B143" s="126">
        <v>5.3935185185185188E-3</v>
      </c>
      <c r="C143" s="30" t="s">
        <v>729</v>
      </c>
    </row>
    <row r="144" spans="1:3" x14ac:dyDescent="0.25">
      <c r="A144" s="40">
        <v>41170</v>
      </c>
      <c r="B144" s="126">
        <v>8.3449074074074085E-3</v>
      </c>
      <c r="C144" s="30" t="s">
        <v>730</v>
      </c>
    </row>
    <row r="145" spans="1:3" x14ac:dyDescent="0.25">
      <c r="A145" s="40">
        <v>41170</v>
      </c>
      <c r="B145" s="126">
        <v>9.7569444444444448E-3</v>
      </c>
      <c r="C145" s="30" t="s">
        <v>859</v>
      </c>
    </row>
    <row r="146" spans="1:3" x14ac:dyDescent="0.25">
      <c r="A146" s="40">
        <v>41170</v>
      </c>
      <c r="B146" s="126">
        <v>9.7569444444444448E-3</v>
      </c>
      <c r="C146" s="30" t="s">
        <v>728</v>
      </c>
    </row>
    <row r="147" spans="1:3" x14ac:dyDescent="0.25">
      <c r="A147" s="40">
        <v>41170</v>
      </c>
      <c r="B147" s="126">
        <v>9.780092592592592E-3</v>
      </c>
      <c r="C147" s="30" t="s">
        <v>729</v>
      </c>
    </row>
    <row r="148" spans="1:3" x14ac:dyDescent="0.25">
      <c r="A148" s="40">
        <v>41170</v>
      </c>
      <c r="B148" s="126">
        <v>9.8263888888888897E-3</v>
      </c>
      <c r="C148" s="30" t="s">
        <v>730</v>
      </c>
    </row>
    <row r="149" spans="1:3" x14ac:dyDescent="0.25">
      <c r="A149" s="40">
        <v>41170</v>
      </c>
      <c r="B149" s="126">
        <v>9.9074074074074082E-3</v>
      </c>
      <c r="C149" s="30" t="s">
        <v>860</v>
      </c>
    </row>
    <row r="150" spans="1:3" x14ac:dyDescent="0.25">
      <c r="A150" s="40">
        <v>41170</v>
      </c>
      <c r="B150" s="126">
        <v>9.9768518518518531E-3</v>
      </c>
      <c r="C150" s="30" t="s">
        <v>726</v>
      </c>
    </row>
    <row r="151" spans="1:3" x14ac:dyDescent="0.25">
      <c r="A151" s="40">
        <v>41170</v>
      </c>
      <c r="B151" s="126">
        <v>1.0023148148148147E-2</v>
      </c>
      <c r="C151" s="30" t="s">
        <v>845</v>
      </c>
    </row>
    <row r="152" spans="1:3" x14ac:dyDescent="0.25">
      <c r="A152" s="40">
        <v>41170</v>
      </c>
      <c r="B152" s="126">
        <v>1.0115740740740741E-2</v>
      </c>
      <c r="C152" s="30" t="s">
        <v>737</v>
      </c>
    </row>
    <row r="153" spans="1:3" x14ac:dyDescent="0.25">
      <c r="A153" s="40">
        <v>41170</v>
      </c>
      <c r="B153" s="126">
        <v>1.0150462962962964E-2</v>
      </c>
      <c r="C153" s="30" t="s">
        <v>738</v>
      </c>
    </row>
    <row r="154" spans="1:3" x14ac:dyDescent="0.25">
      <c r="A154" s="40">
        <v>41170</v>
      </c>
      <c r="B154" s="126">
        <v>1.0185185185185184E-2</v>
      </c>
      <c r="C154" s="30" t="s">
        <v>739</v>
      </c>
    </row>
    <row r="155" spans="1:3" x14ac:dyDescent="0.25">
      <c r="A155" s="40">
        <v>41170</v>
      </c>
      <c r="B155" s="126">
        <v>1.4236111111111111E-2</v>
      </c>
      <c r="C155" s="30" t="s">
        <v>861</v>
      </c>
    </row>
    <row r="156" spans="1:3" x14ac:dyDescent="0.25">
      <c r="A156" s="40">
        <v>41170</v>
      </c>
      <c r="B156" s="126">
        <v>1.5324074074074073E-2</v>
      </c>
      <c r="C156" s="30" t="s">
        <v>862</v>
      </c>
    </row>
    <row r="157" spans="1:3" x14ac:dyDescent="0.25">
      <c r="A157" s="40">
        <v>41170</v>
      </c>
      <c r="B157" s="126">
        <v>1.5324074074074073E-2</v>
      </c>
      <c r="C157" s="30" t="s">
        <v>863</v>
      </c>
    </row>
    <row r="158" spans="1:3" x14ac:dyDescent="0.25">
      <c r="A158" s="40">
        <v>41170</v>
      </c>
      <c r="B158" s="126">
        <v>1.5381944444444443E-2</v>
      </c>
      <c r="C158" s="30" t="s">
        <v>825</v>
      </c>
    </row>
    <row r="159" spans="1:3" x14ac:dyDescent="0.25">
      <c r="A159" s="40">
        <v>41170</v>
      </c>
      <c r="B159" s="126">
        <v>1.5578703703703704E-2</v>
      </c>
      <c r="C159" s="30" t="s">
        <v>827</v>
      </c>
    </row>
    <row r="160" spans="1:3" x14ac:dyDescent="0.25">
      <c r="A160" s="40">
        <v>41170</v>
      </c>
      <c r="B160" s="126">
        <v>1.59375E-2</v>
      </c>
      <c r="C160" s="30" t="s">
        <v>828</v>
      </c>
    </row>
    <row r="161" spans="1:3" x14ac:dyDescent="0.25">
      <c r="A161" s="40">
        <v>41170</v>
      </c>
      <c r="B161" s="126">
        <v>1.5995370370370372E-2</v>
      </c>
      <c r="C161" s="30" t="s">
        <v>863</v>
      </c>
    </row>
    <row r="162" spans="1:3" x14ac:dyDescent="0.25">
      <c r="A162" s="40">
        <v>41170</v>
      </c>
      <c r="B162" s="126">
        <v>1.6030092592592592E-2</v>
      </c>
      <c r="C162" s="30" t="s">
        <v>845</v>
      </c>
    </row>
    <row r="163" spans="1:3" x14ac:dyDescent="0.25">
      <c r="A163" s="40">
        <v>41170</v>
      </c>
      <c r="B163" s="126">
        <v>1.6111111111111111E-2</v>
      </c>
      <c r="C163" s="30" t="s">
        <v>737</v>
      </c>
    </row>
    <row r="164" spans="1:3" x14ac:dyDescent="0.25">
      <c r="A164" s="40">
        <v>41170</v>
      </c>
      <c r="B164" s="126">
        <v>1.6145833333333335E-2</v>
      </c>
      <c r="C164" s="30" t="s">
        <v>738</v>
      </c>
    </row>
    <row r="165" spans="1:3" x14ac:dyDescent="0.25">
      <c r="A165" s="40">
        <v>41170</v>
      </c>
      <c r="B165" s="126">
        <v>1.6180555555555556E-2</v>
      </c>
      <c r="C165" s="30" t="s">
        <v>739</v>
      </c>
    </row>
    <row r="166" spans="1:3" x14ac:dyDescent="0.25">
      <c r="A166" s="40">
        <v>41170</v>
      </c>
      <c r="B166" s="126">
        <v>1.621527777777778E-2</v>
      </c>
      <c r="C166" s="30" t="s">
        <v>863</v>
      </c>
    </row>
    <row r="167" spans="1:3" x14ac:dyDescent="0.25">
      <c r="A167" s="40">
        <v>41170</v>
      </c>
      <c r="B167" s="126">
        <v>1.622685185185185E-2</v>
      </c>
      <c r="C167" s="30" t="s">
        <v>864</v>
      </c>
    </row>
    <row r="168" spans="1:3" x14ac:dyDescent="0.25">
      <c r="A168" s="40">
        <v>41170</v>
      </c>
      <c r="B168" s="126">
        <v>1.8645833333333334E-2</v>
      </c>
      <c r="C168" s="30" t="s">
        <v>865</v>
      </c>
    </row>
    <row r="169" spans="1:3" x14ac:dyDescent="0.25">
      <c r="A169" s="40">
        <v>41170</v>
      </c>
      <c r="B169" s="126">
        <v>2.0729166666666667E-2</v>
      </c>
      <c r="C169" s="30" t="s">
        <v>866</v>
      </c>
    </row>
    <row r="170" spans="1:3" x14ac:dyDescent="0.25">
      <c r="A170" s="40">
        <v>41170</v>
      </c>
      <c r="B170" s="126">
        <v>2.1736111111111112E-2</v>
      </c>
      <c r="C170" s="30" t="s">
        <v>867</v>
      </c>
    </row>
    <row r="171" spans="1:3" x14ac:dyDescent="0.25">
      <c r="A171" s="40">
        <v>41170</v>
      </c>
      <c r="B171" s="126">
        <v>2.2337962962962962E-2</v>
      </c>
      <c r="C171" s="30" t="s">
        <v>868</v>
      </c>
    </row>
    <row r="172" spans="1:3" x14ac:dyDescent="0.25">
      <c r="A172" s="40">
        <v>41170</v>
      </c>
      <c r="B172" s="126">
        <v>2.3032407407407404E-2</v>
      </c>
      <c r="C172" s="30" t="s">
        <v>825</v>
      </c>
    </row>
    <row r="173" spans="1:3" x14ac:dyDescent="0.25">
      <c r="A173" s="40">
        <v>41170</v>
      </c>
      <c r="B173" s="126">
        <v>2.3124999999999996E-2</v>
      </c>
      <c r="C173" s="30" t="s">
        <v>827</v>
      </c>
    </row>
    <row r="174" spans="1:3" x14ac:dyDescent="0.25">
      <c r="A174" s="40">
        <v>41170</v>
      </c>
      <c r="B174" s="126">
        <v>2.3472222222222217E-2</v>
      </c>
      <c r="C174" s="30" t="s">
        <v>828</v>
      </c>
    </row>
    <row r="175" spans="1:3" x14ac:dyDescent="0.25">
      <c r="A175" s="40">
        <v>41170</v>
      </c>
      <c r="B175" s="126">
        <v>2.4131944444444445E-2</v>
      </c>
      <c r="C175" s="30" t="s">
        <v>869</v>
      </c>
    </row>
    <row r="176" spans="1:3" x14ac:dyDescent="0.25">
      <c r="A176" s="40">
        <v>41170</v>
      </c>
      <c r="B176" s="126">
        <v>0.7732175925925926</v>
      </c>
      <c r="C176" s="30" t="s">
        <v>889</v>
      </c>
    </row>
    <row r="177" spans="1:3" x14ac:dyDescent="0.25">
      <c r="A177" s="40">
        <v>41170</v>
      </c>
      <c r="B177" s="126">
        <v>0.77347222222222223</v>
      </c>
      <c r="C177" s="30" t="s">
        <v>889</v>
      </c>
    </row>
    <row r="178" spans="1:3" x14ac:dyDescent="0.25">
      <c r="A178" s="40">
        <v>41170</v>
      </c>
      <c r="B178" s="126">
        <v>0.77362268518518518</v>
      </c>
      <c r="C178" s="30" t="s">
        <v>889</v>
      </c>
    </row>
    <row r="179" spans="1:3" x14ac:dyDescent="0.25">
      <c r="A179" s="40">
        <v>41170</v>
      </c>
      <c r="B179" s="126">
        <v>0.7898263888888889</v>
      </c>
      <c r="C179" s="30" t="s">
        <v>890</v>
      </c>
    </row>
    <row r="180" spans="1:3" x14ac:dyDescent="0.25">
      <c r="A180" s="40">
        <v>41170</v>
      </c>
      <c r="B180" s="126">
        <v>0.98325231481481479</v>
      </c>
      <c r="C180" s="30" t="s">
        <v>891</v>
      </c>
    </row>
    <row r="181" spans="1:3" x14ac:dyDescent="0.25">
      <c r="A181" s="40">
        <v>41170</v>
      </c>
      <c r="B181" s="126">
        <v>0.98351851851851846</v>
      </c>
      <c r="C181" s="30" t="s">
        <v>892</v>
      </c>
    </row>
    <row r="182" spans="1:3" x14ac:dyDescent="0.25">
      <c r="A182" s="40">
        <v>41170</v>
      </c>
      <c r="B182" s="126">
        <v>0.98591435185185183</v>
      </c>
      <c r="C182" s="30" t="s">
        <v>894</v>
      </c>
    </row>
    <row r="183" spans="1:3" x14ac:dyDescent="0.25">
      <c r="A183" s="40">
        <v>41170</v>
      </c>
      <c r="B183" s="126">
        <v>0.98591435185185183</v>
      </c>
      <c r="C183" s="30" t="s">
        <v>894</v>
      </c>
    </row>
    <row r="184" spans="1:3" x14ac:dyDescent="0.25">
      <c r="A184" s="40">
        <v>41170</v>
      </c>
      <c r="B184" s="126">
        <v>0.98591435185185183</v>
      </c>
      <c r="C184" s="30" t="s">
        <v>895</v>
      </c>
    </row>
    <row r="185" spans="1:3" x14ac:dyDescent="0.25">
      <c r="A185" s="40">
        <v>41170</v>
      </c>
      <c r="B185" s="126">
        <v>0.98591435185185183</v>
      </c>
      <c r="C185" s="30" t="s">
        <v>894</v>
      </c>
    </row>
    <row r="186" spans="1:3" x14ac:dyDescent="0.25">
      <c r="A186" s="40">
        <v>41170</v>
      </c>
      <c r="B186" s="126">
        <v>0.98591435185185183</v>
      </c>
      <c r="C186" s="30" t="s">
        <v>894</v>
      </c>
    </row>
    <row r="187" spans="1:3" x14ac:dyDescent="0.25">
      <c r="A187" s="40">
        <v>41170</v>
      </c>
      <c r="B187" s="126">
        <v>0.98591435185185183</v>
      </c>
      <c r="C187" s="30" t="s">
        <v>894</v>
      </c>
    </row>
    <row r="188" spans="1:3" x14ac:dyDescent="0.25">
      <c r="A188" s="40">
        <v>41170</v>
      </c>
      <c r="B188" s="126">
        <v>0.98591435185185183</v>
      </c>
      <c r="C188" s="30" t="s">
        <v>894</v>
      </c>
    </row>
    <row r="189" spans="1:3" x14ac:dyDescent="0.25">
      <c r="A189" s="40">
        <v>41170</v>
      </c>
      <c r="B189" s="126">
        <v>0.98591435185185183</v>
      </c>
      <c r="C189" s="30" t="s">
        <v>894</v>
      </c>
    </row>
    <row r="190" spans="1:3" x14ac:dyDescent="0.25">
      <c r="A190" s="40">
        <v>41170</v>
      </c>
      <c r="B190" s="126">
        <v>0.98591435185185183</v>
      </c>
      <c r="C190" s="30" t="s">
        <v>895</v>
      </c>
    </row>
    <row r="191" spans="1:3" x14ac:dyDescent="0.25">
      <c r="A191" s="40">
        <v>41170</v>
      </c>
      <c r="B191" s="126">
        <v>0.98591435185185183</v>
      </c>
      <c r="C191" s="30" t="s">
        <v>894</v>
      </c>
    </row>
    <row r="192" spans="1:3" x14ac:dyDescent="0.25">
      <c r="A192" s="40">
        <v>41170</v>
      </c>
      <c r="B192" s="126">
        <v>0.98591435185185183</v>
      </c>
      <c r="C192" s="30" t="s">
        <v>894</v>
      </c>
    </row>
    <row r="193" spans="1:3" x14ac:dyDescent="0.25">
      <c r="A193" s="40">
        <v>41170</v>
      </c>
      <c r="B193" s="126">
        <v>0.98591435185185183</v>
      </c>
      <c r="C193" s="30" t="s">
        <v>894</v>
      </c>
    </row>
    <row r="194" spans="1:3" x14ac:dyDescent="0.25">
      <c r="A194" s="40">
        <v>41170</v>
      </c>
      <c r="B194" s="126">
        <v>0.98591435185185183</v>
      </c>
      <c r="C194" s="30" t="s">
        <v>894</v>
      </c>
    </row>
    <row r="195" spans="1:3" x14ac:dyDescent="0.25">
      <c r="A195" s="40">
        <v>41170</v>
      </c>
      <c r="B195" s="126">
        <v>0.98591435185185183</v>
      </c>
      <c r="C195" s="30" t="s">
        <v>894</v>
      </c>
    </row>
    <row r="196" spans="1:3" x14ac:dyDescent="0.25">
      <c r="A196" s="40">
        <v>41170</v>
      </c>
      <c r="B196" s="126">
        <v>0.98591435185185183</v>
      </c>
      <c r="C196" s="30" t="s">
        <v>895</v>
      </c>
    </row>
    <row r="197" spans="1:3" x14ac:dyDescent="0.25">
      <c r="A197" s="40">
        <v>41170</v>
      </c>
      <c r="B197" s="126">
        <v>0.98591435185185183</v>
      </c>
      <c r="C197" s="30" t="s">
        <v>895</v>
      </c>
    </row>
    <row r="198" spans="1:3" x14ac:dyDescent="0.25">
      <c r="A198" s="40">
        <v>41170</v>
      </c>
      <c r="B198" s="126">
        <v>0.98591435185185183</v>
      </c>
      <c r="C198" s="30" t="s">
        <v>895</v>
      </c>
    </row>
    <row r="199" spans="1:3" x14ac:dyDescent="0.25">
      <c r="A199" s="40">
        <v>41170</v>
      </c>
      <c r="B199" s="126">
        <v>0.98591435185185183</v>
      </c>
      <c r="C199" s="30" t="s">
        <v>894</v>
      </c>
    </row>
    <row r="200" spans="1:3" x14ac:dyDescent="0.25">
      <c r="A200" s="40">
        <v>41170</v>
      </c>
      <c r="B200" s="126">
        <v>0.98591435185185183</v>
      </c>
      <c r="C200" s="30" t="s">
        <v>894</v>
      </c>
    </row>
    <row r="201" spans="1:3" x14ac:dyDescent="0.25">
      <c r="A201" s="40">
        <v>41170</v>
      </c>
      <c r="B201" s="126">
        <v>0.98591435185185183</v>
      </c>
      <c r="C201" s="30" t="s">
        <v>894</v>
      </c>
    </row>
    <row r="202" spans="1:3" x14ac:dyDescent="0.25">
      <c r="A202" s="40">
        <v>41170</v>
      </c>
      <c r="B202" s="126">
        <v>0.98591435185185183</v>
      </c>
      <c r="C202" s="30" t="s">
        <v>894</v>
      </c>
    </row>
    <row r="203" spans="1:3" x14ac:dyDescent="0.25">
      <c r="A203" s="40">
        <v>41170</v>
      </c>
      <c r="B203" s="126">
        <v>0.98591435185185183</v>
      </c>
      <c r="C203" s="30" t="s">
        <v>894</v>
      </c>
    </row>
    <row r="204" spans="1:3" x14ac:dyDescent="0.25">
      <c r="A204" s="40">
        <v>41170</v>
      </c>
      <c r="B204" s="126">
        <v>0.98592592592592598</v>
      </c>
      <c r="C204" s="30" t="s">
        <v>895</v>
      </c>
    </row>
    <row r="205" spans="1:3" x14ac:dyDescent="0.25">
      <c r="A205" s="40">
        <v>41170</v>
      </c>
      <c r="B205" s="126">
        <v>0.98592592592592598</v>
      </c>
      <c r="C205" s="30" t="s">
        <v>894</v>
      </c>
    </row>
    <row r="206" spans="1:3" x14ac:dyDescent="0.25">
      <c r="A206" s="40">
        <v>41170</v>
      </c>
      <c r="B206" s="126">
        <v>0.98592592592592598</v>
      </c>
      <c r="C206" s="30" t="s">
        <v>895</v>
      </c>
    </row>
    <row r="207" spans="1:3" x14ac:dyDescent="0.25">
      <c r="A207" s="40">
        <v>41170</v>
      </c>
      <c r="B207" s="126">
        <v>0.98592592592592598</v>
      </c>
      <c r="C207" s="30" t="s">
        <v>894</v>
      </c>
    </row>
    <row r="208" spans="1:3" x14ac:dyDescent="0.25">
      <c r="A208" s="40">
        <v>41170</v>
      </c>
      <c r="B208" s="126">
        <v>0.98592592592592598</v>
      </c>
      <c r="C208" s="30" t="s">
        <v>894</v>
      </c>
    </row>
    <row r="209" spans="1:3" x14ac:dyDescent="0.25">
      <c r="A209" s="40">
        <v>41170</v>
      </c>
      <c r="B209" s="126">
        <v>0.98592592592592598</v>
      </c>
      <c r="C209" s="30" t="s">
        <v>896</v>
      </c>
    </row>
    <row r="210" spans="1:3" x14ac:dyDescent="0.25">
      <c r="A210" s="40">
        <v>41170</v>
      </c>
      <c r="B210" s="126">
        <v>0.98667824074074073</v>
      </c>
      <c r="C210" s="30" t="s">
        <v>892</v>
      </c>
    </row>
    <row r="211" spans="1:3" x14ac:dyDescent="0.25">
      <c r="A211" s="40">
        <v>41170</v>
      </c>
      <c r="B211" s="126">
        <v>0.9877083333333333</v>
      </c>
      <c r="C211" s="30" t="s">
        <v>894</v>
      </c>
    </row>
    <row r="212" spans="1:3" x14ac:dyDescent="0.25">
      <c r="A212" s="40">
        <v>41170</v>
      </c>
      <c r="B212" s="126">
        <v>0.99167824074074085</v>
      </c>
      <c r="C212" s="30" t="s">
        <v>894</v>
      </c>
    </row>
    <row r="213" spans="1:3" x14ac:dyDescent="0.25">
      <c r="A213" s="40">
        <v>41170</v>
      </c>
      <c r="B213" s="126">
        <v>0.99346064814814816</v>
      </c>
      <c r="C213" s="30" t="s">
        <v>892</v>
      </c>
    </row>
    <row r="214" spans="1:3" x14ac:dyDescent="0.25">
      <c r="A214" s="40">
        <v>41170</v>
      </c>
      <c r="B214" s="126">
        <v>0.99372685185185183</v>
      </c>
      <c r="C214" s="30" t="s">
        <v>894</v>
      </c>
    </row>
    <row r="215" spans="1:3" x14ac:dyDescent="0.25">
      <c r="A215" s="40">
        <v>41170</v>
      </c>
      <c r="B215" s="126">
        <v>0.9949189814814815</v>
      </c>
      <c r="C215" s="30" t="s">
        <v>894</v>
      </c>
    </row>
    <row r="216" spans="1:3" x14ac:dyDescent="0.25">
      <c r="A216" s="40">
        <v>41170</v>
      </c>
      <c r="B216" s="126">
        <v>0.99753472222222228</v>
      </c>
      <c r="C216" s="30" t="s">
        <v>895</v>
      </c>
    </row>
    <row r="217" spans="1:3" x14ac:dyDescent="0.25">
      <c r="A217" s="40">
        <v>41171</v>
      </c>
      <c r="B217" s="126">
        <v>1.7615740740740741E-2</v>
      </c>
      <c r="C217" s="30" t="s">
        <v>894</v>
      </c>
    </row>
    <row r="218" spans="1:3" x14ac:dyDescent="0.25">
      <c r="A218" s="40">
        <v>41171</v>
      </c>
      <c r="B218" s="126">
        <v>3.3587962962962965E-2</v>
      </c>
      <c r="C218" s="30" t="s">
        <v>892</v>
      </c>
    </row>
    <row r="219" spans="1:3" x14ac:dyDescent="0.25">
      <c r="A219" s="40">
        <v>41171</v>
      </c>
      <c r="B219" s="126">
        <v>3.7476851851851851E-2</v>
      </c>
      <c r="C219" s="30" t="s">
        <v>902</v>
      </c>
    </row>
    <row r="220" spans="1:3" x14ac:dyDescent="0.25">
      <c r="A220" s="40">
        <v>41171</v>
      </c>
      <c r="B220" s="126">
        <v>5.994212962962963E-2</v>
      </c>
      <c r="C220" s="30" t="s">
        <v>892</v>
      </c>
    </row>
    <row r="221" spans="1:3" x14ac:dyDescent="0.25">
      <c r="A221" s="40">
        <v>41171</v>
      </c>
      <c r="B221" s="126">
        <v>6.5717592592592591E-2</v>
      </c>
      <c r="C221" s="30" t="s">
        <v>909</v>
      </c>
    </row>
    <row r="222" spans="1:3" x14ac:dyDescent="0.25">
      <c r="A222" s="40">
        <v>41171</v>
      </c>
      <c r="B222" s="126">
        <v>6.6076388888888893E-2</v>
      </c>
      <c r="C222" s="30" t="s">
        <v>910</v>
      </c>
    </row>
    <row r="223" spans="1:3" x14ac:dyDescent="0.25">
      <c r="A223" s="40">
        <v>41171</v>
      </c>
      <c r="B223" s="126">
        <v>6.6168981481481481E-2</v>
      </c>
      <c r="C223" s="30" t="s">
        <v>910</v>
      </c>
    </row>
    <row r="224" spans="1:3" x14ac:dyDescent="0.25">
      <c r="A224" s="40">
        <v>41171</v>
      </c>
      <c r="B224" s="126">
        <v>6.6180555555555562E-2</v>
      </c>
      <c r="C224" s="30" t="s">
        <v>910</v>
      </c>
    </row>
    <row r="225" spans="1:3" x14ac:dyDescent="0.25">
      <c r="A225" s="40">
        <v>41171</v>
      </c>
      <c r="B225" s="126">
        <v>6.6192129629629629E-2</v>
      </c>
      <c r="C225" s="30" t="s">
        <v>896</v>
      </c>
    </row>
    <row r="226" spans="1:3" x14ac:dyDescent="0.25">
      <c r="A226" s="40">
        <v>41171</v>
      </c>
      <c r="B226" s="126">
        <v>6.6863425925925923E-2</v>
      </c>
      <c r="C226" s="30" t="s">
        <v>892</v>
      </c>
    </row>
    <row r="227" spans="1:3" x14ac:dyDescent="0.25">
      <c r="A227" s="40">
        <v>41171</v>
      </c>
      <c r="B227" s="126">
        <v>6.6932870370370365E-2</v>
      </c>
      <c r="C227" s="30" t="s">
        <v>909</v>
      </c>
    </row>
    <row r="228" spans="1:3" x14ac:dyDescent="0.25">
      <c r="A228" s="40">
        <v>41171</v>
      </c>
      <c r="B228" s="126">
        <v>6.6956018518518512E-2</v>
      </c>
      <c r="C228" s="30" t="s">
        <v>910</v>
      </c>
    </row>
    <row r="229" spans="1:3" x14ac:dyDescent="0.25">
      <c r="A229" s="40">
        <v>41171</v>
      </c>
      <c r="B229" s="126">
        <v>6.6979166666666659E-2</v>
      </c>
      <c r="C229" s="30" t="s">
        <v>910</v>
      </c>
    </row>
    <row r="230" spans="1:3" x14ac:dyDescent="0.25">
      <c r="A230" s="40">
        <v>41171</v>
      </c>
      <c r="B230" s="126">
        <v>6.7048611111111114E-2</v>
      </c>
      <c r="C230" s="30" t="s">
        <v>910</v>
      </c>
    </row>
    <row r="231" spans="1:3" x14ac:dyDescent="0.25">
      <c r="A231" s="40">
        <v>41171</v>
      </c>
      <c r="B231" s="126">
        <v>6.7071759259259262E-2</v>
      </c>
      <c r="C231" s="30" t="s">
        <v>896</v>
      </c>
    </row>
    <row r="232" spans="1:3" x14ac:dyDescent="0.25">
      <c r="A232" s="40">
        <v>41171</v>
      </c>
      <c r="B232" s="126">
        <v>8.6574074074074081E-2</v>
      </c>
      <c r="C232" s="30" t="s">
        <v>911</v>
      </c>
    </row>
    <row r="233" spans="1:3" x14ac:dyDescent="0.25">
      <c r="A233" s="40">
        <v>41172</v>
      </c>
      <c r="B233" s="126">
        <v>5.2800925925925925E-2</v>
      </c>
      <c r="C233" s="30" t="s">
        <v>913</v>
      </c>
    </row>
    <row r="234" spans="1:3" x14ac:dyDescent="0.25">
      <c r="A234" s="40">
        <v>41172</v>
      </c>
      <c r="B234" s="126">
        <v>5.4131944444444441E-2</v>
      </c>
      <c r="C234" s="30" t="s">
        <v>911</v>
      </c>
    </row>
    <row r="235" spans="1:3" x14ac:dyDescent="0.25">
      <c r="A235" s="40">
        <v>41172</v>
      </c>
      <c r="B235" s="126">
        <v>5.6099537037037038E-2</v>
      </c>
      <c r="C235" s="30" t="s">
        <v>911</v>
      </c>
    </row>
    <row r="236" spans="1:3" x14ac:dyDescent="0.25">
      <c r="A236" s="40">
        <v>41172</v>
      </c>
      <c r="B236" s="126">
        <v>5.8634259259259254E-2</v>
      </c>
      <c r="C236" s="30" t="s">
        <v>911</v>
      </c>
    </row>
    <row r="237" spans="1:3" x14ac:dyDescent="0.25">
      <c r="A237" s="40">
        <v>41172</v>
      </c>
      <c r="B237" s="126">
        <v>0.1391435185185185</v>
      </c>
      <c r="C237" s="30" t="s">
        <v>859</v>
      </c>
    </row>
    <row r="238" spans="1:3" x14ac:dyDescent="0.25">
      <c r="A238" s="40">
        <v>41172</v>
      </c>
      <c r="B238" s="126">
        <v>0.1391435185185185</v>
      </c>
      <c r="C238" s="30" t="s">
        <v>728</v>
      </c>
    </row>
    <row r="239" spans="1:3" x14ac:dyDescent="0.25">
      <c r="A239" s="40">
        <v>41172</v>
      </c>
      <c r="B239" s="126">
        <v>0.13916666666666666</v>
      </c>
      <c r="C239" s="30" t="s">
        <v>729</v>
      </c>
    </row>
    <row r="240" spans="1:3" x14ac:dyDescent="0.25">
      <c r="A240" s="40">
        <v>41172</v>
      </c>
      <c r="B240" s="126">
        <v>0.13939814814814813</v>
      </c>
      <c r="C240" s="30" t="s">
        <v>730</v>
      </c>
    </row>
    <row r="241" spans="1:3" x14ac:dyDescent="0.25">
      <c r="A241" s="40">
        <v>41172</v>
      </c>
      <c r="B241" s="126">
        <v>0.13953703703703704</v>
      </c>
      <c r="C241" s="30" t="s">
        <v>860</v>
      </c>
    </row>
    <row r="242" spans="1:3" x14ac:dyDescent="0.25">
      <c r="A242" s="40">
        <v>41172</v>
      </c>
      <c r="B242" s="126">
        <v>0.13961805555555554</v>
      </c>
      <c r="C242" s="30" t="s">
        <v>726</v>
      </c>
    </row>
    <row r="243" spans="1:3" x14ac:dyDescent="0.25">
      <c r="A243" s="40">
        <v>41172</v>
      </c>
      <c r="B243" s="126">
        <v>0.13968749999999999</v>
      </c>
      <c r="C243" s="30" t="s">
        <v>845</v>
      </c>
    </row>
    <row r="244" spans="1:3" x14ac:dyDescent="0.25">
      <c r="A244" s="40">
        <v>41172</v>
      </c>
      <c r="B244" s="126">
        <v>0.13974537037037038</v>
      </c>
      <c r="C244" s="30" t="s">
        <v>914</v>
      </c>
    </row>
    <row r="245" spans="1:3" x14ac:dyDescent="0.25">
      <c r="A245" s="40">
        <v>41173</v>
      </c>
      <c r="B245" s="126">
        <v>2.7673611111111111E-2</v>
      </c>
      <c r="C245" s="30" t="s">
        <v>733</v>
      </c>
    </row>
    <row r="246" spans="1:3" x14ac:dyDescent="0.25">
      <c r="A246" s="40">
        <v>41173</v>
      </c>
      <c r="B246" s="126">
        <v>3.006944444444444E-2</v>
      </c>
      <c r="C246" s="30" t="s">
        <v>915</v>
      </c>
    </row>
    <row r="247" spans="1:3" x14ac:dyDescent="0.25">
      <c r="A247" s="40">
        <v>41173</v>
      </c>
      <c r="B247" s="126">
        <v>3.876157407407408E-2</v>
      </c>
      <c r="C247" s="30" t="s">
        <v>916</v>
      </c>
    </row>
    <row r="248" spans="1:3" x14ac:dyDescent="0.25">
      <c r="A248" s="40">
        <v>41173</v>
      </c>
      <c r="B248" s="126">
        <v>4.2905092592592592E-2</v>
      </c>
      <c r="C248" s="30" t="s">
        <v>916</v>
      </c>
    </row>
    <row r="249" spans="1:3" x14ac:dyDescent="0.25">
      <c r="A249" s="40">
        <v>41173</v>
      </c>
      <c r="B249" s="126">
        <v>4.3576388888888894E-2</v>
      </c>
      <c r="C249" s="30" t="s">
        <v>913</v>
      </c>
    </row>
    <row r="250" spans="1:3" x14ac:dyDescent="0.25">
      <c r="A250" s="40">
        <v>41173</v>
      </c>
      <c r="B250" s="126">
        <v>7.9293981481481479E-2</v>
      </c>
      <c r="C250" s="30" t="s">
        <v>913</v>
      </c>
    </row>
    <row r="251" spans="1:3" x14ac:dyDescent="0.25">
      <c r="A251" s="40">
        <v>41173</v>
      </c>
      <c r="B251" s="126">
        <v>0.11802083333333334</v>
      </c>
      <c r="C251" s="30" t="s">
        <v>916</v>
      </c>
    </row>
    <row r="252" spans="1:3" x14ac:dyDescent="0.25">
      <c r="A252" s="40">
        <v>41173</v>
      </c>
      <c r="B252" s="126">
        <v>0.12996527777777778</v>
      </c>
      <c r="C252" s="30" t="s">
        <v>916</v>
      </c>
    </row>
    <row r="253" spans="1:3" x14ac:dyDescent="0.25">
      <c r="A253" s="40">
        <v>41173</v>
      </c>
      <c r="B253" s="126">
        <v>0.1343287037037037</v>
      </c>
      <c r="C253" s="30" t="s">
        <v>917</v>
      </c>
    </row>
    <row r="254" spans="1:3" x14ac:dyDescent="0.25">
      <c r="A254" s="40">
        <v>41173</v>
      </c>
      <c r="B254" s="126">
        <v>0.13863425925925926</v>
      </c>
      <c r="C254" s="30" t="s">
        <v>914</v>
      </c>
    </row>
    <row r="255" spans="1:3" x14ac:dyDescent="0.25">
      <c r="A255" s="40">
        <v>41174</v>
      </c>
      <c r="B255" s="126">
        <v>1.5486111111111112E-2</v>
      </c>
      <c r="C255" s="30" t="s">
        <v>918</v>
      </c>
    </row>
    <row r="256" spans="1:3" x14ac:dyDescent="0.25">
      <c r="A256" s="40">
        <v>41174</v>
      </c>
      <c r="B256" s="126">
        <v>1.8715277777777779E-2</v>
      </c>
      <c r="C256" s="30" t="s">
        <v>919</v>
      </c>
    </row>
    <row r="257" spans="1:3" x14ac:dyDescent="0.25">
      <c r="A257" s="40">
        <v>41174</v>
      </c>
      <c r="B257" s="126">
        <v>2.1747685185185186E-2</v>
      </c>
      <c r="C257" s="30" t="s">
        <v>728</v>
      </c>
    </row>
    <row r="258" spans="1:3" x14ac:dyDescent="0.25">
      <c r="A258" s="40">
        <v>41174</v>
      </c>
      <c r="B258" s="126">
        <v>2.2233796296296297E-2</v>
      </c>
      <c r="C258" s="30" t="s">
        <v>729</v>
      </c>
    </row>
    <row r="259" spans="1:3" x14ac:dyDescent="0.25">
      <c r="A259" s="40">
        <v>41174</v>
      </c>
      <c r="B259" s="126">
        <v>2.3113425925925926E-2</v>
      </c>
      <c r="C259" s="30" t="s">
        <v>730</v>
      </c>
    </row>
    <row r="260" spans="1:3" x14ac:dyDescent="0.25">
      <c r="A260" s="40">
        <v>41174</v>
      </c>
      <c r="B260" s="126">
        <v>2.7199074074074073E-2</v>
      </c>
      <c r="C260" s="30" t="s">
        <v>860</v>
      </c>
    </row>
    <row r="261" spans="1:3" x14ac:dyDescent="0.25">
      <c r="A261" s="40">
        <v>41174</v>
      </c>
      <c r="B261" s="126">
        <v>3.2372685185185185E-2</v>
      </c>
      <c r="C261" s="30" t="s">
        <v>860</v>
      </c>
    </row>
    <row r="262" spans="1:3" x14ac:dyDescent="0.25">
      <c r="A262" s="40">
        <v>41174</v>
      </c>
      <c r="B262" s="126">
        <v>3.24537037037037E-2</v>
      </c>
      <c r="C262" s="30" t="s">
        <v>726</v>
      </c>
    </row>
    <row r="263" spans="1:3" x14ac:dyDescent="0.25">
      <c r="A263" s="40">
        <v>41174</v>
      </c>
      <c r="B263" s="126">
        <v>3.2627314814814817E-2</v>
      </c>
      <c r="C263" s="30" t="s">
        <v>845</v>
      </c>
    </row>
    <row r="264" spans="1:3" x14ac:dyDescent="0.25">
      <c r="A264" s="40">
        <v>41174</v>
      </c>
      <c r="B264" s="126">
        <v>3.2719907407407406E-2</v>
      </c>
      <c r="C264" s="30" t="s">
        <v>914</v>
      </c>
    </row>
    <row r="265" spans="1:3" x14ac:dyDescent="0.25">
      <c r="A265" s="40">
        <v>41174</v>
      </c>
      <c r="B265" s="126">
        <v>3.9247685185185184E-2</v>
      </c>
      <c r="C265" s="30" t="s">
        <v>845</v>
      </c>
    </row>
    <row r="266" spans="1:3" x14ac:dyDescent="0.25">
      <c r="A266" s="40">
        <v>41174</v>
      </c>
      <c r="B266" s="126">
        <v>3.9814814814814817E-2</v>
      </c>
      <c r="C266" s="30" t="s">
        <v>914</v>
      </c>
    </row>
    <row r="267" spans="1:3" x14ac:dyDescent="0.25">
      <c r="A267" s="40">
        <v>41174</v>
      </c>
      <c r="B267" s="126">
        <v>4.041666666666667E-2</v>
      </c>
      <c r="C267" s="30" t="s">
        <v>845</v>
      </c>
    </row>
    <row r="268" spans="1:3" x14ac:dyDescent="0.25">
      <c r="A268" s="40">
        <v>41174</v>
      </c>
      <c r="B268" s="126">
        <v>4.9236111111111112E-2</v>
      </c>
      <c r="C268" s="30" t="s">
        <v>920</v>
      </c>
    </row>
    <row r="269" spans="1:3" x14ac:dyDescent="0.25">
      <c r="A269" s="40">
        <v>41174</v>
      </c>
      <c r="B269" s="126">
        <v>4.925925925925926E-2</v>
      </c>
      <c r="C269" s="30" t="s">
        <v>726</v>
      </c>
    </row>
    <row r="270" spans="1:3" x14ac:dyDescent="0.25">
      <c r="A270" s="40">
        <v>41174</v>
      </c>
      <c r="B270" s="126">
        <v>5.31712962962963E-2</v>
      </c>
      <c r="C270" s="30" t="s">
        <v>921</v>
      </c>
    </row>
    <row r="271" spans="1:3" x14ac:dyDescent="0.25">
      <c r="A271" s="40">
        <v>41174</v>
      </c>
      <c r="B271" s="126">
        <v>5.31712962962963E-2</v>
      </c>
      <c r="C271" s="30" t="s">
        <v>863</v>
      </c>
    </row>
    <row r="272" spans="1:3" x14ac:dyDescent="0.25">
      <c r="A272" s="40">
        <v>41174</v>
      </c>
      <c r="B272" s="126">
        <v>5.3252314814814815E-2</v>
      </c>
      <c r="C272" s="30" t="s">
        <v>825</v>
      </c>
    </row>
    <row r="273" spans="1:3" x14ac:dyDescent="0.25">
      <c r="A273" s="40">
        <v>41174</v>
      </c>
      <c r="B273" s="126">
        <v>5.334490740740741E-2</v>
      </c>
      <c r="C273" s="30" t="s">
        <v>825</v>
      </c>
    </row>
    <row r="274" spans="1:3" x14ac:dyDescent="0.25">
      <c r="A274" s="40">
        <v>41174</v>
      </c>
      <c r="B274" s="126">
        <v>5.3402777777777778E-2</v>
      </c>
      <c r="C274" s="30" t="s">
        <v>913</v>
      </c>
    </row>
    <row r="275" spans="1:3" x14ac:dyDescent="0.25">
      <c r="A275" s="40">
        <v>41174</v>
      </c>
      <c r="B275" s="126">
        <v>5.7928240740740738E-2</v>
      </c>
      <c r="C275" s="30" t="s">
        <v>922</v>
      </c>
    </row>
    <row r="276" spans="1:3" x14ac:dyDescent="0.25">
      <c r="A276" s="40">
        <v>41174</v>
      </c>
      <c r="B276" s="126">
        <v>5.9548611111111115E-2</v>
      </c>
      <c r="C276" s="30" t="s">
        <v>863</v>
      </c>
    </row>
    <row r="277" spans="1:3" x14ac:dyDescent="0.25">
      <c r="A277" s="40">
        <v>41174</v>
      </c>
      <c r="B277" s="126">
        <v>6.0439814814814814E-2</v>
      </c>
      <c r="C277" s="30" t="s">
        <v>825</v>
      </c>
    </row>
    <row r="278" spans="1:3" x14ac:dyDescent="0.25">
      <c r="A278" s="40">
        <v>41174</v>
      </c>
      <c r="B278" s="126">
        <v>6.0567129629629624E-2</v>
      </c>
      <c r="C278" s="30" t="s">
        <v>825</v>
      </c>
    </row>
    <row r="279" spans="1:3" x14ac:dyDescent="0.25">
      <c r="A279" s="40">
        <v>41174</v>
      </c>
      <c r="B279" s="126">
        <v>6.0706018518518513E-2</v>
      </c>
      <c r="C279" s="30" t="s">
        <v>913</v>
      </c>
    </row>
    <row r="280" spans="1:3" x14ac:dyDescent="0.25">
      <c r="A280" s="40">
        <v>41174</v>
      </c>
      <c r="B280" s="126">
        <v>6.2407407407407411E-2</v>
      </c>
      <c r="C280" s="30" t="s">
        <v>917</v>
      </c>
    </row>
    <row r="281" spans="1:3" x14ac:dyDescent="0.25">
      <c r="A281" s="40">
        <v>41174</v>
      </c>
      <c r="B281" s="126">
        <v>6.2638888888888897E-2</v>
      </c>
      <c r="C281" s="30" t="s">
        <v>913</v>
      </c>
    </row>
    <row r="282" spans="1:3" x14ac:dyDescent="0.25">
      <c r="A282" s="40">
        <v>41174</v>
      </c>
      <c r="B282" s="126">
        <v>6.682870370370371E-2</v>
      </c>
      <c r="C282" s="30" t="s">
        <v>852</v>
      </c>
    </row>
    <row r="283" spans="1:3" x14ac:dyDescent="0.25">
      <c r="A283" s="40">
        <v>41174</v>
      </c>
      <c r="B283" s="126">
        <v>6.805555555555555E-2</v>
      </c>
      <c r="C283" s="30" t="s">
        <v>917</v>
      </c>
    </row>
    <row r="284" spans="1:3" x14ac:dyDescent="0.25">
      <c r="A284" s="40">
        <v>41174</v>
      </c>
      <c r="B284" s="126">
        <v>7.059027777777778E-2</v>
      </c>
      <c r="C284" s="30" t="s">
        <v>920</v>
      </c>
    </row>
    <row r="285" spans="1:3" x14ac:dyDescent="0.25">
      <c r="A285" s="40">
        <v>41174</v>
      </c>
      <c r="B285" s="126">
        <v>7.0659722222222221E-2</v>
      </c>
      <c r="C285" s="30" t="s">
        <v>726</v>
      </c>
    </row>
    <row r="286" spans="1:3" x14ac:dyDescent="0.25">
      <c r="A286" s="40">
        <v>41174</v>
      </c>
      <c r="B286" s="126">
        <v>7.1064814814814817E-2</v>
      </c>
      <c r="C286" s="30" t="s">
        <v>845</v>
      </c>
    </row>
    <row r="287" spans="1:3" x14ac:dyDescent="0.25">
      <c r="A287" s="40">
        <v>41174</v>
      </c>
      <c r="B287" s="126">
        <v>7.1180555555555566E-2</v>
      </c>
      <c r="C287" s="30" t="s">
        <v>737</v>
      </c>
    </row>
    <row r="288" spans="1:3" x14ac:dyDescent="0.25">
      <c r="A288" s="40">
        <v>41174</v>
      </c>
      <c r="B288" s="126">
        <v>7.1273148148148155E-2</v>
      </c>
      <c r="C288" s="30" t="s">
        <v>738</v>
      </c>
    </row>
    <row r="289" spans="1:3" x14ac:dyDescent="0.25">
      <c r="A289" s="40">
        <v>41174</v>
      </c>
      <c r="B289" s="126">
        <v>7.1342592592592582E-2</v>
      </c>
      <c r="C289" s="30" t="s">
        <v>739</v>
      </c>
    </row>
    <row r="290" spans="1:3" x14ac:dyDescent="0.25">
      <c r="A290" s="40">
        <v>41174</v>
      </c>
      <c r="B290" s="126">
        <v>7.2222222222222229E-2</v>
      </c>
      <c r="C290" s="30" t="s">
        <v>922</v>
      </c>
    </row>
    <row r="291" spans="1:3" x14ac:dyDescent="0.25">
      <c r="A291" s="40">
        <v>41174</v>
      </c>
      <c r="B291" s="126">
        <v>7.2222222222222229E-2</v>
      </c>
      <c r="C291" s="30" t="s">
        <v>863</v>
      </c>
    </row>
    <row r="292" spans="1:3" x14ac:dyDescent="0.25">
      <c r="A292" s="40">
        <v>41174</v>
      </c>
      <c r="B292" s="126">
        <v>7.2291666666666657E-2</v>
      </c>
      <c r="C292" s="30" t="s">
        <v>825</v>
      </c>
    </row>
    <row r="293" spans="1:3" x14ac:dyDescent="0.25">
      <c r="A293" s="40">
        <v>41174</v>
      </c>
      <c r="B293" s="126">
        <v>7.2430555555555554E-2</v>
      </c>
      <c r="C293" s="30" t="s">
        <v>827</v>
      </c>
    </row>
    <row r="294" spans="1:3" x14ac:dyDescent="0.25">
      <c r="A294" s="40">
        <v>41174</v>
      </c>
      <c r="B294" s="126">
        <v>7.2777777777777775E-2</v>
      </c>
      <c r="C294" s="30" t="s">
        <v>828</v>
      </c>
    </row>
    <row r="295" spans="1:3" x14ac:dyDescent="0.25">
      <c r="A295" s="40">
        <v>41174</v>
      </c>
      <c r="B295" s="126">
        <v>7.2835648148148149E-2</v>
      </c>
      <c r="C295" s="30" t="s">
        <v>863</v>
      </c>
    </row>
    <row r="296" spans="1:3" x14ac:dyDescent="0.25">
      <c r="A296" s="40">
        <v>41174</v>
      </c>
      <c r="B296" s="126">
        <v>7.2939814814814818E-2</v>
      </c>
      <c r="C296" s="30" t="s">
        <v>845</v>
      </c>
    </row>
    <row r="297" spans="1:3" x14ac:dyDescent="0.25">
      <c r="A297" s="40">
        <v>41174</v>
      </c>
      <c r="B297" s="126">
        <v>7.3043981481481488E-2</v>
      </c>
      <c r="C297" s="30" t="s">
        <v>737</v>
      </c>
    </row>
    <row r="298" spans="1:3" x14ac:dyDescent="0.25">
      <c r="A298" s="40">
        <v>41174</v>
      </c>
      <c r="B298" s="126">
        <v>7.3159722222222223E-2</v>
      </c>
      <c r="C298" s="30" t="s">
        <v>738</v>
      </c>
    </row>
    <row r="299" spans="1:3" x14ac:dyDescent="0.25">
      <c r="A299" s="40">
        <v>41174</v>
      </c>
      <c r="B299" s="126">
        <v>7.3206018518518517E-2</v>
      </c>
      <c r="C299" s="30" t="s">
        <v>739</v>
      </c>
    </row>
    <row r="300" spans="1:3" x14ac:dyDescent="0.25">
      <c r="A300" s="40">
        <v>41174</v>
      </c>
      <c r="B300" s="126">
        <v>7.3252314814814812E-2</v>
      </c>
      <c r="C300" s="30" t="s">
        <v>863</v>
      </c>
    </row>
    <row r="301" spans="1:3" x14ac:dyDescent="0.25">
      <c r="A301" s="40">
        <v>41174</v>
      </c>
      <c r="B301" s="126">
        <v>7.3321759259259267E-2</v>
      </c>
      <c r="C301" s="30" t="s">
        <v>864</v>
      </c>
    </row>
    <row r="302" spans="1:3" x14ac:dyDescent="0.25">
      <c r="A302" s="40">
        <v>41174</v>
      </c>
      <c r="B302" s="126">
        <v>7.5694444444444439E-2</v>
      </c>
      <c r="C302" s="30" t="s">
        <v>869</v>
      </c>
    </row>
    <row r="303" spans="1:3" x14ac:dyDescent="0.25">
      <c r="A303" s="40">
        <v>41174</v>
      </c>
      <c r="B303" s="126">
        <v>7.5787037037037042E-2</v>
      </c>
      <c r="C303" s="30" t="s">
        <v>892</v>
      </c>
    </row>
    <row r="304" spans="1:3" x14ac:dyDescent="0.25">
      <c r="A304" s="40">
        <v>41174</v>
      </c>
      <c r="B304" s="126">
        <v>7.5902777777777777E-2</v>
      </c>
      <c r="C304" s="30" t="s">
        <v>909</v>
      </c>
    </row>
    <row r="305" spans="1:3" x14ac:dyDescent="0.25">
      <c r="A305" s="40">
        <v>41174</v>
      </c>
      <c r="B305" s="126">
        <v>7.5902777777777777E-2</v>
      </c>
      <c r="C305" s="30" t="s">
        <v>910</v>
      </c>
    </row>
    <row r="306" spans="1:3" x14ac:dyDescent="0.25">
      <c r="A306" s="40">
        <v>41174</v>
      </c>
      <c r="B306" s="126">
        <v>7.5902777777777777E-2</v>
      </c>
      <c r="C306" s="30" t="s">
        <v>910</v>
      </c>
    </row>
    <row r="307" spans="1:3" x14ac:dyDescent="0.25">
      <c r="A307" s="40">
        <v>41174</v>
      </c>
      <c r="B307" s="126">
        <v>7.5902777777777777E-2</v>
      </c>
      <c r="C307" s="30" t="s">
        <v>910</v>
      </c>
    </row>
    <row r="308" spans="1:3" x14ac:dyDescent="0.25">
      <c r="A308" s="40">
        <v>41174</v>
      </c>
      <c r="B308" s="126">
        <v>7.5914351851851858E-2</v>
      </c>
      <c r="C308" s="30" t="s">
        <v>911</v>
      </c>
    </row>
    <row r="309" spans="1:3" x14ac:dyDescent="0.25">
      <c r="A309" s="40">
        <v>41174</v>
      </c>
      <c r="B309" s="126">
        <v>7.9502314814814817E-2</v>
      </c>
      <c r="C309" s="30" t="s">
        <v>911</v>
      </c>
    </row>
    <row r="310" spans="1:3" x14ac:dyDescent="0.25">
      <c r="A310" s="40">
        <v>41174</v>
      </c>
      <c r="B310" s="126">
        <v>8.9004629629629628E-2</v>
      </c>
      <c r="C310" s="30" t="s">
        <v>911</v>
      </c>
    </row>
    <row r="311" spans="1:3" x14ac:dyDescent="0.25">
      <c r="A311" s="40">
        <v>41174</v>
      </c>
      <c r="B311" s="126">
        <v>9.28587962962963E-2</v>
      </c>
      <c r="C311" s="30" t="s">
        <v>911</v>
      </c>
    </row>
    <row r="312" spans="1:3" x14ac:dyDescent="0.25">
      <c r="A312" s="40">
        <v>41174</v>
      </c>
      <c r="B312" s="126">
        <v>9.4618055555555566E-2</v>
      </c>
      <c r="C312" s="30" t="s">
        <v>911</v>
      </c>
    </row>
    <row r="313" spans="1:3" x14ac:dyDescent="0.25">
      <c r="A313" s="40">
        <v>41174</v>
      </c>
      <c r="B313" s="126">
        <v>9.525462962962962E-2</v>
      </c>
      <c r="C313" s="30" t="s">
        <v>911</v>
      </c>
    </row>
    <row r="314" spans="1:3" x14ac:dyDescent="0.25">
      <c r="A314" s="40">
        <v>41175</v>
      </c>
      <c r="B314" s="126">
        <v>0.9515393518518519</v>
      </c>
      <c r="C314" s="30" t="s">
        <v>911</v>
      </c>
    </row>
    <row r="315" spans="1:3" x14ac:dyDescent="0.25">
      <c r="A315" s="40">
        <v>41175</v>
      </c>
      <c r="B315" s="126">
        <v>0.97201388888888884</v>
      </c>
      <c r="C315" s="30" t="s">
        <v>911</v>
      </c>
    </row>
    <row r="316" spans="1:3" x14ac:dyDescent="0.25">
      <c r="A316" s="40">
        <v>41175</v>
      </c>
      <c r="B316" s="126">
        <v>0.97681712962962963</v>
      </c>
      <c r="C316" s="30" t="s">
        <v>911</v>
      </c>
    </row>
    <row r="317" spans="1:3" x14ac:dyDescent="0.25">
      <c r="A317" s="40">
        <v>41175</v>
      </c>
      <c r="B317" s="126">
        <v>0.97766203703703702</v>
      </c>
      <c r="C317" s="30" t="s">
        <v>923</v>
      </c>
    </row>
    <row r="318" spans="1:3" x14ac:dyDescent="0.25">
      <c r="A318" s="40">
        <v>41175</v>
      </c>
      <c r="B318" s="126">
        <v>0.97768518518518521</v>
      </c>
      <c r="C318" s="30" t="s">
        <v>923</v>
      </c>
    </row>
    <row r="319" spans="1:3" x14ac:dyDescent="0.25">
      <c r="A319" s="40">
        <v>41175</v>
      </c>
      <c r="B319" s="126">
        <v>0.97788194444444443</v>
      </c>
      <c r="C319" s="30" t="s">
        <v>923</v>
      </c>
    </row>
    <row r="320" spans="1:3" x14ac:dyDescent="0.25">
      <c r="A320" s="40">
        <v>41175</v>
      </c>
      <c r="B320" s="126">
        <v>0.97790509259259262</v>
      </c>
      <c r="C320" s="30" t="s">
        <v>923</v>
      </c>
    </row>
    <row r="321" spans="1:3" x14ac:dyDescent="0.25">
      <c r="A321" s="40">
        <v>41175</v>
      </c>
      <c r="B321" s="126">
        <v>0.97791666666666666</v>
      </c>
      <c r="C321" s="30" t="s">
        <v>923</v>
      </c>
    </row>
    <row r="322" spans="1:3" x14ac:dyDescent="0.25">
      <c r="A322" s="40">
        <v>41175</v>
      </c>
      <c r="B322" s="126">
        <v>0.97797453703703707</v>
      </c>
      <c r="C322" s="30" t="s">
        <v>923</v>
      </c>
    </row>
    <row r="323" spans="1:3" x14ac:dyDescent="0.25">
      <c r="A323" s="40">
        <v>41175</v>
      </c>
      <c r="B323" s="126">
        <v>0.97821759259259267</v>
      </c>
      <c r="C323" s="30" t="s">
        <v>911</v>
      </c>
    </row>
    <row r="324" spans="1:3" x14ac:dyDescent="0.25">
      <c r="A324" s="40">
        <v>41176</v>
      </c>
      <c r="B324" s="126">
        <v>1.6597222222222222E-2</v>
      </c>
      <c r="C324" s="30" t="s">
        <v>924</v>
      </c>
    </row>
    <row r="325" spans="1:3" x14ac:dyDescent="0.25">
      <c r="A325" s="40">
        <v>41176</v>
      </c>
      <c r="B325" s="126">
        <v>1.6597222222222222E-2</v>
      </c>
      <c r="C325" s="30" t="s">
        <v>832</v>
      </c>
    </row>
    <row r="326" spans="1:3" x14ac:dyDescent="0.25">
      <c r="A326" s="40">
        <v>41176</v>
      </c>
      <c r="B326" s="126">
        <v>1.6701388888888887E-2</v>
      </c>
      <c r="C326" s="30" t="s">
        <v>833</v>
      </c>
    </row>
    <row r="327" spans="1:3" x14ac:dyDescent="0.25">
      <c r="A327" s="40">
        <v>41176</v>
      </c>
      <c r="B327" s="126">
        <v>1.6944444444444443E-2</v>
      </c>
      <c r="C327" s="30" t="s">
        <v>845</v>
      </c>
    </row>
    <row r="328" spans="1:3" x14ac:dyDescent="0.25">
      <c r="A328" s="40">
        <v>41176</v>
      </c>
      <c r="B328" s="126">
        <v>1.7106481481481483E-2</v>
      </c>
      <c r="C328" s="30" t="s">
        <v>737</v>
      </c>
    </row>
    <row r="329" spans="1:3" x14ac:dyDescent="0.25">
      <c r="A329" s="40">
        <v>41176</v>
      </c>
      <c r="B329" s="126">
        <v>1.7175925925925924E-2</v>
      </c>
      <c r="C329" s="30" t="s">
        <v>738</v>
      </c>
    </row>
    <row r="330" spans="1:3" x14ac:dyDescent="0.25">
      <c r="A330" s="40">
        <v>41176</v>
      </c>
      <c r="B330" s="126">
        <v>1.7222222222222222E-2</v>
      </c>
      <c r="C330" s="30" t="s">
        <v>739</v>
      </c>
    </row>
    <row r="331" spans="1:3" x14ac:dyDescent="0.25">
      <c r="A331" s="40">
        <v>41176</v>
      </c>
      <c r="B331" s="126">
        <v>2.0127314814814817E-2</v>
      </c>
      <c r="C331" s="30" t="s">
        <v>925</v>
      </c>
    </row>
    <row r="332" spans="1:3" x14ac:dyDescent="0.25">
      <c r="A332" s="40">
        <v>41176</v>
      </c>
      <c r="B332" s="126">
        <v>2.0127314814814817E-2</v>
      </c>
      <c r="C332" s="30" t="s">
        <v>728</v>
      </c>
    </row>
    <row r="333" spans="1:3" x14ac:dyDescent="0.25">
      <c r="A333" s="40">
        <v>41176</v>
      </c>
      <c r="B333" s="126">
        <v>2.0219907407407409E-2</v>
      </c>
      <c r="C333" s="30" t="s">
        <v>729</v>
      </c>
    </row>
    <row r="334" spans="1:3" x14ac:dyDescent="0.25">
      <c r="A334" s="40">
        <v>41176</v>
      </c>
      <c r="B334" s="126">
        <v>2.0358796296296295E-2</v>
      </c>
      <c r="C334" s="30" t="s">
        <v>730</v>
      </c>
    </row>
    <row r="335" spans="1:3" x14ac:dyDescent="0.25">
      <c r="A335" s="40">
        <v>41176</v>
      </c>
      <c r="B335" s="126">
        <v>2.0486111111111111E-2</v>
      </c>
      <c r="C335" s="30" t="s">
        <v>860</v>
      </c>
    </row>
    <row r="336" spans="1:3" x14ac:dyDescent="0.25">
      <c r="A336" s="40">
        <v>41176</v>
      </c>
      <c r="B336" s="126">
        <v>2.0694444444444446E-2</v>
      </c>
      <c r="C336" s="30" t="s">
        <v>726</v>
      </c>
    </row>
    <row r="337" spans="1:3" x14ac:dyDescent="0.25">
      <c r="A337" s="40">
        <v>41176</v>
      </c>
      <c r="B337" s="126">
        <v>2.0729166666666667E-2</v>
      </c>
      <c r="C337" s="30" t="s">
        <v>845</v>
      </c>
    </row>
    <row r="338" spans="1:3" x14ac:dyDescent="0.25">
      <c r="A338" s="40">
        <v>41176</v>
      </c>
      <c r="B338" s="126">
        <v>2.0810185185185185E-2</v>
      </c>
      <c r="C338" s="30" t="s">
        <v>737</v>
      </c>
    </row>
    <row r="339" spans="1:3" x14ac:dyDescent="0.25">
      <c r="A339" s="40">
        <v>41176</v>
      </c>
      <c r="B339" s="126">
        <v>2.0868055555555556E-2</v>
      </c>
      <c r="C339" s="30" t="s">
        <v>738</v>
      </c>
    </row>
    <row r="340" spans="1:3" x14ac:dyDescent="0.25">
      <c r="A340" s="40">
        <v>41176</v>
      </c>
      <c r="B340" s="126">
        <v>2.0914351851851851E-2</v>
      </c>
      <c r="C340" s="30" t="s">
        <v>739</v>
      </c>
    </row>
    <row r="341" spans="1:3" x14ac:dyDescent="0.25">
      <c r="A341" s="40">
        <v>41176</v>
      </c>
      <c r="B341" s="126">
        <v>2.3090277777777779E-2</v>
      </c>
      <c r="C341" s="30" t="s">
        <v>869</v>
      </c>
    </row>
    <row r="342" spans="1:3" x14ac:dyDescent="0.25">
      <c r="A342" s="40">
        <v>41176</v>
      </c>
      <c r="B342" s="126">
        <v>2.3784722222222221E-2</v>
      </c>
      <c r="C342" s="30" t="s">
        <v>892</v>
      </c>
    </row>
    <row r="343" spans="1:3" x14ac:dyDescent="0.25">
      <c r="A343" s="40">
        <v>41176</v>
      </c>
      <c r="B343" s="126">
        <v>2.388888888888889E-2</v>
      </c>
      <c r="C343" s="30" t="s">
        <v>909</v>
      </c>
    </row>
    <row r="344" spans="1:3" x14ac:dyDescent="0.25">
      <c r="A344" s="40">
        <v>41176</v>
      </c>
      <c r="B344" s="126">
        <v>2.388888888888889E-2</v>
      </c>
      <c r="C344" s="30" t="s">
        <v>910</v>
      </c>
    </row>
    <row r="345" spans="1:3" x14ac:dyDescent="0.25">
      <c r="A345" s="40">
        <v>41176</v>
      </c>
      <c r="B345" s="126">
        <v>2.388888888888889E-2</v>
      </c>
      <c r="C345" s="30" t="s">
        <v>910</v>
      </c>
    </row>
    <row r="346" spans="1:3" x14ac:dyDescent="0.25">
      <c r="A346" s="40">
        <v>41176</v>
      </c>
      <c r="B346" s="126">
        <v>2.388888888888889E-2</v>
      </c>
      <c r="C346" s="30" t="s">
        <v>910</v>
      </c>
    </row>
    <row r="347" spans="1:3" x14ac:dyDescent="0.25">
      <c r="A347" s="40">
        <v>41176</v>
      </c>
      <c r="B347" s="126">
        <v>2.388888888888889E-2</v>
      </c>
      <c r="C347" s="30" t="s">
        <v>911</v>
      </c>
    </row>
    <row r="348" spans="1:3" x14ac:dyDescent="0.25">
      <c r="A348" s="40">
        <v>41176</v>
      </c>
      <c r="B348" s="126">
        <v>0.71474537037037045</v>
      </c>
      <c r="C348" s="30" t="s">
        <v>911</v>
      </c>
    </row>
    <row r="349" spans="1:3" x14ac:dyDescent="0.25">
      <c r="A349" s="40">
        <v>41176</v>
      </c>
      <c r="B349" s="126">
        <v>0.71682870370370377</v>
      </c>
      <c r="C349" s="30" t="s">
        <v>926</v>
      </c>
    </row>
    <row r="350" spans="1:3" x14ac:dyDescent="0.25">
      <c r="A350" s="40">
        <v>41176</v>
      </c>
      <c r="B350" s="126">
        <v>0.71682870370370377</v>
      </c>
      <c r="C350" s="30" t="s">
        <v>728</v>
      </c>
    </row>
    <row r="351" spans="1:3" x14ac:dyDescent="0.25">
      <c r="A351" s="40">
        <v>41176</v>
      </c>
      <c r="B351" s="126">
        <v>0.716863425925926</v>
      </c>
      <c r="C351" s="30" t="s">
        <v>729</v>
      </c>
    </row>
    <row r="352" spans="1:3" x14ac:dyDescent="0.25">
      <c r="A352" s="40">
        <v>41176</v>
      </c>
      <c r="B352" s="126">
        <v>0.7169212962962962</v>
      </c>
      <c r="C352" s="30" t="s">
        <v>730</v>
      </c>
    </row>
    <row r="353" spans="1:3" x14ac:dyDescent="0.25">
      <c r="A353" s="40">
        <v>41176</v>
      </c>
      <c r="B353" s="126">
        <v>0.71700231481481491</v>
      </c>
      <c r="C353" s="30" t="s">
        <v>860</v>
      </c>
    </row>
    <row r="354" spans="1:3" x14ac:dyDescent="0.25">
      <c r="A354" s="40">
        <v>41176</v>
      </c>
      <c r="B354" s="126">
        <v>0.71704861111111118</v>
      </c>
      <c r="C354" s="30" t="s">
        <v>726</v>
      </c>
    </row>
    <row r="355" spans="1:3" x14ac:dyDescent="0.25">
      <c r="A355" s="40">
        <v>41176</v>
      </c>
      <c r="B355" s="126">
        <v>0.71707175925925926</v>
      </c>
      <c r="C355" s="30" t="s">
        <v>845</v>
      </c>
    </row>
    <row r="356" spans="1:3" x14ac:dyDescent="0.25">
      <c r="A356" s="40">
        <v>41176</v>
      </c>
      <c r="B356" s="126">
        <v>0.7171412037037036</v>
      </c>
      <c r="C356" s="30" t="s">
        <v>737</v>
      </c>
    </row>
    <row r="357" spans="1:3" x14ac:dyDescent="0.25">
      <c r="A357" s="40">
        <v>41176</v>
      </c>
      <c r="B357" s="126">
        <v>0.71718749999999998</v>
      </c>
      <c r="C357" s="30" t="s">
        <v>738</v>
      </c>
    </row>
    <row r="358" spans="1:3" x14ac:dyDescent="0.25">
      <c r="A358" s="40">
        <v>41176</v>
      </c>
      <c r="B358" s="126">
        <v>0.71722222222222232</v>
      </c>
      <c r="C358" s="30" t="s">
        <v>739</v>
      </c>
    </row>
    <row r="359" spans="1:3" x14ac:dyDescent="0.25">
      <c r="A359" s="40">
        <v>41176</v>
      </c>
      <c r="B359" s="126">
        <v>0.73158564814814808</v>
      </c>
      <c r="C359" s="30" t="s">
        <v>928</v>
      </c>
    </row>
    <row r="360" spans="1:3" x14ac:dyDescent="0.25">
      <c r="A360" s="40">
        <v>41176</v>
      </c>
      <c r="B360" s="126">
        <v>0.73174768518518529</v>
      </c>
      <c r="C360" s="30" t="s">
        <v>929</v>
      </c>
    </row>
    <row r="361" spans="1:3" x14ac:dyDescent="0.25">
      <c r="A361" s="40">
        <v>41176</v>
      </c>
      <c r="B361" s="126">
        <v>0.73458333333333325</v>
      </c>
      <c r="C361" s="30" t="s">
        <v>930</v>
      </c>
    </row>
    <row r="362" spans="1:3" x14ac:dyDescent="0.25">
      <c r="A362" s="40">
        <v>41176</v>
      </c>
      <c r="B362" s="126">
        <v>0.73473379629629632</v>
      </c>
      <c r="C362" s="30" t="s">
        <v>929</v>
      </c>
    </row>
    <row r="363" spans="1:3" x14ac:dyDescent="0.25">
      <c r="A363" s="40">
        <v>41176</v>
      </c>
      <c r="B363" s="126">
        <v>0.73562500000000008</v>
      </c>
      <c r="C363" s="30" t="s">
        <v>931</v>
      </c>
    </row>
    <row r="364" spans="1:3" x14ac:dyDescent="0.25">
      <c r="A364" s="40">
        <v>41176</v>
      </c>
      <c r="B364" s="126">
        <v>0.73567129629629635</v>
      </c>
      <c r="C364" s="30" t="s">
        <v>726</v>
      </c>
    </row>
    <row r="365" spans="1:3" x14ac:dyDescent="0.25">
      <c r="A365" s="40">
        <v>41176</v>
      </c>
      <c r="B365" s="126">
        <v>0.7357407407407407</v>
      </c>
      <c r="C365" s="30" t="s">
        <v>845</v>
      </c>
    </row>
    <row r="366" spans="1:3" x14ac:dyDescent="0.25">
      <c r="A366" s="40">
        <v>41176</v>
      </c>
      <c r="B366" s="126">
        <v>0.73582175925925919</v>
      </c>
      <c r="C366" s="30" t="s">
        <v>914</v>
      </c>
    </row>
    <row r="367" spans="1:3" x14ac:dyDescent="0.25">
      <c r="A367" s="40">
        <v>41176</v>
      </c>
      <c r="B367" s="126">
        <v>0.73788194444444455</v>
      </c>
      <c r="C367" s="30" t="s">
        <v>932</v>
      </c>
    </row>
    <row r="368" spans="1:3" x14ac:dyDescent="0.25">
      <c r="A368" s="40">
        <v>41176</v>
      </c>
      <c r="B368" s="126">
        <v>0.73788194444444455</v>
      </c>
      <c r="C368" s="30" t="s">
        <v>863</v>
      </c>
    </row>
    <row r="369" spans="1:3" x14ac:dyDescent="0.25">
      <c r="A369" s="40">
        <v>41176</v>
      </c>
      <c r="B369" s="126">
        <v>0.73793981481481474</v>
      </c>
      <c r="C369" s="30" t="s">
        <v>825</v>
      </c>
    </row>
    <row r="370" spans="1:3" x14ac:dyDescent="0.25">
      <c r="A370" s="40">
        <v>41176</v>
      </c>
      <c r="B370" s="126">
        <v>0.7380902777777778</v>
      </c>
      <c r="C370" s="30" t="s">
        <v>827</v>
      </c>
    </row>
    <row r="371" spans="1:3" x14ac:dyDescent="0.25">
      <c r="A371" s="40">
        <v>41176</v>
      </c>
      <c r="B371" s="126">
        <v>0.73836805555555562</v>
      </c>
      <c r="C371" s="30" t="s">
        <v>828</v>
      </c>
    </row>
    <row r="372" spans="1:3" x14ac:dyDescent="0.25">
      <c r="A372" s="40">
        <v>41176</v>
      </c>
      <c r="B372" s="126">
        <v>0.73842592592592593</v>
      </c>
      <c r="C372" s="30" t="s">
        <v>863</v>
      </c>
    </row>
    <row r="373" spans="1:3" x14ac:dyDescent="0.25">
      <c r="A373" s="40">
        <v>41176</v>
      </c>
      <c r="B373" s="126">
        <v>0.73846064814814805</v>
      </c>
      <c r="C373" s="30" t="s">
        <v>845</v>
      </c>
    </row>
    <row r="374" spans="1:3" x14ac:dyDescent="0.25">
      <c r="A374" s="40">
        <v>41176</v>
      </c>
      <c r="B374" s="126">
        <v>0.73848379629629635</v>
      </c>
      <c r="C374" s="30" t="s">
        <v>929</v>
      </c>
    </row>
    <row r="375" spans="1:3" x14ac:dyDescent="0.25">
      <c r="A375" s="40">
        <v>41176</v>
      </c>
      <c r="B375" s="126">
        <v>0.76364583333333336</v>
      </c>
      <c r="C375" s="30" t="s">
        <v>930</v>
      </c>
    </row>
    <row r="376" spans="1:3" x14ac:dyDescent="0.25">
      <c r="A376" s="40">
        <v>41176</v>
      </c>
      <c r="B376" s="126">
        <v>0.76380787037037035</v>
      </c>
      <c r="C376" s="30" t="s">
        <v>929</v>
      </c>
    </row>
    <row r="377" spans="1:3" x14ac:dyDescent="0.25">
      <c r="A377" s="40">
        <v>41176</v>
      </c>
      <c r="B377" s="126">
        <v>0.76491898148148152</v>
      </c>
      <c r="C377" s="30" t="s">
        <v>931</v>
      </c>
    </row>
    <row r="378" spans="1:3" x14ac:dyDescent="0.25">
      <c r="A378" s="40">
        <v>41176</v>
      </c>
      <c r="B378" s="126">
        <v>0.76498842592592586</v>
      </c>
      <c r="C378" s="30" t="s">
        <v>726</v>
      </c>
    </row>
    <row r="379" spans="1:3" x14ac:dyDescent="0.25">
      <c r="A379" s="40">
        <v>41176</v>
      </c>
      <c r="B379" s="126">
        <v>0.76505787037037043</v>
      </c>
      <c r="C379" s="30" t="s">
        <v>845</v>
      </c>
    </row>
    <row r="380" spans="1:3" x14ac:dyDescent="0.25">
      <c r="A380" s="40">
        <v>41176</v>
      </c>
      <c r="B380" s="126">
        <v>0.76513888888888892</v>
      </c>
      <c r="C380" s="30" t="s">
        <v>914</v>
      </c>
    </row>
    <row r="381" spans="1:3" x14ac:dyDescent="0.25">
      <c r="A381" s="40">
        <v>41176</v>
      </c>
      <c r="B381" s="126">
        <v>0.76620370370370372</v>
      </c>
      <c r="C381" s="30" t="s">
        <v>933</v>
      </c>
    </row>
    <row r="382" spans="1:3" x14ac:dyDescent="0.25">
      <c r="A382" s="40">
        <v>41176</v>
      </c>
      <c r="B382" s="126">
        <v>0.76763888888888887</v>
      </c>
      <c r="C382" s="30" t="s">
        <v>852</v>
      </c>
    </row>
    <row r="383" spans="1:3" x14ac:dyDescent="0.25">
      <c r="A383" s="40">
        <v>41176</v>
      </c>
      <c r="B383" s="126">
        <v>0.76780092592592597</v>
      </c>
      <c r="C383" s="30" t="s">
        <v>914</v>
      </c>
    </row>
    <row r="384" spans="1:3" x14ac:dyDescent="0.25">
      <c r="A384" s="40">
        <v>41176</v>
      </c>
      <c r="B384" s="126">
        <v>0.76817129629629621</v>
      </c>
      <c r="C384" s="30" t="s">
        <v>914</v>
      </c>
    </row>
    <row r="385" spans="1:3" x14ac:dyDescent="0.25">
      <c r="A385" s="40">
        <v>41176</v>
      </c>
      <c r="B385" s="126">
        <v>0.76888888888888884</v>
      </c>
      <c r="C385" s="30" t="s">
        <v>934</v>
      </c>
    </row>
    <row r="386" spans="1:3" x14ac:dyDescent="0.25">
      <c r="A386" s="40">
        <v>41176</v>
      </c>
      <c r="B386" s="126">
        <v>0.76888888888888884</v>
      </c>
      <c r="C386" s="30" t="s">
        <v>863</v>
      </c>
    </row>
    <row r="387" spans="1:3" x14ac:dyDescent="0.25">
      <c r="A387" s="40">
        <v>41176</v>
      </c>
      <c r="B387" s="126">
        <v>0.76893518518518522</v>
      </c>
      <c r="C387" s="30" t="s">
        <v>825</v>
      </c>
    </row>
    <row r="388" spans="1:3" x14ac:dyDescent="0.25">
      <c r="A388" s="40">
        <v>41176</v>
      </c>
      <c r="B388" s="126">
        <v>0.76909722222222221</v>
      </c>
      <c r="C388" s="30" t="s">
        <v>825</v>
      </c>
    </row>
    <row r="389" spans="1:3" x14ac:dyDescent="0.25">
      <c r="A389" s="40">
        <v>41176</v>
      </c>
      <c r="B389" s="126">
        <v>0.76913194444444455</v>
      </c>
      <c r="C389" s="30" t="s">
        <v>913</v>
      </c>
    </row>
    <row r="390" spans="1:3" x14ac:dyDescent="0.25">
      <c r="A390" s="40">
        <v>41176</v>
      </c>
      <c r="B390" s="126">
        <v>0.77004629629629628</v>
      </c>
      <c r="C390" s="30" t="s">
        <v>917</v>
      </c>
    </row>
    <row r="391" spans="1:3" x14ac:dyDescent="0.25">
      <c r="A391" s="40">
        <v>41176</v>
      </c>
      <c r="B391" s="126">
        <v>0.77025462962962965</v>
      </c>
      <c r="C391" s="30" t="s">
        <v>913</v>
      </c>
    </row>
    <row r="392" spans="1:3" x14ac:dyDescent="0.25">
      <c r="A392" s="40">
        <v>41176</v>
      </c>
      <c r="B392" s="126">
        <v>0.77056712962962959</v>
      </c>
      <c r="C392" s="30" t="s">
        <v>852</v>
      </c>
    </row>
    <row r="393" spans="1:3" x14ac:dyDescent="0.25">
      <c r="A393" s="40">
        <v>41176</v>
      </c>
      <c r="B393" s="126">
        <v>0.77072916666666658</v>
      </c>
      <c r="C393" s="30" t="s">
        <v>914</v>
      </c>
    </row>
    <row r="394" spans="1:3" x14ac:dyDescent="0.25">
      <c r="A394" s="40">
        <v>41176</v>
      </c>
      <c r="B394" s="126">
        <v>0.78104166666666675</v>
      </c>
      <c r="C394" s="30" t="s">
        <v>935</v>
      </c>
    </row>
    <row r="395" spans="1:3" x14ac:dyDescent="0.25">
      <c r="A395" s="40">
        <v>41176</v>
      </c>
      <c r="B395" s="126">
        <v>0.78104166666666675</v>
      </c>
      <c r="C395" s="30" t="s">
        <v>863</v>
      </c>
    </row>
    <row r="396" spans="1:3" x14ac:dyDescent="0.25">
      <c r="A396" s="40">
        <v>41176</v>
      </c>
      <c r="B396" s="126">
        <v>0.78125</v>
      </c>
      <c r="C396" s="30" t="s">
        <v>825</v>
      </c>
    </row>
    <row r="397" spans="1:3" x14ac:dyDescent="0.25">
      <c r="A397" s="40">
        <v>41176</v>
      </c>
      <c r="B397" s="126">
        <v>0.78162037037037047</v>
      </c>
      <c r="C397" s="30" t="s">
        <v>825</v>
      </c>
    </row>
    <row r="398" spans="1:3" x14ac:dyDescent="0.25">
      <c r="A398" s="40">
        <v>41176</v>
      </c>
      <c r="B398" s="126">
        <v>0.78194444444444444</v>
      </c>
      <c r="C398" s="30" t="s">
        <v>913</v>
      </c>
    </row>
    <row r="399" spans="1:3" x14ac:dyDescent="0.25">
      <c r="A399" s="40">
        <v>41176</v>
      </c>
      <c r="B399" s="126">
        <v>0.79168981481481471</v>
      </c>
      <c r="C399" s="30" t="s">
        <v>929</v>
      </c>
    </row>
    <row r="400" spans="1:3" x14ac:dyDescent="0.25">
      <c r="A400" s="40">
        <v>41176</v>
      </c>
      <c r="B400" s="126">
        <v>0.79228009259259258</v>
      </c>
      <c r="C400" s="30" t="s">
        <v>845</v>
      </c>
    </row>
    <row r="401" spans="1:3" x14ac:dyDescent="0.25">
      <c r="A401" s="40">
        <v>41176</v>
      </c>
      <c r="B401" s="126">
        <v>0.7927777777777778</v>
      </c>
      <c r="C401" s="30" t="s">
        <v>929</v>
      </c>
    </row>
    <row r="402" spans="1:3" x14ac:dyDescent="0.25">
      <c r="A402" s="40">
        <v>41176</v>
      </c>
      <c r="B402" s="126">
        <v>0.79564814814814822</v>
      </c>
      <c r="C402" s="30" t="s">
        <v>845</v>
      </c>
    </row>
    <row r="403" spans="1:3" x14ac:dyDescent="0.25">
      <c r="A403" s="40">
        <v>41176</v>
      </c>
      <c r="B403" s="126">
        <v>0.7965740740740741</v>
      </c>
      <c r="C403" s="30" t="s">
        <v>929</v>
      </c>
    </row>
    <row r="404" spans="1:3" x14ac:dyDescent="0.25">
      <c r="A404" s="40">
        <v>41176</v>
      </c>
      <c r="B404" s="126">
        <v>0.80071759259259256</v>
      </c>
      <c r="C404" s="30" t="s">
        <v>931</v>
      </c>
    </row>
    <row r="405" spans="1:3" x14ac:dyDescent="0.25">
      <c r="A405" s="40">
        <v>41176</v>
      </c>
      <c r="B405" s="126">
        <v>0.81726851851851856</v>
      </c>
      <c r="C405" s="30" t="s">
        <v>931</v>
      </c>
    </row>
    <row r="406" spans="1:3" x14ac:dyDescent="0.25">
      <c r="A406" s="40">
        <v>41176</v>
      </c>
      <c r="B406" s="126">
        <v>0.81730324074074068</v>
      </c>
      <c r="C406" s="30" t="s">
        <v>726</v>
      </c>
    </row>
    <row r="407" spans="1:3" x14ac:dyDescent="0.25">
      <c r="A407" s="40">
        <v>41176</v>
      </c>
      <c r="B407" s="126">
        <v>0.81803240740740746</v>
      </c>
      <c r="C407" s="30" t="s">
        <v>845</v>
      </c>
    </row>
    <row r="408" spans="1:3" x14ac:dyDescent="0.25">
      <c r="A408" s="40">
        <v>41176</v>
      </c>
      <c r="B408" s="126">
        <v>0.820775462962963</v>
      </c>
      <c r="C408" s="30" t="s">
        <v>737</v>
      </c>
    </row>
    <row r="409" spans="1:3" x14ac:dyDescent="0.25">
      <c r="A409" s="40">
        <v>41176</v>
      </c>
      <c r="B409" s="126">
        <v>0.82171296296296292</v>
      </c>
      <c r="C409" s="30" t="s">
        <v>738</v>
      </c>
    </row>
    <row r="410" spans="1:3" x14ac:dyDescent="0.25">
      <c r="A410" s="40">
        <v>41176</v>
      </c>
      <c r="B410" s="126">
        <v>0.82201388888888882</v>
      </c>
      <c r="C410" s="30" t="s">
        <v>739</v>
      </c>
    </row>
    <row r="411" spans="1:3" x14ac:dyDescent="0.25">
      <c r="A411" s="40">
        <v>41176</v>
      </c>
      <c r="B411" s="126">
        <v>0.82309027777777777</v>
      </c>
      <c r="C411" s="30" t="s">
        <v>825</v>
      </c>
    </row>
    <row r="412" spans="1:3" x14ac:dyDescent="0.25">
      <c r="A412" s="40">
        <v>41176</v>
      </c>
      <c r="B412" s="126">
        <v>0.82315972222222233</v>
      </c>
      <c r="C412" s="30" t="s">
        <v>913</v>
      </c>
    </row>
    <row r="413" spans="1:3" x14ac:dyDescent="0.25">
      <c r="A413" s="40">
        <v>41176</v>
      </c>
      <c r="B413" s="126">
        <v>0.82489583333333327</v>
      </c>
      <c r="C413" s="30" t="s">
        <v>917</v>
      </c>
    </row>
    <row r="414" spans="1:3" x14ac:dyDescent="0.25">
      <c r="A414" s="40">
        <v>41176</v>
      </c>
      <c r="B414" s="126">
        <v>0.82508101851851856</v>
      </c>
      <c r="C414" s="30" t="s">
        <v>913</v>
      </c>
    </row>
    <row r="415" spans="1:3" x14ac:dyDescent="0.25">
      <c r="A415" s="40">
        <v>41176</v>
      </c>
      <c r="B415" s="126">
        <v>0.82738425925925929</v>
      </c>
      <c r="C415" s="30" t="s">
        <v>852</v>
      </c>
    </row>
    <row r="416" spans="1:3" x14ac:dyDescent="0.25">
      <c r="A416" s="40">
        <v>41176</v>
      </c>
      <c r="B416" s="126">
        <v>0.83766203703703701</v>
      </c>
      <c r="C416" s="30" t="s">
        <v>892</v>
      </c>
    </row>
    <row r="417" spans="1:3" x14ac:dyDescent="0.25">
      <c r="A417" s="40">
        <v>41176</v>
      </c>
      <c r="B417" s="126">
        <v>0.83771990740740743</v>
      </c>
      <c r="C417" s="30" t="s">
        <v>909</v>
      </c>
    </row>
    <row r="418" spans="1:3" x14ac:dyDescent="0.25">
      <c r="A418" s="40">
        <v>41176</v>
      </c>
      <c r="B418" s="126">
        <v>0.83773148148148147</v>
      </c>
      <c r="C418" s="30" t="s">
        <v>910</v>
      </c>
    </row>
    <row r="419" spans="1:3" x14ac:dyDescent="0.25">
      <c r="A419" s="40">
        <v>41176</v>
      </c>
      <c r="B419" s="126">
        <v>0.83773148148148147</v>
      </c>
      <c r="C419" s="30" t="s">
        <v>936</v>
      </c>
    </row>
    <row r="420" spans="1:3" x14ac:dyDescent="0.25">
      <c r="A420" s="40">
        <v>41176</v>
      </c>
      <c r="B420" s="126">
        <v>0.83773148148148147</v>
      </c>
      <c r="C420" s="30" t="s">
        <v>936</v>
      </c>
    </row>
    <row r="421" spans="1:3" x14ac:dyDescent="0.25">
      <c r="A421" s="40">
        <v>41176</v>
      </c>
      <c r="B421" s="126">
        <v>0.83773148148148147</v>
      </c>
      <c r="C421" s="30" t="s">
        <v>937</v>
      </c>
    </row>
    <row r="422" spans="1:3" x14ac:dyDescent="0.25">
      <c r="A422" s="40">
        <v>41176</v>
      </c>
      <c r="B422" s="126">
        <v>0.83773148148148147</v>
      </c>
      <c r="C422" s="30" t="s">
        <v>937</v>
      </c>
    </row>
    <row r="423" spans="1:3" x14ac:dyDescent="0.25">
      <c r="A423" s="40">
        <v>41176</v>
      </c>
      <c r="B423" s="126">
        <v>0.83773148148148147</v>
      </c>
      <c r="C423" s="30" t="s">
        <v>911</v>
      </c>
    </row>
    <row r="424" spans="1:3" x14ac:dyDescent="0.25">
      <c r="A424" s="40">
        <v>41176</v>
      </c>
      <c r="B424" s="126">
        <v>0.84613425925925922</v>
      </c>
      <c r="C424" s="30" t="s">
        <v>938</v>
      </c>
    </row>
    <row r="425" spans="1:3" x14ac:dyDescent="0.25">
      <c r="A425" s="40">
        <v>41176</v>
      </c>
      <c r="B425" s="126">
        <v>0.84613425925925922</v>
      </c>
      <c r="C425" s="30" t="s">
        <v>728</v>
      </c>
    </row>
    <row r="426" spans="1:3" x14ac:dyDescent="0.25">
      <c r="A426" s="40">
        <v>41176</v>
      </c>
      <c r="B426" s="126">
        <v>0.8461574074074073</v>
      </c>
      <c r="C426" s="30" t="s">
        <v>729</v>
      </c>
    </row>
    <row r="427" spans="1:3" x14ac:dyDescent="0.25">
      <c r="A427" s="40">
        <v>41176</v>
      </c>
      <c r="B427" s="126">
        <v>0.84638888888888886</v>
      </c>
      <c r="C427" s="30" t="s">
        <v>730</v>
      </c>
    </row>
    <row r="428" spans="1:3" x14ac:dyDescent="0.25">
      <c r="A428" s="40">
        <v>41176</v>
      </c>
      <c r="B428" s="126">
        <v>0.84652777777777777</v>
      </c>
      <c r="C428" s="30" t="s">
        <v>860</v>
      </c>
    </row>
    <row r="429" spans="1:3" x14ac:dyDescent="0.25">
      <c r="A429" s="40">
        <v>41176</v>
      </c>
      <c r="B429" s="126">
        <v>0.84660879629629626</v>
      </c>
      <c r="C429" s="30" t="s">
        <v>726</v>
      </c>
    </row>
    <row r="430" spans="1:3" x14ac:dyDescent="0.25">
      <c r="A430" s="40">
        <v>41176</v>
      </c>
      <c r="B430" s="126">
        <v>0.84665509259259253</v>
      </c>
      <c r="C430" s="30" t="s">
        <v>845</v>
      </c>
    </row>
    <row r="431" spans="1:3" x14ac:dyDescent="0.25">
      <c r="A431" s="40">
        <v>41176</v>
      </c>
      <c r="B431" s="126">
        <v>0.84677083333333336</v>
      </c>
      <c r="C431" s="30" t="s">
        <v>737</v>
      </c>
    </row>
    <row r="432" spans="1:3" x14ac:dyDescent="0.25">
      <c r="A432" s="40">
        <v>41176</v>
      </c>
      <c r="B432" s="126">
        <v>0.84682870370370367</v>
      </c>
      <c r="C432" s="30" t="s">
        <v>738</v>
      </c>
    </row>
    <row r="433" spans="1:3" x14ac:dyDescent="0.25">
      <c r="A433" s="40">
        <v>41176</v>
      </c>
      <c r="B433" s="126">
        <v>0.84692129629629631</v>
      </c>
      <c r="C433" s="30" t="s">
        <v>739</v>
      </c>
    </row>
    <row r="434" spans="1:3" x14ac:dyDescent="0.25">
      <c r="A434" s="40">
        <v>41176</v>
      </c>
      <c r="B434" s="126">
        <v>0.94115740740740739</v>
      </c>
      <c r="C434" s="30" t="s">
        <v>946</v>
      </c>
    </row>
    <row r="435" spans="1:3" x14ac:dyDescent="0.25">
      <c r="A435" s="40">
        <v>41176</v>
      </c>
      <c r="B435" s="126">
        <v>0.97537037037037033</v>
      </c>
      <c r="C435" s="30" t="s">
        <v>947</v>
      </c>
    </row>
    <row r="436" spans="1:3" x14ac:dyDescent="0.25">
      <c r="A436" s="40">
        <v>41176</v>
      </c>
      <c r="B436" s="126">
        <v>0.98370370370370364</v>
      </c>
      <c r="C436" s="30" t="s">
        <v>947</v>
      </c>
    </row>
    <row r="437" spans="1:3" x14ac:dyDescent="0.25">
      <c r="A437" s="40">
        <v>41176</v>
      </c>
      <c r="B437" s="126">
        <v>0.99133101851851846</v>
      </c>
      <c r="C437" s="30" t="s">
        <v>948</v>
      </c>
    </row>
    <row r="438" spans="1:3" x14ac:dyDescent="0.25">
      <c r="A438" s="40">
        <v>41176</v>
      </c>
      <c r="B438" s="126">
        <v>0.99174768518518519</v>
      </c>
      <c r="C438" s="30" t="s">
        <v>949</v>
      </c>
    </row>
    <row r="439" spans="1:3" x14ac:dyDescent="0.25">
      <c r="A439" s="40">
        <v>41176</v>
      </c>
      <c r="B439" s="126">
        <v>0.99306712962962962</v>
      </c>
      <c r="C439" s="30" t="s">
        <v>947</v>
      </c>
    </row>
    <row r="440" spans="1:3" x14ac:dyDescent="0.25">
      <c r="A440" s="40">
        <v>41177</v>
      </c>
      <c r="B440" s="126">
        <v>5.8680555555555543E-3</v>
      </c>
      <c r="C440" s="30" t="s">
        <v>947</v>
      </c>
    </row>
    <row r="441" spans="1:3" x14ac:dyDescent="0.25">
      <c r="A441" s="40">
        <v>41177</v>
      </c>
      <c r="B441" s="126">
        <v>9.8958333333333329E-3</v>
      </c>
      <c r="C441" s="30" t="s">
        <v>952</v>
      </c>
    </row>
    <row r="442" spans="1:3" x14ac:dyDescent="0.25">
      <c r="A442" s="40">
        <v>41177</v>
      </c>
      <c r="B442" s="126">
        <v>1.6666666666666666E-2</v>
      </c>
      <c r="C442" s="30" t="s">
        <v>953</v>
      </c>
    </row>
    <row r="443" spans="1:3" x14ac:dyDescent="0.25">
      <c r="A443" s="40">
        <v>41177</v>
      </c>
      <c r="B443" s="126">
        <v>1.667824074074074E-2</v>
      </c>
      <c r="C443" s="30" t="s">
        <v>954</v>
      </c>
    </row>
    <row r="444" spans="1:3" x14ac:dyDescent="0.25">
      <c r="A444" s="40">
        <v>41177</v>
      </c>
      <c r="B444" s="126">
        <v>1.6689814814814817E-2</v>
      </c>
      <c r="C444" s="30" t="s">
        <v>955</v>
      </c>
    </row>
    <row r="445" spans="1:3" x14ac:dyDescent="0.25">
      <c r="A445" s="40">
        <v>41177</v>
      </c>
      <c r="B445" s="126">
        <v>1.6689814814814817E-2</v>
      </c>
      <c r="C445" s="30" t="s">
        <v>956</v>
      </c>
    </row>
    <row r="446" spans="1:3" x14ac:dyDescent="0.25">
      <c r="A446" s="40">
        <v>41177</v>
      </c>
      <c r="B446" s="126">
        <v>1.6689814814814817E-2</v>
      </c>
      <c r="C446" s="30" t="s">
        <v>957</v>
      </c>
    </row>
    <row r="447" spans="1:3" x14ac:dyDescent="0.25">
      <c r="A447" s="40">
        <v>41177</v>
      </c>
      <c r="B447" s="126">
        <v>1.7337962962962961E-2</v>
      </c>
      <c r="C447" s="30" t="s">
        <v>958</v>
      </c>
    </row>
    <row r="448" spans="1:3" x14ac:dyDescent="0.25">
      <c r="A448" s="40">
        <v>41177</v>
      </c>
      <c r="B448" s="126">
        <v>1.7337962962962961E-2</v>
      </c>
      <c r="C448" s="30" t="s">
        <v>959</v>
      </c>
    </row>
    <row r="449" spans="1:3" x14ac:dyDescent="0.25">
      <c r="A449" s="40">
        <v>41177</v>
      </c>
      <c r="B449" s="126">
        <v>1.7337962962962961E-2</v>
      </c>
      <c r="C449" s="30" t="s">
        <v>960</v>
      </c>
    </row>
    <row r="450" spans="1:3" x14ac:dyDescent="0.25">
      <c r="A450" s="40">
        <v>41177</v>
      </c>
      <c r="B450" s="126">
        <v>1.7337962962962961E-2</v>
      </c>
      <c r="C450" s="30" t="s">
        <v>961</v>
      </c>
    </row>
    <row r="451" spans="1:3" x14ac:dyDescent="0.25">
      <c r="A451" s="40">
        <v>41177</v>
      </c>
      <c r="B451" s="126">
        <v>1.7337962962962961E-2</v>
      </c>
      <c r="C451" s="30" t="s">
        <v>962</v>
      </c>
    </row>
    <row r="452" spans="1:3" x14ac:dyDescent="0.25">
      <c r="A452" s="40">
        <v>41177</v>
      </c>
      <c r="B452" s="126">
        <v>1.7337962962962961E-2</v>
      </c>
      <c r="C452" s="30" t="s">
        <v>963</v>
      </c>
    </row>
    <row r="453" spans="1:3" x14ac:dyDescent="0.25">
      <c r="A453" s="40">
        <v>41177</v>
      </c>
      <c r="B453" s="126">
        <v>1.7337962962962961E-2</v>
      </c>
      <c r="C453" s="30" t="s">
        <v>964</v>
      </c>
    </row>
    <row r="454" spans="1:3" x14ac:dyDescent="0.25">
      <c r="A454" s="40">
        <v>41177</v>
      </c>
      <c r="B454" s="126">
        <v>1.7337962962962961E-2</v>
      </c>
      <c r="C454" s="30" t="s">
        <v>965</v>
      </c>
    </row>
    <row r="455" spans="1:3" x14ac:dyDescent="0.25">
      <c r="A455" s="40">
        <v>41177</v>
      </c>
      <c r="B455" s="126">
        <v>1.7337962962962961E-2</v>
      </c>
      <c r="C455" s="30" t="s">
        <v>966</v>
      </c>
    </row>
    <row r="456" spans="1:3" x14ac:dyDescent="0.25">
      <c r="A456" s="40">
        <v>41177</v>
      </c>
      <c r="B456" s="126">
        <v>1.7337962962962961E-2</v>
      </c>
      <c r="C456" s="30" t="s">
        <v>967</v>
      </c>
    </row>
    <row r="457" spans="1:3" x14ac:dyDescent="0.25">
      <c r="A457" s="40">
        <v>41177</v>
      </c>
      <c r="B457" s="126">
        <v>1.7337962962962961E-2</v>
      </c>
      <c r="C457" s="30" t="s">
        <v>968</v>
      </c>
    </row>
    <row r="458" spans="1:3" x14ac:dyDescent="0.25">
      <c r="A458" s="40">
        <v>41177</v>
      </c>
      <c r="B458" s="126">
        <v>1.7337962962962961E-2</v>
      </c>
      <c r="C458" s="30" t="s">
        <v>969</v>
      </c>
    </row>
    <row r="459" spans="1:3" x14ac:dyDescent="0.25">
      <c r="A459" s="40">
        <v>41177</v>
      </c>
      <c r="B459" s="126">
        <v>1.7337962962962961E-2</v>
      </c>
      <c r="C459" s="30" t="s">
        <v>970</v>
      </c>
    </row>
    <row r="460" spans="1:3" x14ac:dyDescent="0.25">
      <c r="A460" s="40">
        <v>41177</v>
      </c>
      <c r="B460" s="126">
        <v>1.7337962962962961E-2</v>
      </c>
      <c r="C460" s="30" t="s">
        <v>971</v>
      </c>
    </row>
    <row r="461" spans="1:3" x14ac:dyDescent="0.25">
      <c r="A461" s="40">
        <v>41177</v>
      </c>
      <c r="B461" s="126">
        <v>1.7337962962962961E-2</v>
      </c>
      <c r="C461" s="30" t="s">
        <v>972</v>
      </c>
    </row>
    <row r="462" spans="1:3" x14ac:dyDescent="0.25">
      <c r="A462" s="40">
        <v>41177</v>
      </c>
      <c r="B462" s="126">
        <v>1.7337962962962961E-2</v>
      </c>
      <c r="C462" s="30" t="s">
        <v>973</v>
      </c>
    </row>
    <row r="463" spans="1:3" x14ac:dyDescent="0.25">
      <c r="A463" s="40">
        <v>41177</v>
      </c>
      <c r="B463" s="126">
        <v>1.7337962962962961E-2</v>
      </c>
      <c r="C463" s="30" t="s">
        <v>974</v>
      </c>
    </row>
    <row r="464" spans="1:3" x14ac:dyDescent="0.25">
      <c r="A464" s="40">
        <v>41177</v>
      </c>
      <c r="B464" s="126">
        <v>1.7337962962962961E-2</v>
      </c>
      <c r="C464" s="30" t="s">
        <v>975</v>
      </c>
    </row>
    <row r="465" spans="1:3" x14ac:dyDescent="0.25">
      <c r="A465" s="40">
        <v>41177</v>
      </c>
      <c r="B465" s="126">
        <v>1.7337962962962961E-2</v>
      </c>
      <c r="C465" s="30" t="s">
        <v>976</v>
      </c>
    </row>
    <row r="466" spans="1:3" x14ac:dyDescent="0.25">
      <c r="A466" s="40">
        <v>41177</v>
      </c>
      <c r="B466" s="126">
        <v>1.7337962962962961E-2</v>
      </c>
      <c r="C466" s="30" t="s">
        <v>977</v>
      </c>
    </row>
    <row r="467" spans="1:3" x14ac:dyDescent="0.25">
      <c r="A467" s="40">
        <v>41177</v>
      </c>
      <c r="B467" s="126">
        <v>1.7337962962962961E-2</v>
      </c>
      <c r="C467" s="30" t="s">
        <v>978</v>
      </c>
    </row>
    <row r="468" spans="1:3" x14ac:dyDescent="0.25">
      <c r="A468" s="40">
        <v>41177</v>
      </c>
      <c r="B468" s="126">
        <v>1.7337962962962961E-2</v>
      </c>
      <c r="C468" s="30" t="s">
        <v>979</v>
      </c>
    </row>
    <row r="469" spans="1:3" x14ac:dyDescent="0.25">
      <c r="A469" s="40">
        <v>41177</v>
      </c>
      <c r="B469" s="126">
        <v>1.7337962962962961E-2</v>
      </c>
      <c r="C469" s="30" t="s">
        <v>975</v>
      </c>
    </row>
    <row r="470" spans="1:3" x14ac:dyDescent="0.25">
      <c r="A470" s="40">
        <v>41177</v>
      </c>
      <c r="B470" s="126">
        <v>1.7337962962962961E-2</v>
      </c>
      <c r="C470" s="30" t="s">
        <v>980</v>
      </c>
    </row>
    <row r="471" spans="1:3" x14ac:dyDescent="0.25">
      <c r="A471" s="40">
        <v>41177</v>
      </c>
      <c r="B471" s="126">
        <v>1.7337962962962961E-2</v>
      </c>
      <c r="C471" s="30" t="s">
        <v>981</v>
      </c>
    </row>
    <row r="472" spans="1:3" x14ac:dyDescent="0.25">
      <c r="A472" s="40">
        <v>41177</v>
      </c>
      <c r="B472" s="126">
        <v>1.7349537037037038E-2</v>
      </c>
      <c r="C472" s="30" t="s">
        <v>982</v>
      </c>
    </row>
    <row r="473" spans="1:3" x14ac:dyDescent="0.25">
      <c r="A473" s="40">
        <v>41177</v>
      </c>
      <c r="B473" s="126">
        <v>1.7349537037037038E-2</v>
      </c>
      <c r="C473" s="30" t="s">
        <v>983</v>
      </c>
    </row>
    <row r="474" spans="1:3" x14ac:dyDescent="0.25">
      <c r="A474" s="40">
        <v>41177</v>
      </c>
      <c r="B474" s="126">
        <v>1.7349537037037038E-2</v>
      </c>
      <c r="C474" s="30" t="s">
        <v>984</v>
      </c>
    </row>
    <row r="475" spans="1:3" x14ac:dyDescent="0.25">
      <c r="A475" s="40">
        <v>41177</v>
      </c>
      <c r="B475" s="126">
        <v>1.7349537037037038E-2</v>
      </c>
      <c r="C475" s="30" t="s">
        <v>985</v>
      </c>
    </row>
    <row r="476" spans="1:3" x14ac:dyDescent="0.25">
      <c r="A476" s="40">
        <v>41177</v>
      </c>
      <c r="B476" s="126">
        <v>1.7349537037037038E-2</v>
      </c>
      <c r="C476" s="30" t="s">
        <v>986</v>
      </c>
    </row>
    <row r="477" spans="1:3" x14ac:dyDescent="0.25">
      <c r="A477" s="40">
        <v>41177</v>
      </c>
      <c r="B477" s="126">
        <v>1.7349537037037038E-2</v>
      </c>
      <c r="C477" s="30" t="s">
        <v>987</v>
      </c>
    </row>
    <row r="478" spans="1:3" x14ac:dyDescent="0.25">
      <c r="A478" s="40">
        <v>41177</v>
      </c>
      <c r="B478" s="126">
        <v>1.7349537037037038E-2</v>
      </c>
      <c r="C478" s="30" t="s">
        <v>988</v>
      </c>
    </row>
    <row r="479" spans="1:3" x14ac:dyDescent="0.25">
      <c r="A479" s="40">
        <v>41177</v>
      </c>
      <c r="B479" s="126">
        <v>1.7349537037037038E-2</v>
      </c>
      <c r="C479" s="30" t="s">
        <v>988</v>
      </c>
    </row>
    <row r="480" spans="1:3" x14ac:dyDescent="0.25">
      <c r="A480" s="40">
        <v>41177</v>
      </c>
      <c r="B480" s="126">
        <v>1.7349537037037038E-2</v>
      </c>
      <c r="C480" s="30" t="s">
        <v>973</v>
      </c>
    </row>
    <row r="481" spans="1:3" x14ac:dyDescent="0.25">
      <c r="A481" s="40">
        <v>41177</v>
      </c>
      <c r="B481" s="126">
        <v>1.7349537037037038E-2</v>
      </c>
      <c r="C481" s="30" t="s">
        <v>989</v>
      </c>
    </row>
    <row r="482" spans="1:3" x14ac:dyDescent="0.25">
      <c r="A482" s="40">
        <v>41177</v>
      </c>
      <c r="B482" s="126">
        <v>1.7349537037037038E-2</v>
      </c>
      <c r="C482" s="30" t="s">
        <v>990</v>
      </c>
    </row>
    <row r="483" spans="1:3" x14ac:dyDescent="0.25">
      <c r="A483" s="40">
        <v>41177</v>
      </c>
      <c r="B483" s="126">
        <v>1.7349537037037038E-2</v>
      </c>
      <c r="C483" s="30" t="s">
        <v>991</v>
      </c>
    </row>
    <row r="484" spans="1:3" x14ac:dyDescent="0.25">
      <c r="A484" s="40">
        <v>41177</v>
      </c>
      <c r="B484" s="126">
        <v>1.7349537037037038E-2</v>
      </c>
      <c r="C484" s="30" t="s">
        <v>992</v>
      </c>
    </row>
    <row r="485" spans="1:3" x14ac:dyDescent="0.25">
      <c r="A485" s="40">
        <v>41177</v>
      </c>
      <c r="B485" s="126">
        <v>1.7349537037037038E-2</v>
      </c>
      <c r="C485" s="30" t="s">
        <v>993</v>
      </c>
    </row>
    <row r="486" spans="1:3" x14ac:dyDescent="0.25">
      <c r="A486" s="40">
        <v>41177</v>
      </c>
      <c r="B486" s="126">
        <v>1.7349537037037038E-2</v>
      </c>
      <c r="C486" s="30" t="s">
        <v>989</v>
      </c>
    </row>
    <row r="487" spans="1:3" x14ac:dyDescent="0.25">
      <c r="A487" s="40">
        <v>41177</v>
      </c>
      <c r="B487" s="126">
        <v>1.7349537037037038E-2</v>
      </c>
      <c r="C487" s="30" t="s">
        <v>994</v>
      </c>
    </row>
    <row r="488" spans="1:3" x14ac:dyDescent="0.25">
      <c r="A488" s="40">
        <v>41177</v>
      </c>
      <c r="B488" s="126">
        <v>1.7349537037037038E-2</v>
      </c>
      <c r="C488" s="30" t="s">
        <v>995</v>
      </c>
    </row>
    <row r="489" spans="1:3" x14ac:dyDescent="0.25">
      <c r="A489" s="40">
        <v>41177</v>
      </c>
      <c r="B489" s="126">
        <v>1.7349537037037038E-2</v>
      </c>
      <c r="C489" s="30" t="s">
        <v>985</v>
      </c>
    </row>
    <row r="490" spans="1:3" x14ac:dyDescent="0.25">
      <c r="A490" s="40">
        <v>41177</v>
      </c>
      <c r="B490" s="126">
        <v>1.7349537037037038E-2</v>
      </c>
      <c r="C490" s="30" t="s">
        <v>996</v>
      </c>
    </row>
    <row r="491" spans="1:3" x14ac:dyDescent="0.25">
      <c r="A491" s="40">
        <v>41177</v>
      </c>
      <c r="B491" s="126">
        <v>1.7349537037037038E-2</v>
      </c>
      <c r="C491" s="30" t="s">
        <v>997</v>
      </c>
    </row>
    <row r="492" spans="1:3" x14ac:dyDescent="0.25">
      <c r="A492" s="40">
        <v>41177</v>
      </c>
      <c r="B492" s="126">
        <v>1.7349537037037038E-2</v>
      </c>
      <c r="C492" s="30" t="s">
        <v>998</v>
      </c>
    </row>
    <row r="493" spans="1:3" x14ac:dyDescent="0.25">
      <c r="A493" s="40">
        <v>41177</v>
      </c>
      <c r="B493" s="126">
        <v>1.7349537037037038E-2</v>
      </c>
      <c r="C493" s="30" t="s">
        <v>999</v>
      </c>
    </row>
    <row r="494" spans="1:3" x14ac:dyDescent="0.25">
      <c r="A494" s="40">
        <v>41177</v>
      </c>
      <c r="B494" s="126">
        <v>1.7349537037037038E-2</v>
      </c>
      <c r="C494" s="30" t="s">
        <v>1000</v>
      </c>
    </row>
    <row r="495" spans="1:3" x14ac:dyDescent="0.25">
      <c r="A495" s="40">
        <v>41177</v>
      </c>
      <c r="B495" s="126">
        <v>1.7349537037037038E-2</v>
      </c>
      <c r="C495" s="30" t="s">
        <v>1001</v>
      </c>
    </row>
    <row r="496" spans="1:3" x14ac:dyDescent="0.25">
      <c r="A496" s="40">
        <v>41177</v>
      </c>
      <c r="B496" s="126">
        <v>1.7349537037037038E-2</v>
      </c>
      <c r="C496" s="30" t="s">
        <v>1002</v>
      </c>
    </row>
    <row r="497" spans="1:3" x14ac:dyDescent="0.25">
      <c r="A497" s="40">
        <v>41177</v>
      </c>
      <c r="B497" s="126">
        <v>1.7349537037037038E-2</v>
      </c>
      <c r="C497" s="30" t="s">
        <v>1003</v>
      </c>
    </row>
    <row r="498" spans="1:3" x14ac:dyDescent="0.25">
      <c r="A498" s="40">
        <v>41177</v>
      </c>
      <c r="B498" s="126">
        <v>1.7349537037037038E-2</v>
      </c>
      <c r="C498" s="30" t="s">
        <v>996</v>
      </c>
    </row>
    <row r="499" spans="1:3" x14ac:dyDescent="0.25">
      <c r="A499" s="40">
        <v>41177</v>
      </c>
      <c r="B499" s="126">
        <v>1.7349537037037038E-2</v>
      </c>
      <c r="C499" s="30" t="s">
        <v>1004</v>
      </c>
    </row>
    <row r="500" spans="1:3" x14ac:dyDescent="0.25">
      <c r="A500" s="40">
        <v>41177</v>
      </c>
      <c r="B500" s="126">
        <v>1.7349537037037038E-2</v>
      </c>
      <c r="C500" s="30" t="s">
        <v>1005</v>
      </c>
    </row>
    <row r="501" spans="1:3" x14ac:dyDescent="0.25">
      <c r="A501" s="40">
        <v>41177</v>
      </c>
      <c r="B501" s="126">
        <v>1.7349537037037038E-2</v>
      </c>
      <c r="C501" s="30" t="s">
        <v>1006</v>
      </c>
    </row>
    <row r="502" spans="1:3" x14ac:dyDescent="0.25">
      <c r="A502" s="40">
        <v>41177</v>
      </c>
      <c r="B502" s="126">
        <v>1.7349537037037038E-2</v>
      </c>
      <c r="C502" s="30" t="s">
        <v>1007</v>
      </c>
    </row>
    <row r="503" spans="1:3" x14ac:dyDescent="0.25">
      <c r="A503" s="40">
        <v>41177</v>
      </c>
      <c r="B503" s="126">
        <v>1.7349537037037038E-2</v>
      </c>
      <c r="C503" s="30" t="s">
        <v>1003</v>
      </c>
    </row>
    <row r="504" spans="1:3" x14ac:dyDescent="0.25">
      <c r="A504" s="40">
        <v>41177</v>
      </c>
      <c r="B504" s="126">
        <v>1.7349537037037038E-2</v>
      </c>
      <c r="C504" s="30" t="s">
        <v>1008</v>
      </c>
    </row>
    <row r="505" spans="1:3" x14ac:dyDescent="0.25">
      <c r="A505" s="40">
        <v>41177</v>
      </c>
      <c r="B505" s="126">
        <v>1.7349537037037038E-2</v>
      </c>
      <c r="C505" s="30" t="s">
        <v>1008</v>
      </c>
    </row>
    <row r="506" spans="1:3" x14ac:dyDescent="0.25">
      <c r="A506" s="40">
        <v>41177</v>
      </c>
      <c r="B506" s="126">
        <v>1.7349537037037038E-2</v>
      </c>
      <c r="C506" s="30" t="s">
        <v>1009</v>
      </c>
    </row>
    <row r="507" spans="1:3" x14ac:dyDescent="0.25">
      <c r="A507" s="40">
        <v>41177</v>
      </c>
      <c r="B507" s="126">
        <v>1.7349537037037038E-2</v>
      </c>
      <c r="C507" s="30" t="s">
        <v>996</v>
      </c>
    </row>
    <row r="508" spans="1:3" x14ac:dyDescent="0.25">
      <c r="A508" s="40">
        <v>41177</v>
      </c>
      <c r="B508" s="126">
        <v>1.7349537037037038E-2</v>
      </c>
      <c r="C508" s="30" t="s">
        <v>1010</v>
      </c>
    </row>
    <row r="509" spans="1:3" x14ac:dyDescent="0.25">
      <c r="A509" s="40">
        <v>41177</v>
      </c>
      <c r="B509" s="126">
        <v>1.7349537037037038E-2</v>
      </c>
      <c r="C509" s="30" t="s">
        <v>973</v>
      </c>
    </row>
    <row r="510" spans="1:3" x14ac:dyDescent="0.25">
      <c r="A510" s="40">
        <v>41177</v>
      </c>
      <c r="B510" s="126">
        <v>1.7349537037037038E-2</v>
      </c>
      <c r="C510" s="30" t="s">
        <v>1011</v>
      </c>
    </row>
    <row r="511" spans="1:3" x14ac:dyDescent="0.25">
      <c r="A511" s="40">
        <v>41177</v>
      </c>
      <c r="B511" s="126">
        <v>1.7349537037037038E-2</v>
      </c>
      <c r="C511" s="30" t="s">
        <v>1012</v>
      </c>
    </row>
    <row r="512" spans="1:3" x14ac:dyDescent="0.25">
      <c r="A512" s="40">
        <v>41177</v>
      </c>
      <c r="B512" s="126">
        <v>1.7349537037037038E-2</v>
      </c>
      <c r="C512" s="30" t="s">
        <v>1013</v>
      </c>
    </row>
    <row r="513" spans="1:3" x14ac:dyDescent="0.25">
      <c r="A513" s="40">
        <v>41177</v>
      </c>
      <c r="B513" s="126">
        <v>1.7349537037037038E-2</v>
      </c>
      <c r="C513" s="30" t="s">
        <v>996</v>
      </c>
    </row>
    <row r="514" spans="1:3" x14ac:dyDescent="0.25">
      <c r="A514" s="40">
        <v>41177</v>
      </c>
      <c r="B514" s="126">
        <v>1.7349537037037038E-2</v>
      </c>
      <c r="C514" s="30" t="s">
        <v>1014</v>
      </c>
    </row>
    <row r="515" spans="1:3" x14ac:dyDescent="0.25">
      <c r="A515" s="40">
        <v>41177</v>
      </c>
      <c r="B515" s="126">
        <v>1.7349537037037038E-2</v>
      </c>
      <c r="C515" s="30" t="s">
        <v>1015</v>
      </c>
    </row>
    <row r="516" spans="1:3" x14ac:dyDescent="0.25">
      <c r="A516" s="40">
        <v>41177</v>
      </c>
      <c r="B516" s="126">
        <v>1.7349537037037038E-2</v>
      </c>
      <c r="C516" s="30" t="s">
        <v>997</v>
      </c>
    </row>
    <row r="517" spans="1:3" x14ac:dyDescent="0.25">
      <c r="A517" s="40">
        <v>41177</v>
      </c>
      <c r="B517" s="126">
        <v>1.7349537037037038E-2</v>
      </c>
      <c r="C517" s="30" t="s">
        <v>1008</v>
      </c>
    </row>
    <row r="518" spans="1:3" x14ac:dyDescent="0.25">
      <c r="A518" s="40">
        <v>41177</v>
      </c>
      <c r="B518" s="126">
        <v>1.7349537037037038E-2</v>
      </c>
      <c r="C518" s="30" t="s">
        <v>1016</v>
      </c>
    </row>
    <row r="519" spans="1:3" x14ac:dyDescent="0.25">
      <c r="A519" s="40">
        <v>41177</v>
      </c>
      <c r="B519" s="126">
        <v>1.7349537037037038E-2</v>
      </c>
      <c r="C519" s="30" t="s">
        <v>1017</v>
      </c>
    </row>
    <row r="520" spans="1:3" x14ac:dyDescent="0.25">
      <c r="A520" s="40">
        <v>41177</v>
      </c>
      <c r="B520" s="126">
        <v>1.7349537037037038E-2</v>
      </c>
      <c r="C520" s="30" t="s">
        <v>1018</v>
      </c>
    </row>
    <row r="521" spans="1:3" x14ac:dyDescent="0.25">
      <c r="A521" s="40">
        <v>41177</v>
      </c>
      <c r="B521" s="126">
        <v>1.7349537037037038E-2</v>
      </c>
      <c r="C521" s="30" t="s">
        <v>1019</v>
      </c>
    </row>
    <row r="522" spans="1:3" x14ac:dyDescent="0.25">
      <c r="A522" s="40">
        <v>41177</v>
      </c>
      <c r="B522" s="126">
        <v>1.7349537037037038E-2</v>
      </c>
      <c r="C522" s="30" t="s">
        <v>1019</v>
      </c>
    </row>
    <row r="523" spans="1:3" x14ac:dyDescent="0.25">
      <c r="A523" s="40">
        <v>41177</v>
      </c>
      <c r="B523" s="126">
        <v>1.7349537037037038E-2</v>
      </c>
      <c r="C523" s="30" t="s">
        <v>1020</v>
      </c>
    </row>
    <row r="524" spans="1:3" x14ac:dyDescent="0.25">
      <c r="A524" s="40">
        <v>41177</v>
      </c>
      <c r="B524" s="126">
        <v>1.7349537037037038E-2</v>
      </c>
      <c r="C524" s="30" t="s">
        <v>1021</v>
      </c>
    </row>
    <row r="525" spans="1:3" x14ac:dyDescent="0.25">
      <c r="A525" s="40">
        <v>41177</v>
      </c>
      <c r="B525" s="126">
        <v>1.7349537037037038E-2</v>
      </c>
      <c r="C525" s="30" t="s">
        <v>1022</v>
      </c>
    </row>
    <row r="526" spans="1:3" x14ac:dyDescent="0.25">
      <c r="A526" s="40">
        <v>41177</v>
      </c>
      <c r="B526" s="126">
        <v>1.7349537037037038E-2</v>
      </c>
      <c r="C526" s="30" t="s">
        <v>1023</v>
      </c>
    </row>
    <row r="527" spans="1:3" x14ac:dyDescent="0.25">
      <c r="A527" s="40">
        <v>41177</v>
      </c>
      <c r="B527" s="126">
        <v>1.7349537037037038E-2</v>
      </c>
      <c r="C527" s="30" t="s">
        <v>985</v>
      </c>
    </row>
    <row r="528" spans="1:3" x14ac:dyDescent="0.25">
      <c r="A528" s="40">
        <v>41177</v>
      </c>
      <c r="B528" s="126">
        <v>1.7349537037037038E-2</v>
      </c>
      <c r="C528" s="30" t="s">
        <v>1024</v>
      </c>
    </row>
    <row r="529" spans="1:3" x14ac:dyDescent="0.25">
      <c r="A529" s="40">
        <v>41177</v>
      </c>
      <c r="B529" s="126">
        <v>1.7349537037037038E-2</v>
      </c>
      <c r="C529" s="30" t="s">
        <v>1025</v>
      </c>
    </row>
    <row r="530" spans="1:3" x14ac:dyDescent="0.25">
      <c r="A530" s="40">
        <v>41177</v>
      </c>
      <c r="B530" s="126">
        <v>1.7349537037037038E-2</v>
      </c>
      <c r="C530" s="30" t="s">
        <v>1026</v>
      </c>
    </row>
    <row r="531" spans="1:3" x14ac:dyDescent="0.25">
      <c r="A531" s="40">
        <v>41177</v>
      </c>
      <c r="B531" s="126">
        <v>1.7349537037037038E-2</v>
      </c>
      <c r="C531" s="30" t="s">
        <v>1027</v>
      </c>
    </row>
    <row r="532" spans="1:3" x14ac:dyDescent="0.25">
      <c r="A532" s="40">
        <v>41177</v>
      </c>
      <c r="B532" s="126">
        <v>1.7349537037037038E-2</v>
      </c>
      <c r="C532" s="30" t="s">
        <v>1028</v>
      </c>
    </row>
    <row r="533" spans="1:3" x14ac:dyDescent="0.25">
      <c r="A533" s="40">
        <v>41177</v>
      </c>
      <c r="B533" s="126">
        <v>1.7349537037037038E-2</v>
      </c>
      <c r="C533" s="30" t="s">
        <v>1029</v>
      </c>
    </row>
    <row r="534" spans="1:3" x14ac:dyDescent="0.25">
      <c r="A534" s="40">
        <v>41177</v>
      </c>
      <c r="B534" s="126">
        <v>1.7349537037037038E-2</v>
      </c>
      <c r="C534" s="30" t="s">
        <v>1029</v>
      </c>
    </row>
    <row r="535" spans="1:3" x14ac:dyDescent="0.25">
      <c r="A535" s="40">
        <v>41177</v>
      </c>
      <c r="B535" s="126">
        <v>1.7349537037037038E-2</v>
      </c>
      <c r="C535" s="30" t="s">
        <v>1029</v>
      </c>
    </row>
    <row r="536" spans="1:3" x14ac:dyDescent="0.25">
      <c r="A536" s="40">
        <v>41177</v>
      </c>
      <c r="B536" s="126">
        <v>1.7349537037037038E-2</v>
      </c>
      <c r="C536" s="30" t="s">
        <v>1029</v>
      </c>
    </row>
    <row r="537" spans="1:3" x14ac:dyDescent="0.25">
      <c r="A537" s="40">
        <v>41177</v>
      </c>
      <c r="B537" s="126">
        <v>1.7361111111111112E-2</v>
      </c>
      <c r="C537" s="30" t="s">
        <v>1029</v>
      </c>
    </row>
    <row r="538" spans="1:3" x14ac:dyDescent="0.25">
      <c r="A538" s="40">
        <v>41177</v>
      </c>
      <c r="B538" s="126">
        <v>1.7361111111111112E-2</v>
      </c>
      <c r="C538" s="30" t="s">
        <v>1029</v>
      </c>
    </row>
    <row r="539" spans="1:3" x14ac:dyDescent="0.25">
      <c r="A539" s="40">
        <v>41177</v>
      </c>
      <c r="B539" s="126">
        <v>1.7361111111111112E-2</v>
      </c>
      <c r="C539" s="30" t="s">
        <v>1008</v>
      </c>
    </row>
    <row r="540" spans="1:3" x14ac:dyDescent="0.25">
      <c r="A540" s="40">
        <v>41177</v>
      </c>
      <c r="B540" s="126">
        <v>1.7361111111111112E-2</v>
      </c>
      <c r="C540" s="30" t="s">
        <v>1024</v>
      </c>
    </row>
    <row r="541" spans="1:3" x14ac:dyDescent="0.25">
      <c r="A541" s="40">
        <v>41177</v>
      </c>
      <c r="B541" s="126">
        <v>1.7361111111111112E-2</v>
      </c>
      <c r="C541" s="30" t="s">
        <v>1030</v>
      </c>
    </row>
    <row r="542" spans="1:3" x14ac:dyDescent="0.25">
      <c r="A542" s="40">
        <v>41177</v>
      </c>
      <c r="B542" s="126">
        <v>1.7361111111111112E-2</v>
      </c>
      <c r="C542" s="30" t="s">
        <v>1031</v>
      </c>
    </row>
    <row r="543" spans="1:3" x14ac:dyDescent="0.25">
      <c r="A543" s="40">
        <v>41177</v>
      </c>
      <c r="B543" s="126">
        <v>2.837962962962963E-2</v>
      </c>
      <c r="C543" s="30" t="s">
        <v>1034</v>
      </c>
    </row>
    <row r="544" spans="1:3" x14ac:dyDescent="0.25">
      <c r="A544" s="40">
        <v>41177</v>
      </c>
      <c r="B544" s="126">
        <v>2.8449074074074075E-2</v>
      </c>
      <c r="C544" s="30" t="s">
        <v>947</v>
      </c>
    </row>
    <row r="545" spans="1:3" x14ac:dyDescent="0.25">
      <c r="A545" s="40">
        <v>41177</v>
      </c>
      <c r="B545" s="126">
        <v>2.8506944444444442E-2</v>
      </c>
      <c r="C545" s="30" t="s">
        <v>952</v>
      </c>
    </row>
    <row r="546" spans="1:3" x14ac:dyDescent="0.25">
      <c r="A546" s="40">
        <v>41177</v>
      </c>
      <c r="B546" s="126">
        <v>2.8506944444444442E-2</v>
      </c>
      <c r="C546" s="30" t="s">
        <v>953</v>
      </c>
    </row>
    <row r="547" spans="1:3" x14ac:dyDescent="0.25">
      <c r="A547" s="40">
        <v>41177</v>
      </c>
      <c r="B547" s="126">
        <v>2.8506944444444442E-2</v>
      </c>
      <c r="C547" s="30" t="s">
        <v>954</v>
      </c>
    </row>
    <row r="548" spans="1:3" x14ac:dyDescent="0.25">
      <c r="A548" s="40">
        <v>41177</v>
      </c>
      <c r="B548" s="126">
        <v>2.8506944444444442E-2</v>
      </c>
      <c r="C548" s="30" t="s">
        <v>955</v>
      </c>
    </row>
    <row r="549" spans="1:3" x14ac:dyDescent="0.25">
      <c r="A549" s="40">
        <v>41177</v>
      </c>
      <c r="B549" s="126">
        <v>2.8506944444444442E-2</v>
      </c>
      <c r="C549" s="30" t="s">
        <v>956</v>
      </c>
    </row>
    <row r="550" spans="1:3" x14ac:dyDescent="0.25">
      <c r="A550" s="40">
        <v>41177</v>
      </c>
      <c r="B550" s="126">
        <v>2.8506944444444442E-2</v>
      </c>
      <c r="C550" s="30" t="s">
        <v>957</v>
      </c>
    </row>
    <row r="551" spans="1:3" x14ac:dyDescent="0.25">
      <c r="A551" s="40">
        <v>41177</v>
      </c>
      <c r="B551" s="126">
        <v>2.8506944444444442E-2</v>
      </c>
      <c r="C551" s="30" t="s">
        <v>958</v>
      </c>
    </row>
    <row r="552" spans="1:3" x14ac:dyDescent="0.25">
      <c r="A552" s="40">
        <v>41177</v>
      </c>
      <c r="B552" s="126">
        <v>2.8506944444444442E-2</v>
      </c>
      <c r="C552" s="30" t="s">
        <v>959</v>
      </c>
    </row>
    <row r="553" spans="1:3" x14ac:dyDescent="0.25">
      <c r="A553" s="40">
        <v>41177</v>
      </c>
      <c r="B553" s="126">
        <v>2.8506944444444442E-2</v>
      </c>
      <c r="C553" s="30" t="s">
        <v>960</v>
      </c>
    </row>
    <row r="554" spans="1:3" x14ac:dyDescent="0.25">
      <c r="A554" s="40">
        <v>41177</v>
      </c>
      <c r="B554" s="126">
        <v>2.8506944444444442E-2</v>
      </c>
      <c r="C554" s="30" t="s">
        <v>961</v>
      </c>
    </row>
    <row r="555" spans="1:3" x14ac:dyDescent="0.25">
      <c r="A555" s="40">
        <v>41177</v>
      </c>
      <c r="B555" s="126">
        <v>2.8506944444444442E-2</v>
      </c>
      <c r="C555" s="30" t="s">
        <v>962</v>
      </c>
    </row>
    <row r="556" spans="1:3" x14ac:dyDescent="0.25">
      <c r="A556" s="40">
        <v>41177</v>
      </c>
      <c r="B556" s="126">
        <v>2.8506944444444442E-2</v>
      </c>
      <c r="C556" s="30" t="s">
        <v>963</v>
      </c>
    </row>
    <row r="557" spans="1:3" x14ac:dyDescent="0.25">
      <c r="A557" s="40">
        <v>41177</v>
      </c>
      <c r="B557" s="126">
        <v>2.8506944444444442E-2</v>
      </c>
      <c r="C557" s="30" t="s">
        <v>964</v>
      </c>
    </row>
    <row r="558" spans="1:3" x14ac:dyDescent="0.25">
      <c r="A558" s="40">
        <v>41177</v>
      </c>
      <c r="B558" s="126">
        <v>2.8506944444444442E-2</v>
      </c>
      <c r="C558" s="30" t="s">
        <v>965</v>
      </c>
    </row>
    <row r="559" spans="1:3" x14ac:dyDescent="0.25">
      <c r="A559" s="40">
        <v>41177</v>
      </c>
      <c r="B559" s="126">
        <v>2.8506944444444442E-2</v>
      </c>
      <c r="C559" s="30" t="s">
        <v>966</v>
      </c>
    </row>
    <row r="560" spans="1:3" x14ac:dyDescent="0.25">
      <c r="A560" s="40">
        <v>41177</v>
      </c>
      <c r="B560" s="126">
        <v>2.8506944444444442E-2</v>
      </c>
      <c r="C560" s="30" t="s">
        <v>967</v>
      </c>
    </row>
    <row r="561" spans="1:3" x14ac:dyDescent="0.25">
      <c r="A561" s="40">
        <v>41177</v>
      </c>
      <c r="B561" s="126">
        <v>2.8506944444444442E-2</v>
      </c>
      <c r="C561" s="30" t="s">
        <v>968</v>
      </c>
    </row>
    <row r="562" spans="1:3" x14ac:dyDescent="0.25">
      <c r="A562" s="40">
        <v>41177</v>
      </c>
      <c r="B562" s="126">
        <v>2.8506944444444442E-2</v>
      </c>
      <c r="C562" s="30" t="s">
        <v>969</v>
      </c>
    </row>
    <row r="563" spans="1:3" x14ac:dyDescent="0.25">
      <c r="A563" s="40">
        <v>41177</v>
      </c>
      <c r="B563" s="126">
        <v>2.8506944444444442E-2</v>
      </c>
      <c r="C563" s="30" t="s">
        <v>970</v>
      </c>
    </row>
    <row r="564" spans="1:3" x14ac:dyDescent="0.25">
      <c r="A564" s="40">
        <v>41177</v>
      </c>
      <c r="B564" s="126">
        <v>2.8506944444444442E-2</v>
      </c>
      <c r="C564" s="30" t="s">
        <v>971</v>
      </c>
    </row>
    <row r="565" spans="1:3" x14ac:dyDescent="0.25">
      <c r="A565" s="40">
        <v>41177</v>
      </c>
      <c r="B565" s="126">
        <v>2.8506944444444442E-2</v>
      </c>
      <c r="C565" s="30" t="s">
        <v>972</v>
      </c>
    </row>
    <row r="566" spans="1:3" x14ac:dyDescent="0.25">
      <c r="A566" s="40">
        <v>41177</v>
      </c>
      <c r="B566" s="126">
        <v>2.8506944444444442E-2</v>
      </c>
      <c r="C566" s="30" t="s">
        <v>973</v>
      </c>
    </row>
    <row r="567" spans="1:3" x14ac:dyDescent="0.25">
      <c r="A567" s="40">
        <v>41177</v>
      </c>
      <c r="B567" s="126">
        <v>2.8506944444444442E-2</v>
      </c>
      <c r="C567" s="30" t="s">
        <v>974</v>
      </c>
    </row>
    <row r="568" spans="1:3" x14ac:dyDescent="0.25">
      <c r="A568" s="40">
        <v>41177</v>
      </c>
      <c r="B568" s="126">
        <v>2.8506944444444442E-2</v>
      </c>
      <c r="C568" s="30" t="s">
        <v>975</v>
      </c>
    </row>
    <row r="569" spans="1:3" x14ac:dyDescent="0.25">
      <c r="A569" s="40">
        <v>41177</v>
      </c>
      <c r="B569" s="126">
        <v>2.8506944444444442E-2</v>
      </c>
      <c r="C569" s="30" t="s">
        <v>976</v>
      </c>
    </row>
    <row r="570" spans="1:3" x14ac:dyDescent="0.25">
      <c r="A570" s="40">
        <v>41177</v>
      </c>
      <c r="B570" s="126">
        <v>2.8506944444444442E-2</v>
      </c>
      <c r="C570" s="30" t="s">
        <v>977</v>
      </c>
    </row>
    <row r="571" spans="1:3" x14ac:dyDescent="0.25">
      <c r="A571" s="40">
        <v>41177</v>
      </c>
      <c r="B571" s="126">
        <v>2.8506944444444442E-2</v>
      </c>
      <c r="C571" s="30" t="s">
        <v>978</v>
      </c>
    </row>
    <row r="572" spans="1:3" x14ac:dyDescent="0.25">
      <c r="A572" s="40">
        <v>41177</v>
      </c>
      <c r="B572" s="126">
        <v>2.8506944444444442E-2</v>
      </c>
      <c r="C572" s="30" t="s">
        <v>979</v>
      </c>
    </row>
    <row r="573" spans="1:3" x14ac:dyDescent="0.25">
      <c r="A573" s="40">
        <v>41177</v>
      </c>
      <c r="B573" s="126">
        <v>2.8506944444444442E-2</v>
      </c>
      <c r="C573" s="30" t="s">
        <v>975</v>
      </c>
    </row>
    <row r="574" spans="1:3" x14ac:dyDescent="0.25">
      <c r="A574" s="40">
        <v>41177</v>
      </c>
      <c r="B574" s="126">
        <v>2.8506944444444442E-2</v>
      </c>
      <c r="C574" s="30" t="s">
        <v>980</v>
      </c>
    </row>
    <row r="575" spans="1:3" x14ac:dyDescent="0.25">
      <c r="A575" s="40">
        <v>41177</v>
      </c>
      <c r="B575" s="126">
        <v>2.8506944444444442E-2</v>
      </c>
      <c r="C575" s="30" t="s">
        <v>981</v>
      </c>
    </row>
    <row r="576" spans="1:3" x14ac:dyDescent="0.25">
      <c r="A576" s="40">
        <v>41177</v>
      </c>
      <c r="B576" s="126">
        <v>2.8506944444444442E-2</v>
      </c>
      <c r="C576" s="30" t="s">
        <v>982</v>
      </c>
    </row>
    <row r="577" spans="1:3" x14ac:dyDescent="0.25">
      <c r="A577" s="40">
        <v>41177</v>
      </c>
      <c r="B577" s="126">
        <v>2.8506944444444442E-2</v>
      </c>
      <c r="C577" s="30" t="s">
        <v>983</v>
      </c>
    </row>
    <row r="578" spans="1:3" x14ac:dyDescent="0.25">
      <c r="A578" s="40">
        <v>41177</v>
      </c>
      <c r="B578" s="126">
        <v>2.8506944444444442E-2</v>
      </c>
      <c r="C578" s="30" t="s">
        <v>984</v>
      </c>
    </row>
    <row r="579" spans="1:3" x14ac:dyDescent="0.25">
      <c r="A579" s="40">
        <v>41177</v>
      </c>
      <c r="B579" s="126">
        <v>2.8506944444444442E-2</v>
      </c>
      <c r="C579" s="30" t="s">
        <v>985</v>
      </c>
    </row>
    <row r="580" spans="1:3" x14ac:dyDescent="0.25">
      <c r="A580" s="40">
        <v>41177</v>
      </c>
      <c r="B580" s="126">
        <v>2.8506944444444442E-2</v>
      </c>
      <c r="C580" s="30" t="s">
        <v>986</v>
      </c>
    </row>
    <row r="581" spans="1:3" x14ac:dyDescent="0.25">
      <c r="A581" s="40">
        <v>41177</v>
      </c>
      <c r="B581" s="126">
        <v>2.8506944444444442E-2</v>
      </c>
      <c r="C581" s="30" t="s">
        <v>987</v>
      </c>
    </row>
    <row r="582" spans="1:3" x14ac:dyDescent="0.25">
      <c r="A582" s="40">
        <v>41177</v>
      </c>
      <c r="B582" s="126">
        <v>2.8506944444444442E-2</v>
      </c>
      <c r="C582" s="30" t="s">
        <v>988</v>
      </c>
    </row>
    <row r="583" spans="1:3" x14ac:dyDescent="0.25">
      <c r="A583" s="40">
        <v>41177</v>
      </c>
      <c r="B583" s="126">
        <v>2.8506944444444442E-2</v>
      </c>
      <c r="C583" s="30" t="s">
        <v>988</v>
      </c>
    </row>
    <row r="584" spans="1:3" x14ac:dyDescent="0.25">
      <c r="A584" s="40">
        <v>41177</v>
      </c>
      <c r="B584" s="126">
        <v>2.8506944444444442E-2</v>
      </c>
      <c r="C584" s="30" t="s">
        <v>973</v>
      </c>
    </row>
    <row r="585" spans="1:3" x14ac:dyDescent="0.25">
      <c r="A585" s="40">
        <v>41177</v>
      </c>
      <c r="B585" s="126">
        <v>2.8506944444444442E-2</v>
      </c>
      <c r="C585" s="30" t="s">
        <v>989</v>
      </c>
    </row>
    <row r="586" spans="1:3" x14ac:dyDescent="0.25">
      <c r="A586" s="40">
        <v>41177</v>
      </c>
      <c r="B586" s="126">
        <v>2.8506944444444442E-2</v>
      </c>
      <c r="C586" s="30" t="s">
        <v>990</v>
      </c>
    </row>
    <row r="587" spans="1:3" x14ac:dyDescent="0.25">
      <c r="A587" s="40">
        <v>41177</v>
      </c>
      <c r="B587" s="126">
        <v>2.8506944444444442E-2</v>
      </c>
      <c r="C587" s="30" t="s">
        <v>991</v>
      </c>
    </row>
    <row r="588" spans="1:3" x14ac:dyDescent="0.25">
      <c r="A588" s="40">
        <v>41177</v>
      </c>
      <c r="B588" s="126">
        <v>2.8506944444444442E-2</v>
      </c>
      <c r="C588" s="30" t="s">
        <v>992</v>
      </c>
    </row>
    <row r="589" spans="1:3" x14ac:dyDescent="0.25">
      <c r="A589" s="40">
        <v>41177</v>
      </c>
      <c r="B589" s="126">
        <v>2.8506944444444442E-2</v>
      </c>
      <c r="C589" s="30" t="s">
        <v>993</v>
      </c>
    </row>
    <row r="590" spans="1:3" x14ac:dyDescent="0.25">
      <c r="A590" s="40">
        <v>41177</v>
      </c>
      <c r="B590" s="126">
        <v>2.8506944444444442E-2</v>
      </c>
      <c r="C590" s="30" t="s">
        <v>989</v>
      </c>
    </row>
    <row r="591" spans="1:3" x14ac:dyDescent="0.25">
      <c r="A591" s="40">
        <v>41177</v>
      </c>
      <c r="B591" s="126">
        <v>2.8506944444444442E-2</v>
      </c>
      <c r="C591" s="30" t="s">
        <v>994</v>
      </c>
    </row>
    <row r="592" spans="1:3" x14ac:dyDescent="0.25">
      <c r="A592" s="40">
        <v>41177</v>
      </c>
      <c r="B592" s="126">
        <v>2.8506944444444442E-2</v>
      </c>
      <c r="C592" s="30" t="s">
        <v>995</v>
      </c>
    </row>
    <row r="593" spans="1:3" x14ac:dyDescent="0.25">
      <c r="A593" s="40">
        <v>41177</v>
      </c>
      <c r="B593" s="126">
        <v>2.8506944444444442E-2</v>
      </c>
      <c r="C593" s="30" t="s">
        <v>985</v>
      </c>
    </row>
    <row r="594" spans="1:3" x14ac:dyDescent="0.25">
      <c r="A594" s="40">
        <v>41177</v>
      </c>
      <c r="B594" s="126">
        <v>2.8506944444444442E-2</v>
      </c>
      <c r="C594" s="30" t="s">
        <v>996</v>
      </c>
    </row>
    <row r="595" spans="1:3" x14ac:dyDescent="0.25">
      <c r="A595" s="40">
        <v>41177</v>
      </c>
      <c r="B595" s="126">
        <v>2.8506944444444442E-2</v>
      </c>
      <c r="C595" s="30" t="s">
        <v>997</v>
      </c>
    </row>
    <row r="596" spans="1:3" x14ac:dyDescent="0.25">
      <c r="A596" s="40">
        <v>41177</v>
      </c>
      <c r="B596" s="126">
        <v>2.8506944444444442E-2</v>
      </c>
      <c r="C596" s="30" t="s">
        <v>998</v>
      </c>
    </row>
    <row r="597" spans="1:3" x14ac:dyDescent="0.25">
      <c r="A597" s="40">
        <v>41177</v>
      </c>
      <c r="B597" s="126">
        <v>2.8506944444444442E-2</v>
      </c>
      <c r="C597" s="30" t="s">
        <v>999</v>
      </c>
    </row>
    <row r="598" spans="1:3" x14ac:dyDescent="0.25">
      <c r="A598" s="40">
        <v>41177</v>
      </c>
      <c r="B598" s="126">
        <v>2.8506944444444442E-2</v>
      </c>
      <c r="C598" s="30" t="s">
        <v>1000</v>
      </c>
    </row>
    <row r="599" spans="1:3" x14ac:dyDescent="0.25">
      <c r="A599" s="40">
        <v>41177</v>
      </c>
      <c r="B599" s="126">
        <v>2.8506944444444442E-2</v>
      </c>
      <c r="C599" s="30" t="s">
        <v>1001</v>
      </c>
    </row>
    <row r="600" spans="1:3" x14ac:dyDescent="0.25">
      <c r="A600" s="40">
        <v>41177</v>
      </c>
      <c r="B600" s="126">
        <v>2.8506944444444442E-2</v>
      </c>
      <c r="C600" s="30" t="s">
        <v>1002</v>
      </c>
    </row>
    <row r="601" spans="1:3" x14ac:dyDescent="0.25">
      <c r="A601" s="40">
        <v>41177</v>
      </c>
      <c r="B601" s="126">
        <v>2.8506944444444442E-2</v>
      </c>
      <c r="C601" s="30" t="s">
        <v>1003</v>
      </c>
    </row>
    <row r="602" spans="1:3" x14ac:dyDescent="0.25">
      <c r="A602" s="40">
        <v>41177</v>
      </c>
      <c r="B602" s="126">
        <v>2.8506944444444442E-2</v>
      </c>
      <c r="C602" s="30" t="s">
        <v>996</v>
      </c>
    </row>
    <row r="603" spans="1:3" x14ac:dyDescent="0.25">
      <c r="A603" s="40">
        <v>41177</v>
      </c>
      <c r="B603" s="126">
        <v>2.8506944444444442E-2</v>
      </c>
      <c r="C603" s="30" t="s">
        <v>1004</v>
      </c>
    </row>
    <row r="604" spans="1:3" x14ac:dyDescent="0.25">
      <c r="A604" s="40">
        <v>41177</v>
      </c>
      <c r="B604" s="126">
        <v>2.8506944444444442E-2</v>
      </c>
      <c r="C604" s="30" t="s">
        <v>1005</v>
      </c>
    </row>
    <row r="605" spans="1:3" x14ac:dyDescent="0.25">
      <c r="A605" s="40">
        <v>41177</v>
      </c>
      <c r="B605" s="126">
        <v>2.8506944444444442E-2</v>
      </c>
      <c r="C605" s="30" t="s">
        <v>1006</v>
      </c>
    </row>
    <row r="606" spans="1:3" x14ac:dyDescent="0.25">
      <c r="A606" s="40">
        <v>41177</v>
      </c>
      <c r="B606" s="126">
        <v>2.8506944444444442E-2</v>
      </c>
      <c r="C606" s="30" t="s">
        <v>1007</v>
      </c>
    </row>
    <row r="607" spans="1:3" x14ac:dyDescent="0.25">
      <c r="A607" s="40">
        <v>41177</v>
      </c>
      <c r="B607" s="126">
        <v>2.8506944444444442E-2</v>
      </c>
      <c r="C607" s="30" t="s">
        <v>1003</v>
      </c>
    </row>
    <row r="608" spans="1:3" x14ac:dyDescent="0.25">
      <c r="A608" s="40">
        <v>41177</v>
      </c>
      <c r="B608" s="126">
        <v>2.8506944444444442E-2</v>
      </c>
      <c r="C608" s="30" t="s">
        <v>1008</v>
      </c>
    </row>
    <row r="609" spans="1:3" x14ac:dyDescent="0.25">
      <c r="A609" s="40">
        <v>41177</v>
      </c>
      <c r="B609" s="126">
        <v>2.8506944444444442E-2</v>
      </c>
      <c r="C609" s="30" t="s">
        <v>1008</v>
      </c>
    </row>
    <row r="610" spans="1:3" x14ac:dyDescent="0.25">
      <c r="A610" s="40">
        <v>41177</v>
      </c>
      <c r="B610" s="126">
        <v>2.8506944444444442E-2</v>
      </c>
      <c r="C610" s="30" t="s">
        <v>1009</v>
      </c>
    </row>
    <row r="611" spans="1:3" x14ac:dyDescent="0.25">
      <c r="A611" s="40">
        <v>41177</v>
      </c>
      <c r="B611" s="126">
        <v>2.8506944444444442E-2</v>
      </c>
      <c r="C611" s="30" t="s">
        <v>996</v>
      </c>
    </row>
    <row r="612" spans="1:3" x14ac:dyDescent="0.25">
      <c r="A612" s="40">
        <v>41177</v>
      </c>
      <c r="B612" s="126">
        <v>2.8506944444444442E-2</v>
      </c>
      <c r="C612" s="30" t="s">
        <v>1010</v>
      </c>
    </row>
    <row r="613" spans="1:3" x14ac:dyDescent="0.25">
      <c r="A613" s="40">
        <v>41177</v>
      </c>
      <c r="B613" s="126">
        <v>2.8506944444444442E-2</v>
      </c>
      <c r="C613" s="30" t="s">
        <v>973</v>
      </c>
    </row>
    <row r="614" spans="1:3" x14ac:dyDescent="0.25">
      <c r="A614" s="40">
        <v>41177</v>
      </c>
      <c r="B614" s="126">
        <v>2.8506944444444442E-2</v>
      </c>
      <c r="C614" s="30" t="s">
        <v>1011</v>
      </c>
    </row>
    <row r="615" spans="1:3" x14ac:dyDescent="0.25">
      <c r="A615" s="40">
        <v>41177</v>
      </c>
      <c r="B615" s="126">
        <v>2.8506944444444442E-2</v>
      </c>
      <c r="C615" s="30" t="s">
        <v>1012</v>
      </c>
    </row>
    <row r="616" spans="1:3" x14ac:dyDescent="0.25">
      <c r="A616" s="40">
        <v>41177</v>
      </c>
      <c r="B616" s="126">
        <v>2.8506944444444442E-2</v>
      </c>
      <c r="C616" s="30" t="s">
        <v>1013</v>
      </c>
    </row>
    <row r="617" spans="1:3" x14ac:dyDescent="0.25">
      <c r="A617" s="40">
        <v>41177</v>
      </c>
      <c r="B617" s="126">
        <v>2.8506944444444442E-2</v>
      </c>
      <c r="C617" s="30" t="s">
        <v>996</v>
      </c>
    </row>
    <row r="618" spans="1:3" x14ac:dyDescent="0.25">
      <c r="A618" s="40">
        <v>41177</v>
      </c>
      <c r="B618" s="126">
        <v>2.8506944444444442E-2</v>
      </c>
      <c r="C618" s="30" t="s">
        <v>1014</v>
      </c>
    </row>
    <row r="619" spans="1:3" x14ac:dyDescent="0.25">
      <c r="A619" s="40">
        <v>41177</v>
      </c>
      <c r="B619" s="126">
        <v>2.8506944444444442E-2</v>
      </c>
      <c r="C619" s="30" t="s">
        <v>1015</v>
      </c>
    </row>
    <row r="620" spans="1:3" x14ac:dyDescent="0.25">
      <c r="A620" s="40">
        <v>41177</v>
      </c>
      <c r="B620" s="126">
        <v>2.8506944444444442E-2</v>
      </c>
      <c r="C620" s="30" t="s">
        <v>997</v>
      </c>
    </row>
    <row r="621" spans="1:3" x14ac:dyDescent="0.25">
      <c r="A621" s="40">
        <v>41177</v>
      </c>
      <c r="B621" s="126">
        <v>2.8506944444444442E-2</v>
      </c>
      <c r="C621" s="30" t="s">
        <v>1008</v>
      </c>
    </row>
    <row r="622" spans="1:3" x14ac:dyDescent="0.25">
      <c r="A622" s="40">
        <v>41177</v>
      </c>
      <c r="B622" s="126">
        <v>2.8506944444444442E-2</v>
      </c>
      <c r="C622" s="30" t="s">
        <v>1016</v>
      </c>
    </row>
    <row r="623" spans="1:3" x14ac:dyDescent="0.25">
      <c r="A623" s="40">
        <v>41177</v>
      </c>
      <c r="B623" s="126">
        <v>2.8506944444444442E-2</v>
      </c>
      <c r="C623" s="30" t="s">
        <v>1017</v>
      </c>
    </row>
    <row r="624" spans="1:3" x14ac:dyDescent="0.25">
      <c r="A624" s="40">
        <v>41177</v>
      </c>
      <c r="B624" s="126">
        <v>2.8506944444444442E-2</v>
      </c>
      <c r="C624" s="30" t="s">
        <v>1018</v>
      </c>
    </row>
    <row r="625" spans="1:3" x14ac:dyDescent="0.25">
      <c r="A625" s="40">
        <v>41177</v>
      </c>
      <c r="B625" s="126">
        <v>2.8506944444444442E-2</v>
      </c>
      <c r="C625" s="30" t="s">
        <v>1019</v>
      </c>
    </row>
    <row r="626" spans="1:3" x14ac:dyDescent="0.25">
      <c r="A626" s="40">
        <v>41177</v>
      </c>
      <c r="B626" s="126">
        <v>2.8506944444444442E-2</v>
      </c>
      <c r="C626" s="30" t="s">
        <v>1019</v>
      </c>
    </row>
    <row r="627" spans="1:3" x14ac:dyDescent="0.25">
      <c r="A627" s="40">
        <v>41177</v>
      </c>
      <c r="B627" s="126">
        <v>2.8506944444444442E-2</v>
      </c>
      <c r="C627" s="30" t="s">
        <v>1020</v>
      </c>
    </row>
    <row r="628" spans="1:3" x14ac:dyDescent="0.25">
      <c r="A628" s="40">
        <v>41177</v>
      </c>
      <c r="B628" s="126">
        <v>2.8506944444444442E-2</v>
      </c>
      <c r="C628" s="30" t="s">
        <v>1021</v>
      </c>
    </row>
    <row r="629" spans="1:3" x14ac:dyDescent="0.25">
      <c r="A629" s="40">
        <v>41177</v>
      </c>
      <c r="B629" s="126">
        <v>2.8506944444444442E-2</v>
      </c>
      <c r="C629" s="30" t="s">
        <v>1022</v>
      </c>
    </row>
    <row r="630" spans="1:3" x14ac:dyDescent="0.25">
      <c r="A630" s="40">
        <v>41177</v>
      </c>
      <c r="B630" s="126">
        <v>2.8506944444444442E-2</v>
      </c>
      <c r="C630" s="30" t="s">
        <v>1023</v>
      </c>
    </row>
    <row r="631" spans="1:3" x14ac:dyDescent="0.25">
      <c r="A631" s="40">
        <v>41177</v>
      </c>
      <c r="B631" s="126">
        <v>2.8506944444444442E-2</v>
      </c>
      <c r="C631" s="30" t="s">
        <v>985</v>
      </c>
    </row>
    <row r="632" spans="1:3" x14ac:dyDescent="0.25">
      <c r="A632" s="40">
        <v>41177</v>
      </c>
      <c r="B632" s="126">
        <v>2.8506944444444442E-2</v>
      </c>
      <c r="C632" s="30" t="s">
        <v>1024</v>
      </c>
    </row>
    <row r="633" spans="1:3" x14ac:dyDescent="0.25">
      <c r="A633" s="40">
        <v>41177</v>
      </c>
      <c r="B633" s="126">
        <v>2.8506944444444442E-2</v>
      </c>
      <c r="C633" s="30" t="s">
        <v>1025</v>
      </c>
    </row>
    <row r="634" spans="1:3" x14ac:dyDescent="0.25">
      <c r="A634" s="40">
        <v>41177</v>
      </c>
      <c r="B634" s="126">
        <v>2.8506944444444442E-2</v>
      </c>
      <c r="C634" s="30" t="s">
        <v>1026</v>
      </c>
    </row>
    <row r="635" spans="1:3" x14ac:dyDescent="0.25">
      <c r="A635" s="40">
        <v>41177</v>
      </c>
      <c r="B635" s="126">
        <v>2.8506944444444442E-2</v>
      </c>
      <c r="C635" s="30" t="s">
        <v>1027</v>
      </c>
    </row>
    <row r="636" spans="1:3" x14ac:dyDescent="0.25">
      <c r="A636" s="40">
        <v>41177</v>
      </c>
      <c r="B636" s="126">
        <v>2.8506944444444442E-2</v>
      </c>
      <c r="C636" s="30" t="s">
        <v>1028</v>
      </c>
    </row>
    <row r="637" spans="1:3" x14ac:dyDescent="0.25">
      <c r="A637" s="40">
        <v>41177</v>
      </c>
      <c r="B637" s="126">
        <v>2.8506944444444442E-2</v>
      </c>
      <c r="C637" s="30" t="s">
        <v>1029</v>
      </c>
    </row>
    <row r="638" spans="1:3" x14ac:dyDescent="0.25">
      <c r="A638" s="40">
        <v>41177</v>
      </c>
      <c r="B638" s="126">
        <v>2.8506944444444442E-2</v>
      </c>
      <c r="C638" s="30" t="s">
        <v>1029</v>
      </c>
    </row>
    <row r="639" spans="1:3" x14ac:dyDescent="0.25">
      <c r="A639" s="40">
        <v>41177</v>
      </c>
      <c r="B639" s="126">
        <v>2.8506944444444442E-2</v>
      </c>
      <c r="C639" s="30" t="s">
        <v>1029</v>
      </c>
    </row>
    <row r="640" spans="1:3" x14ac:dyDescent="0.25">
      <c r="A640" s="40">
        <v>41177</v>
      </c>
      <c r="B640" s="126">
        <v>2.8506944444444442E-2</v>
      </c>
      <c r="C640" s="30" t="s">
        <v>1029</v>
      </c>
    </row>
    <row r="641" spans="1:3" x14ac:dyDescent="0.25">
      <c r="A641" s="40">
        <v>41177</v>
      </c>
      <c r="B641" s="126">
        <v>2.8506944444444442E-2</v>
      </c>
      <c r="C641" s="30" t="s">
        <v>1029</v>
      </c>
    </row>
    <row r="642" spans="1:3" x14ac:dyDescent="0.25">
      <c r="A642" s="40">
        <v>41177</v>
      </c>
      <c r="B642" s="126">
        <v>2.8506944444444442E-2</v>
      </c>
      <c r="C642" s="30" t="s">
        <v>1029</v>
      </c>
    </row>
    <row r="643" spans="1:3" x14ac:dyDescent="0.25">
      <c r="A643" s="40">
        <v>41177</v>
      </c>
      <c r="B643" s="126">
        <v>2.8506944444444442E-2</v>
      </c>
      <c r="C643" s="30" t="s">
        <v>1008</v>
      </c>
    </row>
    <row r="644" spans="1:3" x14ac:dyDescent="0.25">
      <c r="A644" s="40">
        <v>41177</v>
      </c>
      <c r="B644" s="126">
        <v>2.8506944444444442E-2</v>
      </c>
      <c r="C644" s="30" t="s">
        <v>1024</v>
      </c>
    </row>
    <row r="645" spans="1:3" x14ac:dyDescent="0.25">
      <c r="A645" s="40">
        <v>41177</v>
      </c>
      <c r="B645" s="126">
        <v>2.8506944444444442E-2</v>
      </c>
      <c r="C645" s="30" t="s">
        <v>1030</v>
      </c>
    </row>
    <row r="646" spans="1:3" x14ac:dyDescent="0.25">
      <c r="A646" s="40">
        <v>41177</v>
      </c>
      <c r="B646" s="126">
        <v>2.8518518518518523E-2</v>
      </c>
      <c r="C646" s="30" t="s">
        <v>1031</v>
      </c>
    </row>
    <row r="647" spans="1:3" x14ac:dyDescent="0.25">
      <c r="A647" s="40">
        <v>41177</v>
      </c>
      <c r="B647" s="126">
        <v>3.4479166666666665E-2</v>
      </c>
      <c r="C647" s="30" t="s">
        <v>1034</v>
      </c>
    </row>
    <row r="648" spans="1:3" x14ac:dyDescent="0.25">
      <c r="A648" s="40">
        <v>41177</v>
      </c>
      <c r="B648" s="126">
        <v>3.4733796296296297E-2</v>
      </c>
      <c r="C648" s="30" t="s">
        <v>947</v>
      </c>
    </row>
    <row r="649" spans="1:3" x14ac:dyDescent="0.25">
      <c r="A649" s="40">
        <v>41177</v>
      </c>
      <c r="B649" s="126">
        <v>3.4791666666666672E-2</v>
      </c>
      <c r="C649" s="30" t="s">
        <v>952</v>
      </c>
    </row>
    <row r="650" spans="1:3" x14ac:dyDescent="0.25">
      <c r="A650" s="40">
        <v>41177</v>
      </c>
      <c r="B650" s="126">
        <v>3.4791666666666672E-2</v>
      </c>
      <c r="C650" s="30" t="s">
        <v>953</v>
      </c>
    </row>
    <row r="651" spans="1:3" x14ac:dyDescent="0.25">
      <c r="A651" s="40">
        <v>41177</v>
      </c>
      <c r="B651" s="126">
        <v>3.4791666666666672E-2</v>
      </c>
      <c r="C651" s="30" t="s">
        <v>954</v>
      </c>
    </row>
    <row r="652" spans="1:3" x14ac:dyDescent="0.25">
      <c r="A652" s="40">
        <v>41177</v>
      </c>
      <c r="B652" s="126">
        <v>3.4791666666666672E-2</v>
      </c>
      <c r="C652" s="30" t="s">
        <v>955</v>
      </c>
    </row>
    <row r="653" spans="1:3" x14ac:dyDescent="0.25">
      <c r="A653" s="40">
        <v>41177</v>
      </c>
      <c r="B653" s="126">
        <v>3.4791666666666672E-2</v>
      </c>
      <c r="C653" s="30" t="s">
        <v>956</v>
      </c>
    </row>
    <row r="654" spans="1:3" x14ac:dyDescent="0.25">
      <c r="A654" s="40">
        <v>41177</v>
      </c>
      <c r="B654" s="126">
        <v>3.4791666666666672E-2</v>
      </c>
      <c r="C654" s="30" t="s">
        <v>957</v>
      </c>
    </row>
    <row r="655" spans="1:3" x14ac:dyDescent="0.25">
      <c r="A655" s="40">
        <v>41177</v>
      </c>
      <c r="B655" s="126">
        <v>3.4791666666666672E-2</v>
      </c>
      <c r="C655" s="30" t="s">
        <v>958</v>
      </c>
    </row>
    <row r="656" spans="1:3" x14ac:dyDescent="0.25">
      <c r="A656" s="40">
        <v>41177</v>
      </c>
      <c r="B656" s="126">
        <v>3.4791666666666672E-2</v>
      </c>
      <c r="C656" s="30" t="s">
        <v>959</v>
      </c>
    </row>
    <row r="657" spans="1:3" x14ac:dyDescent="0.25">
      <c r="A657" s="40">
        <v>41177</v>
      </c>
      <c r="B657" s="126">
        <v>3.4791666666666672E-2</v>
      </c>
      <c r="C657" s="30" t="s">
        <v>960</v>
      </c>
    </row>
    <row r="658" spans="1:3" x14ac:dyDescent="0.25">
      <c r="A658" s="40">
        <v>41177</v>
      </c>
      <c r="B658" s="126">
        <v>3.4791666666666672E-2</v>
      </c>
      <c r="C658" s="30" t="s">
        <v>961</v>
      </c>
    </row>
    <row r="659" spans="1:3" x14ac:dyDescent="0.25">
      <c r="A659" s="40">
        <v>41177</v>
      </c>
      <c r="B659" s="126">
        <v>3.4791666666666672E-2</v>
      </c>
      <c r="C659" s="30" t="s">
        <v>962</v>
      </c>
    </row>
    <row r="660" spans="1:3" x14ac:dyDescent="0.25">
      <c r="A660" s="40">
        <v>41177</v>
      </c>
      <c r="B660" s="126">
        <v>3.4791666666666672E-2</v>
      </c>
      <c r="C660" s="30" t="s">
        <v>963</v>
      </c>
    </row>
    <row r="661" spans="1:3" x14ac:dyDescent="0.25">
      <c r="A661" s="40">
        <v>41177</v>
      </c>
      <c r="B661" s="126">
        <v>3.4791666666666672E-2</v>
      </c>
      <c r="C661" s="30" t="s">
        <v>964</v>
      </c>
    </row>
    <row r="662" spans="1:3" x14ac:dyDescent="0.25">
      <c r="A662" s="40">
        <v>41177</v>
      </c>
      <c r="B662" s="126">
        <v>3.4791666666666672E-2</v>
      </c>
      <c r="C662" s="30" t="s">
        <v>965</v>
      </c>
    </row>
    <row r="663" spans="1:3" x14ac:dyDescent="0.25">
      <c r="A663" s="40">
        <v>41177</v>
      </c>
      <c r="B663" s="126">
        <v>3.4791666666666672E-2</v>
      </c>
      <c r="C663" s="30" t="s">
        <v>966</v>
      </c>
    </row>
    <row r="664" spans="1:3" x14ac:dyDescent="0.25">
      <c r="A664" s="40">
        <v>41177</v>
      </c>
      <c r="B664" s="126">
        <v>3.4791666666666672E-2</v>
      </c>
      <c r="C664" s="30" t="s">
        <v>967</v>
      </c>
    </row>
    <row r="665" spans="1:3" x14ac:dyDescent="0.25">
      <c r="A665" s="40">
        <v>41177</v>
      </c>
      <c r="B665" s="126">
        <v>3.4791666666666672E-2</v>
      </c>
      <c r="C665" s="30" t="s">
        <v>968</v>
      </c>
    </row>
    <row r="666" spans="1:3" x14ac:dyDescent="0.25">
      <c r="A666" s="40">
        <v>41177</v>
      </c>
      <c r="B666" s="126">
        <v>3.4791666666666672E-2</v>
      </c>
      <c r="C666" s="30" t="s">
        <v>969</v>
      </c>
    </row>
    <row r="667" spans="1:3" x14ac:dyDescent="0.25">
      <c r="A667" s="40">
        <v>41177</v>
      </c>
      <c r="B667" s="126">
        <v>3.4791666666666672E-2</v>
      </c>
      <c r="C667" s="30" t="s">
        <v>970</v>
      </c>
    </row>
    <row r="668" spans="1:3" x14ac:dyDescent="0.25">
      <c r="A668" s="40">
        <v>41177</v>
      </c>
      <c r="B668" s="126">
        <v>3.4791666666666672E-2</v>
      </c>
      <c r="C668" s="30" t="s">
        <v>971</v>
      </c>
    </row>
    <row r="669" spans="1:3" x14ac:dyDescent="0.25">
      <c r="A669" s="40">
        <v>41177</v>
      </c>
      <c r="B669" s="126">
        <v>3.4791666666666672E-2</v>
      </c>
      <c r="C669" s="30" t="s">
        <v>972</v>
      </c>
    </row>
    <row r="670" spans="1:3" x14ac:dyDescent="0.25">
      <c r="A670" s="40">
        <v>41177</v>
      </c>
      <c r="B670" s="126">
        <v>3.4791666666666672E-2</v>
      </c>
      <c r="C670" s="30" t="s">
        <v>973</v>
      </c>
    </row>
    <row r="671" spans="1:3" x14ac:dyDescent="0.25">
      <c r="A671" s="40">
        <v>41177</v>
      </c>
      <c r="B671" s="126">
        <v>3.4791666666666672E-2</v>
      </c>
      <c r="C671" s="30" t="s">
        <v>974</v>
      </c>
    </row>
    <row r="672" spans="1:3" x14ac:dyDescent="0.25">
      <c r="A672" s="40">
        <v>41177</v>
      </c>
      <c r="B672" s="126">
        <v>3.4791666666666672E-2</v>
      </c>
      <c r="C672" s="30" t="s">
        <v>975</v>
      </c>
    </row>
    <row r="673" spans="1:3" x14ac:dyDescent="0.25">
      <c r="A673" s="40">
        <v>41177</v>
      </c>
      <c r="B673" s="126">
        <v>3.4791666666666672E-2</v>
      </c>
      <c r="C673" s="30" t="s">
        <v>976</v>
      </c>
    </row>
    <row r="674" spans="1:3" x14ac:dyDescent="0.25">
      <c r="A674" s="40">
        <v>41177</v>
      </c>
      <c r="B674" s="126">
        <v>3.4791666666666672E-2</v>
      </c>
      <c r="C674" s="30" t="s">
        <v>977</v>
      </c>
    </row>
    <row r="675" spans="1:3" x14ac:dyDescent="0.25">
      <c r="A675" s="40">
        <v>41177</v>
      </c>
      <c r="B675" s="126">
        <v>3.4791666666666672E-2</v>
      </c>
      <c r="C675" s="30" t="s">
        <v>978</v>
      </c>
    </row>
    <row r="676" spans="1:3" x14ac:dyDescent="0.25">
      <c r="A676" s="40">
        <v>41177</v>
      </c>
      <c r="B676" s="126">
        <v>3.4791666666666672E-2</v>
      </c>
      <c r="C676" s="30" t="s">
        <v>979</v>
      </c>
    </row>
    <row r="677" spans="1:3" x14ac:dyDescent="0.25">
      <c r="A677" s="40">
        <v>41177</v>
      </c>
      <c r="B677" s="126">
        <v>3.4791666666666672E-2</v>
      </c>
      <c r="C677" s="30" t="s">
        <v>975</v>
      </c>
    </row>
    <row r="678" spans="1:3" x14ac:dyDescent="0.25">
      <c r="A678" s="40">
        <v>41177</v>
      </c>
      <c r="B678" s="126">
        <v>3.4791666666666672E-2</v>
      </c>
      <c r="C678" s="30" t="s">
        <v>980</v>
      </c>
    </row>
    <row r="679" spans="1:3" x14ac:dyDescent="0.25">
      <c r="A679" s="40">
        <v>41177</v>
      </c>
      <c r="B679" s="126">
        <v>3.4791666666666672E-2</v>
      </c>
      <c r="C679" s="30" t="s">
        <v>981</v>
      </c>
    </row>
    <row r="680" spans="1:3" x14ac:dyDescent="0.25">
      <c r="A680" s="40">
        <v>41177</v>
      </c>
      <c r="B680" s="126">
        <v>3.4791666666666672E-2</v>
      </c>
      <c r="C680" s="30" t="s">
        <v>982</v>
      </c>
    </row>
    <row r="681" spans="1:3" x14ac:dyDescent="0.25">
      <c r="A681" s="40">
        <v>41177</v>
      </c>
      <c r="B681" s="126">
        <v>3.4791666666666672E-2</v>
      </c>
      <c r="C681" s="30" t="s">
        <v>983</v>
      </c>
    </row>
    <row r="682" spans="1:3" x14ac:dyDescent="0.25">
      <c r="A682" s="40">
        <v>41177</v>
      </c>
      <c r="B682" s="126">
        <v>3.4791666666666672E-2</v>
      </c>
      <c r="C682" s="30" t="s">
        <v>984</v>
      </c>
    </row>
    <row r="683" spans="1:3" x14ac:dyDescent="0.25">
      <c r="A683" s="40">
        <v>41177</v>
      </c>
      <c r="B683" s="126">
        <v>3.4791666666666672E-2</v>
      </c>
      <c r="C683" s="30" t="s">
        <v>985</v>
      </c>
    </row>
    <row r="684" spans="1:3" x14ac:dyDescent="0.25">
      <c r="A684" s="40">
        <v>41177</v>
      </c>
      <c r="B684" s="126">
        <v>3.4791666666666672E-2</v>
      </c>
      <c r="C684" s="30" t="s">
        <v>986</v>
      </c>
    </row>
    <row r="685" spans="1:3" x14ac:dyDescent="0.25">
      <c r="A685" s="40">
        <v>41177</v>
      </c>
      <c r="B685" s="126">
        <v>3.4791666666666672E-2</v>
      </c>
      <c r="C685" s="30" t="s">
        <v>987</v>
      </c>
    </row>
    <row r="686" spans="1:3" x14ac:dyDescent="0.25">
      <c r="A686" s="40">
        <v>41177</v>
      </c>
      <c r="B686" s="126">
        <v>3.4791666666666672E-2</v>
      </c>
      <c r="C686" s="30" t="s">
        <v>988</v>
      </c>
    </row>
    <row r="687" spans="1:3" x14ac:dyDescent="0.25">
      <c r="A687" s="40">
        <v>41177</v>
      </c>
      <c r="B687" s="126">
        <v>3.4791666666666672E-2</v>
      </c>
      <c r="C687" s="30" t="s">
        <v>988</v>
      </c>
    </row>
    <row r="688" spans="1:3" x14ac:dyDescent="0.25">
      <c r="A688" s="40">
        <v>41177</v>
      </c>
      <c r="B688" s="126">
        <v>3.4791666666666672E-2</v>
      </c>
      <c r="C688" s="30" t="s">
        <v>973</v>
      </c>
    </row>
    <row r="689" spans="1:3" x14ac:dyDescent="0.25">
      <c r="A689" s="40">
        <v>41177</v>
      </c>
      <c r="B689" s="126">
        <v>3.4791666666666672E-2</v>
      </c>
      <c r="C689" s="30" t="s">
        <v>989</v>
      </c>
    </row>
    <row r="690" spans="1:3" x14ac:dyDescent="0.25">
      <c r="A690" s="40">
        <v>41177</v>
      </c>
      <c r="B690" s="126">
        <v>3.4791666666666672E-2</v>
      </c>
      <c r="C690" s="30" t="s">
        <v>990</v>
      </c>
    </row>
    <row r="691" spans="1:3" x14ac:dyDescent="0.25">
      <c r="A691" s="40">
        <v>41177</v>
      </c>
      <c r="B691" s="126">
        <v>3.4791666666666672E-2</v>
      </c>
      <c r="C691" s="30" t="s">
        <v>991</v>
      </c>
    </row>
    <row r="692" spans="1:3" x14ac:dyDescent="0.25">
      <c r="A692" s="40">
        <v>41177</v>
      </c>
      <c r="B692" s="126">
        <v>3.4791666666666672E-2</v>
      </c>
      <c r="C692" s="30" t="s">
        <v>992</v>
      </c>
    </row>
    <row r="693" spans="1:3" x14ac:dyDescent="0.25">
      <c r="A693" s="40">
        <v>41177</v>
      </c>
      <c r="B693" s="126">
        <v>3.4791666666666672E-2</v>
      </c>
      <c r="C693" s="30" t="s">
        <v>993</v>
      </c>
    </row>
    <row r="694" spans="1:3" x14ac:dyDescent="0.25">
      <c r="A694" s="40">
        <v>41177</v>
      </c>
      <c r="B694" s="126">
        <v>3.4791666666666672E-2</v>
      </c>
      <c r="C694" s="30" t="s">
        <v>989</v>
      </c>
    </row>
    <row r="695" spans="1:3" x14ac:dyDescent="0.25">
      <c r="A695" s="40">
        <v>41177</v>
      </c>
      <c r="B695" s="126">
        <v>3.4791666666666672E-2</v>
      </c>
      <c r="C695" s="30" t="s">
        <v>994</v>
      </c>
    </row>
    <row r="696" spans="1:3" x14ac:dyDescent="0.25">
      <c r="A696" s="40">
        <v>41177</v>
      </c>
      <c r="B696" s="126">
        <v>3.4791666666666672E-2</v>
      </c>
      <c r="C696" s="30" t="s">
        <v>995</v>
      </c>
    </row>
    <row r="697" spans="1:3" x14ac:dyDescent="0.25">
      <c r="A697" s="40">
        <v>41177</v>
      </c>
      <c r="B697" s="126">
        <v>3.4791666666666672E-2</v>
      </c>
      <c r="C697" s="30" t="s">
        <v>985</v>
      </c>
    </row>
    <row r="698" spans="1:3" x14ac:dyDescent="0.25">
      <c r="A698" s="40">
        <v>41177</v>
      </c>
      <c r="B698" s="126">
        <v>3.4791666666666672E-2</v>
      </c>
      <c r="C698" s="30" t="s">
        <v>996</v>
      </c>
    </row>
    <row r="699" spans="1:3" x14ac:dyDescent="0.25">
      <c r="A699" s="40">
        <v>41177</v>
      </c>
      <c r="B699" s="126">
        <v>3.4791666666666672E-2</v>
      </c>
      <c r="C699" s="30" t="s">
        <v>997</v>
      </c>
    </row>
    <row r="700" spans="1:3" x14ac:dyDescent="0.25">
      <c r="A700" s="40">
        <v>41177</v>
      </c>
      <c r="B700" s="126">
        <v>3.4791666666666672E-2</v>
      </c>
      <c r="C700" s="30" t="s">
        <v>998</v>
      </c>
    </row>
    <row r="701" spans="1:3" x14ac:dyDescent="0.25">
      <c r="A701" s="40">
        <v>41177</v>
      </c>
      <c r="B701" s="126">
        <v>3.4791666666666672E-2</v>
      </c>
      <c r="C701" s="30" t="s">
        <v>999</v>
      </c>
    </row>
    <row r="702" spans="1:3" x14ac:dyDescent="0.25">
      <c r="A702" s="40">
        <v>41177</v>
      </c>
      <c r="B702" s="126">
        <v>3.4791666666666672E-2</v>
      </c>
      <c r="C702" s="30" t="s">
        <v>1000</v>
      </c>
    </row>
    <row r="703" spans="1:3" x14ac:dyDescent="0.25">
      <c r="A703" s="40">
        <v>41177</v>
      </c>
      <c r="B703" s="126">
        <v>3.4791666666666672E-2</v>
      </c>
      <c r="C703" s="30" t="s">
        <v>1001</v>
      </c>
    </row>
    <row r="704" spans="1:3" x14ac:dyDescent="0.25">
      <c r="A704" s="40">
        <v>41177</v>
      </c>
      <c r="B704" s="126">
        <v>3.4791666666666672E-2</v>
      </c>
      <c r="C704" s="30" t="s">
        <v>1002</v>
      </c>
    </row>
    <row r="705" spans="1:3" x14ac:dyDescent="0.25">
      <c r="A705" s="40">
        <v>41177</v>
      </c>
      <c r="B705" s="126">
        <v>3.4791666666666672E-2</v>
      </c>
      <c r="C705" s="30" t="s">
        <v>1003</v>
      </c>
    </row>
    <row r="706" spans="1:3" x14ac:dyDescent="0.25">
      <c r="A706" s="40">
        <v>41177</v>
      </c>
      <c r="B706" s="126">
        <v>3.4791666666666672E-2</v>
      </c>
      <c r="C706" s="30" t="s">
        <v>996</v>
      </c>
    </row>
    <row r="707" spans="1:3" x14ac:dyDescent="0.25">
      <c r="A707" s="40">
        <v>41177</v>
      </c>
      <c r="B707" s="126">
        <v>3.4791666666666672E-2</v>
      </c>
      <c r="C707" s="30" t="s">
        <v>1004</v>
      </c>
    </row>
    <row r="708" spans="1:3" x14ac:dyDescent="0.25">
      <c r="A708" s="40">
        <v>41177</v>
      </c>
      <c r="B708" s="126">
        <v>3.4791666666666672E-2</v>
      </c>
      <c r="C708" s="30" t="s">
        <v>1005</v>
      </c>
    </row>
    <row r="709" spans="1:3" x14ac:dyDescent="0.25">
      <c r="A709" s="40">
        <v>41177</v>
      </c>
      <c r="B709" s="126">
        <v>3.4791666666666672E-2</v>
      </c>
      <c r="C709" s="30" t="s">
        <v>1006</v>
      </c>
    </row>
    <row r="710" spans="1:3" x14ac:dyDescent="0.25">
      <c r="A710" s="40">
        <v>41177</v>
      </c>
      <c r="B710" s="126">
        <v>3.4791666666666672E-2</v>
      </c>
      <c r="C710" s="30" t="s">
        <v>1007</v>
      </c>
    </row>
    <row r="711" spans="1:3" x14ac:dyDescent="0.25">
      <c r="A711" s="40">
        <v>41177</v>
      </c>
      <c r="B711" s="126">
        <v>3.4791666666666672E-2</v>
      </c>
      <c r="C711" s="30" t="s">
        <v>1003</v>
      </c>
    </row>
    <row r="712" spans="1:3" x14ac:dyDescent="0.25">
      <c r="A712" s="40">
        <v>41177</v>
      </c>
      <c r="B712" s="126">
        <v>3.4791666666666672E-2</v>
      </c>
      <c r="C712" s="30" t="s">
        <v>1008</v>
      </c>
    </row>
    <row r="713" spans="1:3" x14ac:dyDescent="0.25">
      <c r="A713" s="40">
        <v>41177</v>
      </c>
      <c r="B713" s="126">
        <v>3.4791666666666672E-2</v>
      </c>
      <c r="C713" s="30" t="s">
        <v>1008</v>
      </c>
    </row>
    <row r="714" spans="1:3" x14ac:dyDescent="0.25">
      <c r="A714" s="40">
        <v>41177</v>
      </c>
      <c r="B714" s="126">
        <v>3.4791666666666672E-2</v>
      </c>
      <c r="C714" s="30" t="s">
        <v>1009</v>
      </c>
    </row>
    <row r="715" spans="1:3" x14ac:dyDescent="0.25">
      <c r="A715" s="40">
        <v>41177</v>
      </c>
      <c r="B715" s="126">
        <v>3.4791666666666672E-2</v>
      </c>
      <c r="C715" s="30" t="s">
        <v>996</v>
      </c>
    </row>
    <row r="716" spans="1:3" x14ac:dyDescent="0.25">
      <c r="A716" s="40">
        <v>41177</v>
      </c>
      <c r="B716" s="126">
        <v>3.4791666666666672E-2</v>
      </c>
      <c r="C716" s="30" t="s">
        <v>1010</v>
      </c>
    </row>
    <row r="717" spans="1:3" x14ac:dyDescent="0.25">
      <c r="A717" s="40">
        <v>41177</v>
      </c>
      <c r="B717" s="126">
        <v>3.4791666666666672E-2</v>
      </c>
      <c r="C717" s="30" t="s">
        <v>973</v>
      </c>
    </row>
    <row r="718" spans="1:3" x14ac:dyDescent="0.25">
      <c r="A718" s="40">
        <v>41177</v>
      </c>
      <c r="B718" s="126">
        <v>3.4791666666666672E-2</v>
      </c>
      <c r="C718" s="30" t="s">
        <v>1011</v>
      </c>
    </row>
    <row r="719" spans="1:3" x14ac:dyDescent="0.25">
      <c r="A719" s="40">
        <v>41177</v>
      </c>
      <c r="B719" s="126">
        <v>3.4791666666666672E-2</v>
      </c>
      <c r="C719" s="30" t="s">
        <v>1012</v>
      </c>
    </row>
    <row r="720" spans="1:3" x14ac:dyDescent="0.25">
      <c r="A720" s="40">
        <v>41177</v>
      </c>
      <c r="B720" s="126">
        <v>3.4791666666666672E-2</v>
      </c>
      <c r="C720" s="30" t="s">
        <v>1013</v>
      </c>
    </row>
    <row r="721" spans="1:3" x14ac:dyDescent="0.25">
      <c r="A721" s="40">
        <v>41177</v>
      </c>
      <c r="B721" s="126">
        <v>3.4791666666666672E-2</v>
      </c>
      <c r="C721" s="30" t="s">
        <v>996</v>
      </c>
    </row>
    <row r="722" spans="1:3" x14ac:dyDescent="0.25">
      <c r="A722" s="40">
        <v>41177</v>
      </c>
      <c r="B722" s="126">
        <v>3.4791666666666672E-2</v>
      </c>
      <c r="C722" s="30" t="s">
        <v>1014</v>
      </c>
    </row>
    <row r="723" spans="1:3" x14ac:dyDescent="0.25">
      <c r="A723" s="40">
        <v>41177</v>
      </c>
      <c r="B723" s="126">
        <v>3.4791666666666672E-2</v>
      </c>
      <c r="C723" s="30" t="s">
        <v>1015</v>
      </c>
    </row>
    <row r="724" spans="1:3" x14ac:dyDescent="0.25">
      <c r="A724" s="40">
        <v>41177</v>
      </c>
      <c r="B724" s="126">
        <v>3.4791666666666672E-2</v>
      </c>
      <c r="C724" s="30" t="s">
        <v>997</v>
      </c>
    </row>
    <row r="725" spans="1:3" x14ac:dyDescent="0.25">
      <c r="A725" s="40">
        <v>41177</v>
      </c>
      <c r="B725" s="126">
        <v>3.4791666666666672E-2</v>
      </c>
      <c r="C725" s="30" t="s">
        <v>1008</v>
      </c>
    </row>
    <row r="726" spans="1:3" x14ac:dyDescent="0.25">
      <c r="A726" s="40">
        <v>41177</v>
      </c>
      <c r="B726" s="126">
        <v>3.4791666666666672E-2</v>
      </c>
      <c r="C726" s="30" t="s">
        <v>1016</v>
      </c>
    </row>
    <row r="727" spans="1:3" x14ac:dyDescent="0.25">
      <c r="A727" s="40">
        <v>41177</v>
      </c>
      <c r="B727" s="126">
        <v>3.4791666666666672E-2</v>
      </c>
      <c r="C727" s="30" t="s">
        <v>1017</v>
      </c>
    </row>
    <row r="728" spans="1:3" x14ac:dyDescent="0.25">
      <c r="A728" s="40">
        <v>41177</v>
      </c>
      <c r="B728" s="126">
        <v>3.4791666666666672E-2</v>
      </c>
      <c r="C728" s="30" t="s">
        <v>1018</v>
      </c>
    </row>
    <row r="729" spans="1:3" x14ac:dyDescent="0.25">
      <c r="A729" s="40">
        <v>41177</v>
      </c>
      <c r="B729" s="126">
        <v>3.4791666666666672E-2</v>
      </c>
      <c r="C729" s="30" t="s">
        <v>1019</v>
      </c>
    </row>
    <row r="730" spans="1:3" x14ac:dyDescent="0.25">
      <c r="A730" s="40">
        <v>41177</v>
      </c>
      <c r="B730" s="126">
        <v>3.4791666666666672E-2</v>
      </c>
      <c r="C730" s="30" t="s">
        <v>1019</v>
      </c>
    </row>
    <row r="731" spans="1:3" x14ac:dyDescent="0.25">
      <c r="A731" s="40">
        <v>41177</v>
      </c>
      <c r="B731" s="126">
        <v>3.4791666666666672E-2</v>
      </c>
      <c r="C731" s="30" t="s">
        <v>1020</v>
      </c>
    </row>
    <row r="732" spans="1:3" x14ac:dyDescent="0.25">
      <c r="A732" s="40">
        <v>41177</v>
      </c>
      <c r="B732" s="126">
        <v>3.4791666666666672E-2</v>
      </c>
      <c r="C732" s="30" t="s">
        <v>1021</v>
      </c>
    </row>
    <row r="733" spans="1:3" x14ac:dyDescent="0.25">
      <c r="A733" s="40">
        <v>41177</v>
      </c>
      <c r="B733" s="126">
        <v>3.4791666666666672E-2</v>
      </c>
      <c r="C733" s="30" t="s">
        <v>1022</v>
      </c>
    </row>
    <row r="734" spans="1:3" x14ac:dyDescent="0.25">
      <c r="A734" s="40">
        <v>41177</v>
      </c>
      <c r="B734" s="126">
        <v>3.4791666666666672E-2</v>
      </c>
      <c r="C734" s="30" t="s">
        <v>1023</v>
      </c>
    </row>
    <row r="735" spans="1:3" x14ac:dyDescent="0.25">
      <c r="A735" s="40">
        <v>41177</v>
      </c>
      <c r="B735" s="126">
        <v>3.4791666666666672E-2</v>
      </c>
      <c r="C735" s="30" t="s">
        <v>985</v>
      </c>
    </row>
    <row r="736" spans="1:3" x14ac:dyDescent="0.25">
      <c r="A736" s="40">
        <v>41177</v>
      </c>
      <c r="B736" s="126">
        <v>3.4791666666666672E-2</v>
      </c>
      <c r="C736" s="30" t="s">
        <v>1024</v>
      </c>
    </row>
    <row r="737" spans="1:3" x14ac:dyDescent="0.25">
      <c r="A737" s="40">
        <v>41177</v>
      </c>
      <c r="B737" s="126">
        <v>3.4791666666666672E-2</v>
      </c>
      <c r="C737" s="30" t="s">
        <v>1025</v>
      </c>
    </row>
    <row r="738" spans="1:3" x14ac:dyDescent="0.25">
      <c r="A738" s="40">
        <v>41177</v>
      </c>
      <c r="B738" s="126">
        <v>3.4791666666666672E-2</v>
      </c>
      <c r="C738" s="30" t="s">
        <v>1026</v>
      </c>
    </row>
    <row r="739" spans="1:3" x14ac:dyDescent="0.25">
      <c r="A739" s="40">
        <v>41177</v>
      </c>
      <c r="B739" s="126">
        <v>3.4791666666666672E-2</v>
      </c>
      <c r="C739" s="30" t="s">
        <v>1027</v>
      </c>
    </row>
    <row r="740" spans="1:3" x14ac:dyDescent="0.25">
      <c r="A740" s="40">
        <v>41177</v>
      </c>
      <c r="B740" s="126">
        <v>3.4791666666666672E-2</v>
      </c>
      <c r="C740" s="30" t="s">
        <v>1028</v>
      </c>
    </row>
    <row r="741" spans="1:3" x14ac:dyDescent="0.25">
      <c r="A741" s="40">
        <v>41177</v>
      </c>
      <c r="B741" s="126">
        <v>3.4791666666666672E-2</v>
      </c>
      <c r="C741" s="30" t="s">
        <v>1029</v>
      </c>
    </row>
    <row r="742" spans="1:3" x14ac:dyDescent="0.25">
      <c r="A742" s="40">
        <v>41177</v>
      </c>
      <c r="B742" s="126">
        <v>3.4791666666666672E-2</v>
      </c>
      <c r="C742" s="30" t="s">
        <v>1029</v>
      </c>
    </row>
    <row r="743" spans="1:3" x14ac:dyDescent="0.25">
      <c r="A743" s="40">
        <v>41177</v>
      </c>
      <c r="B743" s="126">
        <v>3.4791666666666672E-2</v>
      </c>
      <c r="C743" s="30" t="s">
        <v>1029</v>
      </c>
    </row>
    <row r="744" spans="1:3" x14ac:dyDescent="0.25">
      <c r="A744" s="40">
        <v>41177</v>
      </c>
      <c r="B744" s="126">
        <v>3.4791666666666672E-2</v>
      </c>
      <c r="C744" s="30" t="s">
        <v>1029</v>
      </c>
    </row>
    <row r="745" spans="1:3" x14ac:dyDescent="0.25">
      <c r="A745" s="40">
        <v>41177</v>
      </c>
      <c r="B745" s="126">
        <v>3.4803240740740739E-2</v>
      </c>
      <c r="C745" s="30" t="s">
        <v>1029</v>
      </c>
    </row>
    <row r="746" spans="1:3" x14ac:dyDescent="0.25">
      <c r="A746" s="40">
        <v>41177</v>
      </c>
      <c r="B746" s="126">
        <v>3.4803240740740739E-2</v>
      </c>
      <c r="C746" s="30" t="s">
        <v>1029</v>
      </c>
    </row>
    <row r="747" spans="1:3" x14ac:dyDescent="0.25">
      <c r="A747" s="40">
        <v>41177</v>
      </c>
      <c r="B747" s="126">
        <v>3.4803240740740739E-2</v>
      </c>
      <c r="C747" s="30" t="s">
        <v>1008</v>
      </c>
    </row>
    <row r="748" spans="1:3" x14ac:dyDescent="0.25">
      <c r="A748" s="40">
        <v>41177</v>
      </c>
      <c r="B748" s="126">
        <v>3.4803240740740739E-2</v>
      </c>
      <c r="C748" s="30" t="s">
        <v>1024</v>
      </c>
    </row>
    <row r="749" spans="1:3" x14ac:dyDescent="0.25">
      <c r="A749" s="40">
        <v>41177</v>
      </c>
      <c r="B749" s="126">
        <v>3.4803240740740739E-2</v>
      </c>
      <c r="C749" s="30" t="s">
        <v>1030</v>
      </c>
    </row>
    <row r="750" spans="1:3" x14ac:dyDescent="0.25">
      <c r="A750" s="40">
        <v>41177</v>
      </c>
      <c r="B750" s="126">
        <v>3.4803240740740739E-2</v>
      </c>
      <c r="C750" s="30" t="s">
        <v>1031</v>
      </c>
    </row>
    <row r="751" spans="1:3" x14ac:dyDescent="0.25">
      <c r="A751" s="40">
        <v>41177</v>
      </c>
      <c r="B751" s="126">
        <v>4.2303240740740738E-2</v>
      </c>
      <c r="C751" s="30" t="s">
        <v>1035</v>
      </c>
    </row>
    <row r="752" spans="1:3" x14ac:dyDescent="0.25">
      <c r="A752" s="40">
        <v>41177</v>
      </c>
      <c r="B752" s="126">
        <v>4.2303240740740738E-2</v>
      </c>
      <c r="C752" s="30" t="s">
        <v>853</v>
      </c>
    </row>
    <row r="753" spans="1:3" x14ac:dyDescent="0.25">
      <c r="A753" s="40">
        <v>41177</v>
      </c>
      <c r="B753" s="126">
        <v>4.2326388888888893E-2</v>
      </c>
      <c r="C753" s="30" t="s">
        <v>854</v>
      </c>
    </row>
    <row r="754" spans="1:3" x14ac:dyDescent="0.25">
      <c r="A754" s="40">
        <v>41177</v>
      </c>
      <c r="B754" s="126">
        <v>4.2418981481481481E-2</v>
      </c>
      <c r="C754" s="30" t="s">
        <v>855</v>
      </c>
    </row>
    <row r="755" spans="1:3" x14ac:dyDescent="0.25">
      <c r="A755" s="40">
        <v>41177</v>
      </c>
      <c r="B755" s="126">
        <v>4.252314814814815E-2</v>
      </c>
      <c r="C755" s="30" t="s">
        <v>856</v>
      </c>
    </row>
    <row r="756" spans="1:3" x14ac:dyDescent="0.25">
      <c r="A756" s="40">
        <v>41177</v>
      </c>
      <c r="B756" s="126">
        <v>4.2569444444444444E-2</v>
      </c>
      <c r="C756" s="30" t="s">
        <v>857</v>
      </c>
    </row>
    <row r="757" spans="1:3" x14ac:dyDescent="0.25">
      <c r="A757" s="40">
        <v>41177</v>
      </c>
      <c r="B757" s="126">
        <v>4.2604166666666665E-2</v>
      </c>
      <c r="C757" s="30" t="s">
        <v>825</v>
      </c>
    </row>
    <row r="758" spans="1:3" x14ac:dyDescent="0.25">
      <c r="A758" s="40">
        <v>41177</v>
      </c>
      <c r="B758" s="126">
        <v>4.2743055555555555E-2</v>
      </c>
      <c r="C758" s="30" t="s">
        <v>827</v>
      </c>
    </row>
    <row r="759" spans="1:3" x14ac:dyDescent="0.25">
      <c r="A759" s="40">
        <v>41177</v>
      </c>
      <c r="B759" s="126">
        <v>4.313657407407407E-2</v>
      </c>
      <c r="C759" s="30" t="s">
        <v>828</v>
      </c>
    </row>
    <row r="760" spans="1:3" x14ac:dyDescent="0.25">
      <c r="A760" s="40">
        <v>41177</v>
      </c>
      <c r="B760" s="126">
        <v>4.3750000000000004E-2</v>
      </c>
      <c r="C760" s="30" t="s">
        <v>1036</v>
      </c>
    </row>
    <row r="761" spans="1:3" x14ac:dyDescent="0.25">
      <c r="A761" s="40">
        <v>41177</v>
      </c>
      <c r="B761" s="126">
        <v>4.3750000000000004E-2</v>
      </c>
      <c r="C761" s="30" t="s">
        <v>728</v>
      </c>
    </row>
    <row r="762" spans="1:3" x14ac:dyDescent="0.25">
      <c r="A762" s="40">
        <v>41177</v>
      </c>
      <c r="B762" s="126">
        <v>4.3773148148148144E-2</v>
      </c>
      <c r="C762" s="30" t="s">
        <v>729</v>
      </c>
    </row>
    <row r="763" spans="1:3" x14ac:dyDescent="0.25">
      <c r="A763" s="40">
        <v>41177</v>
      </c>
      <c r="B763" s="126">
        <v>4.3807870370370372E-2</v>
      </c>
      <c r="C763" s="30" t="s">
        <v>730</v>
      </c>
    </row>
    <row r="764" spans="1:3" x14ac:dyDescent="0.25">
      <c r="A764" s="40">
        <v>41177</v>
      </c>
      <c r="B764" s="126">
        <v>4.3854166666666666E-2</v>
      </c>
      <c r="C764" s="30" t="s">
        <v>860</v>
      </c>
    </row>
    <row r="765" spans="1:3" x14ac:dyDescent="0.25">
      <c r="A765" s="40">
        <v>41177</v>
      </c>
      <c r="B765" s="126">
        <v>4.3900462962962961E-2</v>
      </c>
      <c r="C765" s="30" t="s">
        <v>726</v>
      </c>
    </row>
    <row r="766" spans="1:3" x14ac:dyDescent="0.25">
      <c r="A766" s="40">
        <v>41177</v>
      </c>
      <c r="B766" s="126">
        <v>4.3923611111111115E-2</v>
      </c>
      <c r="C766" s="30" t="s">
        <v>845</v>
      </c>
    </row>
    <row r="767" spans="1:3" x14ac:dyDescent="0.25">
      <c r="A767" s="40">
        <v>41177</v>
      </c>
      <c r="B767" s="126">
        <v>4.3993055555555556E-2</v>
      </c>
      <c r="C767" s="30" t="s">
        <v>737</v>
      </c>
    </row>
    <row r="768" spans="1:3" x14ac:dyDescent="0.25">
      <c r="A768" s="40">
        <v>41177</v>
      </c>
      <c r="B768" s="126">
        <v>4.4027777777777777E-2</v>
      </c>
      <c r="C768" s="30" t="s">
        <v>738</v>
      </c>
    </row>
    <row r="769" spans="1:3" x14ac:dyDescent="0.25">
      <c r="A769" s="40">
        <v>41177</v>
      </c>
      <c r="B769" s="126">
        <v>4.4050925925925931E-2</v>
      </c>
      <c r="C769" s="30" t="s">
        <v>739</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90"/>
  <sheetViews>
    <sheetView tabSelected="1" topLeftCell="A70" workbookViewId="0">
      <selection activeCell="E94" sqref="E94"/>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29" s="335" customFormat="1" ht="15.75" thickBot="1" x14ac:dyDescent="0.3">
      <c r="A1" s="449">
        <v>41163</v>
      </c>
    </row>
    <row r="2" spans="1:29" s="335" customFormat="1" ht="19.5" x14ac:dyDescent="0.3">
      <c r="C2" s="336" t="s">
        <v>740</v>
      </c>
    </row>
    <row r="3" spans="1:29" s="335" customFormat="1" x14ac:dyDescent="0.25"/>
    <row r="4" spans="1:29" s="335" customFormat="1" ht="15.75" thickBot="1" x14ac:dyDescent="0.3">
      <c r="A4" s="335" t="s">
        <v>824</v>
      </c>
    </row>
    <row r="5" spans="1:29" s="335" customFormat="1" ht="34.5" thickBot="1" x14ac:dyDescent="0.3">
      <c r="A5" s="337" t="s">
        <v>741</v>
      </c>
      <c r="B5" s="338" t="s">
        <v>584</v>
      </c>
      <c r="C5" s="338" t="s">
        <v>742</v>
      </c>
      <c r="D5" s="339" t="s">
        <v>595</v>
      </c>
      <c r="E5" s="340"/>
      <c r="F5" s="341" t="s">
        <v>68</v>
      </c>
      <c r="G5" s="342" t="s">
        <v>67</v>
      </c>
      <c r="H5" s="341" t="s">
        <v>66</v>
      </c>
      <c r="I5" s="343" t="s">
        <v>65</v>
      </c>
      <c r="J5" s="344" t="s">
        <v>743</v>
      </c>
      <c r="K5" s="344" t="s">
        <v>744</v>
      </c>
      <c r="L5" s="344" t="s">
        <v>745</v>
      </c>
      <c r="M5" s="345" t="s">
        <v>746</v>
      </c>
      <c r="N5" s="345" t="s">
        <v>747</v>
      </c>
      <c r="O5" s="345" t="s">
        <v>748</v>
      </c>
      <c r="P5" s="345" t="s">
        <v>749</v>
      </c>
      <c r="Q5" s="345" t="s">
        <v>750</v>
      </c>
      <c r="R5" s="344" t="s">
        <v>0</v>
      </c>
      <c r="S5" s="343" t="s">
        <v>2</v>
      </c>
      <c r="T5" s="343" t="s">
        <v>751</v>
      </c>
      <c r="U5" s="343" t="s">
        <v>752</v>
      </c>
      <c r="V5" s="343" t="s">
        <v>1</v>
      </c>
      <c r="W5" s="343" t="s">
        <v>753</v>
      </c>
      <c r="X5" s="343" t="s">
        <v>754</v>
      </c>
      <c r="Y5" s="341" t="s">
        <v>62</v>
      </c>
      <c r="Z5" s="343" t="s">
        <v>64</v>
      </c>
      <c r="AA5" s="344" t="s">
        <v>61</v>
      </c>
      <c r="AB5" s="343" t="s">
        <v>63</v>
      </c>
      <c r="AC5" s="343" t="s">
        <v>57</v>
      </c>
    </row>
    <row r="6" spans="1:29" s="335" customFormat="1" x14ac:dyDescent="0.25">
      <c r="A6" s="346" t="s">
        <v>202</v>
      </c>
      <c r="B6" s="347" t="str">
        <f>IF(C6="","",1)</f>
        <v/>
      </c>
      <c r="C6" s="348"/>
      <c r="D6" s="348"/>
      <c r="E6" s="349" t="str">
        <f>TRIM(F6)&amp;TRIM(I6)&amp;ROUND(R6/1000,0)</f>
        <v>0</v>
      </c>
    </row>
    <row r="7" spans="1:29" s="335" customFormat="1" x14ac:dyDescent="0.25">
      <c r="A7" s="350">
        <v>0.5</v>
      </c>
      <c r="B7" s="350">
        <v>1.2</v>
      </c>
      <c r="C7" s="335">
        <v>0.5</v>
      </c>
      <c r="D7" s="350">
        <v>0.5</v>
      </c>
      <c r="E7" s="351">
        <v>0.3</v>
      </c>
      <c r="F7" s="352">
        <v>12.5</v>
      </c>
      <c r="G7" s="352">
        <v>8</v>
      </c>
      <c r="H7" s="352">
        <v>12.8</v>
      </c>
      <c r="I7" s="352">
        <v>20</v>
      </c>
      <c r="J7" s="352">
        <v>0</v>
      </c>
      <c r="K7" s="352">
        <v>0</v>
      </c>
      <c r="L7" s="352">
        <v>0</v>
      </c>
      <c r="M7" s="352">
        <v>0</v>
      </c>
      <c r="N7" s="352">
        <v>0</v>
      </c>
      <c r="O7" s="352">
        <v>0</v>
      </c>
      <c r="P7" s="352">
        <v>0</v>
      </c>
      <c r="Q7" s="352">
        <v>0</v>
      </c>
      <c r="R7" s="352">
        <v>10</v>
      </c>
      <c r="S7" s="352">
        <v>40</v>
      </c>
      <c r="T7" s="352">
        <v>0</v>
      </c>
      <c r="U7" s="352">
        <v>0</v>
      </c>
      <c r="V7" s="352">
        <v>10</v>
      </c>
      <c r="W7" s="352">
        <v>0</v>
      </c>
      <c r="X7" s="352">
        <v>0</v>
      </c>
      <c r="Y7" s="352">
        <v>8</v>
      </c>
      <c r="Z7" s="352">
        <v>8</v>
      </c>
      <c r="AA7" s="352">
        <v>10</v>
      </c>
      <c r="AB7" s="352">
        <v>5</v>
      </c>
      <c r="AC7" s="352">
        <v>15</v>
      </c>
    </row>
    <row r="8" spans="1:29" s="335" customFormat="1" x14ac:dyDescent="0.25"/>
    <row r="9" spans="1:29" s="335" customFormat="1" x14ac:dyDescent="0.25">
      <c r="A9" s="335" t="s">
        <v>823</v>
      </c>
    </row>
    <row r="10" spans="1:29" s="335" customFormat="1" ht="15.75" thickBot="1" x14ac:dyDescent="0.3">
      <c r="B10" s="335" t="s">
        <v>755</v>
      </c>
      <c r="C10" s="335" t="s">
        <v>756</v>
      </c>
      <c r="D10" s="335" t="s">
        <v>756</v>
      </c>
      <c r="E10" s="335" t="s">
        <v>756</v>
      </c>
      <c r="F10" s="335" t="s">
        <v>756</v>
      </c>
      <c r="H10" s="335" t="s">
        <v>756</v>
      </c>
      <c r="I10" s="335" t="s">
        <v>756</v>
      </c>
      <c r="J10" s="335" t="s">
        <v>756</v>
      </c>
      <c r="K10" s="335" t="s">
        <v>756</v>
      </c>
      <c r="R10" s="353" t="s">
        <v>755</v>
      </c>
    </row>
    <row r="11" spans="1:29" s="335" customFormat="1" ht="15.75" thickBot="1" x14ac:dyDescent="0.3">
      <c r="A11" s="533">
        <f>1 - COUNTIF(A$3:A9,"")/COUNTA(A$3:A9)</f>
        <v>0.4</v>
      </c>
      <c r="B11" s="534"/>
      <c r="C11" s="534"/>
      <c r="D11" s="535"/>
      <c r="E11" s="354"/>
      <c r="F11" s="355">
        <f>SUMIF(B$1:B7,"",R$1:R7)</f>
        <v>0</v>
      </c>
      <c r="G11" s="356">
        <f>F11/R11</f>
        <v>0</v>
      </c>
      <c r="H11" s="357">
        <f>1-G11</f>
        <v>1</v>
      </c>
      <c r="I11" s="358" t="s">
        <v>757</v>
      </c>
      <c r="J11" s="359"/>
      <c r="K11" s="360"/>
      <c r="L11" s="361"/>
      <c r="M11" s="361"/>
      <c r="N11" s="361"/>
      <c r="O11" s="361"/>
      <c r="P11" s="361"/>
      <c r="Q11" s="361"/>
      <c r="R11" s="355">
        <f>SUM(R$3:R9)</f>
        <v>10</v>
      </c>
    </row>
    <row r="12" spans="1:29" s="335" customFormat="1" x14ac:dyDescent="0.25"/>
    <row r="13" spans="1:29" s="335" customFormat="1" ht="15.75" thickBot="1" x14ac:dyDescent="0.3">
      <c r="A13" s="335" t="s">
        <v>829</v>
      </c>
    </row>
    <row r="14" spans="1:29" s="373" customFormat="1" ht="60" thickBot="1" x14ac:dyDescent="0.3">
      <c r="A14" s="259" t="s">
        <v>839</v>
      </c>
      <c r="B14" s="362" t="s">
        <v>758</v>
      </c>
      <c r="C14" s="363" t="s">
        <v>759</v>
      </c>
      <c r="D14" s="363" t="s">
        <v>760</v>
      </c>
      <c r="E14" s="364" t="s">
        <v>761</v>
      </c>
      <c r="F14" s="365" t="s">
        <v>762</v>
      </c>
      <c r="G14" s="366" t="s">
        <v>763</v>
      </c>
      <c r="H14" s="367" t="s">
        <v>764</v>
      </c>
      <c r="I14" s="368"/>
      <c r="J14" s="369"/>
      <c r="K14" s="370" t="s">
        <v>610</v>
      </c>
      <c r="L14" s="370"/>
      <c r="M14" s="371" t="s">
        <v>611</v>
      </c>
      <c r="N14" s="369" t="s">
        <v>751</v>
      </c>
      <c r="O14" s="369" t="s">
        <v>1</v>
      </c>
      <c r="P14" s="369" t="s">
        <v>58</v>
      </c>
      <c r="Q14" s="369" t="s">
        <v>765</v>
      </c>
      <c r="R14" s="369" t="s">
        <v>766</v>
      </c>
      <c r="S14" s="369" t="s">
        <v>767</v>
      </c>
      <c r="T14" s="370" t="s">
        <v>768</v>
      </c>
      <c r="U14" s="372" t="s">
        <v>769</v>
      </c>
      <c r="V14" s="372" t="s">
        <v>770</v>
      </c>
      <c r="W14" s="372" t="s">
        <v>771</v>
      </c>
      <c r="X14" s="369" t="s">
        <v>772</v>
      </c>
      <c r="Y14" s="369" t="s">
        <v>773</v>
      </c>
      <c r="Z14" s="369" t="s">
        <v>57</v>
      </c>
      <c r="AA14" s="369" t="s">
        <v>774</v>
      </c>
    </row>
    <row r="15" spans="1:29" s="335" customFormat="1" ht="18" customHeight="1" x14ac:dyDescent="0.25">
      <c r="A15" s="260" t="s">
        <v>840</v>
      </c>
      <c r="B15" s="374" t="s">
        <v>70</v>
      </c>
      <c r="C15" s="375" t="s">
        <v>785</v>
      </c>
      <c r="D15" s="376"/>
      <c r="E15" s="377">
        <v>1</v>
      </c>
      <c r="F15" s="378" t="str">
        <f>IF(AND(U15=W15,W15&gt;0),"1","")</f>
        <v/>
      </c>
      <c r="G15" s="379" t="str">
        <f>IF(U15=V15,"1","")</f>
        <v/>
      </c>
      <c r="H15" s="380"/>
      <c r="I15" s="381" t="str">
        <f>IF(S15="",TRIM(K15),TRIM(MID(S15,9,55))&amp;"/"&amp;TRIM(K15))</f>
        <v>2009-1-065</v>
      </c>
      <c r="J15" s="382"/>
      <c r="K15" s="383" t="s">
        <v>775</v>
      </c>
      <c r="L15" s="383"/>
      <c r="M15" s="384">
        <v>40058</v>
      </c>
      <c r="N15" s="382" t="s">
        <v>11</v>
      </c>
      <c r="O15" s="382" t="s">
        <v>80</v>
      </c>
      <c r="P15" s="382" t="s">
        <v>776</v>
      </c>
      <c r="Q15" s="382"/>
      <c r="R15" s="382" t="s">
        <v>777</v>
      </c>
      <c r="S15" s="382"/>
      <c r="T15" s="383" t="s">
        <v>100</v>
      </c>
      <c r="U15" s="385">
        <v>324000</v>
      </c>
      <c r="V15" s="385">
        <v>0</v>
      </c>
      <c r="W15" s="385">
        <v>0</v>
      </c>
      <c r="X15" s="382" t="s">
        <v>45</v>
      </c>
      <c r="Y15" s="386"/>
      <c r="Z15" s="386" t="s">
        <v>778</v>
      </c>
      <c r="AA15" s="382" t="s">
        <v>779</v>
      </c>
    </row>
    <row r="16" spans="1:29" s="335" customFormat="1" x14ac:dyDescent="0.25">
      <c r="A16" s="259" t="s">
        <v>841</v>
      </c>
      <c r="B16" s="350">
        <v>0.5</v>
      </c>
      <c r="C16" s="350">
        <v>8</v>
      </c>
      <c r="D16" s="335">
        <v>6</v>
      </c>
      <c r="E16" s="350">
        <v>5</v>
      </c>
      <c r="F16" s="351">
        <v>2</v>
      </c>
      <c r="G16" s="350">
        <v>2</v>
      </c>
      <c r="H16" s="350">
        <v>2</v>
      </c>
      <c r="I16" s="335">
        <v>0.5</v>
      </c>
      <c r="J16" s="335">
        <v>0.5</v>
      </c>
      <c r="K16" s="350">
        <v>10</v>
      </c>
      <c r="L16" s="352">
        <v>0.7</v>
      </c>
      <c r="M16" s="352">
        <v>10</v>
      </c>
      <c r="N16" s="352">
        <v>7</v>
      </c>
      <c r="O16" s="352">
        <v>10</v>
      </c>
      <c r="P16" s="352">
        <v>20</v>
      </c>
      <c r="Q16" s="352">
        <v>12</v>
      </c>
      <c r="R16" s="352">
        <v>12</v>
      </c>
      <c r="S16" s="352">
        <v>10</v>
      </c>
      <c r="T16" s="352">
        <v>8</v>
      </c>
      <c r="U16" s="387">
        <v>12</v>
      </c>
      <c r="V16" s="352">
        <v>11</v>
      </c>
      <c r="W16" s="352">
        <v>11</v>
      </c>
      <c r="X16" s="352">
        <v>10</v>
      </c>
      <c r="Y16" s="352">
        <v>12</v>
      </c>
      <c r="Z16" s="352">
        <v>20</v>
      </c>
      <c r="AA16" s="352">
        <v>10</v>
      </c>
    </row>
    <row r="17" spans="1:27" s="335" customFormat="1" x14ac:dyDescent="0.25">
      <c r="A17" s="259" t="s">
        <v>842</v>
      </c>
      <c r="B17" s="350">
        <v>15</v>
      </c>
      <c r="C17" s="350">
        <v>8</v>
      </c>
      <c r="D17" s="335">
        <v>8</v>
      </c>
      <c r="E17" s="350"/>
      <c r="F17" s="351"/>
      <c r="G17" s="350"/>
      <c r="H17" s="350">
        <v>8</v>
      </c>
      <c r="K17" s="350"/>
      <c r="L17" s="352"/>
      <c r="M17" s="352"/>
      <c r="N17" s="352"/>
      <c r="O17" s="352"/>
      <c r="P17" s="352"/>
      <c r="Q17" s="352"/>
      <c r="R17" s="352"/>
      <c r="S17" s="352"/>
      <c r="T17" s="352"/>
      <c r="U17" s="387"/>
      <c r="V17" s="352"/>
      <c r="W17" s="352"/>
      <c r="X17" s="352"/>
      <c r="Y17" s="352"/>
      <c r="Z17" s="352"/>
      <c r="AA17" s="352"/>
    </row>
    <row r="18" spans="1:27" s="335" customFormat="1" x14ac:dyDescent="0.25">
      <c r="A18" s="259" t="s">
        <v>843</v>
      </c>
      <c r="B18" s="350"/>
      <c r="C18" s="350"/>
      <c r="E18" s="350"/>
      <c r="F18" s="351"/>
      <c r="G18" s="350"/>
      <c r="H18" s="350"/>
      <c r="K18" s="350"/>
      <c r="L18" s="352"/>
      <c r="M18" s="352"/>
      <c r="N18" s="352"/>
      <c r="O18" s="352"/>
      <c r="P18" s="352"/>
      <c r="Q18" s="352"/>
      <c r="R18" s="352"/>
      <c r="S18" s="352"/>
      <c r="T18" s="352"/>
      <c r="U18" s="387"/>
      <c r="V18" s="352"/>
      <c r="W18" s="352"/>
      <c r="X18" s="352"/>
      <c r="Y18" s="352"/>
      <c r="Z18" s="352"/>
      <c r="AA18" s="352"/>
    </row>
    <row r="19" spans="1:27" s="335" customFormat="1" x14ac:dyDescent="0.25">
      <c r="A19" s="259" t="s">
        <v>844</v>
      </c>
      <c r="B19" s="350" t="s">
        <v>835</v>
      </c>
      <c r="C19" s="350" t="s">
        <v>848</v>
      </c>
      <c r="D19" s="335" t="s">
        <v>846</v>
      </c>
      <c r="E19" s="350"/>
      <c r="F19" s="351"/>
      <c r="G19" s="350"/>
      <c r="H19" s="350" t="s">
        <v>847</v>
      </c>
      <c r="K19" s="350"/>
      <c r="L19" s="352"/>
      <c r="M19" s="352"/>
      <c r="N19" s="352"/>
      <c r="O19" s="352"/>
      <c r="P19" s="352"/>
      <c r="Q19" s="352"/>
      <c r="R19" s="352"/>
      <c r="S19" s="352"/>
      <c r="T19" s="352"/>
      <c r="U19" s="387"/>
      <c r="V19" s="352"/>
      <c r="W19" s="352"/>
      <c r="X19" s="352"/>
      <c r="Y19" s="352"/>
      <c r="Z19" s="352"/>
      <c r="AA19" s="352"/>
    </row>
    <row r="20" spans="1:27" s="335" customFormat="1" x14ac:dyDescent="0.25">
      <c r="A20" s="350"/>
      <c r="B20" s="350"/>
      <c r="D20" s="350"/>
      <c r="E20" s="351"/>
      <c r="F20" s="352"/>
      <c r="G20" s="352"/>
      <c r="H20" s="352"/>
      <c r="I20" s="352"/>
      <c r="J20" s="352"/>
      <c r="K20" s="352"/>
      <c r="L20" s="352"/>
      <c r="M20" s="352"/>
      <c r="N20" s="352"/>
      <c r="O20" s="352"/>
      <c r="P20" s="352"/>
      <c r="Q20" s="352"/>
      <c r="R20" s="352"/>
      <c r="S20" s="352"/>
      <c r="T20" s="352"/>
      <c r="U20" s="352"/>
      <c r="V20" s="352"/>
      <c r="W20" s="352"/>
      <c r="X20" s="352"/>
      <c r="Y20" s="352"/>
      <c r="Z20" s="352"/>
    </row>
    <row r="21" spans="1:27" s="335" customFormat="1" x14ac:dyDescent="0.25">
      <c r="A21" s="335" t="s">
        <v>830</v>
      </c>
    </row>
    <row r="22" spans="1:27" s="402" customFormat="1" ht="15" customHeight="1" thickBot="1" x14ac:dyDescent="0.3">
      <c r="A22" s="388"/>
      <c r="B22" s="389"/>
      <c r="C22" s="390"/>
      <c r="D22" s="390"/>
      <c r="E22" s="391"/>
      <c r="F22" s="392"/>
      <c r="G22" s="393"/>
      <c r="H22" s="393"/>
      <c r="I22" s="394"/>
      <c r="J22" s="395"/>
      <c r="K22" s="395"/>
      <c r="L22" s="396"/>
      <c r="M22" s="394"/>
      <c r="N22" s="397"/>
      <c r="O22" s="397"/>
      <c r="P22" s="398"/>
      <c r="Q22" s="398"/>
      <c r="R22" s="398"/>
      <c r="S22" s="399"/>
      <c r="T22" s="400"/>
      <c r="U22" s="400"/>
      <c r="V22" s="400"/>
      <c r="W22" s="398"/>
      <c r="X22" s="401"/>
      <c r="Y22" s="401"/>
      <c r="Z22" s="398"/>
    </row>
    <row r="23" spans="1:27" s="402" customFormat="1" ht="15" customHeight="1" x14ac:dyDescent="0.25">
      <c r="A23" s="388"/>
      <c r="B23" s="403" t="s">
        <v>780</v>
      </c>
      <c r="C23" s="454">
        <f>COUNTIF(B$1:B20,B23)</f>
        <v>0</v>
      </c>
      <c r="D23" s="462" t="e">
        <f>C23/C28</f>
        <v>#DIV/0!</v>
      </c>
      <c r="E23" s="404"/>
      <c r="F23" s="392"/>
      <c r="G23" s="393"/>
      <c r="H23" s="393"/>
      <c r="I23" s="405"/>
      <c r="J23" s="455">
        <f>SUMIF(B$3:B20,B23,T$3:T27)</f>
        <v>0</v>
      </c>
      <c r="K23" s="466"/>
      <c r="L23" s="467" t="e">
        <f>J23/J28</f>
        <v>#DIV/0!</v>
      </c>
      <c r="M23" s="397"/>
      <c r="N23" s="397"/>
      <c r="O23" s="397"/>
      <c r="P23" s="398"/>
      <c r="Q23" s="398"/>
      <c r="R23" s="398"/>
      <c r="S23" s="399" t="s">
        <v>757</v>
      </c>
      <c r="T23" s="407">
        <f>SUM(T$1:T22)</f>
        <v>8</v>
      </c>
      <c r="U23" s="407">
        <f>SUM(U$1:U22)</f>
        <v>324012</v>
      </c>
      <c r="V23" s="407">
        <f>SUM(V$1:V22)</f>
        <v>21</v>
      </c>
      <c r="W23" s="398" t="s">
        <v>781</v>
      </c>
      <c r="X23" s="401"/>
      <c r="Y23" s="401"/>
      <c r="Z23" s="398"/>
    </row>
    <row r="24" spans="1:27" s="402" customFormat="1" ht="15" customHeight="1" x14ac:dyDescent="0.25">
      <c r="A24" s="388"/>
      <c r="B24" s="408" t="s">
        <v>782</v>
      </c>
      <c r="C24" s="456">
        <f>COUNTIF(B$1:B20,B24)</f>
        <v>0</v>
      </c>
      <c r="D24" s="463" t="e">
        <f>C24/C28</f>
        <v>#DIV/0!</v>
      </c>
      <c r="E24" s="404"/>
      <c r="F24" s="392"/>
      <c r="G24" s="393"/>
      <c r="H24" s="393"/>
      <c r="I24" s="405"/>
      <c r="J24" s="457">
        <f>SUMIF(B$3:B23,B24,T$3:T28)</f>
        <v>0</v>
      </c>
      <c r="K24" s="468"/>
      <c r="L24" s="469" t="e">
        <f>J24/J28</f>
        <v>#DIV/0!</v>
      </c>
      <c r="M24" s="397"/>
      <c r="N24" s="397"/>
      <c r="O24" s="397"/>
      <c r="S24" s="409"/>
      <c r="T24" s="410"/>
      <c r="U24" s="410"/>
      <c r="V24" s="410"/>
      <c r="X24" s="411"/>
      <c r="Y24" s="411"/>
    </row>
    <row r="25" spans="1:27" s="402" customFormat="1" ht="15" customHeight="1" x14ac:dyDescent="0.25">
      <c r="A25" s="388"/>
      <c r="B25" s="412" t="s">
        <v>783</v>
      </c>
      <c r="C25" s="458">
        <f>COUNTIF(B$1:B20,B25)</f>
        <v>0</v>
      </c>
      <c r="D25" s="464" t="e">
        <f>C25/C28</f>
        <v>#DIV/0!</v>
      </c>
      <c r="E25" s="404"/>
      <c r="F25" s="392"/>
      <c r="G25" s="393"/>
      <c r="H25" s="393"/>
      <c r="I25" s="405"/>
      <c r="J25" s="459">
        <f>SUMIF(B$3:B24,B25,T$3:T28)</f>
        <v>0</v>
      </c>
      <c r="K25" s="470"/>
      <c r="L25" s="471" t="e">
        <f>J25/J28</f>
        <v>#DIV/0!</v>
      </c>
      <c r="M25" s="394"/>
      <c r="N25" s="397"/>
      <c r="O25" s="397"/>
      <c r="S25" s="409"/>
      <c r="T25" s="410"/>
      <c r="U25" s="410"/>
      <c r="V25" s="410"/>
      <c r="X25" s="411"/>
      <c r="Y25" s="411"/>
    </row>
    <row r="26" spans="1:27" s="402" customFormat="1" ht="15" customHeight="1" thickBot="1" x14ac:dyDescent="0.3">
      <c r="A26" s="388"/>
      <c r="B26" s="413" t="s">
        <v>784</v>
      </c>
      <c r="C26" s="460">
        <f>COUNTIF(B$1:B23,B26)</f>
        <v>0</v>
      </c>
      <c r="D26" s="465" t="e">
        <f>C26/C28</f>
        <v>#DIV/0!</v>
      </c>
      <c r="E26" s="404"/>
      <c r="F26" s="392"/>
      <c r="G26" s="393"/>
      <c r="H26" s="393"/>
      <c r="I26" s="405"/>
      <c r="J26" s="461">
        <f>SUMIF(B$3:B25,B26,T$3:T28)</f>
        <v>0</v>
      </c>
      <c r="K26" s="472"/>
      <c r="L26" s="473" t="e">
        <f>J26/J28</f>
        <v>#DIV/0!</v>
      </c>
      <c r="M26" s="394"/>
      <c r="N26" s="397"/>
      <c r="O26" s="397"/>
      <c r="S26" s="409"/>
      <c r="T26" s="410"/>
      <c r="U26" s="410"/>
      <c r="V26" s="410"/>
      <c r="X26" s="411"/>
      <c r="Y26" s="411"/>
    </row>
    <row r="27" spans="1:27" s="402" customFormat="1" ht="15" customHeight="1" thickTop="1" thickBot="1" x14ac:dyDescent="0.3">
      <c r="A27" s="414"/>
      <c r="B27" s="415" t="s">
        <v>785</v>
      </c>
      <c r="C27" s="416">
        <f>COUNTIF(B$1:B20,B27)</f>
        <v>0</v>
      </c>
      <c r="D27" s="417" t="e">
        <f>C27/C28</f>
        <v>#DIV/0!</v>
      </c>
      <c r="E27" s="418"/>
      <c r="F27" s="419"/>
      <c r="G27" s="420"/>
      <c r="H27" s="420"/>
      <c r="I27" s="421"/>
      <c r="J27" s="474">
        <f>SUMIF(B$3:B26,B27,T$3:T28)</f>
        <v>0</v>
      </c>
      <c r="K27" s="475"/>
      <c r="L27" s="476" t="e">
        <f>J27/J28</f>
        <v>#DIV/0!</v>
      </c>
      <c r="M27" s="422"/>
      <c r="N27" s="422"/>
      <c r="O27" s="422"/>
      <c r="S27" s="409"/>
      <c r="T27" s="410"/>
      <c r="U27" s="410"/>
      <c r="V27" s="410"/>
      <c r="X27" s="411"/>
      <c r="Y27" s="411"/>
    </row>
    <row r="28" spans="1:27" s="402" customFormat="1" ht="15" customHeight="1" x14ac:dyDescent="0.25">
      <c r="A28" s="388"/>
      <c r="B28" s="423"/>
      <c r="C28" s="424">
        <f>SUM(C23:C27)</f>
        <v>0</v>
      </c>
      <c r="D28" s="390"/>
      <c r="E28" s="404"/>
      <c r="F28" s="392"/>
      <c r="G28" s="393"/>
      <c r="H28" s="393"/>
      <c r="I28" s="405"/>
      <c r="J28" s="425">
        <f>SUM(J23:J27)</f>
        <v>0</v>
      </c>
      <c r="K28" s="406"/>
      <c r="L28" s="426"/>
      <c r="M28" s="394"/>
      <c r="N28" s="397"/>
      <c r="O28" s="397"/>
      <c r="S28" s="409"/>
      <c r="T28" s="410"/>
      <c r="U28" s="410"/>
      <c r="V28" s="410"/>
      <c r="X28" s="411"/>
      <c r="Y28" s="411"/>
    </row>
    <row r="29" spans="1:27" s="335" customFormat="1" x14ac:dyDescent="0.25">
      <c r="A29" s="350"/>
      <c r="B29" s="350"/>
      <c r="D29" s="350"/>
      <c r="E29" s="351"/>
      <c r="F29" s="352"/>
      <c r="G29" s="352"/>
      <c r="H29" s="352"/>
      <c r="I29" s="352"/>
      <c r="J29" s="352"/>
      <c r="K29" s="352"/>
      <c r="L29" s="352"/>
      <c r="M29" s="352"/>
      <c r="N29" s="352"/>
      <c r="O29" s="352"/>
      <c r="P29" s="352"/>
      <c r="Q29" s="352"/>
      <c r="R29" s="352"/>
      <c r="S29" s="352"/>
      <c r="T29" s="352"/>
      <c r="U29" s="352"/>
      <c r="V29" s="352"/>
      <c r="W29" s="352"/>
      <c r="X29" s="352"/>
      <c r="Y29" s="352"/>
      <c r="Z29" s="352"/>
    </row>
    <row r="30" spans="1:27" s="335" customFormat="1" x14ac:dyDescent="0.25">
      <c r="A30" s="427" t="s">
        <v>786</v>
      </c>
    </row>
    <row r="31" spans="1:27" s="335" customFormat="1" ht="17.25" x14ac:dyDescent="0.4">
      <c r="A31" s="428" t="s">
        <v>741</v>
      </c>
      <c r="B31" s="429"/>
    </row>
    <row r="32" spans="1:27" s="335" customFormat="1" ht="17.25" x14ac:dyDescent="0.4">
      <c r="A32" s="430"/>
      <c r="B32" s="429"/>
    </row>
    <row r="33" spans="1:9" s="335" customFormat="1" x14ac:dyDescent="0.25">
      <c r="A33" s="350">
        <v>0.5</v>
      </c>
      <c r="B33" s="350"/>
    </row>
    <row r="34" spans="1:9" s="335" customFormat="1" x14ac:dyDescent="0.25"/>
    <row r="35" spans="1:9" s="335" customFormat="1" ht="15.75" thickBot="1" x14ac:dyDescent="0.3">
      <c r="A35" s="335" t="s">
        <v>787</v>
      </c>
    </row>
    <row r="36" spans="1:9" s="335" customFormat="1" ht="15.75" thickBot="1" x14ac:dyDescent="0.3">
      <c r="A36" s="431">
        <f>COUNTIF(A$3:A31," ")</f>
        <v>0</v>
      </c>
      <c r="B36" s="432"/>
    </row>
    <row r="37" spans="1:9" s="335" customFormat="1" ht="15.75" x14ac:dyDescent="0.3">
      <c r="C37" s="433"/>
      <c r="D37" s="434"/>
    </row>
    <row r="38" spans="1:9" s="335" customFormat="1" x14ac:dyDescent="0.25">
      <c r="A38" s="335" t="s">
        <v>788</v>
      </c>
    </row>
    <row r="39" spans="1:9" s="335" customFormat="1" x14ac:dyDescent="0.25">
      <c r="A39" s="435" t="s">
        <v>789</v>
      </c>
      <c r="B39" s="435" t="s">
        <v>790</v>
      </c>
      <c r="C39" s="435" t="s">
        <v>791</v>
      </c>
      <c r="D39" s="435" t="s">
        <v>792</v>
      </c>
      <c r="E39" s="435" t="s">
        <v>793</v>
      </c>
      <c r="F39" s="435" t="s">
        <v>794</v>
      </c>
      <c r="G39" s="435" t="s">
        <v>795</v>
      </c>
      <c r="H39" s="435" t="s">
        <v>796</v>
      </c>
      <c r="I39" s="435" t="s">
        <v>797</v>
      </c>
    </row>
    <row r="40" spans="1:9" s="335" customFormat="1" x14ac:dyDescent="0.25">
      <c r="A40" s="335" t="s">
        <v>798</v>
      </c>
      <c r="B40" s="335" t="s">
        <v>799</v>
      </c>
      <c r="D40" s="350" t="s">
        <v>584</v>
      </c>
      <c r="E40" s="350">
        <v>1</v>
      </c>
      <c r="F40" s="335" t="s">
        <v>800</v>
      </c>
      <c r="G40" s="335" t="s">
        <v>801</v>
      </c>
      <c r="H40" s="335" t="s">
        <v>577</v>
      </c>
      <c r="I40" s="335" t="s">
        <v>802</v>
      </c>
    </row>
    <row r="41" spans="1:9" s="450" customFormat="1" ht="7.5" customHeight="1" x14ac:dyDescent="0.25">
      <c r="D41" s="451"/>
      <c r="E41" s="451"/>
    </row>
    <row r="42" spans="1:9" s="434" customFormat="1" ht="19.5" x14ac:dyDescent="0.3">
      <c r="A42" s="335"/>
      <c r="C42" s="436" t="s">
        <v>803</v>
      </c>
    </row>
    <row r="43" spans="1:9" s="434" customFormat="1" x14ac:dyDescent="0.25"/>
    <row r="44" spans="1:9" s="434" customFormat="1" x14ac:dyDescent="0.25">
      <c r="A44" s="434" t="s">
        <v>804</v>
      </c>
    </row>
    <row r="45" spans="1:9" s="434" customFormat="1" ht="17.25" x14ac:dyDescent="0.4">
      <c r="A45" s="429" t="s">
        <v>805</v>
      </c>
      <c r="B45" s="437" t="s">
        <v>806</v>
      </c>
      <c r="E45" s="434" t="s">
        <v>807</v>
      </c>
    </row>
    <row r="46" spans="1:9" s="434" customFormat="1" x14ac:dyDescent="0.25">
      <c r="A46" s="438">
        <v>4240</v>
      </c>
      <c r="B46" s="439" t="str">
        <f>IF(D47="&lt;&lt;ПУСТО&gt;&gt;",C47&amp;ROUND(F47/1000,0),D47&amp;C47&amp;ROUND(F47/1000,0))</f>
        <v>0</v>
      </c>
      <c r="E46" s="434" t="s">
        <v>808</v>
      </c>
    </row>
    <row r="47" spans="1:9" s="434" customFormat="1" x14ac:dyDescent="0.25">
      <c r="A47" s="440">
        <v>8</v>
      </c>
      <c r="B47" s="440">
        <v>1</v>
      </c>
      <c r="E47" s="434" t="s">
        <v>809</v>
      </c>
    </row>
    <row r="48" spans="1:9" s="434" customFormat="1" x14ac:dyDescent="0.25"/>
    <row r="49" spans="1:9" s="434" customFormat="1" ht="15.75" thickBot="1" x14ac:dyDescent="0.3">
      <c r="A49" s="434" t="s">
        <v>810</v>
      </c>
    </row>
    <row r="50" spans="1:9" s="434" customFormat="1" ht="15.75" x14ac:dyDescent="0.3">
      <c r="A50" s="441">
        <f>(SUMIF(A$42:A46,0,F$42:F46)-F50)/1000000</f>
        <v>0</v>
      </c>
      <c r="B50" s="432"/>
      <c r="C50" s="433"/>
      <c r="E50" s="442" t="s">
        <v>811</v>
      </c>
      <c r="F50" s="443">
        <f>SUMIF(I$42:I47,"Наталья Константиновна Лидер",F$42:F47)</f>
        <v>0</v>
      </c>
    </row>
    <row r="51" spans="1:9" s="434" customFormat="1" ht="16.5" thickBot="1" x14ac:dyDescent="0.35">
      <c r="A51" s="444">
        <f>COUNTIF(A$42:A46,0)-F51</f>
        <v>0</v>
      </c>
      <c r="B51" s="432"/>
      <c r="C51" s="433" t="s">
        <v>628</v>
      </c>
      <c r="E51" s="445"/>
      <c r="F51" s="446">
        <f>COUNTIF(I$42:I52,"Наталья Константиновна Лидер")</f>
        <v>0</v>
      </c>
    </row>
    <row r="52" spans="1:9" s="434" customFormat="1" x14ac:dyDescent="0.25"/>
    <row r="53" spans="1:9" s="434" customFormat="1" x14ac:dyDescent="0.25">
      <c r="A53" s="434" t="s">
        <v>812</v>
      </c>
    </row>
    <row r="54" spans="1:9" s="434" customFormat="1" ht="17.25" x14ac:dyDescent="0.4">
      <c r="A54" s="429" t="s">
        <v>805</v>
      </c>
      <c r="B54" s="429" t="s">
        <v>813</v>
      </c>
      <c r="E54" s="434" t="s">
        <v>807</v>
      </c>
    </row>
    <row r="55" spans="1:9" s="434" customFormat="1" x14ac:dyDescent="0.25">
      <c r="A55" s="430" t="str">
        <f>IFERROR(MATCH(B55,#REF!,0),IF(L56="Не состоялся","-"," "))</f>
        <v xml:space="preserve"> </v>
      </c>
      <c r="B55" s="447" t="str">
        <f>IF(E55="",D55,E55&amp;"/"&amp;D55)</f>
        <v>Match=&lt;номер строки Договора1С&gt;/</v>
      </c>
      <c r="E55" s="434" t="s">
        <v>814</v>
      </c>
    </row>
    <row r="56" spans="1:9" s="434" customFormat="1" x14ac:dyDescent="0.25">
      <c r="A56" s="440">
        <v>10</v>
      </c>
      <c r="B56" s="440">
        <v>1</v>
      </c>
      <c r="E56" s="434" t="s">
        <v>815</v>
      </c>
    </row>
    <row r="57" spans="1:9" s="434" customFormat="1" x14ac:dyDescent="0.25"/>
    <row r="58" spans="1:9" s="434" customFormat="1" ht="15.75" thickBot="1" x14ac:dyDescent="0.3">
      <c r="A58" s="434" t="s">
        <v>816</v>
      </c>
    </row>
    <row r="59" spans="1:9" s="434" customFormat="1" ht="15.75" thickBot="1" x14ac:dyDescent="0.3">
      <c r="A59" s="431">
        <f>COUNTIF(A$43:A54,0)</f>
        <v>2</v>
      </c>
      <c r="B59" s="432"/>
    </row>
    <row r="60" spans="1:9" s="434" customFormat="1" ht="15.75" x14ac:dyDescent="0.3">
      <c r="C60" s="433"/>
    </row>
    <row r="61" spans="1:9" s="434" customFormat="1" x14ac:dyDescent="0.25">
      <c r="A61" s="434" t="s">
        <v>788</v>
      </c>
    </row>
    <row r="62" spans="1:9" s="434" customFormat="1" x14ac:dyDescent="0.25">
      <c r="A62" s="448" t="s">
        <v>789</v>
      </c>
      <c r="B62" s="448" t="s">
        <v>790</v>
      </c>
      <c r="C62" s="448" t="s">
        <v>791</v>
      </c>
      <c r="D62" s="448" t="s">
        <v>792</v>
      </c>
      <c r="E62" s="448" t="s">
        <v>793</v>
      </c>
      <c r="F62" s="448" t="s">
        <v>794</v>
      </c>
      <c r="G62" s="448" t="s">
        <v>795</v>
      </c>
      <c r="H62" s="448" t="s">
        <v>796</v>
      </c>
      <c r="I62" s="448" t="s">
        <v>797</v>
      </c>
    </row>
    <row r="63" spans="1:9" s="434" customFormat="1" x14ac:dyDescent="0.25">
      <c r="A63" s="434" t="s">
        <v>798</v>
      </c>
      <c r="B63" s="434" t="s">
        <v>799</v>
      </c>
      <c r="D63" s="440" t="s">
        <v>584</v>
      </c>
      <c r="E63" s="440">
        <v>1</v>
      </c>
      <c r="F63" s="434" t="s">
        <v>800</v>
      </c>
      <c r="G63" s="434" t="s">
        <v>801</v>
      </c>
      <c r="H63" s="434" t="s">
        <v>577</v>
      </c>
      <c r="I63" s="434" t="s">
        <v>802</v>
      </c>
    </row>
    <row r="64" spans="1:9" s="450" customFormat="1" ht="7.5" customHeight="1" x14ac:dyDescent="0.25">
      <c r="D64" s="451"/>
      <c r="E64" s="451"/>
    </row>
    <row r="65" spans="1:23" s="335" customFormat="1" ht="19.5" x14ac:dyDescent="0.3">
      <c r="C65" s="336" t="s">
        <v>817</v>
      </c>
    </row>
    <row r="67" spans="1:23" ht="15.75" thickBot="1" x14ac:dyDescent="0.3">
      <c r="A67" s="34"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4" t="s">
        <v>267</v>
      </c>
      <c r="B70" s="34"/>
      <c r="C70" s="34"/>
      <c r="D70" s="34"/>
      <c r="E70" s="34"/>
      <c r="F70" s="34"/>
      <c r="G70" s="34"/>
      <c r="H70" s="34"/>
      <c r="I70" s="34"/>
      <c r="J70" s="34"/>
    </row>
    <row r="71" spans="1:23" ht="15.75" thickBot="1" x14ac:dyDescent="0.3">
      <c r="A71" s="4" t="s">
        <v>206</v>
      </c>
      <c r="B71" s="4" t="s">
        <v>207</v>
      </c>
      <c r="C71" s="4" t="s">
        <v>208</v>
      </c>
      <c r="D71" s="4" t="s">
        <v>209</v>
      </c>
      <c r="E71" s="4" t="s">
        <v>122</v>
      </c>
      <c r="F71" s="4" t="s">
        <v>210</v>
      </c>
      <c r="G71" s="4" t="s">
        <v>211</v>
      </c>
      <c r="H71" s="4" t="s">
        <v>212</v>
      </c>
      <c r="I71" s="4" t="s">
        <v>355</v>
      </c>
      <c r="J71" s="4" t="s">
        <v>354</v>
      </c>
      <c r="K71" s="4" t="s">
        <v>259</v>
      </c>
      <c r="L71" s="4" t="s">
        <v>266</v>
      </c>
    </row>
    <row r="73" spans="1:23" ht="15.75" thickBot="1" x14ac:dyDescent="0.3">
      <c r="A73" s="34" t="s">
        <v>944</v>
      </c>
    </row>
    <row r="74" spans="1:23" ht="15.75" thickBot="1" x14ac:dyDescent="0.3">
      <c r="A74" s="259" t="s">
        <v>698</v>
      </c>
      <c r="B74" s="4" t="s">
        <v>119</v>
      </c>
      <c r="C74" s="4" t="s">
        <v>120</v>
      </c>
      <c r="D74" s="4" t="s">
        <v>121</v>
      </c>
      <c r="E74" s="4" t="s">
        <v>122</v>
      </c>
      <c r="F74" s="4" t="s">
        <v>123</v>
      </c>
      <c r="G74" s="3" t="s">
        <v>118</v>
      </c>
      <c r="H74" s="68" t="s">
        <v>116</v>
      </c>
    </row>
    <row r="75" spans="1:23" s="1" customFormat="1" x14ac:dyDescent="0.25">
      <c r="A75" s="260" t="s">
        <v>604</v>
      </c>
      <c r="I75" s="149"/>
      <c r="J75" s="149"/>
      <c r="K75" s="12"/>
      <c r="L75" s="10"/>
      <c r="M75" s="16"/>
      <c r="N75"/>
      <c r="O75"/>
      <c r="P75"/>
      <c r="Q75"/>
      <c r="R75"/>
      <c r="S75"/>
      <c r="T75"/>
      <c r="U75"/>
      <c r="V75"/>
      <c r="W75"/>
    </row>
    <row r="76" spans="1:23" x14ac:dyDescent="0.25">
      <c r="A76" s="259" t="s">
        <v>699</v>
      </c>
      <c r="B76" s="149" t="s">
        <v>113</v>
      </c>
      <c r="C76" s="149" t="s">
        <v>113</v>
      </c>
      <c r="D76" s="149" t="s">
        <v>113</v>
      </c>
      <c r="E76" s="149" t="s">
        <v>113</v>
      </c>
      <c r="F76" s="149" t="s">
        <v>244</v>
      </c>
      <c r="G76" s="149" t="s">
        <v>113</v>
      </c>
      <c r="H76" s="149" t="s">
        <v>129</v>
      </c>
      <c r="I76" s="149"/>
      <c r="J76" s="149"/>
      <c r="K76" s="149"/>
      <c r="L76" s="149"/>
      <c r="M76" s="149"/>
    </row>
    <row r="77" spans="1:23" x14ac:dyDescent="0.25">
      <c r="A77" s="259" t="s">
        <v>700</v>
      </c>
      <c r="B77" s="149" t="s">
        <v>127</v>
      </c>
      <c r="C77" s="149" t="s">
        <v>112</v>
      </c>
      <c r="D77" s="149" t="s">
        <v>129</v>
      </c>
      <c r="E77" s="149" t="s">
        <v>111</v>
      </c>
      <c r="F77" s="149" t="s">
        <v>945</v>
      </c>
      <c r="G77" s="522" t="s">
        <v>115</v>
      </c>
      <c r="H77" s="522" t="s">
        <v>115</v>
      </c>
      <c r="I77" s="149"/>
      <c r="J77" s="149"/>
      <c r="K77" s="149"/>
      <c r="L77" s="149"/>
      <c r="M77" s="149"/>
    </row>
    <row r="78" spans="1:23" x14ac:dyDescent="0.25">
      <c r="A78" s="259" t="s">
        <v>701</v>
      </c>
      <c r="E78" t="s">
        <v>900</v>
      </c>
      <c r="I78" s="96"/>
      <c r="M78" s="96"/>
      <c r="N78" s="96"/>
      <c r="O78" s="500"/>
      <c r="P78" s="96"/>
    </row>
    <row r="79" spans="1:23" x14ac:dyDescent="0.25">
      <c r="A79" s="259" t="s">
        <v>899</v>
      </c>
      <c r="E79" s="257"/>
      <c r="G79" s="257" t="s">
        <v>950</v>
      </c>
      <c r="H79" s="257" t="s">
        <v>951</v>
      </c>
      <c r="I79" s="350"/>
      <c r="N79" s="258"/>
      <c r="R79" s="501"/>
      <c r="S79" s="501"/>
      <c r="T79" s="501"/>
      <c r="U79" s="501"/>
      <c r="V79" s="501"/>
    </row>
    <row r="81" spans="1:23" ht="15.75" thickBot="1" x14ac:dyDescent="0.3">
      <c r="A81" s="34" t="s">
        <v>697</v>
      </c>
    </row>
    <row r="82" spans="1:23" s="261" customFormat="1" ht="15.75" thickBot="1" x14ac:dyDescent="0.3">
      <c r="A82" s="259" t="s">
        <v>698</v>
      </c>
      <c r="B82" s="262" t="s">
        <v>152</v>
      </c>
      <c r="C82" s="262" t="s">
        <v>120</v>
      </c>
      <c r="D82" s="263" t="s">
        <v>153</v>
      </c>
      <c r="E82" s="263" t="s">
        <v>154</v>
      </c>
      <c r="F82" s="263" t="s">
        <v>155</v>
      </c>
      <c r="G82" s="263" t="s">
        <v>156</v>
      </c>
      <c r="H82" s="264" t="s">
        <v>157</v>
      </c>
      <c r="I82" s="265" t="s">
        <v>158</v>
      </c>
      <c r="J82" s="263" t="s">
        <v>159</v>
      </c>
      <c r="K82" s="264" t="s">
        <v>160</v>
      </c>
      <c r="L82" s="264" t="s">
        <v>161</v>
      </c>
      <c r="M82" s="266" t="s">
        <v>122</v>
      </c>
      <c r="N82" s="267" t="s">
        <v>162</v>
      </c>
      <c r="O82" s="267" t="s">
        <v>163</v>
      </c>
      <c r="P82" s="268" t="s">
        <v>164</v>
      </c>
      <c r="Q82" s="268" t="s">
        <v>165</v>
      </c>
      <c r="R82" s="269" t="s">
        <v>166</v>
      </c>
      <c r="S82" s="269" t="s">
        <v>167</v>
      </c>
      <c r="T82" s="269" t="s">
        <v>168</v>
      </c>
      <c r="U82" s="269" t="s">
        <v>169</v>
      </c>
      <c r="V82" s="269" t="s">
        <v>170</v>
      </c>
    </row>
    <row r="83" spans="1:23" s="1" customFormat="1" x14ac:dyDescent="0.25">
      <c r="A83" s="260" t="s">
        <v>604</v>
      </c>
      <c r="B83" s="10" t="s">
        <v>125</v>
      </c>
      <c r="C83" s="11">
        <v>40918</v>
      </c>
      <c r="D83" s="12" t="s">
        <v>11</v>
      </c>
      <c r="E83" s="13"/>
      <c r="F83" s="12" t="s">
        <v>98</v>
      </c>
      <c r="G83" s="14"/>
      <c r="H83" s="12" t="s">
        <v>99</v>
      </c>
      <c r="I83" s="15"/>
      <c r="J83" s="12" t="s">
        <v>79</v>
      </c>
      <c r="K83" s="12"/>
      <c r="L83" s="10" t="s">
        <v>100</v>
      </c>
      <c r="M83" s="16">
        <v>130000</v>
      </c>
      <c r="N83" s="17" t="s">
        <v>45</v>
      </c>
      <c r="O83" s="499" t="s">
        <v>17</v>
      </c>
      <c r="P83" s="18"/>
      <c r="Q83" s="19"/>
      <c r="R83" s="20"/>
      <c r="S83" s="20"/>
      <c r="T83" s="20"/>
      <c r="U83" s="20"/>
      <c r="V83" s="20"/>
      <c r="W83" s="498"/>
    </row>
    <row r="84" spans="1:23" x14ac:dyDescent="0.25">
      <c r="A84" s="259" t="s">
        <v>699</v>
      </c>
      <c r="B84" s="149">
        <v>10</v>
      </c>
      <c r="C84" s="149">
        <v>10</v>
      </c>
      <c r="D84" s="149" t="s">
        <v>112</v>
      </c>
      <c r="E84" s="149" t="s">
        <v>70</v>
      </c>
      <c r="F84" s="149" t="s">
        <v>112</v>
      </c>
      <c r="G84" s="149" t="s">
        <v>70</v>
      </c>
      <c r="H84" s="149">
        <v>10</v>
      </c>
      <c r="I84" s="149" t="s">
        <v>70</v>
      </c>
      <c r="J84" s="149" t="s">
        <v>112</v>
      </c>
      <c r="K84" s="149">
        <v>10</v>
      </c>
      <c r="L84" s="149" t="s">
        <v>94</v>
      </c>
      <c r="M84" s="149" t="s">
        <v>133</v>
      </c>
      <c r="N84" s="149" t="s">
        <v>112</v>
      </c>
      <c r="O84" s="149" t="s">
        <v>91</v>
      </c>
      <c r="P84" s="149" t="s">
        <v>92</v>
      </c>
      <c r="Q84" s="149" t="s">
        <v>91</v>
      </c>
      <c r="R84" s="149" t="s">
        <v>113</v>
      </c>
      <c r="S84" s="149" t="s">
        <v>113</v>
      </c>
      <c r="T84" s="149" t="s">
        <v>112</v>
      </c>
      <c r="U84" s="149" t="s">
        <v>92</v>
      </c>
      <c r="V84" s="149" t="s">
        <v>92</v>
      </c>
    </row>
    <row r="85" spans="1:23" x14ac:dyDescent="0.25">
      <c r="A85" s="259" t="s">
        <v>700</v>
      </c>
      <c r="B85" s="149">
        <v>10</v>
      </c>
      <c r="C85" s="149">
        <v>12</v>
      </c>
      <c r="D85" s="149" t="s">
        <v>132</v>
      </c>
      <c r="E85" s="149" t="s">
        <v>132</v>
      </c>
      <c r="F85" s="149" t="s">
        <v>131</v>
      </c>
      <c r="G85" s="149" t="s">
        <v>131</v>
      </c>
      <c r="H85" s="149" t="s">
        <v>110</v>
      </c>
      <c r="I85" s="149" t="s">
        <v>70</v>
      </c>
      <c r="J85" s="149" t="s">
        <v>128</v>
      </c>
      <c r="K85" s="149">
        <v>18</v>
      </c>
      <c r="L85" s="149" t="s">
        <v>134</v>
      </c>
      <c r="M85" s="149" t="s">
        <v>244</v>
      </c>
      <c r="N85" s="149" t="s">
        <v>695</v>
      </c>
      <c r="O85" s="149" t="s">
        <v>695</v>
      </c>
      <c r="P85" s="149" t="s">
        <v>695</v>
      </c>
      <c r="Q85" s="149">
        <v>12</v>
      </c>
      <c r="R85" s="149" t="s">
        <v>70</v>
      </c>
      <c r="S85" s="149" t="s">
        <v>70</v>
      </c>
      <c r="T85" s="149" t="s">
        <v>70</v>
      </c>
      <c r="U85" s="149" t="s">
        <v>70</v>
      </c>
      <c r="V85" s="149" t="s">
        <v>70</v>
      </c>
    </row>
    <row r="86" spans="1:23" x14ac:dyDescent="0.25">
      <c r="A86" s="259" t="s">
        <v>701</v>
      </c>
      <c r="E86" s="257" t="s">
        <v>897</v>
      </c>
      <c r="G86" s="257" t="s">
        <v>898</v>
      </c>
      <c r="I86" s="96"/>
      <c r="M86" s="96" t="s">
        <v>900</v>
      </c>
      <c r="N86" s="96"/>
      <c r="O86" s="500" t="s">
        <v>901</v>
      </c>
      <c r="P86" s="96" t="s">
        <v>908</v>
      </c>
    </row>
    <row r="87" spans="1:23" x14ac:dyDescent="0.25">
      <c r="A87" s="259" t="s">
        <v>899</v>
      </c>
      <c r="E87" s="257"/>
      <c r="G87" s="257"/>
      <c r="I87" s="350"/>
      <c r="N87" s="258"/>
      <c r="R87" s="501" t="s">
        <v>906</v>
      </c>
      <c r="S87" s="501" t="s">
        <v>907</v>
      </c>
      <c r="T87" s="501" t="s">
        <v>903</v>
      </c>
      <c r="U87" s="501" t="s">
        <v>904</v>
      </c>
      <c r="V87" s="501" t="s">
        <v>905</v>
      </c>
    </row>
    <row r="89" spans="1:23" ht="15.75" thickBot="1" x14ac:dyDescent="0.3">
      <c r="A89" s="34" t="s">
        <v>253</v>
      </c>
    </row>
    <row r="90" spans="1:23" ht="16.5" thickBot="1" x14ac:dyDescent="0.3">
      <c r="A90" s="37">
        <v>40954</v>
      </c>
      <c r="B90" s="38" t="s">
        <v>216</v>
      </c>
      <c r="D90" s="39">
        <v>1</v>
      </c>
    </row>
    <row r="92" spans="1:23" ht="15.75" thickBot="1" x14ac:dyDescent="0.3">
      <c r="A92" s="34" t="s">
        <v>254</v>
      </c>
      <c r="B92" s="34"/>
      <c r="C92" s="34"/>
      <c r="D92" s="34"/>
      <c r="E92" s="34"/>
      <c r="F92" s="34"/>
      <c r="G92" s="34"/>
      <c r="H92" s="34"/>
      <c r="I92" s="34"/>
      <c r="J92" s="34"/>
    </row>
    <row r="93" spans="1:23" ht="15.75" thickBot="1" x14ac:dyDescent="0.3">
      <c r="A93" s="3" t="s">
        <v>118</v>
      </c>
      <c r="B93" s="3" t="s">
        <v>117</v>
      </c>
      <c r="J93" s="35"/>
    </row>
    <row r="95" spans="1:23" ht="15.75" thickBot="1" x14ac:dyDescent="0.3">
      <c r="A95" s="34" t="s">
        <v>255</v>
      </c>
      <c r="B95" s="34"/>
      <c r="C95" s="34"/>
      <c r="D95" s="34"/>
      <c r="E95" s="34"/>
      <c r="F95" s="34"/>
      <c r="G95" s="34"/>
      <c r="H95" s="34"/>
      <c r="I95" s="34"/>
      <c r="J95" s="34"/>
    </row>
    <row r="96" spans="1:23" ht="15.75" thickBot="1" x14ac:dyDescent="0.3">
      <c r="A96" s="3" t="s">
        <v>124</v>
      </c>
      <c r="B96" s="3" t="s">
        <v>256</v>
      </c>
      <c r="J96" s="35"/>
    </row>
    <row r="98" spans="1:22" ht="15.75" thickBot="1" x14ac:dyDescent="0.3">
      <c r="A98" s="34" t="s">
        <v>341</v>
      </c>
      <c r="B98" s="34"/>
      <c r="C98" s="34"/>
      <c r="D98" s="34"/>
      <c r="E98" s="34"/>
      <c r="F98" s="34"/>
      <c r="G98" s="34"/>
      <c r="H98" s="34"/>
      <c r="I98" s="34"/>
      <c r="J98" s="34"/>
    </row>
    <row r="99" spans="1:22" ht="15.75" thickBot="1" x14ac:dyDescent="0.3">
      <c r="A99" s="4" t="s">
        <v>342</v>
      </c>
      <c r="B99" s="4" t="s">
        <v>343</v>
      </c>
      <c r="C99" s="4" t="s">
        <v>209</v>
      </c>
      <c r="D99" s="4" t="s">
        <v>351</v>
      </c>
      <c r="E99" s="4" t="s">
        <v>166</v>
      </c>
      <c r="F99" s="4" t="s">
        <v>167</v>
      </c>
      <c r="G99" s="4" t="s">
        <v>168</v>
      </c>
      <c r="H99" s="4" t="s">
        <v>169</v>
      </c>
      <c r="I99" s="4" t="s">
        <v>170</v>
      </c>
      <c r="J99" s="4" t="s">
        <v>344</v>
      </c>
      <c r="K99" s="4" t="s">
        <v>345</v>
      </c>
      <c r="L99" s="4" t="s">
        <v>346</v>
      </c>
      <c r="M99" s="4" t="s">
        <v>347</v>
      </c>
      <c r="N99" s="122" t="s">
        <v>348</v>
      </c>
      <c r="O99" s="122" t="s">
        <v>349</v>
      </c>
      <c r="P99" s="122" t="s">
        <v>350</v>
      </c>
      <c r="Q99" s="122" t="s">
        <v>568</v>
      </c>
      <c r="R99" s="122" t="s">
        <v>567</v>
      </c>
      <c r="S99" s="122" t="s">
        <v>569</v>
      </c>
      <c r="T99" s="122" t="s">
        <v>570</v>
      </c>
      <c r="U99" s="122" t="s">
        <v>571</v>
      </c>
      <c r="V99" s="124" t="s">
        <v>561</v>
      </c>
    </row>
    <row r="101" spans="1:22" ht="15.75" thickBot="1" x14ac:dyDescent="0.3">
      <c r="A101" s="34" t="s">
        <v>576</v>
      </c>
    </row>
    <row r="102" spans="1:22" ht="15.75" thickBot="1" x14ac:dyDescent="0.3">
      <c r="A102" s="122" t="s">
        <v>137</v>
      </c>
      <c r="B102" s="122" t="s">
        <v>377</v>
      </c>
      <c r="C102" s="122" t="s">
        <v>351</v>
      </c>
      <c r="D102" s="122" t="s">
        <v>348</v>
      </c>
      <c r="E102" s="122" t="s">
        <v>166</v>
      </c>
      <c r="F102" s="122" t="s">
        <v>167</v>
      </c>
      <c r="G102" s="122" t="s">
        <v>168</v>
      </c>
      <c r="H102" s="122" t="s">
        <v>169</v>
      </c>
      <c r="I102" s="122" t="s">
        <v>170</v>
      </c>
      <c r="J102" s="122" t="s">
        <v>568</v>
      </c>
      <c r="K102" s="122" t="s">
        <v>567</v>
      </c>
      <c r="L102" s="122" t="s">
        <v>569</v>
      </c>
      <c r="M102" s="122" t="s">
        <v>570</v>
      </c>
      <c r="N102" s="122" t="s">
        <v>571</v>
      </c>
    </row>
    <row r="104" spans="1:22" ht="15.75" thickBot="1" x14ac:dyDescent="0.3">
      <c r="A104" s="34" t="s">
        <v>574</v>
      </c>
    </row>
    <row r="105" spans="1:22" ht="15.75" thickBot="1" x14ac:dyDescent="0.3">
      <c r="A105" s="4" t="s">
        <v>352</v>
      </c>
      <c r="B105" s="4" t="s">
        <v>377</v>
      </c>
      <c r="C105" s="122" t="s">
        <v>575</v>
      </c>
    </row>
    <row r="106" spans="1:22" x14ac:dyDescent="0.25">
      <c r="A106" s="123" t="s">
        <v>110</v>
      </c>
      <c r="B106" s="123" t="s">
        <v>135</v>
      </c>
      <c r="C106" s="123" t="s">
        <v>111</v>
      </c>
    </row>
    <row r="107" spans="1:22" x14ac:dyDescent="0.25">
      <c r="A107" s="30"/>
      <c r="B107" s="30"/>
    </row>
    <row r="108" spans="1:22" ht="15.75" thickBot="1" x14ac:dyDescent="0.3">
      <c r="A108" s="69" t="s">
        <v>365</v>
      </c>
      <c r="B108" s="30"/>
    </row>
    <row r="109" spans="1:22" ht="15.75" thickBot="1" x14ac:dyDescent="0.3">
      <c r="A109" s="4" t="s">
        <v>352</v>
      </c>
      <c r="B109" s="4" t="s">
        <v>168</v>
      </c>
      <c r="C109" s="63"/>
    </row>
    <row r="111" spans="1:22" ht="15.75" thickBot="1" x14ac:dyDescent="0.3">
      <c r="A111" s="69" t="s">
        <v>547</v>
      </c>
      <c r="B111" s="30"/>
    </row>
    <row r="112" spans="1:22" ht="15.75" thickBot="1" x14ac:dyDescent="0.3">
      <c r="A112" s="3" t="s">
        <v>521</v>
      </c>
      <c r="B112" s="3" t="s">
        <v>124</v>
      </c>
      <c r="C112" s="3" t="s">
        <v>505</v>
      </c>
    </row>
    <row r="114" spans="1:47" ht="15.75" thickBot="1" x14ac:dyDescent="0.3">
      <c r="A114" s="69" t="s">
        <v>557</v>
      </c>
      <c r="B114" s="123"/>
    </row>
    <row r="115" spans="1:47" ht="15.75" thickBot="1" x14ac:dyDescent="0.3">
      <c r="A115" s="121" t="s">
        <v>375</v>
      </c>
      <c r="B115" s="121" t="s">
        <v>189</v>
      </c>
      <c r="C115" s="121" t="s">
        <v>554</v>
      </c>
    </row>
    <row r="117" spans="1:47" ht="15.75" thickBot="1" x14ac:dyDescent="0.3">
      <c r="A117" s="69" t="s">
        <v>562</v>
      </c>
      <c r="B117" s="123"/>
    </row>
    <row r="118" spans="1:47" ht="29.25" customHeight="1" thickBot="1" x14ac:dyDescent="0.3">
      <c r="A118" s="121" t="s">
        <v>573</v>
      </c>
      <c r="B118" s="125" t="s">
        <v>364</v>
      </c>
      <c r="C118" s="125" t="s">
        <v>367</v>
      </c>
      <c r="D118" s="125" t="s">
        <v>563</v>
      </c>
      <c r="E118" s="125" t="s">
        <v>366</v>
      </c>
      <c r="F118" s="125" t="s">
        <v>1</v>
      </c>
      <c r="G118" s="125" t="s">
        <v>58</v>
      </c>
      <c r="H118" s="125" t="s">
        <v>375</v>
      </c>
      <c r="I118" s="125" t="s">
        <v>565</v>
      </c>
      <c r="J118" s="125" t="s">
        <v>564</v>
      </c>
    </row>
    <row r="119" spans="1:47" s="123" customFormat="1" x14ac:dyDescent="0.25">
      <c r="A119" s="123" t="s">
        <v>115</v>
      </c>
      <c r="B119" s="123" t="s">
        <v>112</v>
      </c>
      <c r="C119" s="123" t="s">
        <v>130</v>
      </c>
      <c r="D119" s="123" t="s">
        <v>130</v>
      </c>
      <c r="E119" s="123" t="s">
        <v>115</v>
      </c>
      <c r="F119" s="123" t="s">
        <v>244</v>
      </c>
      <c r="G119" s="123" t="s">
        <v>71</v>
      </c>
      <c r="H119" s="123" t="s">
        <v>133</v>
      </c>
      <c r="I119" s="123" t="s">
        <v>115</v>
      </c>
      <c r="J119" s="123" t="s">
        <v>115</v>
      </c>
    </row>
    <row r="121" spans="1:47" ht="15.75" thickBot="1" x14ac:dyDescent="0.3">
      <c r="A121" s="69" t="s">
        <v>529</v>
      </c>
    </row>
    <row r="122" spans="1:47" ht="71.25" thickBot="1" x14ac:dyDescent="0.3">
      <c r="A122" s="100" t="s">
        <v>525</v>
      </c>
      <c r="B122" s="101" t="s">
        <v>526</v>
      </c>
      <c r="C122" s="102">
        <v>40057</v>
      </c>
      <c r="D122" s="102">
        <v>40087</v>
      </c>
      <c r="E122" s="102">
        <v>40118</v>
      </c>
      <c r="F122" s="102">
        <v>40148</v>
      </c>
      <c r="G122" s="103" t="s">
        <v>114</v>
      </c>
      <c r="H122" s="102">
        <v>40179</v>
      </c>
      <c r="I122" s="102">
        <v>40210</v>
      </c>
      <c r="J122" s="102">
        <v>40238</v>
      </c>
      <c r="K122" s="102">
        <v>40269</v>
      </c>
      <c r="L122" s="102">
        <v>40299</v>
      </c>
      <c r="M122" s="102">
        <v>40330</v>
      </c>
      <c r="N122" s="102">
        <v>40360</v>
      </c>
      <c r="O122" s="102">
        <v>40391</v>
      </c>
      <c r="P122" s="102">
        <v>40422</v>
      </c>
      <c r="Q122" s="102">
        <v>40452</v>
      </c>
      <c r="R122" s="102">
        <v>40483</v>
      </c>
      <c r="S122" s="102">
        <v>40513</v>
      </c>
      <c r="T122" s="103" t="s">
        <v>136</v>
      </c>
      <c r="U122" s="102">
        <v>40544</v>
      </c>
      <c r="V122" s="102">
        <v>40575</v>
      </c>
      <c r="W122" s="102">
        <v>40603</v>
      </c>
      <c r="X122" s="102">
        <v>40634</v>
      </c>
      <c r="Y122" s="102">
        <v>40664</v>
      </c>
      <c r="Z122" s="102">
        <v>40695</v>
      </c>
      <c r="AA122" s="102">
        <v>40725</v>
      </c>
      <c r="AB122" s="102">
        <v>40756</v>
      </c>
      <c r="AC122" s="102">
        <v>40787</v>
      </c>
      <c r="AD122" s="102">
        <v>40817</v>
      </c>
      <c r="AE122" s="102">
        <v>40848</v>
      </c>
      <c r="AF122" s="102">
        <v>40878</v>
      </c>
      <c r="AG122" s="103" t="s">
        <v>108</v>
      </c>
      <c r="AH122" s="102">
        <v>40909</v>
      </c>
      <c r="AI122" s="102">
        <v>40940</v>
      </c>
      <c r="AJ122" s="102">
        <v>40969</v>
      </c>
      <c r="AK122" s="102">
        <v>41000</v>
      </c>
      <c r="AL122" s="102">
        <v>41030</v>
      </c>
      <c r="AM122" s="102">
        <v>41061</v>
      </c>
      <c r="AN122" s="102">
        <v>41091</v>
      </c>
      <c r="AO122" s="102">
        <v>41122</v>
      </c>
      <c r="AP122" s="102">
        <v>41153</v>
      </c>
      <c r="AQ122" s="102">
        <v>41183</v>
      </c>
      <c r="AR122" s="102">
        <v>41214</v>
      </c>
      <c r="AS122" s="102">
        <v>41244</v>
      </c>
      <c r="AT122" s="103" t="s">
        <v>109</v>
      </c>
      <c r="AU122" s="104" t="s">
        <v>528</v>
      </c>
    </row>
    <row r="123" spans="1:47" x14ac:dyDescent="0.25">
      <c r="A123" s="105" t="s">
        <v>497</v>
      </c>
      <c r="B123" s="97" t="s">
        <v>496</v>
      </c>
      <c r="C123" s="108"/>
      <c r="D123" s="108"/>
      <c r="E123" s="108"/>
      <c r="F123" s="109"/>
      <c r="G123" s="114">
        <f>SUM(C123:F123)</f>
        <v>0</v>
      </c>
      <c r="H123" s="108"/>
      <c r="I123" s="108"/>
      <c r="J123" s="108"/>
      <c r="K123" s="108"/>
      <c r="L123" s="108"/>
      <c r="M123" s="108"/>
      <c r="N123" s="108"/>
      <c r="O123" s="108"/>
      <c r="P123" s="108"/>
      <c r="Q123" s="108"/>
      <c r="R123" s="108"/>
      <c r="S123" s="108"/>
      <c r="T123" s="114">
        <f>SUM(H123:S123)</f>
        <v>0</v>
      </c>
      <c r="U123" s="108"/>
      <c r="V123" s="108"/>
      <c r="W123" s="108"/>
      <c r="X123" s="108"/>
      <c r="Y123" s="108"/>
      <c r="Z123" s="108"/>
      <c r="AA123" s="108"/>
      <c r="AB123" s="108"/>
      <c r="AC123" s="108"/>
      <c r="AD123" s="108"/>
      <c r="AE123" s="108"/>
      <c r="AF123" s="108"/>
      <c r="AG123" s="114">
        <f>SUM(U123:AF123)</f>
        <v>0</v>
      </c>
      <c r="AH123" s="108"/>
      <c r="AI123" s="108"/>
      <c r="AJ123" s="108"/>
      <c r="AK123" s="108"/>
      <c r="AL123" s="108"/>
      <c r="AM123" s="108"/>
      <c r="AN123" s="108"/>
      <c r="AO123" s="108"/>
      <c r="AP123" s="108"/>
      <c r="AQ123" s="108"/>
      <c r="AR123" s="108"/>
      <c r="AS123" s="108"/>
      <c r="AT123" s="114">
        <f>SUM(AH123:AS123)</f>
        <v>0</v>
      </c>
      <c r="AU123" s="115">
        <f>G123+T123+AG123+AT123</f>
        <v>0</v>
      </c>
    </row>
    <row r="124" spans="1:47" x14ac:dyDescent="0.25">
      <c r="A124" s="105" t="s">
        <v>497</v>
      </c>
      <c r="B124" s="97" t="s">
        <v>465</v>
      </c>
      <c r="C124" s="110"/>
      <c r="D124" s="110"/>
      <c r="E124" s="110"/>
      <c r="F124" s="111"/>
      <c r="G124" s="116">
        <f>SUM(C124:F124)</f>
        <v>0</v>
      </c>
      <c r="H124" s="110"/>
      <c r="I124" s="110"/>
      <c r="J124" s="110"/>
      <c r="K124" s="110"/>
      <c r="L124" s="110"/>
      <c r="M124" s="110"/>
      <c r="N124" s="110"/>
      <c r="O124" s="110"/>
      <c r="P124" s="110"/>
      <c r="Q124" s="110"/>
      <c r="R124" s="110"/>
      <c r="S124" s="110"/>
      <c r="T124" s="116">
        <f>SUM(H124:S124)</f>
        <v>0</v>
      </c>
      <c r="U124" s="110"/>
      <c r="V124" s="110"/>
      <c r="W124" s="110"/>
      <c r="X124" s="110"/>
      <c r="Y124" s="110"/>
      <c r="Z124" s="110"/>
      <c r="AA124" s="110"/>
      <c r="AB124" s="110"/>
      <c r="AC124" s="110"/>
      <c r="AD124" s="110"/>
      <c r="AE124" s="110"/>
      <c r="AF124" s="110"/>
      <c r="AG124" s="116">
        <f>SUM(U124:AF124)</f>
        <v>0</v>
      </c>
      <c r="AH124" s="110"/>
      <c r="AI124" s="110"/>
      <c r="AJ124" s="110"/>
      <c r="AK124" s="110"/>
      <c r="AL124" s="110"/>
      <c r="AM124" s="110"/>
      <c r="AN124" s="110"/>
      <c r="AO124" s="110"/>
      <c r="AP124" s="110"/>
      <c r="AQ124" s="110"/>
      <c r="AR124" s="110"/>
      <c r="AS124" s="110"/>
      <c r="AT124" s="116">
        <f>SUM(AH124:AS124)</f>
        <v>0</v>
      </c>
      <c r="AU124" s="115">
        <f>G124+T124+AG124+AT124</f>
        <v>0</v>
      </c>
    </row>
    <row r="125" spans="1:47" x14ac:dyDescent="0.25">
      <c r="A125" s="105" t="s">
        <v>497</v>
      </c>
      <c r="B125" s="97" t="s">
        <v>463</v>
      </c>
      <c r="C125" s="110"/>
      <c r="D125" s="110"/>
      <c r="E125" s="110"/>
      <c r="F125" s="111"/>
      <c r="G125" s="116">
        <f t="shared" ref="G125:G154" si="0">SUM(C125:F125)</f>
        <v>0</v>
      </c>
      <c r="H125" s="110"/>
      <c r="I125" s="110"/>
      <c r="J125" s="110"/>
      <c r="K125" s="110"/>
      <c r="L125" s="110"/>
      <c r="M125" s="110"/>
      <c r="N125" s="110"/>
      <c r="O125" s="110"/>
      <c r="P125" s="110"/>
      <c r="Q125" s="110"/>
      <c r="R125" s="110"/>
      <c r="S125" s="110"/>
      <c r="T125" s="116">
        <f t="shared" ref="T125:T154" si="1">SUM(H125:S125)</f>
        <v>0</v>
      </c>
      <c r="U125" s="110"/>
      <c r="V125" s="110"/>
      <c r="W125" s="110"/>
      <c r="X125" s="110"/>
      <c r="Y125" s="110"/>
      <c r="Z125" s="110"/>
      <c r="AA125" s="110"/>
      <c r="AB125" s="110"/>
      <c r="AC125" s="110"/>
      <c r="AD125" s="110"/>
      <c r="AE125" s="110"/>
      <c r="AF125" s="110"/>
      <c r="AG125" s="116">
        <f t="shared" ref="AG125:AG155" si="2">SUM(U125:AF125)</f>
        <v>0</v>
      </c>
      <c r="AH125" s="110"/>
      <c r="AI125" s="110"/>
      <c r="AJ125" s="110"/>
      <c r="AK125" s="110"/>
      <c r="AL125" s="110"/>
      <c r="AM125" s="110"/>
      <c r="AN125" s="110"/>
      <c r="AO125" s="110"/>
      <c r="AP125" s="110"/>
      <c r="AQ125" s="110"/>
      <c r="AR125" s="110"/>
      <c r="AS125" s="110"/>
      <c r="AT125" s="116">
        <f t="shared" ref="AT125:AT155" si="3">SUM(AH125:AS125)</f>
        <v>0</v>
      </c>
      <c r="AU125" s="115">
        <f t="shared" ref="AU125:AU155" si="4">G125+T125+AG125+AT125</f>
        <v>0</v>
      </c>
    </row>
    <row r="126" spans="1:47" x14ac:dyDescent="0.25">
      <c r="A126" s="106" t="s">
        <v>497</v>
      </c>
      <c r="B126" s="97" t="s">
        <v>386</v>
      </c>
      <c r="C126" s="110"/>
      <c r="D126" s="110"/>
      <c r="E126" s="110"/>
      <c r="F126" s="111"/>
      <c r="G126" s="116">
        <f t="shared" si="0"/>
        <v>0</v>
      </c>
      <c r="H126" s="110"/>
      <c r="I126" s="110"/>
      <c r="J126" s="110"/>
      <c r="K126" s="110"/>
      <c r="L126" s="110"/>
      <c r="M126" s="110"/>
      <c r="N126" s="110"/>
      <c r="O126" s="110"/>
      <c r="P126" s="110"/>
      <c r="Q126" s="110"/>
      <c r="R126" s="110"/>
      <c r="S126" s="110"/>
      <c r="T126" s="116">
        <f t="shared" si="1"/>
        <v>0</v>
      </c>
      <c r="U126" s="110"/>
      <c r="V126" s="110"/>
      <c r="W126" s="110"/>
      <c r="X126" s="110"/>
      <c r="Y126" s="110"/>
      <c r="Z126" s="110"/>
      <c r="AA126" s="110"/>
      <c r="AB126" s="110"/>
      <c r="AC126" s="110"/>
      <c r="AD126" s="110"/>
      <c r="AE126" s="110"/>
      <c r="AF126" s="110"/>
      <c r="AG126" s="116">
        <f t="shared" si="2"/>
        <v>0</v>
      </c>
      <c r="AH126" s="110"/>
      <c r="AI126" s="110"/>
      <c r="AJ126" s="110"/>
      <c r="AK126" s="110"/>
      <c r="AL126" s="110"/>
      <c r="AM126" s="110"/>
      <c r="AN126" s="110"/>
      <c r="AO126" s="110"/>
      <c r="AP126" s="110"/>
      <c r="AQ126" s="110"/>
      <c r="AR126" s="110"/>
      <c r="AS126" s="110"/>
      <c r="AT126" s="116">
        <f t="shared" si="3"/>
        <v>0</v>
      </c>
      <c r="AU126" s="115">
        <f t="shared" si="4"/>
        <v>0</v>
      </c>
    </row>
    <row r="127" spans="1:47" x14ac:dyDescent="0.25">
      <c r="A127" s="105" t="s">
        <v>497</v>
      </c>
      <c r="B127" s="97" t="s">
        <v>474</v>
      </c>
      <c r="C127" s="110"/>
      <c r="D127" s="110"/>
      <c r="E127" s="110"/>
      <c r="F127" s="111"/>
      <c r="G127" s="116">
        <f t="shared" si="0"/>
        <v>0</v>
      </c>
      <c r="H127" s="110"/>
      <c r="I127" s="110"/>
      <c r="J127" s="110"/>
      <c r="K127" s="110"/>
      <c r="L127" s="110"/>
      <c r="M127" s="110"/>
      <c r="N127" s="110"/>
      <c r="O127" s="110"/>
      <c r="P127" s="110"/>
      <c r="Q127" s="110"/>
      <c r="R127" s="110"/>
      <c r="S127" s="110"/>
      <c r="T127" s="116">
        <f t="shared" si="1"/>
        <v>0</v>
      </c>
      <c r="U127" s="110"/>
      <c r="V127" s="110"/>
      <c r="W127" s="110"/>
      <c r="X127" s="110"/>
      <c r="Y127" s="110"/>
      <c r="Z127" s="110"/>
      <c r="AA127" s="110"/>
      <c r="AB127" s="110"/>
      <c r="AC127" s="110"/>
      <c r="AD127" s="110"/>
      <c r="AE127" s="110"/>
      <c r="AF127" s="110"/>
      <c r="AG127" s="116">
        <f t="shared" si="2"/>
        <v>0</v>
      </c>
      <c r="AH127" s="110"/>
      <c r="AI127" s="110"/>
      <c r="AJ127" s="110"/>
      <c r="AK127" s="110"/>
      <c r="AL127" s="110"/>
      <c r="AM127" s="110"/>
      <c r="AN127" s="110"/>
      <c r="AO127" s="110"/>
      <c r="AP127" s="110"/>
      <c r="AQ127" s="110"/>
      <c r="AR127" s="110"/>
      <c r="AS127" s="110"/>
      <c r="AT127" s="116">
        <f t="shared" si="3"/>
        <v>0</v>
      </c>
      <c r="AU127" s="115">
        <f t="shared" si="4"/>
        <v>0</v>
      </c>
    </row>
    <row r="128" spans="1:47" x14ac:dyDescent="0.25">
      <c r="A128" s="105" t="s">
        <v>497</v>
      </c>
      <c r="B128" s="97" t="s">
        <v>464</v>
      </c>
      <c r="C128" s="110"/>
      <c r="D128" s="110"/>
      <c r="E128" s="110"/>
      <c r="F128" s="111"/>
      <c r="G128" s="116">
        <f t="shared" si="0"/>
        <v>0</v>
      </c>
      <c r="H128" s="110"/>
      <c r="I128" s="110"/>
      <c r="J128" s="110"/>
      <c r="K128" s="110"/>
      <c r="L128" s="110"/>
      <c r="M128" s="110"/>
      <c r="N128" s="110"/>
      <c r="O128" s="110"/>
      <c r="P128" s="110"/>
      <c r="Q128" s="110"/>
      <c r="R128" s="110"/>
      <c r="S128" s="110"/>
      <c r="T128" s="116">
        <f t="shared" si="1"/>
        <v>0</v>
      </c>
      <c r="U128" s="110"/>
      <c r="V128" s="110"/>
      <c r="W128" s="110"/>
      <c r="X128" s="110"/>
      <c r="Y128" s="110"/>
      <c r="Z128" s="110"/>
      <c r="AA128" s="110"/>
      <c r="AB128" s="110"/>
      <c r="AC128" s="110"/>
      <c r="AD128" s="110"/>
      <c r="AE128" s="110"/>
      <c r="AF128" s="110"/>
      <c r="AG128" s="116">
        <f t="shared" si="2"/>
        <v>0</v>
      </c>
      <c r="AH128" s="110"/>
      <c r="AI128" s="110"/>
      <c r="AJ128" s="110"/>
      <c r="AK128" s="110"/>
      <c r="AL128" s="110"/>
      <c r="AM128" s="110"/>
      <c r="AN128" s="110"/>
      <c r="AO128" s="110"/>
      <c r="AP128" s="110"/>
      <c r="AQ128" s="110"/>
      <c r="AR128" s="110"/>
      <c r="AS128" s="110"/>
      <c r="AT128" s="116">
        <f t="shared" si="3"/>
        <v>0</v>
      </c>
      <c r="AU128" s="115">
        <f t="shared" si="4"/>
        <v>0</v>
      </c>
    </row>
    <row r="129" spans="1:47" x14ac:dyDescent="0.25">
      <c r="A129" s="105" t="s">
        <v>497</v>
      </c>
      <c r="B129" s="97" t="s">
        <v>382</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497</v>
      </c>
      <c r="B130" s="97" t="s">
        <v>495</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497</v>
      </c>
      <c r="B131" s="97" t="s">
        <v>512</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5" t="s">
        <v>497</v>
      </c>
      <c r="B132" s="97" t="s">
        <v>513</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5" t="s">
        <v>497</v>
      </c>
      <c r="B133" s="97" t="s">
        <v>492</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5" t="s">
        <v>497</v>
      </c>
      <c r="B134" s="97" t="s">
        <v>515</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522</v>
      </c>
      <c r="B135" s="97" t="s">
        <v>493</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522</v>
      </c>
      <c r="B136" s="97" t="s">
        <v>494</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6" t="s">
        <v>498</v>
      </c>
      <c r="B137" s="97" t="s">
        <v>491</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6" t="s">
        <v>498</v>
      </c>
      <c r="B138" s="97" t="s">
        <v>468</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6" t="s">
        <v>498</v>
      </c>
      <c r="B139" s="97" t="s">
        <v>514</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5" t="s">
        <v>498</v>
      </c>
      <c r="B140" s="97" t="s">
        <v>466</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5" t="s">
        <v>498</v>
      </c>
      <c r="B141" s="97" t="s">
        <v>523</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5" t="s">
        <v>498</v>
      </c>
      <c r="B142" s="97" t="s">
        <v>519</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6" t="s">
        <v>498</v>
      </c>
      <c r="B143" s="97" t="s">
        <v>518</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498</v>
      </c>
      <c r="B144" s="97" t="s">
        <v>381</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498</v>
      </c>
      <c r="B145" s="97" t="s">
        <v>516</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5" t="s">
        <v>501</v>
      </c>
      <c r="B146" s="97" t="s">
        <v>517</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501</v>
      </c>
      <c r="B147" s="97" t="s">
        <v>467</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501</v>
      </c>
      <c r="B148" s="97" t="s">
        <v>502</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501</v>
      </c>
      <c r="B149" s="97" t="s">
        <v>499</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x14ac:dyDescent="0.25">
      <c r="A150" s="105" t="s">
        <v>501</v>
      </c>
      <c r="B150" s="97" t="s">
        <v>500</v>
      </c>
      <c r="C150" s="110"/>
      <c r="D150" s="110"/>
      <c r="E150" s="110"/>
      <c r="F150" s="111"/>
      <c r="G150" s="116">
        <f t="shared" si="0"/>
        <v>0</v>
      </c>
      <c r="H150" s="110"/>
      <c r="I150" s="110"/>
      <c r="J150" s="110"/>
      <c r="K150" s="110"/>
      <c r="L150" s="110"/>
      <c r="M150" s="110"/>
      <c r="N150" s="110"/>
      <c r="O150" s="110"/>
      <c r="P150" s="110"/>
      <c r="Q150" s="110"/>
      <c r="R150" s="110"/>
      <c r="S150" s="110"/>
      <c r="T150" s="116">
        <f t="shared" si="1"/>
        <v>0</v>
      </c>
      <c r="U150" s="110"/>
      <c r="V150" s="110"/>
      <c r="W150" s="110"/>
      <c r="X150" s="110"/>
      <c r="Y150" s="110"/>
      <c r="Z150" s="110"/>
      <c r="AA150" s="110"/>
      <c r="AB150" s="110"/>
      <c r="AC150" s="110"/>
      <c r="AD150" s="110"/>
      <c r="AE150" s="110"/>
      <c r="AF150" s="110"/>
      <c r="AG150" s="116">
        <f t="shared" si="2"/>
        <v>0</v>
      </c>
      <c r="AH150" s="110"/>
      <c r="AI150" s="110"/>
      <c r="AJ150" s="110"/>
      <c r="AK150" s="110"/>
      <c r="AL150" s="110"/>
      <c r="AM150" s="110"/>
      <c r="AN150" s="110"/>
      <c r="AO150" s="110"/>
      <c r="AP150" s="110"/>
      <c r="AQ150" s="110"/>
      <c r="AR150" s="110"/>
      <c r="AS150" s="110"/>
      <c r="AT150" s="116">
        <f t="shared" si="3"/>
        <v>0</v>
      </c>
      <c r="AU150" s="115">
        <f t="shared" si="4"/>
        <v>0</v>
      </c>
    </row>
    <row r="151" spans="1:47" x14ac:dyDescent="0.25">
      <c r="A151" s="105" t="s">
        <v>501</v>
      </c>
      <c r="B151" s="97" t="s">
        <v>520</v>
      </c>
      <c r="C151" s="110"/>
      <c r="D151" s="110"/>
      <c r="E151" s="110"/>
      <c r="F151" s="111"/>
      <c r="G151" s="116">
        <f t="shared" si="0"/>
        <v>0</v>
      </c>
      <c r="H151" s="110"/>
      <c r="I151" s="110"/>
      <c r="J151" s="110"/>
      <c r="K151" s="110"/>
      <c r="L151" s="110"/>
      <c r="M151" s="110"/>
      <c r="N151" s="110"/>
      <c r="O151" s="110"/>
      <c r="P151" s="110"/>
      <c r="Q151" s="110"/>
      <c r="R151" s="110"/>
      <c r="S151" s="110"/>
      <c r="T151" s="116">
        <f t="shared" si="1"/>
        <v>0</v>
      </c>
      <c r="U151" s="110"/>
      <c r="V151" s="110"/>
      <c r="W151" s="110"/>
      <c r="X151" s="110"/>
      <c r="Y151" s="110"/>
      <c r="Z151" s="110"/>
      <c r="AA151" s="110"/>
      <c r="AB151" s="110"/>
      <c r="AC151" s="110"/>
      <c r="AD151" s="110"/>
      <c r="AE151" s="110"/>
      <c r="AF151" s="110"/>
      <c r="AG151" s="116">
        <f t="shared" si="2"/>
        <v>0</v>
      </c>
      <c r="AH151" s="110"/>
      <c r="AI151" s="110"/>
      <c r="AJ151" s="110"/>
      <c r="AK151" s="110"/>
      <c r="AL151" s="110"/>
      <c r="AM151" s="110"/>
      <c r="AN151" s="110"/>
      <c r="AO151" s="110"/>
      <c r="AP151" s="110"/>
      <c r="AQ151" s="110"/>
      <c r="AR151" s="110"/>
      <c r="AS151" s="110"/>
      <c r="AT151" s="116">
        <f t="shared" si="3"/>
        <v>0</v>
      </c>
      <c r="AU151" s="115">
        <f t="shared" si="4"/>
        <v>0</v>
      </c>
    </row>
    <row r="152" spans="1:47" x14ac:dyDescent="0.25">
      <c r="A152" s="105" t="s">
        <v>501</v>
      </c>
      <c r="B152" s="97" t="s">
        <v>503</v>
      </c>
      <c r="C152" s="110"/>
      <c r="D152" s="110"/>
      <c r="E152" s="110"/>
      <c r="F152" s="111"/>
      <c r="G152" s="116">
        <f t="shared" si="0"/>
        <v>0</v>
      </c>
      <c r="H152" s="110"/>
      <c r="I152" s="110"/>
      <c r="J152" s="110"/>
      <c r="K152" s="110"/>
      <c r="L152" s="110"/>
      <c r="M152" s="110"/>
      <c r="N152" s="110"/>
      <c r="O152" s="110"/>
      <c r="P152" s="110"/>
      <c r="Q152" s="110"/>
      <c r="R152" s="110"/>
      <c r="S152" s="110"/>
      <c r="T152" s="116">
        <f t="shared" si="1"/>
        <v>0</v>
      </c>
      <c r="U152" s="110"/>
      <c r="V152" s="110"/>
      <c r="W152" s="110"/>
      <c r="X152" s="110"/>
      <c r="Y152" s="110"/>
      <c r="Z152" s="110"/>
      <c r="AA152" s="110"/>
      <c r="AB152" s="110"/>
      <c r="AC152" s="110"/>
      <c r="AD152" s="110"/>
      <c r="AE152" s="110"/>
      <c r="AF152" s="110"/>
      <c r="AG152" s="116">
        <f t="shared" si="2"/>
        <v>0</v>
      </c>
      <c r="AH152" s="110"/>
      <c r="AI152" s="110"/>
      <c r="AJ152" s="110"/>
      <c r="AK152" s="110"/>
      <c r="AL152" s="110"/>
      <c r="AM152" s="110"/>
      <c r="AN152" s="110"/>
      <c r="AO152" s="110"/>
      <c r="AP152" s="110"/>
      <c r="AQ152" s="110"/>
      <c r="AR152" s="110"/>
      <c r="AS152" s="110"/>
      <c r="AT152" s="116">
        <f t="shared" si="3"/>
        <v>0</v>
      </c>
      <c r="AU152" s="115">
        <f t="shared" si="4"/>
        <v>0</v>
      </c>
    </row>
    <row r="153" spans="1:47" x14ac:dyDescent="0.25">
      <c r="A153" s="105" t="s">
        <v>42</v>
      </c>
      <c r="B153" s="97" t="s">
        <v>42</v>
      </c>
      <c r="C153" s="110"/>
      <c r="D153" s="110"/>
      <c r="E153" s="110"/>
      <c r="F153" s="111"/>
      <c r="G153" s="116">
        <f t="shared" si="0"/>
        <v>0</v>
      </c>
      <c r="H153" s="110"/>
      <c r="I153" s="110"/>
      <c r="J153" s="110"/>
      <c r="K153" s="110"/>
      <c r="L153" s="110"/>
      <c r="M153" s="110"/>
      <c r="N153" s="110"/>
      <c r="O153" s="110"/>
      <c r="P153" s="110"/>
      <c r="Q153" s="110"/>
      <c r="R153" s="110"/>
      <c r="S153" s="110"/>
      <c r="T153" s="116">
        <f t="shared" si="1"/>
        <v>0</v>
      </c>
      <c r="U153" s="110"/>
      <c r="V153" s="110"/>
      <c r="W153" s="110"/>
      <c r="X153" s="110"/>
      <c r="Y153" s="110"/>
      <c r="Z153" s="110"/>
      <c r="AA153" s="110"/>
      <c r="AB153" s="110"/>
      <c r="AC153" s="110"/>
      <c r="AD153" s="110"/>
      <c r="AE153" s="110"/>
      <c r="AF153" s="110"/>
      <c r="AG153" s="116">
        <f t="shared" si="2"/>
        <v>0</v>
      </c>
      <c r="AH153" s="110"/>
      <c r="AI153" s="110"/>
      <c r="AJ153" s="110"/>
      <c r="AK153" s="110"/>
      <c r="AL153" s="110"/>
      <c r="AM153" s="110"/>
      <c r="AN153" s="110"/>
      <c r="AO153" s="110"/>
      <c r="AP153" s="110"/>
      <c r="AQ153" s="110"/>
      <c r="AR153" s="110"/>
      <c r="AS153" s="110"/>
      <c r="AT153" s="116">
        <f t="shared" si="3"/>
        <v>0</v>
      </c>
      <c r="AU153" s="115">
        <f t="shared" si="4"/>
        <v>0</v>
      </c>
    </row>
    <row r="154" spans="1:47" x14ac:dyDescent="0.25">
      <c r="A154" s="105" t="s">
        <v>383</v>
      </c>
      <c r="B154" s="97" t="s">
        <v>383</v>
      </c>
      <c r="C154" s="110"/>
      <c r="D154" s="110"/>
      <c r="E154" s="110"/>
      <c r="F154" s="111"/>
      <c r="G154" s="116">
        <f t="shared" si="0"/>
        <v>0</v>
      </c>
      <c r="H154" s="110"/>
      <c r="I154" s="110"/>
      <c r="J154" s="110"/>
      <c r="K154" s="110"/>
      <c r="L154" s="110"/>
      <c r="M154" s="110"/>
      <c r="N154" s="110"/>
      <c r="O154" s="110"/>
      <c r="P154" s="110"/>
      <c r="Q154" s="110"/>
      <c r="R154" s="110"/>
      <c r="S154" s="110"/>
      <c r="T154" s="116">
        <f t="shared" si="1"/>
        <v>0</v>
      </c>
      <c r="U154" s="110"/>
      <c r="V154" s="110"/>
      <c r="W154" s="110"/>
      <c r="X154" s="110"/>
      <c r="Y154" s="110"/>
      <c r="Z154" s="110"/>
      <c r="AA154" s="110"/>
      <c r="AB154" s="110"/>
      <c r="AC154" s="110"/>
      <c r="AD154" s="110"/>
      <c r="AE154" s="110"/>
      <c r="AF154" s="110"/>
      <c r="AG154" s="116">
        <f t="shared" si="2"/>
        <v>0</v>
      </c>
      <c r="AH154" s="110"/>
      <c r="AI154" s="110"/>
      <c r="AJ154" s="110"/>
      <c r="AK154" s="110"/>
      <c r="AL154" s="110"/>
      <c r="AM154" s="110"/>
      <c r="AN154" s="110"/>
      <c r="AO154" s="110"/>
      <c r="AP154" s="110"/>
      <c r="AQ154" s="110"/>
      <c r="AR154" s="110"/>
      <c r="AS154" s="110"/>
      <c r="AT154" s="116">
        <f t="shared" si="3"/>
        <v>0</v>
      </c>
      <c r="AU154" s="115">
        <f t="shared" si="4"/>
        <v>0</v>
      </c>
    </row>
    <row r="155" spans="1:47" ht="15.75" thickBot="1" x14ac:dyDescent="0.3">
      <c r="A155" s="107" t="s">
        <v>524</v>
      </c>
      <c r="B155" s="98" t="s">
        <v>524</v>
      </c>
      <c r="C155" s="112"/>
      <c r="D155" s="112"/>
      <c r="E155" s="112"/>
      <c r="F155" s="113"/>
      <c r="G155" s="117">
        <f>SUM(C155:F155)</f>
        <v>0</v>
      </c>
      <c r="H155" s="112"/>
      <c r="I155" s="112"/>
      <c r="J155" s="112"/>
      <c r="K155" s="112"/>
      <c r="L155" s="112"/>
      <c r="M155" s="112"/>
      <c r="N155" s="112"/>
      <c r="O155" s="112"/>
      <c r="P155" s="112"/>
      <c r="Q155" s="112"/>
      <c r="R155" s="112"/>
      <c r="S155" s="112"/>
      <c r="T155" s="117">
        <f>SUM(H155:S155)</f>
        <v>0</v>
      </c>
      <c r="U155" s="112"/>
      <c r="V155" s="112"/>
      <c r="W155" s="112"/>
      <c r="X155" s="112"/>
      <c r="Y155" s="112"/>
      <c r="Z155" s="112"/>
      <c r="AA155" s="112"/>
      <c r="AB155" s="112"/>
      <c r="AC155" s="112"/>
      <c r="AD155" s="112"/>
      <c r="AE155" s="112"/>
      <c r="AF155" s="112"/>
      <c r="AG155" s="117">
        <f t="shared" si="2"/>
        <v>0</v>
      </c>
      <c r="AH155" s="112"/>
      <c r="AI155" s="112"/>
      <c r="AJ155" s="112"/>
      <c r="AK155" s="112"/>
      <c r="AL155" s="112"/>
      <c r="AM155" s="112"/>
      <c r="AN155" s="112"/>
      <c r="AO155" s="112"/>
      <c r="AP155" s="112"/>
      <c r="AQ155" s="112"/>
      <c r="AR155" s="112"/>
      <c r="AS155" s="112"/>
      <c r="AT155" s="117">
        <f t="shared" si="3"/>
        <v>0</v>
      </c>
      <c r="AU155" s="118">
        <f t="shared" si="4"/>
        <v>0</v>
      </c>
    </row>
    <row r="156" spans="1:47" ht="15.75" thickBot="1" x14ac:dyDescent="0.3">
      <c r="A156" s="96"/>
      <c r="B156" s="99" t="s">
        <v>527</v>
      </c>
      <c r="C156" s="36">
        <f t="shared" ref="C156:J156" si="5">SUM(C123:C155)</f>
        <v>0</v>
      </c>
      <c r="D156" s="36">
        <f t="shared" si="5"/>
        <v>0</v>
      </c>
      <c r="E156" s="36">
        <f t="shared" si="5"/>
        <v>0</v>
      </c>
      <c r="F156" s="36">
        <f t="shared" si="5"/>
        <v>0</v>
      </c>
      <c r="G156" s="120">
        <f t="shared" si="5"/>
        <v>0</v>
      </c>
      <c r="H156" s="36">
        <f t="shared" si="5"/>
        <v>0</v>
      </c>
      <c r="I156" s="36">
        <f t="shared" si="5"/>
        <v>0</v>
      </c>
      <c r="J156" s="36">
        <f t="shared" si="5"/>
        <v>0</v>
      </c>
      <c r="K156" s="36">
        <f t="shared" ref="K156:AU156" si="6">SUM(K123:K155)</f>
        <v>0</v>
      </c>
      <c r="L156" s="36">
        <f t="shared" si="6"/>
        <v>0</v>
      </c>
      <c r="M156" s="36">
        <f t="shared" si="6"/>
        <v>0</v>
      </c>
      <c r="N156" s="36">
        <f t="shared" si="6"/>
        <v>0</v>
      </c>
      <c r="O156" s="36">
        <f t="shared" si="6"/>
        <v>0</v>
      </c>
      <c r="P156" s="36">
        <f t="shared" si="6"/>
        <v>0</v>
      </c>
      <c r="Q156" s="36">
        <f t="shared" si="6"/>
        <v>0</v>
      </c>
      <c r="R156" s="36">
        <f t="shared" si="6"/>
        <v>0</v>
      </c>
      <c r="S156" s="36">
        <f t="shared" si="6"/>
        <v>0</v>
      </c>
      <c r="T156" s="120">
        <f t="shared" si="6"/>
        <v>0</v>
      </c>
      <c r="U156" s="36">
        <f t="shared" si="6"/>
        <v>0</v>
      </c>
      <c r="V156" s="36">
        <f t="shared" si="6"/>
        <v>0</v>
      </c>
      <c r="W156" s="36">
        <f t="shared" si="6"/>
        <v>0</v>
      </c>
      <c r="X156" s="36">
        <f t="shared" si="6"/>
        <v>0</v>
      </c>
      <c r="Y156" s="36">
        <f t="shared" si="6"/>
        <v>0</v>
      </c>
      <c r="Z156" s="36">
        <f t="shared" si="6"/>
        <v>0</v>
      </c>
      <c r="AA156" s="36">
        <f t="shared" si="6"/>
        <v>0</v>
      </c>
      <c r="AB156" s="36">
        <f t="shared" si="6"/>
        <v>0</v>
      </c>
      <c r="AC156" s="36">
        <f t="shared" si="6"/>
        <v>0</v>
      </c>
      <c r="AD156" s="36">
        <f t="shared" si="6"/>
        <v>0</v>
      </c>
      <c r="AE156" s="36">
        <f t="shared" si="6"/>
        <v>0</v>
      </c>
      <c r="AF156" s="36">
        <f t="shared" si="6"/>
        <v>0</v>
      </c>
      <c r="AG156" s="120">
        <f t="shared" si="6"/>
        <v>0</v>
      </c>
      <c r="AH156" s="36">
        <f t="shared" si="6"/>
        <v>0</v>
      </c>
      <c r="AI156" s="36">
        <f t="shared" si="6"/>
        <v>0</v>
      </c>
      <c r="AJ156" s="36">
        <f t="shared" si="6"/>
        <v>0</v>
      </c>
      <c r="AK156" s="36">
        <f t="shared" si="6"/>
        <v>0</v>
      </c>
      <c r="AL156" s="36">
        <f t="shared" si="6"/>
        <v>0</v>
      </c>
      <c r="AM156" s="36">
        <f t="shared" si="6"/>
        <v>0</v>
      </c>
      <c r="AN156" s="36">
        <f t="shared" si="6"/>
        <v>0</v>
      </c>
      <c r="AO156" s="36">
        <f t="shared" si="6"/>
        <v>0</v>
      </c>
      <c r="AP156" s="36">
        <f t="shared" si="6"/>
        <v>0</v>
      </c>
      <c r="AQ156" s="36">
        <f t="shared" si="6"/>
        <v>0</v>
      </c>
      <c r="AR156" s="36">
        <f t="shared" si="6"/>
        <v>0</v>
      </c>
      <c r="AS156" s="36">
        <f t="shared" si="6"/>
        <v>0</v>
      </c>
      <c r="AT156" s="120">
        <f t="shared" si="6"/>
        <v>0</v>
      </c>
      <c r="AU156" s="119">
        <f t="shared" si="6"/>
        <v>0</v>
      </c>
    </row>
    <row r="158" spans="1:47" s="450" customFormat="1" ht="7.5" customHeight="1" x14ac:dyDescent="0.25">
      <c r="D158" s="451"/>
      <c r="E158" s="451"/>
    </row>
    <row r="159" spans="1:47" s="335" customFormat="1" ht="19.5" x14ac:dyDescent="0.3">
      <c r="C159" s="336" t="s">
        <v>870</v>
      </c>
    </row>
    <row r="161" spans="1:12" x14ac:dyDescent="0.25">
      <c r="A161" s="34" t="s">
        <v>252</v>
      </c>
    </row>
    <row r="162" spans="1:12" s="6" customFormat="1" ht="15.75" thickBot="1" x14ac:dyDescent="0.3">
      <c r="A162" s="478" t="s">
        <v>871</v>
      </c>
      <c r="B162" s="478" t="s">
        <v>742</v>
      </c>
      <c r="C162" s="479" t="s">
        <v>882</v>
      </c>
      <c r="D162" s="480"/>
      <c r="E162" s="479"/>
      <c r="F162" s="480"/>
      <c r="G162" s="481"/>
      <c r="H162" s="481"/>
      <c r="I162" s="481"/>
      <c r="J162" s="481"/>
      <c r="K162" s="481"/>
    </row>
    <row r="163" spans="1:12" ht="15.75" thickBot="1" x14ac:dyDescent="0.3">
      <c r="A163" s="144">
        <v>0</v>
      </c>
      <c r="B163" s="132"/>
      <c r="C163" s="479" t="s">
        <v>872</v>
      </c>
      <c r="D163" s="480"/>
      <c r="E163" s="479"/>
      <c r="F163" s="480"/>
      <c r="G163" s="482"/>
      <c r="H163" s="482"/>
      <c r="I163" s="482"/>
      <c r="J163" s="482"/>
      <c r="K163" s="482"/>
    </row>
    <row r="164" spans="1:12" ht="15.75" thickBot="1" x14ac:dyDescent="0.3">
      <c r="A164" s="144">
        <v>0</v>
      </c>
      <c r="B164" s="132"/>
      <c r="C164" s="479"/>
      <c r="D164" s="480"/>
      <c r="E164" s="479"/>
      <c r="F164" s="480"/>
      <c r="G164" s="482"/>
      <c r="H164" s="482"/>
      <c r="I164" s="482"/>
      <c r="J164" s="482"/>
      <c r="K164" s="482"/>
    </row>
    <row r="165" spans="1:12" ht="15.75" thickBot="1" x14ac:dyDescent="0.3">
      <c r="A165" s="144">
        <v>0</v>
      </c>
      <c r="B165" s="132"/>
      <c r="C165" s="479"/>
      <c r="D165" s="480"/>
      <c r="E165" s="479"/>
      <c r="F165" s="480"/>
      <c r="G165" s="482"/>
      <c r="H165" s="482"/>
      <c r="I165" s="482"/>
      <c r="J165" s="482"/>
      <c r="K165" s="482"/>
    </row>
    <row r="166" spans="1:12" ht="15.75" thickBot="1" x14ac:dyDescent="0.3">
      <c r="A166" s="144">
        <v>0</v>
      </c>
      <c r="B166" s="132"/>
      <c r="C166" s="479"/>
      <c r="D166" s="480"/>
      <c r="E166" s="479"/>
      <c r="F166" s="480"/>
      <c r="G166" s="482"/>
      <c r="H166" s="482"/>
      <c r="I166" s="482"/>
      <c r="J166" s="482"/>
      <c r="K166" s="482"/>
    </row>
    <row r="167" spans="1:12" ht="15.75" thickBot="1" x14ac:dyDescent="0.3">
      <c r="A167" s="144">
        <v>0</v>
      </c>
      <c r="B167" s="132"/>
      <c r="C167" s="483"/>
      <c r="D167" s="484"/>
      <c r="E167" s="483"/>
      <c r="F167" s="480"/>
      <c r="G167" s="482"/>
      <c r="H167" s="482"/>
      <c r="I167" s="482"/>
      <c r="J167" s="482"/>
      <c r="K167" s="482"/>
    </row>
    <row r="168" spans="1:12" ht="15.75" thickBot="1" x14ac:dyDescent="0.3">
      <c r="A168" s="144">
        <v>1</v>
      </c>
      <c r="B168" s="132"/>
      <c r="C168" s="485" t="s">
        <v>874</v>
      </c>
      <c r="D168" s="486" t="s">
        <v>873</v>
      </c>
      <c r="E168" s="484"/>
      <c r="F168" s="482"/>
      <c r="G168" s="482"/>
      <c r="H168" s="482"/>
      <c r="I168" s="482"/>
      <c r="J168" s="482"/>
    </row>
    <row r="169" spans="1:12" ht="23.25" thickBot="1" x14ac:dyDescent="0.3">
      <c r="A169" s="144">
        <v>0</v>
      </c>
      <c r="B169" s="132"/>
      <c r="C169" s="487" t="s">
        <v>66</v>
      </c>
      <c r="D169" s="487" t="s">
        <v>877</v>
      </c>
      <c r="E169" s="488" t="s">
        <v>0</v>
      </c>
      <c r="F169" s="487" t="s">
        <v>2</v>
      </c>
      <c r="G169" s="489" t="s">
        <v>1</v>
      </c>
      <c r="H169" s="490" t="s">
        <v>62</v>
      </c>
      <c r="I169" s="489" t="s">
        <v>64</v>
      </c>
      <c r="J169" s="491" t="s">
        <v>61</v>
      </c>
      <c r="K169" s="489" t="s">
        <v>63</v>
      </c>
      <c r="L169" s="489" t="s">
        <v>57</v>
      </c>
    </row>
    <row r="170" spans="1:12" ht="15.75" thickBot="1" x14ac:dyDescent="0.3">
      <c r="A170" s="144">
        <v>2</v>
      </c>
      <c r="B170" s="132"/>
      <c r="C170" s="493" t="s">
        <v>876</v>
      </c>
      <c r="D170" s="493" t="s">
        <v>878</v>
      </c>
      <c r="E170" s="494">
        <v>435200</v>
      </c>
      <c r="F170" s="493" t="s">
        <v>879</v>
      </c>
      <c r="G170" s="495" t="s">
        <v>5</v>
      </c>
      <c r="H170" s="496" t="s">
        <v>880</v>
      </c>
      <c r="I170" s="493"/>
      <c r="J170" s="494">
        <v>435456</v>
      </c>
      <c r="K170" s="493" t="s">
        <v>881</v>
      </c>
      <c r="L170" s="493"/>
    </row>
    <row r="171" spans="1:12" ht="15.75" thickBot="1" x14ac:dyDescent="0.3">
      <c r="A171" s="144">
        <v>0</v>
      </c>
      <c r="B171" s="497" t="s">
        <v>886</v>
      </c>
      <c r="C171" s="536" t="s">
        <v>883</v>
      </c>
      <c r="D171" s="537"/>
      <c r="E171" s="492"/>
      <c r="F171" s="492"/>
      <c r="G171" s="492" t="s">
        <v>875</v>
      </c>
      <c r="H171" s="492"/>
    </row>
    <row r="172" spans="1:12" ht="15.75" thickBot="1" x14ac:dyDescent="0.3">
      <c r="A172" s="144">
        <v>0</v>
      </c>
      <c r="B172" s="497" t="s">
        <v>887</v>
      </c>
      <c r="C172" s="536" t="s">
        <v>884</v>
      </c>
      <c r="D172" s="537"/>
      <c r="E172" s="492"/>
      <c r="F172" s="492"/>
      <c r="G172" s="492" t="s">
        <v>875</v>
      </c>
      <c r="H172" s="492"/>
    </row>
    <row r="173" spans="1:12" x14ac:dyDescent="0.25">
      <c r="A173" s="144">
        <v>0</v>
      </c>
      <c r="B173" s="497" t="s">
        <v>888</v>
      </c>
      <c r="C173" s="536" t="s">
        <v>885</v>
      </c>
      <c r="D173" s="537"/>
      <c r="E173" s="492"/>
      <c r="F173" s="492"/>
      <c r="G173" s="492" t="s">
        <v>875</v>
      </c>
      <c r="H173" s="492"/>
    </row>
    <row r="174" spans="1:12" x14ac:dyDescent="0.25">
      <c r="A174" s="144">
        <v>0</v>
      </c>
      <c r="B174" s="132"/>
    </row>
    <row r="1084" spans="1:23" ht="15.75" thickBot="1" x14ac:dyDescent="0.3">
      <c r="A1084" s="388"/>
      <c r="B1084" s="389"/>
      <c r="C1084" s="390"/>
      <c r="D1084" s="390"/>
      <c r="E1084" s="391"/>
      <c r="F1084" s="392"/>
      <c r="G1084" s="393"/>
      <c r="H1084" s="393"/>
      <c r="I1084" s="394"/>
      <c r="J1084" s="395"/>
      <c r="K1084" s="395"/>
      <c r="L1084" s="396"/>
      <c r="M1084" s="394"/>
      <c r="N1084" s="397"/>
      <c r="O1084" s="397"/>
      <c r="P1084" s="398"/>
      <c r="Q1084" s="398"/>
      <c r="R1084" s="398"/>
      <c r="S1084" s="399"/>
      <c r="T1084" s="400"/>
      <c r="U1084" s="400"/>
      <c r="V1084" s="400"/>
      <c r="W1084" s="398"/>
    </row>
    <row r="1085" spans="1:23" x14ac:dyDescent="0.25">
      <c r="A1085" s="388"/>
      <c r="B1085" s="403" t="s">
        <v>780</v>
      </c>
      <c r="C1085" s="454">
        <f>COUNTIF(B$1:B1082,B1085)</f>
        <v>1</v>
      </c>
      <c r="D1085" s="462">
        <f>C1085/C1090</f>
        <v>0.2</v>
      </c>
      <c r="E1085" s="404"/>
      <c r="F1085" s="392"/>
      <c r="G1085" s="393"/>
      <c r="H1085" s="393"/>
      <c r="I1085" s="405"/>
      <c r="J1085" s="455">
        <f>SUMIF(B$3:B1082,B1085,T$3:T1089)</f>
        <v>8</v>
      </c>
      <c r="K1085" s="466"/>
      <c r="L1085" s="467">
        <f>J1085/J1090</f>
        <v>1</v>
      </c>
      <c r="M1085" s="397"/>
      <c r="N1085" s="397"/>
      <c r="O1085" s="397"/>
      <c r="P1085" s="398"/>
      <c r="Q1085" s="398"/>
      <c r="R1085" s="398"/>
      <c r="S1085" s="399" t="s">
        <v>757</v>
      </c>
      <c r="T1085" s="407">
        <v>1261915799.52244</v>
      </c>
      <c r="U1085" s="407" t="e">
        <f>SUM(#REF!)</f>
        <v>#REF!</v>
      </c>
      <c r="V1085" s="407" t="e">
        <f>SUM(#REF!)</f>
        <v>#REF!</v>
      </c>
      <c r="W1085" s="398" t="s">
        <v>781</v>
      </c>
    </row>
    <row r="1086" spans="1:23" x14ac:dyDescent="0.25">
      <c r="A1086" s="388"/>
      <c r="B1086" s="408" t="s">
        <v>782</v>
      </c>
      <c r="C1086" s="456">
        <f>COUNTIF(B$1:B1082,B1086)</f>
        <v>1</v>
      </c>
      <c r="D1086" s="463">
        <f>C1086/C1090</f>
        <v>0.2</v>
      </c>
      <c r="E1086" s="404"/>
      <c r="F1086" s="392"/>
      <c r="G1086" s="393"/>
      <c r="H1086" s="393"/>
      <c r="I1086" s="405"/>
      <c r="J1086" s="457">
        <f>SUMIF(B$3:B1085,B1086,T$3:T1090)</f>
        <v>0</v>
      </c>
      <c r="K1086" s="468"/>
      <c r="L1086" s="469">
        <f>J1086/J1090</f>
        <v>0</v>
      </c>
      <c r="M1086" s="397"/>
      <c r="N1086" s="397"/>
      <c r="O1086" s="397"/>
      <c r="P1086" s="402"/>
      <c r="Q1086" s="402"/>
      <c r="R1086" s="402"/>
      <c r="S1086" s="409"/>
      <c r="T1086" s="410"/>
      <c r="U1086" s="410"/>
      <c r="V1086" s="410"/>
      <c r="W1086" s="402"/>
    </row>
    <row r="1087" spans="1:23" x14ac:dyDescent="0.25">
      <c r="A1087" s="388"/>
      <c r="B1087" s="412" t="s">
        <v>783</v>
      </c>
      <c r="C1087" s="458">
        <f>COUNTIF(B$1:B1082,B1087)</f>
        <v>1</v>
      </c>
      <c r="D1087" s="464">
        <f>C1087/C1090</f>
        <v>0.2</v>
      </c>
      <c r="E1087" s="404"/>
      <c r="F1087" s="392"/>
      <c r="G1087" s="393"/>
      <c r="H1087" s="393"/>
      <c r="I1087" s="405"/>
      <c r="J1087" s="459">
        <f>SUMIF(B$3:B1086,B1087,T$3:T1090)</f>
        <v>0</v>
      </c>
      <c r="K1087" s="470"/>
      <c r="L1087" s="471">
        <f>J1087/J1090</f>
        <v>0</v>
      </c>
      <c r="M1087" s="394"/>
      <c r="N1087" s="397"/>
      <c r="O1087" s="397"/>
      <c r="P1087" s="402"/>
      <c r="Q1087" s="402"/>
      <c r="R1087" s="402"/>
      <c r="S1087" s="409"/>
      <c r="T1087" s="410"/>
      <c r="U1087" s="410"/>
      <c r="V1087" s="410"/>
      <c r="W1087" s="402"/>
    </row>
    <row r="1088" spans="1:23" ht="15.75" thickBot="1" x14ac:dyDescent="0.3">
      <c r="A1088" s="388"/>
      <c r="B1088" s="413" t="s">
        <v>784</v>
      </c>
      <c r="C1088" s="460">
        <f>COUNTIF(B$1:B1085,B1088)</f>
        <v>1</v>
      </c>
      <c r="D1088" s="465">
        <f>C1088/C1090</f>
        <v>0.2</v>
      </c>
      <c r="E1088" s="404"/>
      <c r="F1088" s="392"/>
      <c r="G1088" s="393"/>
      <c r="H1088" s="393"/>
      <c r="I1088" s="405"/>
      <c r="J1088" s="461">
        <f>SUMIF(B$3:B1087,B1088,T$3:T1090)</f>
        <v>0</v>
      </c>
      <c r="K1088" s="472"/>
      <c r="L1088" s="473">
        <f>J1088/J1090</f>
        <v>0</v>
      </c>
      <c r="M1088" s="394"/>
      <c r="N1088" s="397"/>
      <c r="O1088" s="397"/>
      <c r="P1088" s="402"/>
      <c r="Q1088" s="402"/>
      <c r="R1088" s="402"/>
      <c r="S1088" s="409"/>
      <c r="T1088" s="410"/>
      <c r="U1088" s="410"/>
      <c r="V1088" s="410"/>
      <c r="W1088" s="402"/>
    </row>
    <row r="1089" spans="1:23" ht="16.5" thickTop="1" thickBot="1" x14ac:dyDescent="0.3">
      <c r="A1089" s="414"/>
      <c r="B1089" s="415" t="s">
        <v>785</v>
      </c>
      <c r="C1089" s="416">
        <f>COUNTIF(B$1:B1082,B1089)</f>
        <v>1</v>
      </c>
      <c r="D1089" s="417">
        <f>C1089/C1090</f>
        <v>0.2</v>
      </c>
      <c r="E1089" s="418"/>
      <c r="F1089" s="419"/>
      <c r="G1089" s="420"/>
      <c r="H1089" s="420"/>
      <c r="I1089" s="421"/>
      <c r="J1089" s="474">
        <f>SUMIF(B$3:B1088,B1089,T$3:T1090)</f>
        <v>0</v>
      </c>
      <c r="K1089" s="475"/>
      <c r="L1089" s="476">
        <f>J1089/J1090</f>
        <v>0</v>
      </c>
      <c r="M1089" s="422"/>
      <c r="N1089" s="422"/>
      <c r="O1089" s="422"/>
      <c r="P1089" s="402"/>
      <c r="Q1089" s="402"/>
      <c r="R1089" s="402"/>
      <c r="S1089" s="409"/>
      <c r="T1089" s="410"/>
      <c r="U1089" s="410"/>
      <c r="V1089" s="410"/>
      <c r="W1089" s="402"/>
    </row>
    <row r="1090" spans="1:23" x14ac:dyDescent="0.25">
      <c r="A1090" s="388"/>
      <c r="B1090" s="423"/>
      <c r="C1090" s="424">
        <f>SUM(C1085:C1089)</f>
        <v>5</v>
      </c>
      <c r="D1090" s="390"/>
      <c r="E1090" s="404"/>
      <c r="F1090" s="392"/>
      <c r="G1090" s="393"/>
      <c r="H1090" s="393"/>
      <c r="I1090" s="405"/>
      <c r="J1090" s="425">
        <f>SUM(J1085:J1089)</f>
        <v>8</v>
      </c>
      <c r="K1090" s="406"/>
      <c r="L1090" s="426"/>
      <c r="M1090" s="394"/>
      <c r="N1090" s="397"/>
      <c r="O1090" s="397"/>
      <c r="P1090" s="402"/>
      <c r="Q1090" s="402"/>
      <c r="R1090" s="402"/>
      <c r="S1090" s="409"/>
      <c r="T1090" s="410"/>
      <c r="U1090" s="410"/>
      <c r="V1090" s="410"/>
      <c r="W1090" s="402"/>
    </row>
  </sheetData>
  <mergeCells count="4">
    <mergeCell ref="A11:D11"/>
    <mergeCell ref="C171:D171"/>
    <mergeCell ref="C172:D172"/>
    <mergeCell ref="C173:D173"/>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2012-09-24T21:07:48Z</dcterms:modified>
</cp:coreProperties>
</file>