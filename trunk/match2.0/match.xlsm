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2585" yWindow="5700" windowWidth="12525" windowHeight="5610"/>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2" hidden="1">We!$A$1:$I$1</definedName>
    <definedName name="Acc1C_MyCol" comment="2.11.12 Acc1C_MyCol 1C.xlsm колонка -- для связки Организаций 1С с SFacc">Header!$B$35:$B$40</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We!$A$182:$A$186</definedName>
    <definedName name="DIC_Build_Autodesk_Material_Description" comment="7/5/12 список групп товаров ADSK       10/5/12 - добавлена 1 кол. - результат ">We!$C$205:$E$280</definedName>
    <definedName name="DIC_CityNames" comment="9.5.12 А.Пасс - словарь по 1 колонке 5.5.12 Словарь городов">We!$A$153:$B$179</definedName>
    <definedName name="DIC_CtryNames" comment="9.5.12 А.Пасс - словарь из 1 колонки 6.5.12 Словарь стран">We!$A$189:$A$191</definedName>
    <definedName name="DIC_GoodADSK" comment="7.5.12 DIC_GoodADSK - словарь Продуктов Autodesk">We!$A$205:$A$237</definedName>
    <definedName name="Fr1CtoSF">We!$A$8:$C$33</definedName>
    <definedName name="Glossary" comment="5.4.12 слова, игнорируемые при сравнении имен Организаций">We!$A$63:$B$150</definedName>
    <definedName name="Goods" comment="типы товаров по Счетам 1С">We!$A$41:$B$53</definedName>
    <definedName name="GoodSbs" comment="29.10.12 - типы подписок для Товара">We!$A$41:$K$52</definedName>
    <definedName name="GoodTypes">We!$A$41:$A$48</definedName>
    <definedName name="HDR_1C_Contract_MyCol" comment="11.9.12 HDR_1C_Contract_MyCol">Header!$B$18:$AA$23</definedName>
    <definedName name="HDR_1C_Contract_Summary" comment="11.9.12 HDR_1C_Contract_Summary">Header!$A$26:$W$32</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Header!$A$135:$C$136</definedName>
    <definedName name="HDR_AccntUpd" comment="18.6.12 HDR_AccntUpd шапка изменений Организаций SF, включая связь с 1С">Header!$A$132:$N$132</definedName>
    <definedName name="HDR_AdAcc" comment="11.6.12 - Шапка полей новой Организации">Header!$A$129:$V$129</definedName>
    <definedName name="HDR_BTOmails" comment="12.6.12 HDR_BTOmails шапка для извлекаемых писем БТО">Header!$A$148:$J$149</definedName>
    <definedName name="HDR_ContractUpdate">Header!$A$123:$B$123</definedName>
    <definedName name="HDR_ContrLnk" comment="18.3.12 шапка для листа C_ContrLnk - связка Договора с Проектом">Header!$A$123:$B$123</definedName>
    <definedName name="HDR_NewContract" comment="25.3.12 HDR_NewContract - шапка &quot;голубого&quot; листа в NewContract">Header!$B$107:$V$111</definedName>
    <definedName name="HDR_NewOpp" comment="28.10.12 HDR_NewOpp - создание Проектов SF. Они записываются в файл OppInsert.csv и загружаются в SF Data Loader'ом">Header!$B$115:$M$120</definedName>
    <definedName name="HDR_NewOrderList" comment="28.4.12 шапка для NewOrderList">Header!$A$139:$C$139</definedName>
    <definedName name="HDR_NewPayment" comment="26.9.12  занесение Платежей в SF. Они записываются в файл Payment.csv и загружаются в SF Data Loader'ом">Header!$B$99:$I$104</definedName>
    <definedName name="HDR_NewSN" comment="6.6.12 шапки для занесения новыз SN в SF -- 2PASS">Header!$A$145:$C$145</definedName>
    <definedName name="HDR_P_ADSKlink" comment="14/5/12 новые связи Платежей и Контрактов ADSK">Header!$A$142:$C$142</definedName>
    <definedName name="HDR_PaymentUpd" comment="11.3.12 Update Платежа - связывание существующего Платежа с Договором">Header!$A$126:$B$126</definedName>
    <definedName name="HDR_WP" comment="5.10.12 HDR_WP - Шапка листа WP для &quot;ручного&quot; просмотра и анализа Платежей выбранной Организации">WP_Prototype!$A$5:$V$28</definedName>
    <definedName name="HDR_WPacc" comment="5.11.12 WPacc форма для ввода новых Организаций">WP_Prototype!$A$31:$X$54</definedName>
    <definedName name="NewOppHeader">Header!$B$115:$K$115</definedName>
    <definedName name="OppTypeRng" comment="22.3.12">We!$A$41:$D$53</definedName>
    <definedName name="Orders_MyCol" comment="1.10.12 Orders_MyCol  - шаблон для колонок листа Заказов">Header!$B$74:$AI$79</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Header!$A$46:$B$48</definedName>
    <definedName name="SF_Summary" comment="14.7.12 SF_Summary SFDC.xlsm SF  -- пятка. Фильтрует обороты CSIT">Header!$A$51:$F$52</definedName>
    <definedName name="SFD_MyCol" comment="4.11.12 SFD_MyCol SFDC.xlsm SFD формулы -- для связки с Договорами 1С">Header!$C$56:$D$61</definedName>
    <definedName name="SFD_Summary" comment="14.7.12 SF_Summary SFDC.xlsm SFD  -- пятка">Header!$A$65</definedName>
    <definedName name="Stock_MyCol" comment="1.10.12 Stock_MyCol  - шаблон для колонок листа Stock">Header!$B$82:$S$87</definedName>
    <definedName name="Team">We!$A$8:$E$33</definedName>
    <definedName name="TOCmatch" comment="11.7.12 TOCmatch - Оглавление по всем отчетам в базе данных" localSheetId="1">Process!$A$97:$L$100</definedName>
    <definedName name="TOCmatch" comment="11.7.12 TOCmatch - Оглавление по всем отчетам в базе данных" localSheetId="0">TOCmatch!$A$14:$J$38</definedName>
    <definedName name="WorksTable" comment="29.10.12 WorksTable">We!$A$59:$B$60</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workbook>
</file>

<file path=xl/calcChain.xml><?xml version="1.0" encoding="utf-8"?>
<calcChain xmlns="http://schemas.openxmlformats.org/spreadsheetml/2006/main">
  <c r="F14" i="763" l="1"/>
  <c r="F72" i="1989" l="1"/>
  <c r="C89" i="1989" l="1"/>
  <c r="C90" i="1989"/>
  <c r="F91" i="1989"/>
  <c r="K91" i="1989" s="1"/>
  <c r="K87" i="1989"/>
  <c r="C91" i="1989"/>
  <c r="N90" i="1989"/>
  <c r="M90" i="1989"/>
  <c r="L90" i="1989"/>
  <c r="K88" i="1989"/>
  <c r="K50" i="2049"/>
  <c r="C50" i="2049"/>
  <c r="D44" i="2049"/>
  <c r="T38" i="2049"/>
  <c r="K38" i="2049"/>
  <c r="F34" i="1989" l="1"/>
  <c r="C23" i="1989"/>
  <c r="C24" i="1989"/>
  <c r="N23" i="1989"/>
  <c r="F23" i="1989"/>
  <c r="C34" i="1989"/>
  <c r="C35" i="1989"/>
  <c r="C16" i="1989" l="1"/>
  <c r="F15" i="1989" l="1"/>
  <c r="C15" i="1989"/>
  <c r="C9" i="1989" l="1"/>
  <c r="C10" i="1989"/>
  <c r="K8" i="1989"/>
  <c r="F8" i="1989"/>
  <c r="C8" i="1989"/>
  <c r="M15" i="1989" l="1"/>
  <c r="L15" i="1989"/>
  <c r="M106" i="1989"/>
  <c r="L106" i="1989"/>
  <c r="K106" i="1989"/>
  <c r="F58" i="763" l="1"/>
  <c r="F61" i="763" s="1"/>
  <c r="K24" i="2049" l="1"/>
  <c r="C24" i="2049"/>
  <c r="D18" i="2049"/>
  <c r="T12" i="2049"/>
  <c r="K12" i="2049"/>
  <c r="V1126" i="763"/>
  <c r="U1126" i="763"/>
  <c r="AS186" i="763"/>
  <c r="AR186" i="763"/>
  <c r="AQ186" i="763"/>
  <c r="AP186" i="763"/>
  <c r="AO186" i="763"/>
  <c r="AN186" i="763"/>
  <c r="AM186" i="763"/>
  <c r="AL186" i="763"/>
  <c r="AK186" i="763"/>
  <c r="AJ186" i="763"/>
  <c r="AI186" i="763"/>
  <c r="AH186" i="763"/>
  <c r="AF186" i="763"/>
  <c r="AE186" i="763"/>
  <c r="AD186" i="763"/>
  <c r="AC186" i="763"/>
  <c r="AB186" i="763"/>
  <c r="AA186" i="763"/>
  <c r="Z186" i="763"/>
  <c r="Y186" i="763"/>
  <c r="X186" i="763"/>
  <c r="W186" i="763"/>
  <c r="V186" i="763"/>
  <c r="U186" i="763"/>
  <c r="S186" i="763"/>
  <c r="R186" i="763"/>
  <c r="Q186" i="763"/>
  <c r="P186" i="763"/>
  <c r="O186" i="763"/>
  <c r="N186" i="763"/>
  <c r="M186" i="763"/>
  <c r="L186" i="763"/>
  <c r="K186" i="763"/>
  <c r="J186" i="763"/>
  <c r="I186" i="763"/>
  <c r="H186" i="763"/>
  <c r="F186" i="763"/>
  <c r="E186" i="763"/>
  <c r="D186" i="763"/>
  <c r="C186" i="763"/>
  <c r="AT185" i="763"/>
  <c r="AG185" i="763"/>
  <c r="T185" i="763"/>
  <c r="G185" i="763"/>
  <c r="AT184" i="763"/>
  <c r="AG184" i="763"/>
  <c r="T184" i="763"/>
  <c r="G184" i="763"/>
  <c r="AT183" i="763"/>
  <c r="AG183" i="763"/>
  <c r="T183" i="763"/>
  <c r="G183" i="763"/>
  <c r="AT182" i="763"/>
  <c r="AG182" i="763"/>
  <c r="T182" i="763"/>
  <c r="G182" i="763"/>
  <c r="AT181" i="763"/>
  <c r="AG181" i="763"/>
  <c r="T181" i="763"/>
  <c r="G181" i="763"/>
  <c r="AT180" i="763"/>
  <c r="AG180" i="763"/>
  <c r="T180" i="763"/>
  <c r="G180" i="763"/>
  <c r="AT179" i="763"/>
  <c r="AG179" i="763"/>
  <c r="T179" i="763"/>
  <c r="G179" i="763"/>
  <c r="AT178" i="763"/>
  <c r="AG178" i="763"/>
  <c r="T178" i="763"/>
  <c r="G178" i="763"/>
  <c r="AT177" i="763"/>
  <c r="AG177" i="763"/>
  <c r="T177" i="763"/>
  <c r="G177" i="763"/>
  <c r="AT176" i="763"/>
  <c r="AG176" i="763"/>
  <c r="T176" i="763"/>
  <c r="G176" i="763"/>
  <c r="AT175" i="763"/>
  <c r="AG175" i="763"/>
  <c r="T175" i="763"/>
  <c r="G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AG186" i="763" s="1"/>
  <c r="T153" i="763"/>
  <c r="G153" i="763"/>
  <c r="I90" i="763"/>
  <c r="D75" i="763"/>
  <c r="I71" i="763"/>
  <c r="D57" i="763"/>
  <c r="C57" i="763" s="1"/>
  <c r="F52" i="763"/>
  <c r="A52" i="763"/>
  <c r="F51" i="763"/>
  <c r="A51" i="763"/>
  <c r="B47" i="763"/>
  <c r="J1130" i="763" s="1"/>
  <c r="J31" i="763"/>
  <c r="C31" i="763"/>
  <c r="J30" i="763"/>
  <c r="C30" i="763"/>
  <c r="J29" i="763"/>
  <c r="C29" i="763"/>
  <c r="J28" i="763"/>
  <c r="C28" i="763"/>
  <c r="V27" i="763"/>
  <c r="U27" i="763"/>
  <c r="T27" i="763"/>
  <c r="J27" i="763"/>
  <c r="C27" i="763"/>
  <c r="I19" i="763"/>
  <c r="G19" i="763"/>
  <c r="F19" i="763"/>
  <c r="R14" i="763"/>
  <c r="A14" i="763"/>
  <c r="F6" i="763"/>
  <c r="C6" i="763"/>
  <c r="K49" i="659"/>
  <c r="L103" i="1989"/>
  <c r="K85" i="1989"/>
  <c r="C85" i="1989"/>
  <c r="K84" i="1989"/>
  <c r="C84" i="1989"/>
  <c r="N83" i="1989"/>
  <c r="M83" i="1989"/>
  <c r="L83" i="1989"/>
  <c r="C83" i="1989"/>
  <c r="K82" i="1989"/>
  <c r="K81" i="1989"/>
  <c r="F80" i="1989"/>
  <c r="C80" i="1989"/>
  <c r="F79" i="1989"/>
  <c r="K78" i="1989"/>
  <c r="K83" i="1989" s="1"/>
  <c r="K74" i="1989"/>
  <c r="K72" i="1989"/>
  <c r="C72" i="1989"/>
  <c r="M71" i="1989"/>
  <c r="L71" i="1989"/>
  <c r="C71" i="1989"/>
  <c r="K68" i="1989"/>
  <c r="C66" i="1989"/>
  <c r="L65" i="1989"/>
  <c r="C65" i="1989"/>
  <c r="K64" i="1989"/>
  <c r="K62" i="1989"/>
  <c r="K65" i="1989" s="1"/>
  <c r="N55" i="1989"/>
  <c r="F55" i="1989"/>
  <c r="C55" i="1989"/>
  <c r="L54" i="1989"/>
  <c r="L55" i="1989" s="1"/>
  <c r="C54" i="1989"/>
  <c r="C53" i="1989"/>
  <c r="K50" i="1989"/>
  <c r="K53" i="1989" s="1"/>
  <c r="N48" i="1989"/>
  <c r="M48" i="1989"/>
  <c r="L48" i="1989"/>
  <c r="F48" i="1989"/>
  <c r="C48" i="1989"/>
  <c r="L46" i="1989"/>
  <c r="C46" i="1989"/>
  <c r="C45" i="1989"/>
  <c r="K43" i="1989"/>
  <c r="K48" i="1989" s="1"/>
  <c r="F41" i="1989"/>
  <c r="F40" i="1989"/>
  <c r="F39" i="1989"/>
  <c r="K38" i="1989"/>
  <c r="K40" i="1989" s="1"/>
  <c r="F36" i="1989"/>
  <c r="C36" i="1989"/>
  <c r="F35" i="1989"/>
  <c r="L34" i="1989"/>
  <c r="F30" i="1989"/>
  <c r="F29" i="1989"/>
  <c r="L28" i="1989"/>
  <c r="N24" i="1989"/>
  <c r="C22" i="1989"/>
  <c r="K20" i="1989"/>
  <c r="N18" i="1989"/>
  <c r="C18" i="1989"/>
  <c r="L17" i="1989"/>
  <c r="K17" i="1989"/>
  <c r="C17" i="1989"/>
  <c r="K16" i="1989"/>
  <c r="K90" i="1989" s="1"/>
  <c r="K14" i="1989"/>
  <c r="K13" i="1989"/>
  <c r="K11" i="1989"/>
  <c r="C11" i="1989"/>
  <c r="K10" i="1989"/>
  <c r="K9" i="1989"/>
  <c r="F9" i="1989"/>
  <c r="N8" i="1989"/>
  <c r="M8" i="1989"/>
  <c r="L8" i="1989"/>
  <c r="K7" i="1989"/>
  <c r="I28" i="1988"/>
  <c r="I22" i="1988"/>
  <c r="H21" i="1988"/>
  <c r="H20" i="1988"/>
  <c r="H19" i="1988"/>
  <c r="H18" i="1988"/>
  <c r="T17" i="1988"/>
  <c r="H17" i="1988"/>
  <c r="H16" i="1988"/>
  <c r="T15" i="1988"/>
  <c r="H15" i="1988"/>
  <c r="T14" i="1988"/>
  <c r="H14" i="1988"/>
  <c r="K22" i="1989" l="1"/>
  <c r="K23" i="1989"/>
  <c r="K70" i="1989"/>
  <c r="K71" i="1989" s="1"/>
  <c r="K15" i="1989"/>
  <c r="K39" i="1989"/>
  <c r="K45" i="1989"/>
  <c r="K54" i="1989"/>
  <c r="K55" i="1989"/>
  <c r="K41" i="1989"/>
  <c r="K52" i="1989"/>
  <c r="K21" i="1989"/>
  <c r="K18" i="1989"/>
  <c r="K24" i="1989"/>
  <c r="K44" i="1989"/>
  <c r="K46" i="1989"/>
  <c r="J1127" i="763"/>
  <c r="J1126" i="763"/>
  <c r="AU181" i="763"/>
  <c r="AU182" i="763"/>
  <c r="AU183" i="763"/>
  <c r="AU184" i="763"/>
  <c r="AU185" i="763"/>
  <c r="C1126" i="763"/>
  <c r="J1129" i="763"/>
  <c r="T186" i="763"/>
  <c r="G14" i="763"/>
  <c r="H14" i="763" s="1"/>
  <c r="G186" i="763"/>
  <c r="AU154" i="763"/>
  <c r="AU155" i="763"/>
  <c r="AU156" i="763"/>
  <c r="AU157" i="763"/>
  <c r="AU158" i="763"/>
  <c r="AU160" i="763"/>
  <c r="AU161" i="763"/>
  <c r="AU162" i="763"/>
  <c r="AU163" i="763"/>
  <c r="AU164" i="763"/>
  <c r="AU165" i="763"/>
  <c r="AU166" i="763"/>
  <c r="AU167" i="763"/>
  <c r="AU168" i="763"/>
  <c r="AU169" i="763"/>
  <c r="AU170" i="763"/>
  <c r="AU171" i="763"/>
  <c r="AU172" i="763"/>
  <c r="AU173" i="763"/>
  <c r="AU174" i="763"/>
  <c r="AU175" i="763"/>
  <c r="AU176" i="763"/>
  <c r="AU177" i="763"/>
  <c r="AU178" i="763"/>
  <c r="AU179" i="763"/>
  <c r="AU180" i="763"/>
  <c r="C1127" i="763"/>
  <c r="C1129" i="763"/>
  <c r="AU159" i="763"/>
  <c r="C1128" i="763"/>
  <c r="C1130" i="763"/>
  <c r="J32" i="763"/>
  <c r="L31" i="763" s="1"/>
  <c r="A65" i="763"/>
  <c r="AT186" i="763"/>
  <c r="J1128" i="763"/>
  <c r="J1131" i="763" s="1"/>
  <c r="AU153" i="763"/>
  <c r="AU186" i="763" s="1"/>
  <c r="C32" i="763"/>
  <c r="C1131" i="763" l="1"/>
  <c r="D1126" i="763" s="1"/>
  <c r="L29" i="763"/>
  <c r="L30" i="763"/>
  <c r="L28" i="763"/>
  <c r="L1126" i="763"/>
  <c r="L1129" i="763"/>
  <c r="L1130" i="763"/>
  <c r="D1127" i="763"/>
  <c r="L27" i="763"/>
  <c r="L1127" i="763"/>
  <c r="D31" i="763"/>
  <c r="D30" i="763"/>
  <c r="D29" i="763"/>
  <c r="D28" i="763"/>
  <c r="L1128" i="763"/>
  <c r="D27" i="763"/>
  <c r="D1128" i="763" l="1"/>
  <c r="D1130" i="763"/>
  <c r="D1129" i="763"/>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<sst xmlns="http://schemas.openxmlformats.org/spreadsheetml/2006/main" count="5876" uniqueCount="1787">
  <si>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</si>
  <si>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</si>
  <si>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</si>
  <si>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</si>
  <si>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</si>
  <si>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</si>
  <si>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</si>
  <si>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</si>
  <si>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</si>
  <si>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</si>
  <si>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</si>
  <si>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</si>
  <si>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</si>
  <si>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</si>
  <si>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</si>
  <si>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</si>
  <si>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</si>
  <si>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</si>
  <si>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</si>
  <si>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</si>
  <si>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</si>
  <si>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</si>
  <si>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</si>
  <si>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</si>
  <si>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</si>
  <si>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</si>
  <si>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</si>
  <si>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</si>
  <si>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</si>
  <si>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</si>
  <si>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</si>
  <si>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</si>
  <si>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</si>
  <si>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</si>
  <si>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</si>
  <si>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</si>
  <si>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</si>
  <si>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</si>
  <si>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</si>
  <si>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</si>
  <si>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</si>
  <si>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</si>
  <si>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</si>
  <si>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</si>
  <si>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</si>
  <si>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</si>
  <si>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</si>
  <si>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</si>
  <si>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</si>
  <si>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</si>
  <si>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</si>
  <si>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</si>
  <si>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</si>
  <si>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</si>
  <si>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</si>
  <si>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</si>
  <si>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</si>
  <si>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</si>
  <si>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</si>
  <si>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</si>
  <si>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</si>
  <si>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</si>
  <si>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</si>
  <si>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</si>
  <si>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</si>
  <si>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</si>
  <si>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</si>
  <si>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</si>
  <si>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</si>
  <si>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</si>
  <si>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</si>
  <si>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</si>
  <si>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</si>
  <si>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</si>
  <si>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</si>
  <si>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</si>
  <si>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</si>
  <si>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</si>
  <si>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</si>
  <si>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</si>
  <si>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</si>
  <si>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</si>
  <si>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</si>
  <si>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</si>
  <si>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</si>
  <si>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</si>
  <si>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</si>
  <si>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</si>
  <si>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</si>
  <si>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</si>
  <si>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</si>
  <si>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</si>
  <si>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</si>
  <si>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</si>
  <si>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</si>
  <si>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</si>
  <si>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</si>
  <si>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</si>
  <si>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</si>
  <si>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</si>
  <si>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</si>
  <si>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</si>
  <si>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</si>
  <si>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</si>
  <si>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</si>
  <si>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</si>
  <si>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</si>
  <si>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</si>
  <si>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</si>
  <si>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</si>
  <si>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</si>
  <si>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</si>
  <si>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</si>
  <si>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</si>
  <si>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</si>
  <si>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</si>
  <si>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</si>
  <si>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</si>
  <si>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</si>
  <si>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</si>
  <si>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</si>
  <si>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</si>
  <si>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</si>
  <si>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</si>
  <si>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</si>
  <si>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</si>
  <si>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</si>
  <si>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</si>
  <si>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</si>
  <si>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</si>
  <si>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</si>
  <si>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</si>
  <si>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</si>
  <si>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</si>
  <si>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</si>
  <si>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</si>
  <si>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</si>
  <si>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</si>
  <si>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</si>
  <si>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</si>
  <si>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</si>
  <si>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</si>
  <si>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</si>
  <si>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</si>
  <si>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</si>
  <si>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</si>
  <si>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</si>
  <si>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</si>
  <si>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</si>
  <si>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</si>
  <si>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</si>
  <si>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</si>
  <si>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</si>
  <si>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</si>
  <si>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</si>
  <si>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</si>
  <si>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</si>
  <si>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</si>
  <si>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</si>
  <si>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</si>
  <si>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</si>
  <si>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</si>
  <si>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</si>
  <si>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</si>
  <si>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</si>
  <si>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</si>
  <si>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</si>
  <si>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</si>
  <si>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</si>
  <si>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</si>
  <si>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</si>
  <si>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</si>
  <si>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</si>
  <si>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</si>
  <si>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</si>
  <si>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</si>
  <si>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</si>
  <si>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</si>
  <si>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</si>
  <si>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</si>
  <si>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</si>
  <si>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</si>
  <si>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</si>
  <si>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</si>
  <si>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</si>
  <si>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</si>
  <si>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</si>
  <si>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</si>
  <si>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</si>
  <si>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</si>
  <si>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</si>
  <si>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</si>
  <si>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</si>
  <si>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</si>
  <si>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</si>
  <si>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</si>
  <si>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</si>
  <si>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</si>
  <si>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</si>
  <si>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</si>
  <si>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</si>
  <si>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</si>
  <si>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</si>
  <si>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</si>
  <si>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</si>
  <si>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</si>
  <si>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</si>
  <si>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</si>
  <si>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</si>
  <si>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</si>
  <si>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</si>
  <si>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</si>
  <si>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</si>
  <si>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</si>
  <si>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</si>
  <si>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</si>
  <si>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</si>
  <si>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</si>
  <si>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</si>
  <si>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</si>
  <si>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</si>
  <si>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</si>
  <si>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</si>
  <si>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</si>
  <si>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</si>
  <si>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</si>
  <si>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</si>
  <si>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</si>
  <si>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</si>
  <si>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</si>
  <si>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</si>
  <si>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</si>
  <si>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</si>
  <si>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</si>
  <si>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</si>
  <si>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</si>
  <si>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</si>
  <si>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</si>
  <si>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</si>
  <si>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</si>
  <si>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</si>
  <si>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</si>
  <si>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</si>
  <si>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</si>
  <si>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</si>
  <si>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</si>
  <si>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</si>
  <si>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</si>
  <si>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</si>
  <si>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</si>
  <si>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</si>
  <si>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</si>
  <si>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</si>
  <si>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</si>
  <si>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</si>
  <si>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</si>
  <si>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</si>
  <si>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</si>
  <si>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</si>
  <si>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</si>
  <si>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</si>
  <si>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</si>
  <si>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</si>
  <si>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</si>
  <si>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</si>
  <si>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</si>
  <si>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</si>
  <si>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</si>
  <si>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</si>
  <si>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</si>
  <si>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</si>
  <si>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</si>
  <si>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</si>
  <si>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</si>
  <si>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</si>
  <si>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</si>
  <si>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</si>
  <si>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</si>
  <si>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</si>
  <si>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</si>
  <si>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</si>
  <si>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</si>
  <si>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</si>
  <si>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</si>
  <si>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</si>
  <si>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</si>
  <si>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</si>
  <si>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</si>
  <si>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</si>
  <si>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</si>
  <si>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</si>
  <si>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</si>
  <si>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</si>
  <si>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</si>
  <si>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</si>
  <si>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</si>
  <si>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</si>
  <si>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</si>
  <si>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</si>
  <si>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</si>
  <si>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</si>
  <si>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</si>
  <si>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</si>
  <si>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</si>
  <si>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</si>
  <si>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</si>
  <si>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</si>
  <si>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</si>
  <si>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</si>
  <si>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</si>
  <si>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</si>
  <si>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</si>
  <si>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</si>
  <si>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</si>
  <si>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</si>
  <si>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</si>
  <si>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</si>
  <si>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</si>
  <si>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</si>
  <si>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</si>
  <si>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</si>
  <si>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</si>
  <si>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</si>
  <si>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</si>
  <si>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</si>
  <si>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</si>
  <si>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</si>
  <si>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</si>
  <si>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</si>
  <si>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</si>
  <si>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</si>
  <si>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</si>
  <si>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</si>
  <si>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</si>
  <si>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</si>
  <si>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</si>
  <si>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</si>
  <si>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</si>
  <si>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</si>
  <si>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</si>
  <si>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</si>
  <si>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</si>
  <si>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</si>
  <si>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</si>
  <si>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</si>
  <si>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</si>
  <si>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</si>
  <si>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</si>
  <si>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</si>
  <si>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</si>
  <si>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</si>
  <si>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</si>
  <si>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</si>
  <si>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</si>
  <si>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</si>
  <si>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</si>
  <si>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</si>
  <si>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</si>
  <si>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</si>
  <si>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</si>
  <si>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</si>
  <si>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</si>
  <si>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</si>
  <si>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</si>
  <si>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</si>
  <si>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</si>
  <si>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</si>
  <si>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</si>
  <si>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</si>
  <si>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</si>
  <si>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</si>
  <si>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</si>
  <si>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</si>
  <si>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</si>
  <si>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</si>
  <si>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</si>
  <si>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</si>
  <si>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</si>
  <si>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</si>
  <si>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</si>
  <si>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</si>
  <si>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</si>
  <si>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</si>
  <si>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</si>
  <si>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</si>
  <si>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</si>
  <si>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</si>
  <si>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</si>
  <si>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</si>
  <si>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</si>
  <si>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</si>
  <si>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</si>
  <si>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</si>
  <si>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</si>
  <si>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</si>
  <si>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</si>
  <si>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</si>
  <si>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</si>
  <si>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</si>
  <si>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</si>
  <si>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</si>
  <si>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</si>
  <si>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</si>
  <si>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</si>
  <si>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</si>
  <si>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</si>
  <si>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</si>
  <si>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</si>
  <si>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</si>
  <si>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</si>
  <si>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</si>
  <si>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</si>
  <si>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</si>
  <si>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</si>
  <si>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</si>
  <si>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</si>
  <si>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</si>
  <si>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</si>
  <si>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</si>
  <si>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</si>
  <si>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</si>
  <si>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</si>
  <si>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</si>
  <si>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</si>
  <si>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</si>
  <si>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</si>
  <si>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</si>
  <si>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</si>
  <si>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</si>
  <si>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</si>
  <si>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</si>
  <si>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</si>
  <si>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</si>
  <si>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</si>
  <si>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</si>
  <si>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</si>
  <si>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</si>
  <si>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</si>
  <si>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</si>
  <si>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</si>
  <si>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</si>
  <si>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</si>
  <si>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</si>
  <si>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</si>
  <si>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</si>
  <si>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</si>
  <si>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</si>
  <si>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</si>
  <si>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</si>
  <si>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</si>
  <si>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</si>
  <si>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</si>
  <si>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</si>
  <si>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</si>
  <si>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</si>
  <si>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</si>
  <si>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</si>
  <si>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</si>
  <si>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</si>
  <si>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</si>
  <si>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</si>
  <si>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</si>
  <si>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</si>
  <si>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</si>
  <si>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</si>
  <si>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</si>
  <si>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</si>
  <si>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</si>
  <si>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</si>
  <si>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</si>
  <si>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</si>
  <si>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</si>
  <si>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</si>
  <si>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</si>
  <si>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</si>
  <si>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</si>
  <si>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</si>
  <si>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</si>
  <si>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</si>
  <si>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</si>
  <si>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</si>
  <si>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</si>
  <si>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</si>
  <si>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</si>
  <si>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</si>
  <si>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</si>
  <si>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</si>
  <si>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</si>
  <si>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</si>
  <si>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</si>
  <si>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</si>
  <si>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</si>
  <si>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</si>
  <si>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</si>
  <si>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</si>
  <si>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</si>
  <si>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</si>
  <si>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</si>
  <si>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</si>
  <si>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</si>
  <si>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</si>
  <si>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</si>
  <si>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</si>
  <si>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</si>
  <si>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</si>
  <si>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</si>
  <si>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</si>
  <si>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</si>
  <si>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</si>
  <si>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</si>
  <si>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</si>
  <si>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</si>
  <si>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</si>
  <si>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</si>
  <si>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</si>
  <si>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</si>
  <si>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</si>
  <si>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</si>
  <si>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</si>
  <si>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</si>
  <si>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</si>
  <si>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</si>
  <si>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</si>
  <si>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</si>
  <si>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</si>
  <si>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</si>
  <si>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</si>
  <si>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</si>
  <si>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</si>
  <si>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</si>
  <si>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</si>
  <si>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</si>
  <si>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</si>
  <si>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</si>
  <si>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</si>
  <si>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</si>
  <si>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</si>
  <si>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</si>
  <si>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</si>
  <si>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</si>
  <si>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</si>
  <si>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</si>
  <si>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</si>
  <si>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</si>
  <si>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</si>
  <si>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</si>
  <si>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</si>
  <si>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</si>
  <si>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</si>
  <si>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</si>
  <si>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</si>
  <si>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</si>
  <si>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</si>
  <si>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</si>
  <si>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</si>
  <si>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</si>
  <si>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</si>
  <si>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</si>
  <si>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</si>
  <si>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</si>
  <si>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</si>
  <si>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</si>
  <si>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</si>
  <si>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</si>
  <si>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</si>
  <si>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</si>
  <si>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</si>
  <si>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</si>
  <si>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</si>
  <si>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</si>
  <si>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</si>
  <si>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</si>
  <si>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</si>
  <si>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</si>
  <si>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</si>
  <si>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</si>
  <si>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</si>
  <si>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</si>
  <si>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</si>
  <si>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</si>
  <si>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</si>
  <si>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</si>
  <si>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</si>
  <si>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</si>
  <si>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</si>
  <si>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</si>
  <si>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</si>
  <si>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</si>
  <si>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</si>
  <si>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</si>
  <si>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</si>
  <si>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</si>
  <si>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</si>
  <si>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</si>
  <si>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</si>
  <si>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</si>
  <si>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</si>
  <si>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</si>
  <si>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</si>
  <si>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</si>
  <si>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</si>
  <si>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</si>
  <si>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</si>
  <si>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</si>
  <si>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</si>
  <si>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</si>
  <si>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</si>
  <si>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</si>
  <si>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</si>
  <si>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</si>
  <si>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</si>
  <si>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</si>
  <si>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</si>
  <si>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</si>
  <si>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</si>
  <si>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</si>
  <si>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</si>
  <si>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</si>
  <si>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</si>
  <si>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</si>
  <si>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</si>
  <si>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</si>
  <si>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</si>
  <si>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</si>
  <si>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</si>
  <si>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</si>
  <si>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</si>
  <si>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</si>
  <si>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</si>
  <si>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</si>
  <si>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</si>
  <si>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</si>
  <si>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</si>
  <si>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</si>
  <si>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</si>
  <si>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</si>
  <si>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</si>
  <si>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</si>
  <si>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</si>
  <si>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</si>
  <si>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</si>
  <si>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</si>
  <si>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</si>
  <si>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</si>
  <si>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</si>
  <si>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</si>
  <si>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</si>
  <si>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</si>
  <si>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</si>
  <si>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</si>
  <si>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</si>
  <si>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</si>
  <si>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</si>
  <si>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</si>
  <si>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</si>
  <si>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</si>
  <si>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</si>
  <si>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</si>
  <si>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</si>
  <si>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</si>
  <si>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</si>
  <si>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</si>
  <si>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</si>
  <si>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</si>
  <si>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</si>
  <si>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</si>
  <si>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</si>
  <si>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</si>
  <si>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</si>
  <si>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</si>
  <si>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</si>
  <si>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</si>
  <si>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</si>
  <si>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</si>
  <si>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</si>
  <si>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</si>
  <si>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</si>
  <si>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</si>
  <si>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</si>
  <si>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</si>
  <si>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</si>
  <si>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</si>
  <si>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</si>
  <si>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</si>
  <si>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</si>
  <si>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</si>
  <si>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</si>
  <si>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</si>
  <si>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</si>
  <si>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</si>
  <si>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</si>
  <si>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</si>
  <si>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</si>
  <si>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</si>
  <si>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</si>
  <si>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</si>
  <si>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</si>
  <si>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</si>
  <si>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</si>
  <si>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</si>
  <si>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</si>
  <si>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</si>
  <si>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</si>
  <si>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</si>
  <si>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</si>
  <si>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</si>
  <si>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</si>
  <si>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</si>
  <si>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</si>
  <si>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</si>
  <si>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</si>
  <si>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</si>
  <si>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</si>
  <si>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</si>
  <si>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</si>
  <si>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</si>
  <si>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</si>
  <si>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</si>
  <si>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</si>
  <si>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</si>
  <si>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</si>
  <si>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</si>
  <si>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</si>
  <si>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</si>
  <si>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</si>
  <si>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</si>
  <si>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</si>
  <si>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</si>
  <si>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</si>
  <si>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</si>
  <si>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</si>
  <si>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</si>
  <si>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</si>
  <si>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</si>
  <si>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</si>
  <si>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</si>
  <si>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</si>
  <si>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</si>
  <si>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</si>
  <si>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</si>
  <si>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</si>
  <si>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</si>
  <si>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</si>
  <si>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</si>
  <si>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</si>
  <si>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</si>
  <si>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</si>
  <si>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</si>
  <si>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</si>
  <si>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</si>
  <si>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</si>
  <si>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</si>
  <si>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</si>
  <si>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</si>
  <si>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</si>
  <si>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</si>
  <si>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</si>
  <si>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</si>
  <si>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</si>
  <si>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</si>
  <si>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</si>
  <si>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</si>
  <si>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</si>
  <si>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</si>
  <si>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</si>
  <si>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</si>
  <si>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</si>
  <si>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</si>
  <si>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</si>
  <si>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</si>
  <si>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</si>
  <si>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</si>
  <si>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</si>
  <si>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</si>
  <si>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</si>
  <si>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</si>
  <si>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</si>
  <si>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</si>
  <si>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</si>
  <si>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</si>
  <si>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</si>
  <si>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</si>
  <si>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</si>
  <si>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</si>
  <si>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</si>
  <si>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</si>
  <si>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</si>
  <si>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</si>
  <si>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</si>
  <si>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</si>
  <si>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</si>
  <si>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</si>
  <si>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</si>
  <si>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</si>
  <si>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</si>
  <si>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</si>
  <si>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</si>
  <si>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</si>
  <si>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</si>
  <si>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</si>
  <si>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</si>
  <si>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</si>
  <si>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</si>
  <si>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</si>
  <si>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</si>
  <si>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</si>
  <si>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</si>
  <si>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</si>
  <si>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</si>
  <si>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</si>
  <si>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</si>
  <si>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</si>
  <si>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</si>
  <si>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</si>
  <si>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</si>
  <si>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</si>
  <si>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</si>
  <si>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</si>
  <si>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</si>
  <si>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</si>
  <si>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</si>
  <si>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</si>
  <si>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</si>
  <si>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</si>
  <si>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</si>
  <si>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</si>
  <si>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</si>
  <si>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</si>
  <si>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</si>
  <si>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</si>
  <si>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</si>
  <si>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</si>
  <si>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</si>
  <si>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</si>
  <si>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</si>
  <si>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</si>
  <si>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</si>
  <si>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</si>
  <si>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</si>
  <si>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</si>
  <si>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</si>
  <si>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</si>
  <si>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</si>
  <si>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</si>
  <si>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</si>
  <si>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</si>
  <si>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</si>
  <si>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</si>
  <si>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</si>
  <si>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</si>
  <si>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</si>
  <si>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</si>
  <si>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</si>
  <si>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</si>
  <si>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</si>
  <si>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</si>
  <si>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</si>
  <si>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</si>
  <si>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</si>
  <si>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</si>
  <si>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</si>
  <si>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</si>
  <si>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</si>
  <si>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</si>
  <si>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</si>
  <si>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</si>
  <si>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</si>
  <si>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</si>
  <si>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</si>
  <si>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</si>
  <si>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</si>
  <si>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</si>
  <si>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</si>
  <si>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</si>
  <si>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</si>
  <si>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</si>
  <si>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</si>
  <si>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</si>
  <si>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</si>
  <si>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</si>
  <si>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</si>
  <si>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</si>
  <si>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</si>
  <si>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</si>
  <si>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</si>
  <si>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</si>
  <si>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</si>
  <si>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</si>
  <si>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</si>
  <si>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</si>
  <si>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</si>
  <si>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</si>
  <si>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</si>
  <si>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</si>
  <si>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</si>
  <si>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</si>
  <si>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</si>
  <si>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</si>
  <si>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</si>
  <si>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</si>
  <si>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</si>
  <si>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</si>
  <si>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</si>
  <si>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</si>
  <si>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NewOpp.txt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</si>
  <si>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</si>
  <si>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</si>
  <si>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</si>
  <si>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</si>
  <si>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</si>
  <si>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</si>
  <si>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</si>
  <si>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</si>
  <si>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</si>
  <si>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</si>
  <si>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</si>
  <si>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</si>
  <si>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</si>
  <si>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</si>
  <si>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</si>
  <si>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</si>
  <si>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</si>
  <si>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</si>
  <si>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</si>
  <si>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</si>
  <si>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</si>
  <si>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</si>
  <si>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</si>
  <si>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</si>
  <si>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</si>
  <si>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</si>
  <si>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</si>
  <si>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</si>
  <si>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</si>
  <si>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</si>
  <si>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</si>
  <si>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</si>
  <si>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</si>
  <si>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</si>
  <si>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</si>
  <si>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</si>
  <si>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</si>
  <si>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</si>
  <si>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</si>
  <si>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</si>
  <si>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</si>
  <si>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</si>
  <si>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</si>
  <si>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</si>
  <si>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</si>
  <si>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</si>
  <si>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</si>
  <si>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</si>
  <si>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</si>
  <si>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</si>
  <si>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</si>
  <si>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</si>
  <si>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</si>
  <si>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</si>
  <si>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</si>
  <si>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</si>
  <si>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</si>
  <si>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</si>
  <si>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</si>
  <si>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</si>
  <si>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</si>
  <si>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</si>
  <si>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</si>
  <si>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</si>
  <si>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</si>
  <si>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</si>
  <si>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</si>
  <si>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</si>
  <si>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</si>
  <si>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</si>
  <si>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</si>
  <si>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</si>
  <si>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</si>
  <si>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</si>
  <si>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</si>
  <si>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</si>
  <si>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</si>
  <si>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</si>
  <si>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</si>
  <si>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</si>
  <si>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</si>
  <si>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</si>
  <si>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</si>
  <si>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</si>
  <si>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</si>
  <si>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</si>
  <si>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</si>
  <si>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</si>
  <si>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</si>
  <si>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</si>
  <si>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</si>
  <si>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</si>
  <si>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</si>
  <si>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</si>
  <si>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</si>
  <si>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</si>
  <si>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</si>
  <si>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</si>
  <si>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</si>
  <si>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</si>
  <si>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</si>
  <si>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</si>
  <si>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</si>
  <si>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</si>
  <si>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</si>
  <si>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</si>
  <si>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</si>
  <si>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</si>
  <si>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</si>
  <si>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</si>
  <si>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</si>
  <si>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</si>
  <si>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</si>
  <si>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</si>
  <si>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</si>
  <si>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</si>
  <si>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</si>
  <si>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</si>
  <si>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</si>
  <si>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</si>
  <si>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</si>
  <si>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</si>
  <si>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</si>
  <si>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</si>
  <si>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</si>
  <si>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</si>
  <si>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</si>
  <si>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</si>
  <si>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</si>
  <si>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</si>
  <si>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</si>
  <si>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</si>
  <si>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</si>
  <si>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</si>
  <si>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</si>
  <si>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</si>
  <si>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</si>
  <si>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</si>
  <si>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</si>
  <si>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</si>
  <si>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</si>
  <si>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</si>
  <si>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</si>
  <si>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</si>
  <si>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</si>
  <si>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</si>
  <si>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</si>
  <si>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</si>
  <si>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</si>
  <si>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</si>
  <si>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</si>
  <si>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</si>
  <si>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</si>
  <si>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</si>
  <si>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</si>
  <si>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</si>
  <si>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</si>
  <si>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</si>
  <si>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</si>
  <si>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</si>
  <si>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</si>
  <si>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</si>
  <si>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</si>
  <si>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</si>
  <si>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</si>
  <si>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</si>
  <si>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</si>
  <si>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</si>
  <si>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</si>
  <si>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</si>
  <si>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</si>
  <si>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</si>
  <si>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</si>
  <si>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</si>
  <si>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</si>
  <si>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</si>
  <si>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</si>
  <si>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</si>
  <si>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</si>
  <si>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</si>
  <si>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</si>
  <si>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</si>
  <si>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</si>
  <si>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</si>
  <si>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</si>
  <si>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</si>
  <si>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</si>
  <si>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</si>
  <si>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</si>
  <si>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</si>
  <si>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</si>
  <si>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</si>
  <si>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</si>
  <si>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</si>
  <si>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</si>
  <si>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</si>
  <si>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</si>
  <si>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</si>
  <si>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</si>
  <si>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</si>
  <si>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</si>
  <si>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</si>
  <si>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</si>
  <si>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</si>
  <si>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</si>
  <si>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</si>
  <si>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</si>
  <si>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</si>
  <si>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</si>
  <si>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</si>
  <si>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</si>
  <si>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</si>
  <si>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</si>
  <si>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</si>
  <si>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</si>
  <si>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</si>
  <si>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</si>
  <si>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</si>
  <si>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</si>
  <si>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</si>
  <si>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</si>
  <si>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</si>
  <si>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</si>
  <si>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</si>
  <si>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</si>
  <si>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</si>
  <si>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</si>
  <si>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</si>
  <si>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</si>
  <si>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</si>
  <si>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</si>
  <si>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</si>
  <si>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</si>
  <si>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</si>
  <si>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</si>
  <si>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</si>
  <si>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</si>
  <si>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</si>
  <si>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</si>
  <si>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</si>
  <si>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</si>
  <si>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</si>
  <si>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IdOpp</t>
  </si>
  <si>
    <t>Тема&amp;вид деятельности</t>
  </si>
  <si>
    <t>АСЕ</t>
  </si>
  <si>
    <t>21</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</si>
  <si>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</si>
  <si>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</si>
  <si>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</si>
  <si>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</si>
  <si>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</si>
  <si>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</si>
  <si>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</si>
  <si>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</si>
  <si>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</si>
  <si>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</si>
  <si>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</si>
  <si>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</si>
  <si>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</si>
  <si>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</si>
  <si>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</si>
  <si>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</si>
  <si>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</si>
  <si>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</si>
  <si>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</si>
  <si>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</si>
  <si>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</si>
  <si>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</si>
  <si>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</si>
  <si>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</si>
  <si>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</si>
  <si>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</si>
  <si>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</si>
  <si>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</si>
  <si>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</si>
  <si>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</si>
  <si>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</si>
  <si>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</si>
  <si>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</si>
  <si>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</si>
  <si>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</si>
  <si>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</si>
  <si>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</si>
  <si>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</si>
  <si>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</si>
  <si>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</si>
  <si>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</si>
  <si>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</si>
  <si>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</si>
  <si>
    <t>Организация 1С</t>
  </si>
  <si>
    <t>OppFilter/ 19,6,10,16,13,20,21</t>
  </si>
  <si>
    <t>IdSFD</t>
  </si>
  <si>
    <t>ContrK/26</t>
  </si>
  <si>
    <t>SFD/2:15</t>
  </si>
  <si>
    <t>ForceTxt</t>
  </si>
  <si>
    <t>#7</t>
  </si>
  <si>
    <t>IdSFopp</t>
  </si>
  <si>
    <t>&lt; WARNING &gt; Адаптер&gt; ссылка SFD/15:18(800D0000002STox) не работает, результат &lt;пусто&gt;</t>
  </si>
  <si>
    <t>SFD/15:18/0</t>
  </si>
  <si>
    <t>=I12</t>
  </si>
  <si>
    <t>#3</t>
  </si>
  <si>
    <t>CopyToVal</t>
  </si>
  <si>
    <t>&lt; WARNING &gt; Адаптер&gt; ссылка SFD/2:15(Договор 0001208/2598/0001208/2598Д005) не работает, результат &lt;пусто&gt;</t>
  </si>
  <si>
    <t>&lt; WARNING &gt; Адаптер&gt; ссылка SFD/2:15(Договор 2012-2-59/1) не работает, результат &lt;пусто&gt;</t>
  </si>
  <si>
    <t>&lt; WARNING &gt; Адаптер&gt; ссылка SFD/2:15(Договор 2011-1-32/2) не работает, результат &lt;пусто&gt;</t>
  </si>
  <si>
    <t>&lt; WARNING &gt; Адаптер&gt; ссылка SFD/2:15(Договор 2012-1-169/1) не работает, результат &lt;пусто&gt;</t>
  </si>
  <si>
    <t>Связать  -&gt;</t>
  </si>
  <si>
    <t>MoveToMatch: В файл '1C.xlsx' загружен новый отчет 'Договоры'; EOL=1077 строк, в прежнем 1061</t>
  </si>
  <si>
    <t>MoveToMatch: В файл '1C.xlsx' загружен новый отчет 'Договоры'; EOL=1077 строк, в прежнем 1077</t>
  </si>
  <si>
    <t>&lt; WARNING &gt; Адаптер&gt; ссылка SFacc/3:7/W(0012000000bKTCS) не работает, результат &lt;пусто&gt;</t>
  </si>
  <si>
    <t>&lt; WARNING &gt; Адаптер&gt; ссылка SFacc/3:7/W(0012000000NaPDI) не работает, результат &lt;пусто&gt;</t>
  </si>
  <si>
    <t>WrCSV&gt; в 'Dogovor.txt' записано 16 строк.</t>
  </si>
  <si>
    <t>MoveToMatch: В файл 'SFDC.xlsx' загружен новый отчет 'SFD'; EOL=767 строк, в прежнем 752</t>
  </si>
  <si>
    <t>MoveToMatch: В файл 'SFDC.xlsx' загружен новый отчет 'SFacc'; EOL=3922 строк, в прежнем 3901</t>
  </si>
  <si>
    <t>MoveToMatch: В файл 'SFDC.xlsx' загружен новый отчет 'SFacc'; EOL=3922 строк, в прежнем 3922</t>
  </si>
  <si>
    <t>WrCSV&gt; в 'Dogovor.txt' записано 4 строк.</t>
  </si>
  <si>
    <t>MoveToMatch: В файл 'SFDC.xlsx' загружен новый отчет 'SFD'; EOL=770 строк, в прежнем 767</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</si>
  <si>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</si>
  <si>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</si>
  <si>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</si>
  <si>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ВНИМАНИЕ:&lt;&gt; Процесс LOAD_SFD перед выполнением Шага DateSort</t>
  </si>
  <si>
    <t>ВНИМАНИЕ:&lt;&gt; Процесс LOAD_SFD перед выполнением Шага ProcStart</t>
  </si>
  <si>
    <t>ВНИМАНИЕ:&lt;&gt; Процесс LOAD_SFacc перед выполнением Шага ProcStart</t>
  </si>
  <si>
    <t>WP</t>
  </si>
  <si>
    <t>NewAcc</t>
  </si>
  <si>
    <t>UpdateContract</t>
  </si>
  <si>
    <t>95</t>
  </si>
  <si>
    <t>HDR_NewPayment</t>
  </si>
  <si>
    <t>HDR_NewContract</t>
  </si>
  <si>
    <t>Формы новых объектов в WP_TMP.xlsm</t>
  </si>
  <si>
    <t>HDR_NewOpp</t>
  </si>
  <si>
    <t>WP_Prototype</t>
  </si>
  <si>
    <t>&lt;! ERROR !&gt; GetRep: файл штампа=WP_TMP.xlsm&gt; Запрос не существующего в ТОС отчета NewOpp</t>
  </si>
  <si>
    <t>W_TMP.xlsm</t>
  </si>
  <si>
    <t>&lt;! ERROR !&gt; NewSheet&gt; Нет Шаблона (шапки) '' для листа NewOpp</t>
  </si>
  <si>
    <t>N</t>
  </si>
  <si>
    <r>
      <t>28.10.12</t>
    </r>
    <r>
      <rPr>
        <i/>
        <sz val="11"/>
        <color theme="1"/>
        <rFont val="Calibri"/>
        <family val="2"/>
        <charset val="204"/>
        <scheme val="minor"/>
      </rPr>
      <t xml:space="preserve"> </t>
    </r>
    <r>
      <rPr>
        <i/>
        <u/>
        <sz val="11"/>
        <color theme="1"/>
        <rFont val="Calibri"/>
        <family val="2"/>
        <charset val="204"/>
        <scheme val="minor"/>
      </rPr>
      <t>NewOpp</t>
    </r>
    <r>
      <rPr>
        <i/>
        <sz val="11"/>
        <color theme="1"/>
        <rFont val="Calibri"/>
        <family val="2"/>
        <charset val="204"/>
        <scheme val="minor"/>
      </rPr>
      <t xml:space="preserve"> - создание Проектов SF. Они записываются в файл OppInsert.csv и загружаются в SF Data Loader'ом</t>
    </r>
  </si>
  <si>
    <t>0012000000VwqGt</t>
  </si>
  <si>
    <t>44</t>
  </si>
  <si>
    <t>Инковаз-Оборудование 2012-3-3 20.8.12</t>
  </si>
  <si>
    <t>21.08.2012</t>
  </si>
  <si>
    <t>NewOppStage/15,22,23</t>
  </si>
  <si>
    <t>Обслуживание оборудования</t>
  </si>
  <si>
    <t>OppTema</t>
  </si>
  <si>
    <t>OppBuddy</t>
  </si>
  <si>
    <t>228 от 20.08.2012ЗАО "ИНКОВАЗ"2299</t>
  </si>
  <si>
    <t>SF/1:2</t>
  </si>
  <si>
    <t>&lt;! ERROR !&gt; Adapter&gt; Не существует NewOppName</t>
  </si>
  <si>
    <t>SFacc/3:1</t>
  </si>
  <si>
    <t>&lt; WARNING &gt; Адаптер Продавец_в_SF(Фролов) не получил данных</t>
  </si>
  <si>
    <t>Продавцы/4</t>
  </si>
  <si>
    <t>NewOppName/10,8,21,13</t>
  </si>
  <si>
    <t>DogVal/16,15,23,22</t>
  </si>
  <si>
    <t>&lt;! ERROR !&gt; Adapter&gt; Не существует TypOpp</t>
  </si>
  <si>
    <t>&lt;! ERROR !&gt; Adapter&gt; Не существует NewOppStage</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</si>
  <si>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 мастерлента</t>
  </si>
  <si>
    <t>Тип в SFopp</t>
  </si>
  <si>
    <t>Работы</t>
  </si>
  <si>
    <t>TypOpp/17</t>
  </si>
  <si>
    <t>Работа</t>
  </si>
  <si>
    <t>Железо</t>
  </si>
  <si>
    <r>
      <t>29.10.12</t>
    </r>
    <r>
      <rPr>
        <b/>
        <i/>
        <u/>
        <sz val="11"/>
        <color theme="1"/>
        <rFont val="Calibri"/>
        <family val="2"/>
        <charset val="204"/>
        <scheme val="minor"/>
      </rPr>
      <t xml:space="preserve"> WorksTable</t>
    </r>
    <r>
      <rPr>
        <sz val="11"/>
        <color theme="1"/>
        <rFont val="Calibri"/>
        <family val="2"/>
        <charset val="204"/>
        <scheme val="minor"/>
      </rPr>
      <t xml:space="preserve"> - таблица работ по различным видам товаров </t>
    </r>
  </si>
  <si>
    <t>Обучение, консультаци, услуг</t>
  </si>
  <si>
    <t>Subscription, подписка</t>
  </si>
  <si>
    <t>MoveToMatch: В файл 'SFDC.xlsx' загружен новый отчет 'SFopp'; EOL=2843 строк, в прежнем 2823</t>
  </si>
  <si>
    <t>MoveToMatch: В файл 'SFDC.xlsx' загружен новый отчет 'SF'; EOL=3702 строк, в прежнем 3694</t>
  </si>
  <si>
    <t>MoveToMatch: В файл 'SFDC.xlsx' загружен новый отчет 'SF'; EOL=3702 строк, в прежнем 3702</t>
  </si>
  <si>
    <t>MoveToMatch: В файл 'SFDC.xlsx' загружен новый отчет 'SFD'; EOL=773 строк, в прежнем 770</t>
  </si>
  <si>
    <t>MoveToMatch: В файл 'SFDC.xlsx' загружен новый отчет 'SFacc'; EOL=3929 строк, в прежнем 3922</t>
  </si>
  <si>
    <t>MoveToMatch: В файл 'SFDC.xlsx' загружен новый отчет 'ADSKfrSF'; EOL=1745 строк, в прежнем 1740</t>
  </si>
  <si>
    <t>MoveToMatch: В файл 'SFDC.xlsx' загружен новый отчет 'SForders'; EOL=362 строк, в прежнем 362</t>
  </si>
  <si>
    <t>MoveToMatch: В файл 'SFDC.xlsx' загружен новый отчет 'SF_PA'; EOL=194 строк, в прежнем 194</t>
  </si>
  <si>
    <t>MoveToMatch: В файл 'SFDC.xlsx' загружен новый отчет 'SFcont'; EOL=7574 строк, в прежнем 7459</t>
  </si>
  <si>
    <t>MoveToMatch: В файл '1C.xlsx' загружен новый отчет 'Платежи'; EOL=4895 строк, в прежнем 4800</t>
  </si>
  <si>
    <t>MoveToMatch: В файл 'Stock.xlsx' загружен новый отчет 'Склад'; EOL=8718 строк, в прежнем 8579</t>
  </si>
  <si>
    <t>ВНИМАНИЕ:Отчет Склад действительно 'Loaded'</t>
  </si>
  <si>
    <t>ВНИМАНИЕ:&lt;&gt; Процесс LOAD_Stock перед выполнением Шага RowDel</t>
  </si>
  <si>
    <t>ВНИМАНИЕ:&lt;&gt; Процесс LOAD_Stock перед выполнением Шага InsMyCol</t>
  </si>
  <si>
    <t>ВНИМАНИЕ:&lt;&gt; Процесс LOAD_Stock перед выполнением Шага GetInv1C</t>
  </si>
  <si>
    <t>ВНИМАНИЕ:&lt;&gt; Процесс LOAD_Stock перед выполнением Шага Adapt</t>
  </si>
  <si>
    <t>&lt; WARNING &gt; Адаптер&gt; ссылка SF/2:11(483 от 21.04.10ООО "Вентпроф"109) не работает, результат &lt;пусто&gt;</t>
  </si>
  <si>
    <t>&lt; WARNING &gt; Адаптер&gt; ссылка SF/2:11(521 от 07.09.09ОАО "Российский институт радионавигации и времени"8) не работает, результат &lt;пусто&gt;</t>
  </si>
  <si>
    <t>&lt; WARNING &gt; Адаптер&gt; ссылка SF/2:11(392 от 29.09.09ЗАО "РИВС-проект"235) не работает, результат &lt;пусто&gt;</t>
  </si>
  <si>
    <t>&lt; WARNING &gt; Адаптер&gt; ссылка SF/2:11(80 от 25.11.09ФГУП "Крыловский государственный научный центр"11) не работает, результат &lt;пусто&gt;</t>
  </si>
  <si>
    <t>&lt; WARNING &gt; Адаптер&gt; ссылка SF/2:11(154 от 02.12.09ООО "Корпус"74) не работает, результат &lt;пусто&gt;</t>
  </si>
  <si>
    <t>&lt; WARNING &gt; Адаптер&gt; ссылка SF/2:11(41 от 14.12.09ГОУВПО "Санкт-Петербургская государственная лесотехническая академия имени С.М. Кирова"46) не работает, результат &lt;пусто&gt;</t>
  </si>
  <si>
    <t>&lt; WARNING &gt; Адаптер&gt; ссылка SF/2:11(632 от 04.12.09ООО "ХимПроект"28) не работает, результат &lt;пусто&gt;</t>
  </si>
  <si>
    <t>&lt; WARNING &gt; Адаптер&gt; ссылка SF/2:11(191 от 16.12.09ООО "Северная корона"42) не работает, результат &lt;пусто&gt;</t>
  </si>
  <si>
    <t>&lt; WARNING &gt; Адаптер&gt; ссылка SF/2:11(487 от 28.12.09ЗАО "Климат проф"5) не работает, результат &lt;пусто&gt;</t>
  </si>
  <si>
    <t>&lt; WARNING &gt; Адаптер&gt; ссылка SF/2:11(14 от 27.06.10ООО "Фрейм"45) не работает, результат &lt;пусто&gt;</t>
  </si>
  <si>
    <t>&lt; WARNING &gt; Адаптер&gt; ссылка SF/2:11(5 от 13.01.10ООО "АРТ"13) не работает, результат &lt;пусто&gt;</t>
  </si>
  <si>
    <t>&lt; WARNING &gt; Адаптер&gt; ссылка SF/2:11(26 от 01.02.10ЗАО "Энертек"4) не работает, результат &lt;пусто&gt;</t>
  </si>
  <si>
    <t>&lt; WARNING &gt; Адаптер&gt; ссылка SF/2:11(910 от 15.01.10ООО "Эксперт Групп"3) не работает, результат &lt;пусто&gt;</t>
  </si>
  <si>
    <t>&lt; WARNING &gt; Адаптер&gt; ссылка SF/2:11(435 от 09.04.10ООО "САН СПб"4) не работает, результат &lt;пусто&gt;</t>
  </si>
  <si>
    <t>&lt; WARNING &gt; Адаптер&gt; ссылка SF/2:11(1 от 21.01.10ООО "Архитектурное Бюро Елены Кирилловой"3) не работает, результат &lt;пусто&gt;</t>
  </si>
  <si>
    <t>&lt; WARNING &gt; Адаптер&gt; ссылка SF/2:11(308 от 12.02.10ООО "НПФ ЭЛНАП"15) не работает, результат &lt;пусто&gt;</t>
  </si>
  <si>
    <t>&lt; WARNING &gt; Адаптер&gt; ссылка SF/2:11(134 от 03.02.10ООО "САН СПб"14) не работает, результат &lt;пусто&gt;</t>
  </si>
  <si>
    <t>&lt; WARNING &gt; Адаптер&gt; ссылка SF/2:11(150 от 12.02.10Санкт-Петербургский филиал ФГУП "Ростехинвентаризация - Федеральное БТИ"47) не работает, результат &lt;пусто&gt;</t>
  </si>
  <si>
    <t>&lt; WARNING &gt; Адаптер&gt; ссылка SF/2:11(286 от 25.02.10ООО "Риал СТФ"11) не работает, результат &lt;пусто&gt;</t>
  </si>
  <si>
    <t>&lt; WARNING &gt; Адаптер&gt; ссылка SF/2:11(323ЗАО "ЛИМБ"26) не работает, результат &lt;пусто&gt;</t>
  </si>
  <si>
    <t>&lt; WARNING &gt; Адаптер&gt; ссылка SF/2:11(57 от 18.03.10Общество с ограниченной ответственностью &lt;СКН&gt;52) не работает, результат &lt;пусто&gt;</t>
  </si>
  <si>
    <t>&lt; WARNING &gt; Адаптер&gt; ссылка SF/2:11(219 от 21.05.10ООО "Гранд"93) не работает, результат &lt;пусто&gt;</t>
  </si>
  <si>
    <t>&lt; WARNING &gt; Адаптер&gt; ссылка SF/2:11(643 от 08.04.10ООО "ЛЭНК"8) не работает, результат &lt;пусто&gt;</t>
  </si>
  <si>
    <t>&lt; WARNING &gt; Адаптер&gt; ссылка SF/2:11(410 от 02.06.10Строительно-монтажный трест №1 - филиала ОАО "РЖДстрой"128) не работает, результат &lt;пусто&gt;</t>
  </si>
  <si>
    <t>&lt; WARNING &gt; Адаптер&gt; ссылка SF/2:11(175 от 07.06.10ООО "ОНИКС"64) не работает, результат &lt;пусто&gt;</t>
  </si>
  <si>
    <t>&lt; WARNING &gt; Адаптер&gt; ссылка SF/2:11(176 от 07.06.10ООО "ОНИКС"1) не работает, результат &lt;пусто&gt;</t>
  </si>
  <si>
    <t>&lt; WARNING &gt; Адаптер&gt; ссылка SF/2:11(62 от 23.05.11ООО "Архитектурное Бюро Елены Кирилловой"3) не работает, результат &lt;пусто&gt;</t>
  </si>
  <si>
    <t>&lt; WARNING &gt; Адаптер&gt; ссылка SF/2:11(556 от 20.07.10ОАО ЦМКБ "Алмаз"23) не работает, результат &lt;пусто&gt;</t>
  </si>
  <si>
    <t>&lt; WARNING &gt; Адаптер&gt; ссылка SF/2:11(193 от 06.09.10ЗАО "Измерительные системы"38) не работает, результат &lt;пусто&gt;</t>
  </si>
  <si>
    <t>&lt; WARNING &gt; Адаптер&gt; ссылка SF/2:11(781 от 10.09.10ЗАО "Инвестиции. Инжиниринг. Строительство"80) не работает, результат &lt;пусто&gt;</t>
  </si>
  <si>
    <t>&lt; WARNING &gt; Адаптер&gt; ссылка SF/2:11(149 от 15.08.11ООО "Виктория"13) не работает, результат &lt;пусто&gt;</t>
  </si>
  <si>
    <t>&lt; WARNING &gt; Адаптер&gt; ссылка SF/2:11(432 от 21.09.10ООО "Проектно-строительная компания "Нефтехим"20) не работает, результат &lt;пусто&gt;</t>
  </si>
  <si>
    <t>&lt; WARNING &gt; Адаптер&gt; ссылка SF/2:11(644 от 03.08.11ЗАО "Термолайн Инжиниринг"3) не работает, результат &lt;пусто&gt;</t>
  </si>
  <si>
    <t>&lt; WARNING &gt; Адаптер&gt; ссылка SF/2:11(809 от 15.06.11ООО "САН СПб"3) не работает, результат &lt;пусто&gt;</t>
  </si>
  <si>
    <t>&lt; WARNING &gt; Адаптер&gt; ссылка SF/2:11(109 от 02.02.11ОАО "Морион"91) не работает, результат &lt;пусто&gt;</t>
  </si>
  <si>
    <t>&lt; WARNING &gt; Адаптер&gt; ссылка SF/2:11(Антонов ЧП3) не работает, результат &lt;пусто&gt;</t>
  </si>
  <si>
    <t>&lt; WARNING &gt; Адаптер&gt; ссылка SF/2:11(89 от 21.01.11ООО "Риал СТФ"8) не работает, результат &lt;пусто&gt;</t>
  </si>
  <si>
    <t>&lt; WARNING &gt; Адаптер&gt; ссылка SF/2:11(58 от 10.02.11ООО "СлавСтройИнвест-Реконструкция"19) не работает, результат &lt;пусто&gt;</t>
  </si>
  <si>
    <t>&lt; WARNING &gt; Адаптер&gt; ссылка SF/2:11(244 от 14.04.11ООО "Инжтехнология"2) не работает, результат &lt;пусто&gt;</t>
  </si>
  <si>
    <t>&lt; WARNING &gt; Адаптер&gt; ссылка SF/2:11(153 от 31.01.11ООО "СК ТОМАС"5) не работает, результат &lt;пусто&gt;</t>
  </si>
  <si>
    <t>&lt; WARNING &gt; Адаптер&gt; ссылка SF/2:11(815 от 18.08.11ОАО "Российский институт радионавигации и времени"5) не работает, результат &lt;пусто&gt;</t>
  </si>
  <si>
    <t>&lt; WARNING &gt; Адаптер&gt; ссылка SF/2:11(38 от 13.01.11ОАО "Равенство"6) не работает, результат &lt;пусто&gt;</t>
  </si>
  <si>
    <t>&lt; WARNING &gt; Адаптер&gt; ссылка SF/2:11(223 от 15.03.11ООО "ИНФОЦЕНТР"37) не работает, результат &lt;пусто&gt;</t>
  </si>
  <si>
    <t>&lt; WARNING &gt; Адаптер&gt; ссылка SF/2:11(авт налЧП "Самсонов Е. И"12) не работает, результат &lt;пусто&gt;</t>
  </si>
  <si>
    <t>&lt; WARNING &gt; Адаптер&gt; ссылка SF/2:11(715 от 08.04.11ОАО ЦМКБ "Алмаз"23) не работает, результат &lt;пусто&gt;</t>
  </si>
  <si>
    <t>&lt; WARNING &gt; Адаптер&gt; ссылка SF/2:11(98 от 24.05.11ООО "СКИН"25) не работает, результат &lt;пусто&gt;</t>
  </si>
  <si>
    <t>&lt; WARNING &gt; Адаптер&gt; ссылка SF/2:11(212 от 08.04.11ООО "РК "ИНТАРСИЯ"29) не работает, результат &lt;пусто&gt;</t>
  </si>
  <si>
    <t>&lt; WARNING &gt; Адаптер&gt; ссылка SF/2:11(307 от 15.05.12ЗАО "Новгородстройпроект"44) не работает, результат &lt;пусто&gt;</t>
  </si>
  <si>
    <t>&lt; WARNING &gt; Адаптер&gt; ссылка SF/2:11(338 от 11.09.2012ФГБУ "САЦ Минэнерго России"48) не работает, результат &lt;пусто&gt;</t>
  </si>
  <si>
    <t>&lt; WARNING &gt; Адаптер&gt; ссылка SF/2:11(785 от 22.06.11ОАО "Российский институт радионавигации и времени"8) не работает, результат &lt;пусто&gt;</t>
  </si>
  <si>
    <t>&lt; WARNING &gt; Адаптер&gt; ссылка SF/2:11(855 от 30.06.11ООО"Энергопромавтоматизация"80) не работает, результат &lt;пусто&gt;</t>
  </si>
  <si>
    <t>&lt; WARNING &gt; Адаптер&gt; ссылка SF/2:11(751 от 28.06.11ОАО "Гатчинский ДСК"78) не работает, результат &lt;пусто&gt;</t>
  </si>
  <si>
    <t>&lt; WARNING &gt; Адаптер&gt; ссылка SF/2:11(177 от 19.05.11ООО "БУСТЕР"46) не работает, результат &lt;пусто&gt;</t>
  </si>
  <si>
    <t>&lt; WARNING &gt; Адаптер&gt; ссылка SF/2:11(314 от 07.06.11ООО "Инпротех"67) не работает, результат &lt;пусто&gt;</t>
  </si>
  <si>
    <t>&lt; WARNING &gt; Адаптер&gt; ссылка SF/2:11(754 от 12.05.11ЗАО "Военно-мемориальная компания"25) не работает, результат &lt;пусто&gt;</t>
  </si>
  <si>
    <t>&lt; WARNING &gt; Адаптер&gt; ссылка SF/2:11(44 от 09.06.11ООО "СВДизайн-Принт"10) не работает, результат &lt;пусто&gt;</t>
  </si>
  <si>
    <t>&lt; WARNING &gt; Адаптер&gt; ссылка SF/2:11(165 от 08.08.11ООО "Управление проектированием и строительством 91"13) не работает, результат &lt;пусто&gt;</t>
  </si>
  <si>
    <t>&lt; WARNING &gt; Адаптер&gt; ссылка SF/2:11(234 от 05.07.11ООО "АРТ-Копи"56) не работает, результат &lt;пусто&gt;</t>
  </si>
  <si>
    <t>&lt; WARNING &gt; Адаптер&gt; ссылка SF/2:11(974 от 29.06.11ООО "Технократ"2) не работает, результат &lt;пусто&gt;</t>
  </si>
  <si>
    <t>&lt; WARNING &gt; Адаптер&gt; ссылка SF/2:11(297 от 13.07.11ЗАО "ПсковТИСИз"44) не работает, результат &lt;пусто&gt;</t>
  </si>
  <si>
    <t>&lt; WARNING &gt; Адаптер&gt; ссылка SF/2:11(106 от 27.06.11ЗАО "Эй Энд Эй Групп"8) не работает, результат &lt;пусто&gt;</t>
  </si>
  <si>
    <t>&lt; WARNING &gt; Адаптер&gt; ссылка SF/2:11(424 от 03.07.2012ООО "Копиум"30) не работает, результат &lt;пусто&gt;</t>
  </si>
  <si>
    <t>&lt; WARNING &gt; Адаптер&gt; ссылка SF/2:11(430 от 11.07.11ООО "Пеуру"37) не работает, результат &lt;пусто&gt;</t>
  </si>
  <si>
    <t>&lt; WARNING &gt; Адаптер&gt; ссылка SF/2:11(558 от 23.08.11ООО "ИКТП"57) не работает, результат &lt;пусто&gt;</t>
  </si>
  <si>
    <t>&lt; WARNING &gt; Адаптер&gt; ссылка SF/2:11(9 от 28.09.12ЗАО "КТПИ "Газпроект"31) не работает, результат &lt;пусто&gt;</t>
  </si>
  <si>
    <t>&lt; WARNING &gt; Адаптер&gt; ссылка SF/2:11(268 от 10.10.11ООО "ГТ Проект"57) не работает, результат &lt;пусто&gt;</t>
  </si>
  <si>
    <t>&lt; WARNING &gt; Адаптер&gt; ссылка SF/2:11(746 от 17.05.12ЗАО "КОНЦЕРН ТИТАН - 2"56) не работает, результат &lt;пусто&gt;</t>
  </si>
  <si>
    <t>&lt; WARNING &gt; Адаптер&gt; ссылка SF/2:11(17 от 13.10.11ООО "СТД"14) не работает, результат &lt;пусто&gt;</t>
  </si>
  <si>
    <t>&lt; WARNING &gt; Адаптер&gt; ссылка SF/2:11(20 от 17.11.11ООО "ХОНКА-ПАРК"80) не работает, результат &lt;пусто&gt;</t>
  </si>
  <si>
    <t>&lt; WARNING &gt; Адаптер&gt; ссылка SF/2:11(авт налФГУП "Крыловский государственный научный центр"3) не работает, результат &lt;пусто&gt;</t>
  </si>
  <si>
    <t>&lt; WARNING &gt; Адаптер&gt; ссылка SF/2:11(208 от 29.11.11ООО "ТАМ Реппо"0) не работает, результат &lt;пусто&gt;</t>
  </si>
  <si>
    <t>&lt; WARNING &gt; Адаптер&gt; ссылка SF/2:11(208 от 29.11.11ООО "ТАМ Реппо"64) не работает, результат &lt;пусто&gt;</t>
  </si>
  <si>
    <t>&lt; WARNING &gt; Адаптер&gt; ссылка SF/2:11(218 от 24.11.11ОАО "Воткинский завод"6) не работает, результат &lt;пусто&gt;</t>
  </si>
  <si>
    <t>&lt; WARNING &gt; Адаптер&gt; ссылка SF/2:11(705 от 20.12.11ООО "Синтегра"19) не работает, результат &lt;пусто&gt;</t>
  </si>
  <si>
    <t>&lt; WARNING &gt; Адаптер&gt; ссылка SF/2:11(144 от 21.12.11ООО "Каскад-Проект"39) не работает, результат &lt;пусто&gt;</t>
  </si>
  <si>
    <t>&lt; WARNING &gt; Адаптер&gt; ссылка SF/2:11(376 от 21.12.11ООО "АРТ"6) не работает, результат &lt;пусто&gt;</t>
  </si>
  <si>
    <t>&lt; WARNING &gt; Адаптер&gt; ссылка SF/2:11(301 от 14.12.11ООО "Конструктив"6) не работает, результат &lt;пусто&gt;</t>
  </si>
  <si>
    <t>&lt; WARNING &gt; Адаптер&gt; ссылка SF/2:11(775 от 17.11.11ООО "Системный Софт"63) не работает, результат &lt;пусто&gt;</t>
  </si>
  <si>
    <t>&lt; WARNING &gt; Адаптер&gt; ссылка SF/2:11(285 от 30.12.11ЗАО Трест "Камдорстрой"64) не работает, результат &lt;пусто&gt;</t>
  </si>
  <si>
    <t>&lt; WARNING &gt; Адаптер&gt; ссылка SF/2:11(468 от 06.08.2012Филиал ООО "Спектрум-Холдинг" в г.Санкт-Петербург5) не работает, результат &lt;пусто&gt;</t>
  </si>
  <si>
    <t>&lt; WARNING &gt; Адаптер&gt; ссылка SF/2:11(112 от 19.01.12ООО "НПП "Бента"21) не работает, результат &lt;пусто&gt;</t>
  </si>
  <si>
    <t>&lt; WARNING &gt; Адаптер&gt; ссылка SF/2:11(566 от 07.02.2012СПб ГБУК "Музей-институт семьи Рерихов"11) не работает, результат &lt;пусто&gt;</t>
  </si>
  <si>
    <t>&lt; WARNING &gt; Адаптер&gt; ссылка SF/2:11(78 от 11.01.12ФГУП "НИИЭФА им.Д.В.Ефремова"16) не работает, результат &lt;пусто&gt;</t>
  </si>
  <si>
    <t>&lt; WARNING &gt; Адаптер&gt; ссылка SF/2:11(926 от 03.02.2012ООО "Архитектурное бюро "Студия - 17"115) не работает, результат &lt;пусто&gt;</t>
  </si>
  <si>
    <t>&lt; WARNING &gt; Адаптер&gt; ссылка SF/2:11(33 от 22.02.12ООО "ПроектСтрой"75) не работает, результат &lt;пусто&gt;</t>
  </si>
  <si>
    <t>&lt; WARNING &gt; Адаптер&gt; ссылка SF/2:11(76 от 06.02.2012ООО "КАД-КОПИ Сервис"63) не работает, результат &lt;пусто&gt;</t>
  </si>
  <si>
    <t>&lt; WARNING &gt; Адаптер&gt; ссылка SF/2:11(268 от 01.03.12ЗАО "Монтажно-наладочное предприятие МИН"57) не работает, результат &lt;пусто&gt;</t>
  </si>
  <si>
    <t>&lt; WARNING &gt; Адаптер&gt; ссылка SF/2:11(163 от 31.01.12ЗАО "Титанит"14) не работает, результат &lt;пусто&gt;</t>
  </si>
  <si>
    <t>&lt; WARNING &gt; Адаптер&gt; ссылка SF/2:11(531 от 02.03.12ООО "Риал СТФ"16) не работает, результат &lt;пусто&gt;</t>
  </si>
  <si>
    <t>&lt; WARNING &gt; Адаптер&gt; ссылка SF/2:11(770 от 02.03.12ООО "Капитал стройиндустрия"61) не работает, результат &lt;пусто&gt;</t>
  </si>
  <si>
    <t>&lt; WARNING &gt; Адаптер&gt; ссылка SF/2:11(22 от 08.02.2012ООО "Ипроплан-Нева"3) не работает, результат &lt;пусто&gt;</t>
  </si>
  <si>
    <t>&lt; WARNING &gt; Адаптер&gt; ссылка SF/2:11(318 от 09.02.2012ОАО "Управление автомобильного транспорта"56) не работает, результат &lt;пусто&gt;</t>
  </si>
  <si>
    <t>&lt; WARNING &gt; Адаптер&gt; ссылка SF/2:11(103 от 31.01.12ЗАО "Титанвентех"14) не работает, результат &lt;пусто&gt;</t>
  </si>
  <si>
    <t>&lt; WARNING &gt; Адаптер&gt; ссылка SF/2:11(523 от 16.07.2012ООО ГП "СевЗапГеодезия"13) не работает, результат &lt;пусто&gt;</t>
  </si>
  <si>
    <t>&lt; WARNING &gt; Адаптер&gt; ссылка SF/2:11(335 от 01.03.12ООО "ТОМС-проект"84) не работает, результат &lt;пусто&gt;</t>
  </si>
  <si>
    <t>&lt; WARNING &gt; Адаптер&gt; ссылка SF/2:11(122 от 14.04.2012ООО "Бюро ГПИ"18) не работает, результат &lt;пусто&gt;</t>
  </si>
  <si>
    <t>&lt; WARNING &gt; Адаптер&gt; ссылка SF/2:11(539 от 25.04.2012ООО "АДЕЛСИ"33) не работает, результат &lt;пусто&gt;</t>
  </si>
  <si>
    <t>&lt; WARNING &gt; Адаптер&gt; ссылка SF/2:11(554 от 24.04.2012ООО "Хасконинг Консультанты, Архитекторы и Инженеры"71) не работает, результат &lt;пусто&gt;</t>
  </si>
  <si>
    <t>&lt; WARNING &gt; Адаптер&gt; ссылка SF/2:11(808 от 14.05.12ЗАО "НОВА-cтрой"42) не работает, результат &lt;пусто&gt;</t>
  </si>
  <si>
    <t>&lt; WARNING &gt; Адаптер&gt; ссылка SF/2:11(373 от 11.05.12ООО "Торгово-промышленная компания "ТоргЛенПром"36) не работает, результат &lt;пусто&gt;</t>
  </si>
  <si>
    <t>&lt; WARNING &gt; Адаптер&gt; ссылка SF/2:11(335 от 30.05.2012ЗАО "НОВА-cтрой"30) не работает, результат &lt;пусто&gt;</t>
  </si>
  <si>
    <t>&lt; WARNING &gt; Адаптер&gt; ссылка SF/2:11(467 от 08.06.2012ЗАО "АЧФ"87) не работает, результат &lt;пусто&gt;</t>
  </si>
  <si>
    <t>&lt; WARNING &gt; Адаптер&gt; ссылка SF/2:11(371 от 07.06.2012ЗАО "Управление начальника работ №18"45) не работает, результат &lt;пусто&gt;</t>
  </si>
  <si>
    <t>&lt; WARNING &gt; Адаптер&gt; ссылка SF/2:11(190 от 18.06.2012ОАО "Трест ГРИИ"51) не работает, результат &lt;пусто&gt;</t>
  </si>
  <si>
    <t>&lt; WARNING &gt; Адаптер&gt; ссылка SF/2:11(403 от 22.06.2012ЗАО "Новгородстройпроект"10) не работает, результат &lt;пусто&gt;</t>
  </si>
  <si>
    <t>&lt; WARNING &gt; Адаптер&gt; ссылка SF/2:11(40 от 21.06.2012ОАО "ГРЦ Макеева"21) не работает, результат &lt;пусто&gt;</t>
  </si>
  <si>
    <t>&lt; WARNING &gt; Адаптер&gt; ссылка SF/2:11(356 от 28.06.2012ООО "ФинансГруп"45) не работает, результат &lt;пусто&gt;</t>
  </si>
  <si>
    <t>&lt; WARNING &gt; Адаптер&gt; ссылка SF/2:11(32 от 06.07.2012OOO "Энергопроект-Север"150) не работает, результат &lt;пусто&gt;</t>
  </si>
  <si>
    <t>&lt; WARNING &gt; Адаптер&gt; ссылка SF/2:11(4 от 01.06.2012ООО "Электронные технологии"14) не работает, результат &lt;пусто&gt;</t>
  </si>
  <si>
    <t>&lt; WARNING &gt; Адаптер&gt; ссылка SF/2:11(539 от 02.07.2012ОАО "Соломон"44) не работает, результат &lt;пусто&gt;</t>
  </si>
  <si>
    <t>&lt; WARNING &gt; Адаптер&gt; ссылка SF/2:11(113 от 21.06.2012ООО "ТОМС-проект"25) не работает, результат &lt;пусто&gt;</t>
  </si>
  <si>
    <t>&lt; WARNING &gt; Адаптер&gt; ссылка SF/2:11(59 от 13.07.2012ООО "Гранд Логистикс"1060) не работает, результат &lt;пусто&gt;</t>
  </si>
  <si>
    <t>&lt; WARNING &gt; Адаптер&gt; ссылка SF/2:11(325 от 02.08.2012ООО "Институт географических информационный технологий"122) не работает, результат &lt;пусто&gt;</t>
  </si>
  <si>
    <t>&lt; WARNING &gt; Адаптер&gt; ссылка SF/2:11(авт налАнтонов ЧП1) не работает, результат &lt;пусто&gt;</t>
  </si>
  <si>
    <t>&lt; WARNING &gt; Адаптер&gt; ссылка SF/2:11(911 от 13.08.2012ЗАО "ПетроЭлектроКомплекс"35) не работает, результат &lt;пусто&gt;</t>
  </si>
  <si>
    <t>&lt; WARNING &gt; Адаптер&gt; ссылка SF/2:11(499 от 07.12.11ООО "НТЦ-АС"7) не работает, результат &lt;пусто&gt;</t>
  </si>
  <si>
    <t>&lt; WARNING &gt; Адаптер&gt; ссылка SF/2:11(867 от 17.08.2012ООО "Система-Сервис"152) не работает, результат &lt;пусто&gt;</t>
  </si>
  <si>
    <t>&lt; WARNING &gt; Адаптер&gt; ссылка SF/2:11(68 от 09.10.2012Филиал ФГУП "ЦКБ ТМ" - СКБ "Титан"18) не работает, результат &lt;пусто&gt;</t>
  </si>
  <si>
    <t>&lt; WARNING &gt; Адаптер&gt; ссылка SF/2:11(386 от 01.10.12ОАО "Воткинский завод"1229) не работает, результат &lt;пусто&gt;</t>
  </si>
  <si>
    <t>&lt; WARNING &gt; Адаптер&gt; ссылка SF/2:11(308 от 16.08.2012ЗАО "ДСК Блок"80) не работает, результат &lt;пусто&gt;</t>
  </si>
  <si>
    <t>&lt; WARNING &gt; Адаптер&gt; ссылка SF/2:11(141 от 06.09.2012ЗАО "СЗИК"98) не работает, результат &lt;пусто&gt;</t>
  </si>
  <si>
    <t>&lt; WARNING &gt; Адаптер&gt; ссылка SF/2:11(182 от 31.07.2012ООО "Восток"64) не работает, результат &lt;пусто&gt;</t>
  </si>
  <si>
    <t>&lt; WARNING &gt; Адаптер&gt; ссылка SF/2:11(472 от 17.08.2012ООО "ПГ "Фосфорит"472) не работает, результат &lt;пусто&gt;</t>
  </si>
  <si>
    <t>&lt; WARNING &gt; Адаптер&gt; ссылка SF/2:11(206 от 31.08.2012ООО "Система МКЗ"203) не работает, результат &lt;пусто&gt;</t>
  </si>
  <si>
    <t>&lt; WARNING &gt; Адаптер&gt; ссылка SF/2:11(162 от 13.09.2012СП ЗАО "ИВС"364) не работает, результат &lt;пусто&gt;</t>
  </si>
  <si>
    <t>&lt; WARNING &gt; Адаптер&gt; ссылка SF/2:11(934 от 28.09.12ЗАО "АЧФ"43) не работает, результат &lt;пусто&gt;</t>
  </si>
  <si>
    <t>&lt; WARNING &gt; Адаптер&gt; ссылка SF/2:11(847 от 13.09.2012ОАО "НИИПГрадостроительства"24) не работает, результат &lt;пусто&gt;</t>
  </si>
  <si>
    <t>&lt; WARNING &gt; Адаптер&gt; ссылка SF/2:11(228 от 20.08.2012ЗАО "ИНКОВАЗ"2299) не работает, результат &lt;пусто&gt;</t>
  </si>
  <si>
    <t>&lt; WARNING &gt; Адаптер&gt; ссылка SF/2:11(961 от 21.09.12ООО "ТОМС-проект"313) не работает, результат &lt;пусто&gt;</t>
  </si>
  <si>
    <t>&lt; WARNING &gt; Адаптер&gt; ссылка SF/2:11(878 от 13.09.2012ЗАО "КТПИ "Газпроект"12) не работает, результат &lt;пусто&gt;</t>
  </si>
  <si>
    <t>&lt; WARNING &gt; Адаптер&gt; ссылка SF/2:11(220 от 24.10.2012ОАО "Невинномысский Азот"620) не работает, результат &lt;пусто&gt;</t>
  </si>
  <si>
    <t>&lt; WARNING &gt; Адаптер&gt; ссылка SF/2:11(441 от 08.10.2012ООО "БПС"21) не работает, результат &lt;пусто&gt;</t>
  </si>
  <si>
    <t>&lt; WARNING &gt; Адаптер&gt; ссылка SF/2:11(781 от 12.10.2012"ЦПИ ядерной медицины" филиал ФГУП "Федеральный центр по проектированию и и развитию объектов ядерно16) не работает, результат &lt;пусто&gt;</t>
  </si>
  <si>
    <t>&lt; WARNING &gt; Адаптер&gt; ссылка SF/2:11(336 от 04.09.2012ООО "Уде"293) не работает, результат &lt;пусто&gt;</t>
  </si>
  <si>
    <t>&lt; WARNING &gt; Адаптер&gt; ссылка SF/2:11(545 от 28.09.12ОАО "Мостоотряд-19"32) не работает, результат &lt;пусто&gt;</t>
  </si>
  <si>
    <t>&lt; WARNING &gt; Адаптер&gt; ссылка SF/2:11(393 от 12.10.2012ОАО "ЭХО"101) не работает, результат &lt;пусто&gt;</t>
  </si>
  <si>
    <t>&lt; WARNING &gt; Адаптер&gt; ссылка SF/2:11(647 от 08.10.2012Филиал ООО "Спектрум-Холдинг" в г.Санкт-Петербург3) не работает, результат &lt;пусто&gt;</t>
  </si>
  <si>
    <t>&lt; WARNING &gt; Адаптер&gt; ссылка SF/2:11(396 от 09.10.2012ЗАО "АСПО"59) не работает, результат &lt;пусто&gt;</t>
  </si>
  <si>
    <t>&lt; WARNING &gt; Адаптер&gt; ссылка SF/2:11(336 от 11.09.2012ФГБУ "САЦ Минэнерго России"127) не работает, результат &lt;пусто&gt;</t>
  </si>
  <si>
    <t>&lt; WARNING &gt; Адаптер&gt; ссылка SF/2:11(955 от 15.10.2012ЗАО "СПЭК"38) не работает, результат &lt;пусто&gt;</t>
  </si>
  <si>
    <t>&lt; WARNING &gt; Адаптер&gt; ссылка SF/2:11(179 от 02.10.2012ООО "А-Софт"7) не работает, результат &lt;пусто&gt;</t>
  </si>
  <si>
    <t>&lt; WARNING &gt; Адаптер&gt; ссылка SF/2:11(237 от 19.09.2012ОАО "Трест ГРИИ"91) не работает, результат &lt;пусто&gt;</t>
  </si>
  <si>
    <t>&lt; WARNING &gt; Адаптер&gt; ссылка SF/2:11(581 от 08.10.2012ОАО "СПМБМ "Малахит"1373) не работает, результат &lt;пусто&gt;</t>
  </si>
  <si>
    <t>MoveToMatch: В файл 'Stock.xlsx' загружен новый отчет 'Заказы'; EOL=1271 строк, в прежнем 1221</t>
  </si>
  <si>
    <t>ВНИМАНИЕ:Отчет Заказы действительно 'Loaded'</t>
  </si>
  <si>
    <t>ВНИМАНИЕ:&lt;&gt; Процесс LOAD_Order перед выполнением Шага RowDel</t>
  </si>
  <si>
    <t>ВНИМАНИЕ:&lt;&gt; Процесс LOAD_Order перед выполнением Шага InsMyCol</t>
  </si>
  <si>
    <t>ВНИМАНИЕ:&lt;&gt; Процесс LOAD_Order перед выполнением Шага GetInv1C</t>
  </si>
  <si>
    <t>ВНИМАНИЕ:&lt;&gt; Процесс LOAD_Order перед выполнением Шага Adapt</t>
  </si>
  <si>
    <t>&lt; WARNING &gt; Адаптер&gt; ссылка SF/2:11(112 от 06.02.2012ЗАО "ХГИ ПС"83) не работает, результат &lt;пусто&gt;</t>
  </si>
  <si>
    <t>&lt; WARNING &gt; Адаптер&gt; ссылка SF/2:11(39 от 12.01.12ОАО "Равенство"8) не работает, результат &lt;пусто&gt;</t>
  </si>
  <si>
    <t>&lt; WARNING &gt; Адаптер&gt; ссылка SF/2:11(103 от 23.01.12ОАО " УЛКТ"32) не работает, результат &lt;пусто&gt;</t>
  </si>
  <si>
    <t>&lt; WARNING &gt; Адаптер&gt; ссылка SF/2:11(58 от 15.02.2012ООО "Сити 2"104) не работает, результат &lt;пусто&gt;</t>
  </si>
  <si>
    <t>&lt; WARNING &gt; Адаптер&gt; ссылка SF/2:11(890 от 18.01.12ООО "Архитектурное бюро "Студия - 17"107) не работает, результат &lt;пусто&gt;</t>
  </si>
  <si>
    <t>&lt; WARNING &gt; Адаптер&gt; ссылка SF/2:11(192 от 03.02.2012ООО НПФ "Энтехмаш"3) не работает, результат &lt;пусто&gt;</t>
  </si>
  <si>
    <t>&lt; WARNING &gt; Адаптер&gt; ссылка SF/2:11(138 от 03.02.2012ЗАО "ИЦ "Технохим"3) не работает, результат &lt;пусто&gt;</t>
  </si>
  <si>
    <t>&lt; WARNING &gt; Адаптер&gt; ссылка SF/2:11(354 от 28.12.11ЗАО "Гипробум-Пеуру"32) не работает, результат &lt;пусто&gt;</t>
  </si>
  <si>
    <t>&lt; WARNING &gt; Адаптер&gt; ссылка SF/2:11(94 от 02.02.2012ООО "САН СПб"20) не работает, результат &lt;пусто&gt;</t>
  </si>
  <si>
    <t>&lt; WARNING &gt; Адаптер&gt; ссылка SF/2:11(744 от 26.10.11ООО "Риал СТФ"63) не работает, результат &lt;пусто&gt;</t>
  </si>
  <si>
    <t>&lt; WARNING &gt; Адаптер&gt; ссылка SF/2:11(181 от 26.01.12ООО "НПП "Бента"3) не работает, результат &lt;пусто&gt;</t>
  </si>
  <si>
    <t>&lt; WARNING &gt; Адаптер&gt; ссылка SF/2:11(154 от 21.12.11ОАО "НИПТБ "Онега"117) не работает, результат &lt;пусто&gt;</t>
  </si>
  <si>
    <t>&lt; WARNING &gt; Адаптер&gt; ссылка SF/2:11(256 от 21.03.2012ООО "МГК Проект"132) не работает, результат &lt;пусто&gt;</t>
  </si>
  <si>
    <t>&lt; WARNING &gt; Адаптер&gt; ссылка SF/2:11(505 от 07.03.12ООО "СТД"38) не работает, результат &lt;пусто&gt;</t>
  </si>
  <si>
    <t>&lt; WARNING &gt; Адаптер&gt; ссылка SF/2:11(14 от 25.01.12ООО "НТЦ-АС"7) не работает, результат &lt;пусто&gt;</t>
  </si>
  <si>
    <t>&lt; WARNING &gt; Адаптер&gt; ссылка SF_PA/2:3(a08D000000QZ36n) не работает, результат &lt;пусто&gt;</t>
  </si>
  <si>
    <t>&lt; WARNING &gt; Адаптер&gt; ссылка SF/2:11(225 от 14.02.12ООО "ТОМС-проект"22) не работает, результат &lt;пусто&gt;</t>
  </si>
  <si>
    <t>&lt; WARNING &gt; Адаптер&gt; ссылка SF/2:11(885 от 22.12.11ООО "РАЗВИТИЕ"3) не работает, результат &lt;пусто&gt;</t>
  </si>
  <si>
    <t>&lt; WARNING &gt; Адаптер&gt; ссылка SF/2:11(506 от 07.03.12ООО "ЭлекСис"73) не работает, результат &lt;пусто&gt;</t>
  </si>
  <si>
    <t>&lt; WARNING &gt; Адаптер&gt; ссылка SF/2:11(247 от 12.02.2012ООО "Этриум"22) не работает, результат &lt;пусто&gt;</t>
  </si>
  <si>
    <t>&lt; WARNING &gt; Адаптер&gt; ссылка SF/2:11(144 от 29.03.2012ООО "Легал-Софт"58) не работает, результат &lt;пусто&gt;</t>
  </si>
  <si>
    <t>&lt; WARNING &gt; Адаптер&gt; ссылка SF/2:11(33 от 08.02.2012ООО "АРТ"8) не работает, результат &lt;пусто&gt;</t>
  </si>
  <si>
    <t>&lt; WARNING &gt; Адаптер&gt; ссылка SF_PA/2:3(a08D000000QzjFD) не работает, результат &lt;пусто&gt;</t>
  </si>
  <si>
    <t>&lt; WARNING &gt; Адаптер&gt; ссылка SF/2:11(252 от 03.04.2012ООО "Торгово-промышленная компания "ТоргЛенПром"43) не работает, результат &lt;пусто&gt;</t>
  </si>
  <si>
    <t>&lt; WARNING &gt; Адаптер&gt; ссылка SF/2:11(624 от 05.04.2012ОАО "Трест ГРИИ"98) не работает, результат &lt;пусто&gt;</t>
  </si>
  <si>
    <t>&lt; WARNING &gt; Адаптер&gt; ссылка SF/2:11(264 от 08.02.2012ФГУП "Завод имени М.И. Калинина"99) не работает, результат &lt;пусто&gt;</t>
  </si>
  <si>
    <t>&lt; WARNING &gt; Адаптер&gt; ссылка SF/2:11(220 от 29.02.12ООО "Росинжиниринг Проект"69) не работает, результат &lt;пусто&gt;</t>
  </si>
  <si>
    <t>&lt; WARNING &gt; Адаптер&gt; ссылка SF/2:11(35 от 09.03.12Общество с ограниченной ответственностью "Транскомпроект"110) не работает, результат &lt;пусто&gt;</t>
  </si>
  <si>
    <t>&lt; WARNING &gt; Адаптер&gt; ссылка SF/2:11(787 от 01.03.12ОАО "Российский институт радионавигации и времени"38) не работает, результат &lt;пусто&gt;</t>
  </si>
  <si>
    <t>&lt; WARNING &gt; Адаптер&gt; ссылка SF/2:11(219 от 22.02.2012ЗАО "КОНЦЕРН ТИТАН - 2"56) не работает, результат &lt;пусто&gt;</t>
  </si>
  <si>
    <t>&lt; WARNING &gt; Адаптер&gt; ссылка SF/2:11(23 от 22.03.2012ООО "ИН.КОМ"4) не работает, результат &lt;пусто&gt;</t>
  </si>
  <si>
    <t>&lt; WARNING &gt; Адаптер&gt; ссылка SF/2:11(870 от 13.04.2012ФГУП "Крыловский государственный научный центр"5) не работает, результат &lt;пусто&gt;</t>
  </si>
  <si>
    <t>&lt; WARNING &gt; Адаптер&gt; ссылка SF/2:11(183 от 21.03.2012ЗАО "ЛИМБ"26) не работает, результат &lt;пусто&gt;</t>
  </si>
  <si>
    <t>&lt; WARNING &gt; Адаптер&gt; ссылка SF/2:11(25 от 21.03.2012ООО "Еврострой"7) не работает, результат &lt;пусто&gt;</t>
  </si>
  <si>
    <t>&lt; WARNING &gt; Адаптер&gt; ссылка SF/2:11(228 от 28.03.2012ЗАО "Гипробум"29) не работает, результат &lt;пусто&gt;</t>
  </si>
  <si>
    <t>&lt; WARNING &gt; Адаптер&gt; ссылка SF_PA/2:3(a082000000MQdbl) не работает, результат &lt;пусто&gt;</t>
  </si>
  <si>
    <t>&lt; WARNING &gt; Адаптер&gt; ссылка SF/2:11(319 от 19.04.2012ООО "Медэк"73) не работает, результат &lt;пусто&gt;</t>
  </si>
  <si>
    <t>&lt; WARNING &gt; Адаптер&gt; ссылка SF_PA/2:3(a08D000000R0DT6) не работает, результат &lt;пусто&gt;</t>
  </si>
  <si>
    <t>&lt; WARNING &gt; Адаптер&gt; ссылка SF/2:11(776 от 09.04.2012ЗАО "Птицефабрика Роскар"26) не работает, результат &lt;пусто&gt;</t>
  </si>
  <si>
    <t>&lt; WARNING &gt; Адаптер&gt; ссылка SF_PA/2:3(a08D000000Z4vQZ) не работает, результат &lt;пусто&gt;</t>
  </si>
  <si>
    <t>&lt; WARNING &gt; Адаптер&gt; ссылка SF/2:11(930 от 16.04.2012ООО "Гранд Сервис"37) не работает, результат &lt;пусто&gt;</t>
  </si>
  <si>
    <t>&lt; WARNING &gt; Адаптер&gt; ссылка SF/2:11(97 от 05.06.2012ООО "СиЭсИТ"148) не работает, результат &lt;пусто&gt;</t>
  </si>
  <si>
    <t>&lt; WARNING &gt; Адаптер&gt; ссылка SF_PA/2:3(a08D000000Z4rd3) не работает, результат &lt;пусто&gt;</t>
  </si>
  <si>
    <t>&lt; WARNING &gt; Адаптер&gt; ссылка SF_PA/2:3(a08D000000QzQfA) не работает, результат &lt;пусто&gt;</t>
  </si>
  <si>
    <t>&lt; WARNING &gt; Адаптер&gt; ссылка SF/2:11(98 от 05.06.2012ООО "СиЭсИТ"66) не работает, результат &lt;пусто&gt;</t>
  </si>
  <si>
    <t>&lt; WARNING &gt; Адаптер&gt; ссылка SF/2:11(102 от 16.03.2012ООО " Проектно - исследовательский институт "Севзапмостпроект"43) не работает, результат &lt;пусто&gt;</t>
  </si>
  <si>
    <t>&lt; WARNING &gt; Адаптер&gt; ссылка SF/2:11(88 от 03.05.2012ООО "Ипроплан-Нева"6) не работает, результат &lt;пусто&gt;</t>
  </si>
  <si>
    <t>&lt; WARNING &gt; Адаптер&gt; ссылка SF_PA/2:3(a08D000000SEiRw) не работает, результат &lt;пусто&gt;</t>
  </si>
  <si>
    <t>&lt; WARNING &gt; Адаптер&gt; ссылка SF/2:11(авт налООО "Ипроплан-Нева"8) не работает, результат &lt;пусто&gt;</t>
  </si>
  <si>
    <t>&lt; WARNING &gt; Адаптер&gt; ссылка SF/2:11(306 от 28.05.2012Филиал ООО "Спектрум-Холдинг" в г.Санкт-Петербург10) не работает, результат &lt;пусто&gt;</t>
  </si>
  <si>
    <t>&lt; WARNING &gt; Адаптер&gt; ссылка SF_PA/2:3(a08D000000Z5Siz) не работает, результат &lt;пусто&gt;</t>
  </si>
  <si>
    <t>&lt; WARNING &gt; Адаптер&gt; ссылка SF/2:11(227 от 30.05.2012ООО "Фирма Ремиз ЛТД"35) не работает, результат &lt;пусто&gt;</t>
  </si>
  <si>
    <t>&lt; WARNING &gt; Адаптер&gt; ссылка SF/2:11(412 от 23.05.2012ЗАО "Петербургские дороги"34) не работает, результат &lt;пусто&gt;</t>
  </si>
  <si>
    <t>&lt; WARNING &gt; Адаптер&gt; ссылка SF/2:11(318 от 25.05.2012ЗАО "ЛОРЕС"8) не работает, результат &lt;пусто&gt;</t>
  </si>
  <si>
    <t>&lt; WARNING &gt; Адаптер&gt; ссылка SF/2:11(117 от 08.06.2012ОАО "Трест ГРИИ"7) не работает, результат &lt;пусто&gt;</t>
  </si>
  <si>
    <t>&lt; WARNING &gt; Адаптер&gt; ссылка SF/2:11(285 от 23.05.02012ООО "Проектно-строительная компания "Нефтехим"60) не работает, результат &lt;пусто&gt;</t>
  </si>
  <si>
    <t>&lt; WARNING &gt; Адаптер&gt; ссылка SF/2:11(857 от 02.07.2012ОАО "СПМБМ "Малахит"37) не работает, результат &lt;пусто&gt;</t>
  </si>
  <si>
    <t>&lt; WARNING &gt; Адаптер&gt; ссылка SF/2:11(84 от 04.06.2012ООО "ДекАртРус"8) не работает, результат &lt;пусто&gt;</t>
  </si>
  <si>
    <t>&lt; WARNING &gt; Адаптер&gt; ссылка SF/2:11(91 от 27.04.12ООО "А-Софт"4) не работает, результат &lt;пусто&gt;</t>
  </si>
  <si>
    <t>&lt; WARNING &gt; Адаптер&gt; ссылка SF/2:11(319 от 09.06.2012Администрация Губернатора Санкт-Петербурга92) не работает, результат &lt;пусто&gt;</t>
  </si>
  <si>
    <t>&lt; WARNING &gt; Адаптер&gt; ссылка SF/2:11(553 от 17.07.2012ОАО "ЦМКБ "Алмаз"86) не работает, результат &lt;пусто&gt;</t>
  </si>
  <si>
    <t>&lt; WARNING &gt; Адаптер&gt; ссылка SF/2:11(832 от 04.07.2012ЗАО "СЗИК"50) не работает, результат &lt;пусто&gt;</t>
  </si>
  <si>
    <t>&lt; WARNING &gt; Адаптер&gt; ссылка SF/2:11(849 от 02.07.2012ЗАО "ПОЛИКОМ ПРО"193) не работает, результат &lt;пусто&gt;</t>
  </si>
  <si>
    <t>&lt; WARNING &gt; Адаптер&gt; ссылка SF/2:11(412 от 14.06.2012ЗАО "Управление начальника работ №18"88) не работает, результат &lt;пусто&gt;</t>
  </si>
  <si>
    <t>&lt; WARNING &gt; Адаптер&gt; ссылка SF/2:11(617 от 12.07.2012ООО "Графические технологии"8) не работает, результат &lt;пусто&gt;</t>
  </si>
  <si>
    <t>&lt; WARNING &gt; Адаптер&gt; ссылка SF/2:11(584 от 08.06.2012ЗАО "Гипробум-Пеуру"36) не работает, результат &lt;пусто&gt;</t>
  </si>
  <si>
    <t>&lt; WARNING &gt; Адаптер&gt; ссылка SF/2:11(417 от 28.06.2012ОАО "СевЗап НТЦ"113) не работает, результат &lt;пусто&gt;</t>
  </si>
  <si>
    <t>&lt; WARNING &gt; Адаптер&gt; ссылка SF/2:11(616 от 23.07.2012ОАО "Воткинский завод"1199) не работает, результат &lt;пусто&gt;</t>
  </si>
  <si>
    <t>&lt; WARNING &gt; Адаптер&gt; ссылка SF/2:11(112 от 16.07.2012ООО "Архитектурное бюро Д.В. Шаповалова"14) не работает, результат &lt;пусто&gt;</t>
  </si>
  <si>
    <t>&lt; WARNING &gt; Адаптер&gt; ссылка SF/2:11(435 от 13.07.2012ОАО "ЦКБ МТ "Рубин"54) не работает, результат &lt;пусто&gt;</t>
  </si>
  <si>
    <t>&lt; WARNING &gt; Адаптер&gt; ссылка SF/2:11(857 от 06.07.2012ООО "КНРГ Управление"65) не работает, результат &lt;пусто&gt;</t>
  </si>
  <si>
    <t>&lt; WARNING &gt; Адаптер&gt; ссылка SF/2:11(73 от 02.08.2012ОАО "Завод "Радиоприбор"4) не работает, результат &lt;пусто&gt;</t>
  </si>
  <si>
    <t>&lt; WARNING &gt; Адаптер&gt; ссылка SF/2:11(283 от 09.07.2012ЗАО "АСПО"36) не работает, результат &lt;пусто&gt;</t>
  </si>
  <si>
    <t>&lt; WARNING &gt; Адаптер&gt; ссылка SF/2:11(625 jn 26/07/2012ООО "РегионЭнергоСервис"11) не работает, результат &lt;пусто&gt;</t>
  </si>
  <si>
    <t>&lt; WARNING &gt; Адаптер&gt; ссылка SF/2:11(562 от 17.08.2012ООО "СТК-ПромБетон"68) не работает, результат &lt;пусто&gt;</t>
  </si>
  <si>
    <t>&lt; WARNING &gt; Адаптер&gt; ссылка SF/2:11(658 от 08.08.2012ОАО "Мостоотряд-19"68) не работает, результат &lt;пусто&gt;</t>
  </si>
  <si>
    <t>&lt; WARNING &gt; Адаптер&gt; ссылка SF/2:11(222 от 27.07.2012СЗФ ФГУП "ПИ" ФСБ России52) не работает, результат &lt;пусто&gt;</t>
  </si>
  <si>
    <t>&lt; WARNING &gt; Адаптер&gt; ссылка SF/2:11(780 от 27.07.2012ОАО "Соломон"42) не работает, результат &lt;пусто&gt;</t>
  </si>
  <si>
    <t>&lt; WARNING &gt; Адаптер&gt; ссылка SF/2:11(312 от 15.08.2012ООО "Восток"17) не работает, результат &lt;пусто&gt;</t>
  </si>
  <si>
    <t>&lt; WARNING &gt; Адаптер&gt; ссылка SF/2:11(454 от 06.08.2012ЗАО "Базальт"125) не работает, результат &lt;пусто&gt;</t>
  </si>
  <si>
    <t>&lt; WARNING &gt; Адаптер&gt; ссылка SF/2:11(764 от 17.08.2012ООО "ИПЭиГ"66) не работает, результат &lt;пусто&gt;</t>
  </si>
  <si>
    <t>&lt; WARNING &gt; Адаптер&gt; ссылка SF/2:11(644 от 21.08.2012ООО "ТОМС-проект"178) не работает, результат &lt;пусто&gt;</t>
  </si>
  <si>
    <t>&lt; WARNING &gt; Адаптер&gt; ссылка SF/2:11(362 от 29.08.2012ОАО институт "Псковгражданпроект"59) не работает, результат &lt;пусто&gt;</t>
  </si>
  <si>
    <t>&lt; WARNING &gt; Адаптер&gt; ссылка SF/2:11(220 от 29.08.2012ООО "ГорноХимический инжиниринг"282) не работает, результат &lt;пусто&gt;</t>
  </si>
  <si>
    <t>&lt; WARNING &gt; Адаптер&gt; ссылка SF/2:11(706 от 28.09.12ООО "Еврострой"33) не работает, результат &lt;пусто&gt;</t>
  </si>
  <si>
    <t>&lt; WARNING &gt; Адаптер&gt; ссылка SF/2:11(979 от 02.10.12ОАО "Адмиралтейские Верфи"38) не работает, результат &lt;пусто&gt;</t>
  </si>
  <si>
    <t>&lt; WARNING &gt; Адаптер&gt; ссылка SF/2:11(152 от 11.07.2012ООО "Еврострой"8) не работает, результат &lt;пусто&gt;</t>
  </si>
  <si>
    <t>&lt; WARNING &gt; Адаптер&gt; ссылка SF/2:11(702 от 04.10.12ООО "Копиум"3) не работает, результат &lt;пусто&gt;</t>
  </si>
  <si>
    <t>&lt; WARNING &gt; Адаптер&gt; ссылка SF/2:11(513 от 03.10.12ООО " ГТ Морской проектный институт"72) не работает, результат &lt;пусто&gt;</t>
  </si>
  <si>
    <t>&lt; WARNING &gt; Адаптер&gt; ссылка SF/2:11(182 от 03.10.2012ООО "А-Софт"18) не работает, результат &lt;пусто&gt;</t>
  </si>
  <si>
    <t>&lt; WARNING &gt; Адаптер&gt; ссылка SF/2:11(181 от 02.10.2012ООО "А-Софт"10) не работает, результат &lt;пусто&gt;</t>
  </si>
  <si>
    <t>&lt; WARNING &gt; Адаптер&gt; ссылка SF/2:11(564 от 20.09.2012ООО ГП "СевЗапГеодезия"49) не работает, результат &lt;пусто&gt;</t>
  </si>
  <si>
    <t>&lt; WARNING &gt; Адаптер&gt; ссылка SF/2:11(728 от 17.09.2012ЗАО "ТЕКНИП РУС"195) не работает, результат &lt;пусто&gt;</t>
  </si>
  <si>
    <t>&lt; WARNING &gt; Адаптер&gt; ссылка SF/2:11(358 от 21.09.12ООО "ГорноХимический инжиниринг"248) не работает, результат &lt;пусто&gt;</t>
  </si>
  <si>
    <t>&lt; WARNING &gt; Адаптер&gt; ссылка SF/2:11(162 от 07.09.2012ОАО "Трест ГРИИ"19) не работает, результат &lt;пусто&gt;</t>
  </si>
  <si>
    <t>&lt; WARNING &gt; Адаптер&gt; ссылка SF/2:11(197 от 22.10.2012ООО "А-Софт"44) не работает, результат &lt;пусто&gt;</t>
  </si>
  <si>
    <t>&lt; WARNING &gt; Адаптер&gt; ссылка SF/2:11(861 от 09.10.2012ОАО "Мостоотряд-19"16) не работает, результат &lt;пусто&gt;</t>
  </si>
  <si>
    <t>&lt; WARNING &gt; Адаптер&gt; ссылка SF/2:11(261 от 04.10.12ЗАО "ПитерГОРпроект"361) не работает, результат &lt;пусто&gt;</t>
  </si>
  <si>
    <t>&lt; WARNING &gt; Адаптер&gt; ссылка SF/2:11(317 от 10.10.2012ЗАО "Термо Фишер Сайентифик"78) не работает, результат &lt;пусто&gt;</t>
  </si>
  <si>
    <t>&lt; WARNING &gt; Адаптер&gt; ссылка SF/2:11(763 от 09.10.2012Кольский филиал ООО "Институт Гипроникель"182) не работает, результат &lt;пусто&gt;</t>
  </si>
  <si>
    <t>&lt; WARNING &gt; Адаптер&gt; ссылка SF/2:11(652 от 09.10.2012ОАО "Уралпромпроект"214) не работает, результат &lt;пусто&gt;</t>
  </si>
  <si>
    <t>&lt; WARNING &gt; Адаптер&gt; ссылка SF/2:11(708 от 20.09.2012ООО "Компания Берком"455) не работает, результат &lt;пусто&gt;</t>
  </si>
  <si>
    <t>&lt; WARNING &gt; Адаптер&gt; ссылка SF/2:11(477 от 11.10.2012ЗАО "ПетроЭлектроКомплекс"12) не работает, результат &lt;пусто&gt;</t>
  </si>
  <si>
    <t>&lt; WARNING &gt; Адаптер&gt; ссылка SF/2:11(915 от 11.10.2012ООО "Инжениум Строй"482) не работает, результат &lt;пусто&gt;</t>
  </si>
  <si>
    <t>&lt; WARNING &gt; Адаптер&gt; ссылка SF/2:11(182 от 12.10.2012ООО "Сити 2"1183) не работает, результат &lt;пусто&gt;</t>
  </si>
  <si>
    <t>&lt; WARNING &gt; Адаптер&gt; ссылка SF/2:11(109 от 25.09.12Муниципальное казенное учреждение "Городской информационный центр"1220) не работает, результат &lt;пусто&gt;</t>
  </si>
  <si>
    <t>&lt; WARNING &gt; Адаптер&gt; ссылка SF/2:11(466 от 16.10.2012ООО "Легал Софт"202) не работает, результат &lt;пусто&gt;</t>
  </si>
  <si>
    <t>&lt; WARNING &gt; Адаптер&gt; ссылка SF/2:11(867 от 15.10.2012ООО "АЛИТЕР-АКСИ"704) не работает, результат &lt;пусто&gt;</t>
  </si>
  <si>
    <t>&lt; WARNING &gt; Адаптер&gt; ссылка SF/2:11(797 от 18.10.2012ОАО "ОСК"92) не работает, результат &lt;пусто&gt;</t>
  </si>
  <si>
    <t>&lt; WARNING &gt; Адаптер&gt; ссылка SF/2:11(113 от 18.10.2012ЗАО "ПМП"160) не работает, результат &lt;пусто&gt;</t>
  </si>
  <si>
    <t>&lt; WARNING &gt; Адаптер&gt; ссылка SF/2:11(947 от 18.10.2012ООО "ПКФ - Галичи"21) не работает, результат &lt;пусто&gt;</t>
  </si>
  <si>
    <t>&lt; WARNING &gt; Адаптер&gt; ссылка SF/2:11(38 от 23.10.2012ОАО "Пелла-Маш"43) не работает, результат &lt;пусто&gt;</t>
  </si>
  <si>
    <t>&lt; WARNING &gt; Адаптер&gt; ссылка SF/2:11(898 от 22.10.2012ООО "Системный Софт"129) не работает, результат &lt;пусто&gt;</t>
  </si>
  <si>
    <t>&lt; WARNING &gt; Адаптер&gt; ссылка SF/2:11(191 от 16.10.2012ООО "А-Софт"25) не работает, результат &lt;пусто&gt;</t>
  </si>
  <si>
    <t>&lt; WARNING &gt; Адаптер&gt; ссылка SF/2:11(736 от 24.10.2012ООО "ВИНДОМ"82) не работает, результат &lt;пусто&gt;</t>
  </si>
  <si>
    <t>&lt; WARNING &gt; Адаптер&gt; ссылка SF/2:11(667 от 18.10.2012ООО "ПЛАТО Инж."154) не работает, результат &lt;пусто&gt;</t>
  </si>
  <si>
    <t>&lt; WARNING &gt; Адаптер&gt; ссылка SF/2:11(895 от 24.10.2012ООО "СПК-Мост"64) не работает, результат &lt;пусто&gt;</t>
  </si>
  <si>
    <t>&lt; WARNING &gt; Адаптер&gt; ссылка SF/2:11(97 от 25.10.2012ОАО "Тулагипрохим"1074) не работает, результат &lt;пусто&gt;</t>
  </si>
  <si>
    <t>&lt; WARNING &gt; Адаптер&gt; ссылка SF/2:11(97 от 25.10.2012ОАО "Тулагипрохим"169) не работает, результат &lt;пусто&gt;</t>
  </si>
  <si>
    <t>&lt; WARNING &gt; Адаптер&gt; ссылка SFacc/3:6(0012000000NZh9h) не работает, результат &lt;пусто&gt;</t>
  </si>
  <si>
    <t>&lt; WARNING &gt; Адаптер&gt; ссылка SFacc/3:6(0012000000NZhAA) не работает, результат &lt;пусто&gt;</t>
  </si>
  <si>
    <t>&lt; WARNING &gt; Адаптер&gt; ссылка SFacc/3:6(001D000000hqptl) не работает, результат &lt;пусто&gt;</t>
  </si>
  <si>
    <t>&lt; WARNING &gt; Адаптер&gt; ссылка SFacc/3:10(001D000000hqptl) не работает, результат &lt;пусто&gt;</t>
  </si>
  <si>
    <t>90%-первые деньги пришли на счет</t>
  </si>
  <si>
    <t>&lt;! ERROR !&gt; : CheckProc0&gt; в результате не '0'</t>
  </si>
  <si>
    <t>WrNewSheet</t>
  </si>
  <si>
    <t>NewOpp.bat</t>
  </si>
  <si>
    <t>WrCSV&gt; в 'NewOpp.txt' записано 7 строк.</t>
  </si>
  <si>
    <t>&lt;! ERROR !&gt; WrTOC&gt; Запрос не существующего в ТОС отчета &lt;пусто&gt;</t>
  </si>
  <si>
    <t>MoveToMatch: В файл 'SFDC.xlsx' загружен новый отчет 'SF'; EOL=3710 строк, в прежнем 3702</t>
  </si>
  <si>
    <t>MoveToMatch: В файл 'SFDC.xlsx' загружен новый отчет 'SFD'; EOL=773 строк, в прежнем 773</t>
  </si>
  <si>
    <t>MoveToMatch: В файл 'SFDC.xlsx' загружен новый отчет 'SFopp'; EOL=2849 строк, в прежнем 2843</t>
  </si>
  <si>
    <t>MoveToMatch: В файл 'SFDC.xlsx' загружен новый отчет 'SF'; EOL=3711 строк, в прежнем 3710</t>
  </si>
  <si>
    <r>
      <t xml:space="preserve">31.10.12 </t>
    </r>
    <r>
      <rPr>
        <b/>
        <i/>
        <u/>
        <sz val="11"/>
        <color theme="1"/>
        <rFont val="Calibri"/>
        <family val="2"/>
        <charset val="204"/>
        <scheme val="minor"/>
      </rPr>
      <t>ContractUpdate</t>
    </r>
    <r>
      <rPr>
        <sz val="11"/>
        <color theme="1"/>
        <rFont val="Calibri"/>
        <family val="2"/>
        <charset val="204"/>
        <scheme val="minor"/>
      </rPr>
      <t xml:space="preserve">  -  связывание существующего Договора с Проектом</t>
    </r>
  </si>
  <si>
    <t>&lt; WARNING &gt; Адаптер&gt; ссылка SFacc/3:6(0012000000NZhO1) не работает, результат &lt;пусто&gt;</t>
  </si>
  <si>
    <t>&lt; WARNING &gt; Адаптер&gt; ссылка SFacc/3:6(0012000000NZh9O) не работает, результат &lt;пусто&gt;</t>
  </si>
  <si>
    <t>ContractUpdate</t>
  </si>
  <si>
    <t>WrCSV&gt; в 'Payment.txt' записано 5 строк.</t>
  </si>
  <si>
    <t>MoveToMatch: В файл 'SFDC.xlsx' загружен новый отчет 'SF'; EOL=3715 строк, в прежнем 3711</t>
  </si>
  <si>
    <t>MoveToMatch: В файл 'SFDC.xlsx' загружен новый отчет 'SFopp'; EOL=2846 строк, в прежнем 2849</t>
  </si>
  <si>
    <t>&lt;! ERROR !&gt; GetRep &gt; Запрос не существующего в ТОС отчета ContractUpdate</t>
  </si>
  <si>
    <t>HDR_ContractUpdate</t>
  </si>
  <si>
    <t>&lt;! ERROR !&gt; NewSheet&gt; Ошибка Шаблона (шапки) 'HDR_ContractUpdate' для листа ContractUpdate -- неправильный EOL</t>
  </si>
  <si>
    <t>&lt; WARNING &gt; Адаптер&gt; ссылка SFacc/3:6(0012000000NZh9X) не работает, результат &lt;пусто&gt;</t>
  </si>
  <si>
    <t>&lt; WARNING &gt; Адаптер&gt; ссылка SFacc/3:6(001D000000jhrUr) не работает, результат &lt;пусто&gt;</t>
  </si>
  <si>
    <t>&lt; WARNING &gt; Адаптер&gt; ссылка SFacc/3:12(0012000000bL3UK) не работает, результат &lt;пусто&gt;</t>
  </si>
  <si>
    <t>&lt; WARNING &gt; Адаптер&gt; ссылка SFacc/3:6(0012000000bL3UK) не работает, результат &lt;пусто&gt;</t>
  </si>
  <si>
    <t>&lt; WARNING &gt; Адаптер&gt; ссылка SFacc/3:6(0012000000bKTCS) не работает, результат &lt;пусто&gt;</t>
  </si>
  <si>
    <t>&lt; WARNING &gt; Адаптер&gt; ссылка SFacc/3:6(0012000000NZhGf) не работает, результат &lt;пусто&gt;</t>
  </si>
  <si>
    <t>&lt; WARNING &gt; Адаптер&gt; ссылка SFacc/3:6(0012000000NZhHR) не работает, результат &lt;пусто&gt;</t>
  </si>
  <si>
    <t>&lt; WARNING &gt; Адаптер&gt; ссылка SFD/2:15(Договор 2012-2-74/1) не работает, результат &lt;пусто&gt;</t>
  </si>
  <si>
    <t>&lt; WARNING &gt; Адаптер&gt; ссылка SFacc/3:12(0012000000QHpWj) не работает, результат &lt;пусто&gt;</t>
  </si>
  <si>
    <t>&lt; WARNING &gt; Адаптер&gt; ссылка SFacc/3:6(0012000000QHpWj) не работает, результат &lt;пусто&gt;</t>
  </si>
  <si>
    <t>&lt; WARNING &gt; Адаптер&gt; ссылка SFacc/3:6(001D000000rkXTw) не работает, результат &lt;пусто&gt;</t>
  </si>
  <si>
    <t>&lt; WARNING &gt; Адаптер&gt; ссылка SFacc/3:10(001D000000rkXTw) не работает, результат &lt;пусто&gt;</t>
  </si>
  <si>
    <t>&lt; WARNING &gt; Адаптер&gt; ссылка SFacc/3:12(001D000000nlRj1) не работает, результат &lt;пусто&gt;</t>
  </si>
  <si>
    <t>&lt; WARNING &gt; Адаптер&gt; ссылка SFacc/3:6(001D000000nlRj1) не работает, результат &lt;пусто&gt;</t>
  </si>
  <si>
    <t>&lt; WARNING &gt; Адаптер&gt; ссылка SFacc/3:10(001D000000nlRj1) не работает, результат &lt;пусто&gt;</t>
  </si>
  <si>
    <t>&lt; WARNING &gt; Адаптер&gt; ссылка SFD/2:15(Договор 2012-1-56/6) не работает, результат &lt;пусто&gt;</t>
  </si>
  <si>
    <t>&lt; WARNING &gt; Адаптер&gt; ссылка SFacc/3:6(0012000000VyETh) не работает, результат &lt;пусто&gt;</t>
  </si>
  <si>
    <t>&lt; WARNING &gt; Адаптер&gt; ссылка SFacc/3:7(0012000000VyETh) не работает, результат &lt;пусто&gt;</t>
  </si>
  <si>
    <t>&lt; WARNING &gt; Адаптер&gt; ссылка SFacc/3:12(001D000000m6iqu) не работает, результат &lt;пусто&gt;</t>
  </si>
  <si>
    <t>&lt; WARNING &gt; Адаптер&gt; ссылка SFacc/3:6(001D000000m6iqu) не работает, результат &lt;пусто&gt;</t>
  </si>
  <si>
    <t>&lt; WARNING &gt; Адаптер&gt; ссылка SFacc/3:10(001D000000m6iqu) не работает, результат &lt;пусто&gt;</t>
  </si>
  <si>
    <t>&lt; WARNING &gt; Адаптер&gt; ссылка SFacc/3:6(0012000000NZhHO) не работает, результат &lt;пусто&gt;</t>
  </si>
  <si>
    <t>&lt; WARNING &gt; Адаптер&gt; ссылка SFacc/3:6(001D000000oyHIo) не работает, результат &lt;пусто&gt;</t>
  </si>
  <si>
    <t>&lt; WARNING &gt; Адаптер&gt; ссылка SFacc/3:10(001D000000oyHIo) не работает, результат &lt;пусто&gt;</t>
  </si>
  <si>
    <t>&lt;! ERROR !&gt; Неизвестный тип товара Обучение Интерграф/1;</t>
  </si>
  <si>
    <t>&lt; WARNING &gt; Адаптер&gt; ссылка SFacc/3:12(0012000000PBXlG) не работает, результат &lt;пусто&gt;</t>
  </si>
  <si>
    <t>&lt; WARNING &gt; Адаптер&gt; ссылка SFacc/3:6(0012000000PBXlG) не работает, результат &lt;пусто&gt;</t>
  </si>
  <si>
    <t>&lt; WARNING &gt; Адаптер&gt; ссылка SFacc/3:12(001D000000m5rHG) не работает, результат &lt;пусто&gt;</t>
  </si>
  <si>
    <t>&lt; WARNING &gt; Адаптер&gt; ссылка SFacc/3:6(001D000000m5rHG) не работает, результат &lt;пусто&gt;</t>
  </si>
  <si>
    <t>&lt; WARNING &gt; Адаптер&gt; ссылка SFacc/3:5(001D000000m5rHG) не работает, результат &lt;пусто&gt;</t>
  </si>
  <si>
    <t>&lt; WARNING &gt; Адаптер&gt; ссылка SFacc/3:4(001D000000m5rHG) не работает, результат &lt;пусто&gt;</t>
  </si>
  <si>
    <t>&lt; WARNING &gt; Адаптер&gt; ссылка SFacc/3:7(001D000000m5rHG) не работает, результат &lt;пусто&gt;</t>
  </si>
  <si>
    <t>&lt; WARNING &gt; Адаптер&gt; ссылка SFacc/3:7(001D000000ixkBE) не работает, результат &lt;пусто&gt;</t>
  </si>
  <si>
    <t>&lt; WARNING &gt; Адаптер&gt; ссылка SFacc/3:10(001D000000ixkBE) не работает, результат &lt;пусто&gt;</t>
  </si>
  <si>
    <t>&lt; WARNING &gt; Адаптер&gt; ссылка SFD/2:15(Договор 2012-1-169/3) не работает, результат &lt;пусто&gt;</t>
  </si>
  <si>
    <t>&lt; WARNING &gt; Адаптер&gt; ссылка SFacc/3:6(001D000000p1GqL) не работает, результат &lt;пусто&gt;</t>
  </si>
  <si>
    <t>&lt; WARNING &gt; Адаптер&gt; ссылка SFacc/3:10(001D000000p1GqL) не работает, результат &lt;пусто&gt;</t>
  </si>
  <si>
    <t>&lt; WARNING &gt; Адаптер&gt; ссылка SFacc/3:6(001D000000fuqTL) не работает, результат &lt;пусто&gt;</t>
  </si>
  <si>
    <t>&lt; WARNING &gt; Адаптер&gt; ссылка SFacc/3:4(001D000000fuqTL) не работает, результат &lt;пусто&gt;</t>
  </si>
  <si>
    <t>&lt; WARNING &gt; Адаптер&gt; ссылка SFacc/3:7(001D000000fuqTL) не работает, результат &lt;пусто&gt;</t>
  </si>
  <si>
    <t>&lt; WARNING &gt; Адаптер&gt; ссылка SFacc/3:10(001D000000fuqTL) не работает, результат &lt;пусто&gt;</t>
  </si>
  <si>
    <t>&lt; WARNING &gt; Адаптер&gt; ссылка SFacc/3:6(0012000000NZhBk) не работает, результат &lt;пусто&gt;</t>
  </si>
  <si>
    <t>&lt; WARNING &gt; Адаптер&gt; ссылка SFacc/3:6(001D000000fx6kT) не работает, результат &lt;пусто&gt;</t>
  </si>
  <si>
    <t>&lt; WARNING &gt; Адаптер&gt; ссылка SFacc/3:6(0012000000NZhBb) не работает, результат &lt;пусто&gt;</t>
  </si>
  <si>
    <t>&lt; WARNING &gt; Адаптер&gt; ссылка SFacc/3:12(001D000000jh5Co) не работает, результат &lt;пусто&gt;</t>
  </si>
  <si>
    <t>&lt; WARNING &gt; Адаптер&gt; ссылка SFacc/3:6(001D000000jh5Co) не работает, результат &lt;пусто&gt;</t>
  </si>
  <si>
    <t>&lt; WARNING &gt; Адаптер&gt; ссылка SFacc/3:10(001D000000jh5Co) не работает, результат &lt;пусто&gt;</t>
  </si>
  <si>
    <t>&lt; WARNING &gt; Адаптер&gt; ссылка SFacc/3:4(0012000000MXkFA) не работает, результат &lt;пусто&gt;</t>
  </si>
  <si>
    <t>&lt; WARNING &gt; Адаптер&gt; ссылка SFacc/3:7(0012000000MXkFA) не работает, результат &lt;пусто&gt;</t>
  </si>
  <si>
    <t>&lt; WARNING &gt; Адаптер&gt; ссылка SFacc/3:6(0012000000MDuOX) не работает, результат &lt;пусто&gt;</t>
  </si>
  <si>
    <t>&lt; WARNING &gt; Адаптер&gt; ссылка SFacc/3:6(0012000000NaPEl) не работает, результат &lt;пусто&gt;</t>
  </si>
  <si>
    <t>&lt; WARNING &gt; Адаптер&gt; ссылка SFacc/3:7(0012000000NaPEl) не работает, результат &lt;пусто&gt;</t>
  </si>
  <si>
    <t>&lt; WARNING &gt; Адаптер&gt; ссылка SFacc/3:12(001D000000lPTGx) не работает, результат &lt;пусто&gt;</t>
  </si>
  <si>
    <t>&lt; WARNING &gt; Адаптер&gt; ссылка SFacc/3:6(001D000000lPTGx) не работает, результат &lt;пусто&gt;</t>
  </si>
  <si>
    <t>&lt; WARNING &gt; Адаптер&gt; ссылка SFD/2:15(Договор 2009-1-109/2) не работает, результат &lt;пусто&gt;</t>
  </si>
  <si>
    <t>&lt; WARNING &gt; Адаптер&gt; ссылка SFacc/3:6(0012000000NZhMu) не работает, результат &lt;пусто&gt;</t>
  </si>
  <si>
    <t>&lt; WARNING &gt; Адаптер&gt; ссылка SFacc/3:6(0012000000MXkEp) не работает, результат &lt;пусто&gt;</t>
  </si>
  <si>
    <t>&lt; WARNING &gt; Адаптер&gt; ссылка SFacc/3:6(001D000000qvTn6) не работает, результат &lt;пусто&gt;</t>
  </si>
  <si>
    <t>&lt; WARNING &gt; Адаптер&gt; ссылка SFacc/3:10(001D000000qvTn6) не работает, результат &lt;пусто&gt;</t>
  </si>
  <si>
    <t>&lt; WARNING &gt; Адаптер&gt; ссылка SFacc/3:6(0012000000NZhBC) не работает, результат &lt;пусто&gt;</t>
  </si>
  <si>
    <t>&lt; WARNING &gt; Адаптер&gt; ссылка SFacc/3:6(001D000000qvdAx) не работает, результат &lt;пусто&gt;</t>
  </si>
  <si>
    <t>&lt; WARNING &gt; Адаптер&gt; ссылка SFacc/3:10(001D000000qvdAx) не работает, результат &lt;пусто&gt;</t>
  </si>
  <si>
    <t>&lt; WARNING &gt; Адаптер&gt; ссылка SFacc/3:6(0012000000NZhOM) не работает, результат &lt;пусто&gt;</t>
  </si>
  <si>
    <t>WrCSV&gt; в 'Payment.txt' записано 7 строк.</t>
  </si>
  <si>
    <t>MoveToMatch: В файл 'SFDC.xlsx' загружен новый отчет 'SF'; EOL=3721 строк, в прежнем 3715</t>
  </si>
  <si>
    <t>MoveToMatch: В файл 'SFDC.xlsx' загружен новый отчет 'SFopp'; EOL=2846 строк, в прежнем 2846</t>
  </si>
  <si>
    <t>MoveToMatch: В файл 'SFDC.xlsx' загружен новый отчет 'SFD'; EOL=774 строк, в прежнем 773</t>
  </si>
  <si>
    <t>WrCSV&gt; в 'Dogovor.txt' записано 2 строк.</t>
  </si>
  <si>
    <t>MoveToMatch: В файл 'SFDC.xlsx' загружен новый отчет 'SFD'; EOL=775 строк, в прежнем 774</t>
  </si>
  <si>
    <t>MoveToMatch: В файл 'SFDC.xlsx' загружен новый отчет 'SFD'; EOL=776 строк, в прежнем 775</t>
  </si>
  <si>
    <t>MoveToMatch: В файл 'SFDC.xlsx' загружен новый отчет 'SFD'; EOL=777 строк, в прежнем 776</t>
  </si>
  <si>
    <t>MoveToMatch: В файл 'SFDC.xlsx' загружен новый отчет 'SFD'; EOL=778 строк, в прежнем 777</t>
  </si>
  <si>
    <t>MoveToMatch: В файл 'SFDC.xlsx' загружен новый отчет 'SFD'; EOL=778 строк, в прежнем 778</t>
  </si>
  <si>
    <t>WrCSV&gt; в 'Dogovor.txt' записано 3 строк.</t>
  </si>
  <si>
    <t>MoveToMatch: В файл 'SFDC.xlsx' загружен новый отчет 'SFD'; EOL=780 строк, в прежнем 778</t>
  </si>
  <si>
    <t>MoveToMatch: В файл 'SFDC.xlsx' загружен новый отчет 'SFD'; EOL=780 строк, в прежнем 780</t>
  </si>
  <si>
    <t>MoveToMatch: В файл 'SFDC.xlsx' загружен новый отчет 'SFD'; EOL=781 строк, в прежнем 780</t>
  </si>
  <si>
    <t>MoveToMatch: В файл 'SFDC.xlsx' загружен новый отчет 'SFD'; EOL=783 строк, в прежнем 781</t>
  </si>
  <si>
    <t>WrCSV&gt; в 'NewOpp.txt' записано 2 строк.</t>
  </si>
  <si>
    <t>MoveToMatch: В файл 'SFDC.xlsx' загружен новый отчет 'SFD'; EOL=783 строк, в прежнем 783</t>
  </si>
  <si>
    <t>MoveToMatch: В файл 'SFDC.xlsx' загружен новый отчет 'SFopp'; EOL=2847 строк, в прежнем 2846</t>
  </si>
  <si>
    <t>MoveToMatch: В файл 'SFDC.xlsx' загружен новый отчет 'SFopp'; EOL=2847 строк, в прежнем 2847</t>
  </si>
  <si>
    <t>MoveToMatch: В файл 'SFDC.xlsx' загружен новый отчет 'SF'; EOL=3724 строк, в прежнем 3721</t>
  </si>
  <si>
    <t>MoveToMatch: В файл 'SFDC.xlsx' загружен новый отчет 'SF'; EOL=3725 строк, в прежнем 3724</t>
  </si>
  <si>
    <t>MoveToMatch: В файл 'SFDC.xlsx' загружен новый отчет 'SF'; EOL=3725 строк, в прежнем 3725</t>
  </si>
  <si>
    <t>WrCSV&gt; в 'Payment.txt' записано 2 строк.</t>
  </si>
  <si>
    <t>MoveToMatch: В файл 'SFDC.xlsx' загружен новый отчет 'SF'; EOL=3726 строк, в прежнем 3725</t>
  </si>
  <si>
    <t>MoveToMatch: В файл '1C.xlsx' загружен новый отчет 'Список клиентов 1C'; EOL=2759 строк, в прежнем 2676</t>
  </si>
  <si>
    <t>MoveToMatch: В файл '1C.xlsx' загружен новый отчет 'Платежи'; EOL=4895 строк, в прежнем 4895</t>
  </si>
  <si>
    <t>MoveToMatch: В файл 'SFDC.xlsx' загружен новый отчет 'SFacc'; EOL=3943 строк, в прежнем 3929</t>
  </si>
  <si>
    <t>MoveToMatch: В файл '1C.xlsx' загружен новый отчет 'Договоры'; EOL=1080 строк, в прежнем 1077</t>
  </si>
  <si>
    <t>MoveToMatch: В файл '1C.xlsx' загружен новый отчет 'Договоры'; EOL=1080 строк, в прежнем 1080</t>
  </si>
  <si>
    <t>MoveToMatch: В файл 'SFDC.xlsx' загружен новый отчет 'SFacc'; EOL=3943 строк, в прежнем 3943</t>
  </si>
  <si>
    <t>&lt; WARNING &gt; Адаптер&gt; ссылка SFD/2:15(2012-2-73) не работает, результат &lt;пусто&gt;</t>
  </si>
  <si>
    <t>WrCSV&gt; в 'NewOpp.txt' записано 3 строк.</t>
  </si>
  <si>
    <t>MoveToMatch: В файл 'SFDC.xlsx' загружен новый отчет 'SFD'; EOL=787 строк, в прежнем 783</t>
  </si>
  <si>
    <t>MoveToMatch: В файл 'SFDC.xlsx' загружен новый отчет 'SFopp'; EOL=2848 строк, в прежнем 2847</t>
  </si>
  <si>
    <t>MoveToMatch: В файл 'SFDC.xlsx' загружен новый отчет 'SF'; EOL=3727 строк, в прежнем 3726</t>
  </si>
  <si>
    <t>MoveToMatch: В файл 'SFDC.xlsx' загружен новый отчет 'SF'; EOL=3728 строк, в прежнем 3727</t>
  </si>
  <si>
    <t>MoveToMatch: В файл 'SFDC.xlsx' загружен новый отчет 'SFD'; EOL=787 строк, в прежнем 787</t>
  </si>
  <si>
    <t>MoveToMatch: В файл 'SFDC.xlsx' загружен новый отчет 'SFopp'; EOL=2848 строк, в прежнем 2848</t>
  </si>
  <si>
    <t>MoveToMatch: В файл 'SFDC.xlsx' загружен новый отчет 'SFopp'; EOL=2850 строк, в прежнем 2848</t>
  </si>
  <si>
    <t>MoveToMatch: В файл 'SFDC.xlsx' загружен новый отчет 'SFD'; EOL=789 строк, в прежнем 787</t>
  </si>
  <si>
    <t>&lt; WARNING &gt; Адаптер&gt; ссылка SFacc/3:12(001D000000oytQm) не работает, результат &lt;пусто&gt;</t>
  </si>
  <si>
    <t>&lt; WARNING &gt; Адаптер&gt; ссылка SFacc/3:6(001D000000oytQm) не работает, результат &lt;пусто&gt;</t>
  </si>
  <si>
    <t>WrCSV&gt; в 'Payment.txt' записано 3 строк.</t>
  </si>
  <si>
    <t>MoveToMatch: В файл 'SFDC.xlsx' загружен новый отчет 'SFD'; EOL=789 строк, в прежнем 789</t>
  </si>
  <si>
    <t>MoveToMatch: В файл 'SFDC.xlsx' загружен новый отчет 'SFopp'; EOL=2851 строк, в прежнем 2850</t>
  </si>
  <si>
    <t>MoveToMatch: В файл 'SFDC.xlsx' загружен новый отчет 'SF'; EOL=3729 строк, в прежнем 3728</t>
  </si>
  <si>
    <t>MoveToMatch: В файл 'SFDC.xlsx' загружен новый отчет 'SFacc'; EOL=3945 строк, в прежнем 3943</t>
  </si>
  <si>
    <t>MoveToMatch: В файл 'SFDC.xlsx' загружен новый отчет 'SFopp'; EOL=2851 строк, в прежнем 2851</t>
  </si>
  <si>
    <t>MoveToMatch: В файл 'SFDC.xlsx' загружен новый отчет 'SFD'; EOL=790 строк, в прежнем 789</t>
  </si>
  <si>
    <t>MoveToMatch: В файл 'SFDC.xlsx' загружен новый отчет 'SF'; EOL=3729 строк, в прежнем 3729</t>
  </si>
  <si>
    <t>&lt; WARNING &gt; Адаптер&gt; ссылка SFacc/3:6(001D000000xlDg6) не работает, результат &lt;пусто&gt;</t>
  </si>
  <si>
    <t>&lt; WARNING &gt; Адаптер&gt; ссылка SFacc/3:10(001D000000xlDg6) не работает, результат &lt;пусто&gt;</t>
  </si>
  <si>
    <t>MoveToMatch: В файл 'SFDC.xlsx' загружен новый отчет 'SFopp'; EOL=2852 строк, в прежнем 2851</t>
  </si>
  <si>
    <t>MoveToMatch: В файл 'SFDC.xlsx' загружен новый отчет 'SFD'; EOL=790 строк, в прежнем 790</t>
  </si>
  <si>
    <t>WrCSV&gt; в 'Payment.txt' записано 4 строк.</t>
  </si>
  <si>
    <t>MoveToMatch: В файл 'SFDC.xlsx' загружен новый отчет 'SF'; EOL=3732 строк, в прежнем 3729</t>
  </si>
  <si>
    <t>MoveToMatch: В файл 'SFDC.xlsx' загружен новый отчет 'SFacc'; EOL=3945 строк, в прежнем 3945</t>
  </si>
  <si>
    <t>MoveToMatch: В файл 'SFDC.xlsx' загружен новый отчет 'SFacc'; EOL=3946 строк, в прежнем 3945</t>
  </si>
  <si>
    <t>&lt; WARNING &gt; Адаптер&gt; ссылка SFD/4:15(2012-2-69) не работает, результат &lt;пусто&gt;</t>
  </si>
  <si>
    <t>MoveToMatch: В файл 'SFDC.xlsx' загружен новый отчет 'SFD'; EOL=792 строк, в прежнем 790</t>
  </si>
  <si>
    <t>MoveToMatch: В файл '1C.xlsx' загружен новый отчет 'Список клиентов 1C'; EOL=2759 строк, в прежнем 2759</t>
  </si>
  <si>
    <t>ВНИМАНИЕ:&lt;&gt; Процесс LOAD_1C_ACC перед выполнением Шага InsMyCol</t>
  </si>
  <si>
    <t>ВНИМАНИЕ:&lt;&gt; Процесс LOAD_1C_ACC перед выполнением Шага Adapt</t>
  </si>
  <si>
    <t>ВНИМАНИЕ:Отчет Список клиентов 1C действительно 'Loaded'</t>
  </si>
  <si>
    <t>ВНИМАНИЕ:&lt;&gt; Процесс LOAD_1C_ACC перед выполнением Шага Acc1C_Bottom</t>
  </si>
  <si>
    <t>MoveToMatch: В файл 'SFDC.xlsx' загружен новый отчет 'SFD'; EOL=793 строк, в прежнем 792</t>
  </si>
  <si>
    <t>&lt; WARNING &gt; Адаптер&gt; ссылка SFD/2:15(Договор 2012-2-69/1) не работает, результат &lt;пусто&gt;</t>
  </si>
  <si>
    <t>&lt;! ERROR !&gt; Неизвестный тип товара Услуги по обновлению версий до текущих (возобновлению тех. поддержки) согласно Мун. контракту/1;</t>
  </si>
  <si>
    <t>&lt; WARNING &gt; Адаптер&gt; ссылка SFacc/3:6(001D000000xlIrr) не работает, результат &lt;пусто&gt;</t>
  </si>
  <si>
    <t>Оплата, оплата,платеж, расчет,Договор, договор, дог., Консульт, консульт, К.У., Техническое обслуживание IBM-совместимого компьютера, Услуг,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</si>
  <si>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WrCSV&gt; в 'NewOpp.txt' записано 12 строк.</t>
  </si>
  <si>
    <t>MoveToMatch: В файл 'SFDC.xlsx' загружен новый отчет 'SFopp'; EOL=2860 строк, в прежнем 2852</t>
  </si>
  <si>
    <t>MoveToMatch: В файл 'SFDC.xlsx' загружен новый отчет 'SFD'; EOL=793 строк, в прежнем 793</t>
  </si>
  <si>
    <t>MoveToMatch: В файл '1C.xlsx' загружен новый отчет 'Платежи'; EOL=4937 строк, в прежнем 4895</t>
  </si>
  <si>
    <t>MoveToMatch: В файл '1C.xlsx' загружен новый отчет 'Платежи'; EOL=4937 строк, в прежнем 4937</t>
  </si>
  <si>
    <t>&lt;! ERROR !&gt; ToStep: Обращение к несуществующему Шагу Adapt Процесса LOAD_1C_P</t>
  </si>
  <si>
    <t>MoveToMatch: В файл '1C.xlsx' загружен новый отчет 'Договоры'; EOL=1159 строк, в прежнем 1080</t>
  </si>
  <si>
    <t>4.11.12 - исправлено форматирование в колонке 9</t>
  </si>
  <si>
    <t>MoveToMatch: В файл '1C.xlsx' загружен новый отчет 'Договоры'; EOL=1159 строк, в прежнем 1159</t>
  </si>
  <si>
    <t>MoveToMatch: В файл '1C.xlsx' загружен новый отчет 'Список клиентов 1C'; EOL=2732 строк, в прежнем 2759</t>
  </si>
  <si>
    <t>&lt;! ERROR !&gt; ToStep: Обращение к несуществующему Шагу Adapt Процесса LOAD_1C_DOG</t>
  </si>
  <si>
    <t>&lt; WARNING &gt; Адаптер&gt; ссылка SFacc/3:7/W(0012000000Nb0b8) не работает, результат &lt;пусто&gt;</t>
  </si>
  <si>
    <t>&lt; WARNING &gt; Адаптер&gt; ссылка SFacc/3:5/W(001D000000fux6g) не работает, результат &lt;пусто&gt;</t>
  </si>
  <si>
    <t>&lt; WARNING &gt; Адаптер&gt; ссылка SFacc/3:5/W(001D000000fx4AA) не работает, результат &lt;пусто&gt;</t>
  </si>
  <si>
    <t>&lt; WARNING &gt; Адаптер Продавец_в_SF(Иванов Дмитрий Александрович) не получил данных</t>
  </si>
  <si>
    <t>&lt; WARNING &gt; Адаптер&gt; ссылка SFacc/3:4/W(0012000000MXkFA) не работает, результат &lt;пусто&gt;</t>
  </si>
  <si>
    <t>WrCSV&gt; в 'Dogovor.txt' записано 20 строк.</t>
  </si>
  <si>
    <t>MoveToMatch: В файл 'SFDC.xlsx' загружен новый отчет 'SFD'; EOL=812 строк, в прежнем 793</t>
  </si>
  <si>
    <t>&lt;! ERROR !&gt; IsDone: Не 'Loaded' файл для Процесса LOAD_1C_DOG на Шаге Loaded_x000D_
_x000D_
Отчет Договоры надо загрузить заново!</t>
  </si>
  <si>
    <t>Договоры/8:№/0</t>
  </si>
  <si>
    <t>4.11.12 - обработка колонки Match в Адаптере</t>
  </si>
  <si>
    <t>MoveToMatch: В файл 'SFDC.xlsx' загружен новый отчет 'SFD'; EOL=812 строк, в прежнем 812</t>
  </si>
  <si>
    <t>4.7.12 - исправлена формула в пятке SFD</t>
  </si>
  <si>
    <t>/="Договор расторгнут"</t>
  </si>
  <si>
    <t>Если в колонке Осн/Дог код Договора совпадает с колонкой 8 отчета Договоры 1С - в колонке Match помещаем номер строки</t>
  </si>
  <si>
    <t>&lt;! ERROR !&gt; GetRep.CheckStamp&gt; Запрос не существующего в ТОС отчета SFD</t>
  </si>
  <si>
    <t>ВНИМАНИЕ:Отчет Платежи действительно 'Loaded'</t>
  </si>
  <si>
    <t>ВНИМАНИЕ:&lt;&gt; Процесс LOAD_1C_P перед выполнением Шага InsMyCol</t>
  </si>
  <si>
    <t>ВНИМАНИЕ:&lt;&gt; Процесс LOAD_1C_P перед выполнением Шага DateSort</t>
  </si>
  <si>
    <t>Dbl</t>
  </si>
  <si>
    <t>&lt; WARNING &gt; Адаптер&gt; ссылка SFacc/3:6(001D000000qyPU6) не работает, результат &lt;пусто&gt;</t>
  </si>
  <si>
    <t>&lt; WARNING &gt; Адаптер&gt; ссылка SFacc/3:10(001D000000qyPU6) не работает, результат &lt;пусто&gt;</t>
  </si>
  <si>
    <t>&lt; WARNING &gt; Адаптер&gt; ссылка SFacc/3:6(001D000000qvTmn) не работает, результат &lt;пусто&gt;</t>
  </si>
  <si>
    <t>&lt; WARNING &gt; Адаптер&gt; ссылка SFacc/3:10(001D000000qvTmn) не работает, результат &lt;пусто&gt;</t>
  </si>
  <si>
    <t>&lt; WARNING &gt; Адаптер&gt; ссылка SFacc/3:12(0012000000S16n3) не работает, результат &lt;пусто&gt;</t>
  </si>
  <si>
    <t>&lt; WARNING &gt; Адаптер&gt; ссылка SFacc/3:6(0012000000S16n3) не работает, результат &lt;пусто&gt;</t>
  </si>
  <si>
    <t>&lt; WARNING &gt; Адаптер&gt; ссылка SFacc/3:12(0012000000NZhGT) не работает, результат &lt;пусто&gt;</t>
  </si>
  <si>
    <t>&lt; WARNING &gt; Адаптер&gt; ссылка SFacc/3:6(0012000000NZhGT) не работает, результат &lt;пусто&gt;</t>
  </si>
  <si>
    <t>MoveToMatch: В файл 'SFDC.xlsx' загружен новый отчет 'SFopp'; EOL=2861 строк, в прежнем 2860</t>
  </si>
  <si>
    <t>MoveToMatch: В файл 'SFDC.xlsx' загружен новый отчет 'SFD'; EOL=811 строк, в прежнем 812</t>
  </si>
  <si>
    <t>MoveToMatch: В файл 'SFDC.xlsx' загружен новый отчет 'SFopp'; EOL=2862 строк, в прежнем 2861</t>
  </si>
  <si>
    <t>MoveToMatch: В файл 'SFDC.xlsx' загружен новый отчет 'SFD'; EOL=811 строк, в прежнем 811</t>
  </si>
  <si>
    <t>Этап</t>
  </si>
  <si>
    <t>MoveToMatch: В файл 'SFDC.xlsx' загружен новый отчет 'SFopp'; EOL=2863 строк, в прежнем 2862</t>
  </si>
  <si>
    <t>&lt; WARNING &gt; Адаптер&gt; ссылка SFacc/3:6(001D000000rkfGS) не работает, результат &lt;пусто&gt;</t>
  </si>
  <si>
    <t>&lt; WARNING &gt; Адаптер&gt; ссылка SFacc/3:10(001D000000rkfGS) не работает, результат &lt;пусто&gt;</t>
  </si>
  <si>
    <t>&lt; WARNING &gt; Адаптер&gt; ссылка SFacc/3:6(0012000000NZWh2) не работает, результат &lt;пусто&gt;</t>
  </si>
  <si>
    <t>&lt; WARNING &gt; Адаптер&gt; ссылка SFacc/3:6(0012000000X1heU) не работает, результат &lt;пусто&gt;</t>
  </si>
  <si>
    <t>&lt;! ERROR !&gt; Неизвестный тип товара Программный продукт Tekla Structures Full Detailing 18.0/1;Обслуживание Tekla Structures Full Detailing 18.0 до конца 2012 года/1;Программный продукт Tekla Structures Steel Detailing 18.0/1;Обслуживание Tekla Structures Steel Detailing 18.0 до конца 2012 года/1;</t>
  </si>
  <si>
    <t>WrCSV&gt; в 'NewOpp.txt' записано 6 строк.</t>
  </si>
  <si>
    <t>MoveToMatch: В файл 'SFDC.xlsx' загружен новый отчет 'SFopp'; EOL=2868 строк, в прежнем 2863</t>
  </si>
  <si>
    <t>&lt; WARNING &gt; Адаптер&gt; ссылка SFacc/3:6(0012000000T1QcU) не работает, результат &lt;пусто&gt;</t>
  </si>
  <si>
    <t>&lt; WARNING &gt; Адаптер&gt; ссылка SFD/2:15(Договор 1-077/2008/6 (Заказ № 4)) не работает, результат &lt;пусто&gt;</t>
  </si>
  <si>
    <t>WrCSV&gt; в 'Payment.txt' записано 6 строк.</t>
  </si>
  <si>
    <t>MoveToMatch: В файл 'SFDC.xlsx' загружен новый отчет 'SF'; EOL=3738 строк, в прежнем 3732</t>
  </si>
  <si>
    <t>MoveToMatch: В файл 'SFDC.xlsx' загружен новый отчет 'SF'; EOL=3740 строк, в прежнем 3738</t>
  </si>
  <si>
    <t>MoveToMatch: В файл 'SFDC.xlsx' загружен новый отчет 'SFopp'; EOL=2868 строк, в прежнем 2868</t>
  </si>
  <si>
    <t>MoveToMatch: В файл 'SFDC.xlsx' загружен новый отчет 'SF'; EOL=3743 строк, в прежнем 3740</t>
  </si>
  <si>
    <r>
      <rPr>
        <sz val="11"/>
        <color theme="1"/>
        <rFont val="Calibri"/>
        <family val="2"/>
        <charset val="204"/>
        <scheme val="minor"/>
      </rPr>
      <t>5.11.12</t>
    </r>
    <r>
      <rPr>
        <b/>
        <i/>
        <sz val="11"/>
        <color theme="1"/>
        <rFont val="Calibri"/>
        <family val="2"/>
        <charset val="204"/>
        <scheme val="minor"/>
      </rPr>
      <t xml:space="preserve"> </t>
    </r>
    <r>
      <rPr>
        <b/>
        <i/>
        <u/>
        <sz val="11"/>
        <color theme="1"/>
        <rFont val="Calibri"/>
        <family val="2"/>
        <charset val="204"/>
        <scheme val="minor"/>
      </rPr>
      <t>HDR_WPacc</t>
    </r>
    <r>
      <rPr>
        <i/>
        <sz val="11"/>
        <color theme="1"/>
        <rFont val="Calibri"/>
        <family val="2"/>
        <charset val="204"/>
        <scheme val="minor"/>
      </rPr>
      <t xml:space="preserve"> - Шапка листа WP для "ручного" просмотра и анализа Организации</t>
    </r>
  </si>
  <si>
    <t>WP_Acc</t>
  </si>
  <si>
    <t>HDR_WPacc</t>
  </si>
  <si>
    <r>
      <t>16.4.12</t>
    </r>
    <r>
      <rPr>
        <sz val="11"/>
        <color theme="1"/>
        <rFont val="Calibri"/>
        <family val="2"/>
        <charset val="204"/>
        <scheme val="minor"/>
      </rPr>
      <t xml:space="preserve"> </t>
    </r>
    <r>
      <rPr>
        <b/>
        <i/>
        <u/>
        <sz val="11"/>
        <color theme="1"/>
        <rFont val="Calibri"/>
        <family val="2"/>
        <charset val="204"/>
        <scheme val="minor"/>
      </rPr>
      <t>NewAcc</t>
    </r>
    <r>
      <rPr>
        <b/>
        <sz val="11"/>
        <color theme="1"/>
        <rFont val="Calibri"/>
        <family val="2"/>
        <charset val="204"/>
        <scheme val="minor"/>
      </rPr>
      <t xml:space="preserve"> </t>
    </r>
    <r>
      <rPr>
        <sz val="11"/>
        <color theme="1"/>
        <rFont val="Calibri"/>
        <family val="2"/>
        <charset val="204"/>
        <scheme val="minor"/>
      </rPr>
      <t>- Внесение новых Организаций в SF из 1С или других баз</t>
    </r>
  </si>
  <si>
    <t>SFaccDicBuild</t>
  </si>
  <si>
    <t>AccFilter/ 19,6,10,16,13,20,21</t>
  </si>
  <si>
    <t>WP_Paid</t>
  </si>
  <si>
    <t>MoveToMatch: В файл '1C.xlsx' загружен новый отчет 'Договоры'; EOL=1105 строк, в прежнем 1159</t>
  </si>
  <si>
    <t>MoveToMatch: В файл '1C.xlsx' загружен новый отчет 'Платежи'; EOL=4943 строк, в прежнем 4937</t>
  </si>
  <si>
    <t>MoveToMatch: В файл '1C.xlsx' загружен новый отчет 'Список клиентов 1C'; EOL=2731 строк, в прежнем 2732</t>
  </si>
  <si>
    <t>MoveToMatch: В файл 'SFDC.xlsx' загружен новый отчет 'SF'; EOL=3743 строк, в прежнем 3743</t>
  </si>
  <si>
    <t>MoveToMatch: В файл 'SFDC.xlsx' загружен новый отчет 'SFopp'; EOL=2870 строк, в прежнем 2868</t>
  </si>
  <si>
    <t>MoveToMatch: В файл 'SFDC.xlsx' загружен новый отчет 'SFacc'; EOL=3948 строк, в прежнем 3946</t>
  </si>
  <si>
    <t>MoveToMatch: В файл 'SFDC.xlsx' загружен новый отчет 'SFD'; EOL=812 строк, в прежнем 811</t>
  </si>
  <si>
    <t>MoveToMatch: В файл 'SFDC.xlsx' загружен новый отчет 'SFacc'; EOL=3949 строк, в прежнем 3948</t>
  </si>
  <si>
    <t>&lt;! ERROR !&gt; GetRep.CheckStamp&gt; Не найден Штамп в Документе SFD_x000D_
_x000D_
Этот Документ надо загрузить в match заново!</t>
  </si>
  <si>
    <t>&lt;! ERROR !&gt; Adapter&gt; Не существует 1157</t>
  </si>
  <si>
    <t>&lt;! ERROR !&gt; WrTOC&gt; Не найден Штамп в Документе &lt;пусто&gt;_x000D_
_x000D_
Этот Документ надо загрузить в match заново!</t>
  </si>
  <si>
    <t>MoveToMatch: В файл '1C.xlsx' загружен новый отчет 'Платежи'; EOL=4943 строк, в прежнем 4943</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</si>
</sst>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35"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b/>
      <sz val="11"/>
      <color theme="0"/>
      <name val="Calibri"/>
      <family val="2"/>
      <charset val="204"/>
    </font>
    <font>
      <sz val="11"/>
      <color theme="0"/>
      <name val="Calibri"/>
      <family val="2"/>
      <charset val="204"/>
      <scheme val="minor"/>
    </font>
    <font>
      <i/>
      <u/>
      <sz val="11"/>
      <color theme="1"/>
      <name val="Calibri"/>
      <family val="2"/>
      <charset val="204"/>
      <scheme val="minor"/>
    </font>
  </fonts>
  <fills count="62">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
      <patternFill patternType="solid">
        <fgColor rgb="FF008000"/>
        <bgColor indexed="64"/>
      </patternFill>
    </fill>
  </fills>
  <borders count="9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dashed">
        <color auto="1"/>
      </bottom>
      <diagonal/>
    </border>
    <border>
      <left/>
      <right style="medium">
        <color indexed="64"/>
      </right>
      <top/>
      <bottom style="thick">
        <color rgb="FFFF0000"/>
      </bottom>
      <diagonal/>
    </border>
    <border>
      <left/>
      <right/>
      <top/>
      <bottom style="thick">
        <color rgb="FFFF0000"/>
      </bottom>
      <diagonal/>
    </border>
    <border>
      <left style="medium">
        <color indexed="64"/>
      </left>
      <right/>
      <top/>
      <bottom style="thick">
        <color rgb="FFFF0000"/>
      </bottom>
      <diagonal/>
    </border>
    <border>
      <left style="thick">
        <color rgb="FF3333CC"/>
      </left>
      <right style="thick">
        <color rgb="FF3333CC"/>
      </right>
      <top style="thin">
        <color auto="1"/>
      </top>
      <bottom style="thick">
        <color rgb="FF3333CC"/>
      </bottom>
      <diagonal/>
    </border>
  </borders>
  <cellStyleXfs count="766">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xf numFmtId="0" fontId="252" fillId="0" borderId="0"/>
  </cellStyleXfs>
  <cellXfs count="747">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9" fontId="268" fillId="40" borderId="0" xfId="0" applyFont="1" applyFill="1" applyAlignment="1">
      <alignment horizontal="left"/>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0" borderId="0" xfId="0" applyNumberFormat="1" applyAlignment="1">
      <alignment wrapText="1"/>
    </xf>
    <xf numFmtId="169" fontId="258" fillId="6" borderId="0" xfId="94" applyFont="1" applyFill="1" applyAlignment="1">
      <alignment horizontal="center" vertical="top"/>
    </xf>
    <xf numFmtId="49" fontId="0" fillId="6" borderId="0" xfId="0" applyNumberFormat="1" applyFill="1" applyAlignment="1">
      <alignment horizontal="center"/>
    </xf>
    <xf numFmtId="169" fontId="250" fillId="8" borderId="63" xfId="63" applyFont="1" applyFill="1" applyBorder="1" applyAlignment="1">
      <alignment horizontal="center"/>
    </xf>
    <xf numFmtId="169" fontId="0" fillId="40" borderId="0" xfId="0" applyFill="1" applyBorder="1" applyAlignment="1">
      <alignment horizontal="left" vertical="center"/>
    </xf>
    <xf numFmtId="0" fontId="258" fillId="0" borderId="0" xfId="731" applyFont="1" applyFill="1" applyAlignment="1">
      <alignment horizontal="center"/>
    </xf>
    <xf numFmtId="0" fontId="1" fillId="57" borderId="0" xfId="73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4"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69" fontId="0" fillId="57" borderId="0" xfId="0" applyFill="1"/>
    <xf numFmtId="49" fontId="1" fillId="42" borderId="85" xfId="27" applyNumberFormat="1" applyFont="1" applyFill="1" applyBorder="1" applyAlignment="1">
      <alignment horizontal="center"/>
    </xf>
    <xf numFmtId="49" fontId="0" fillId="8" borderId="0" xfId="0" applyNumberFormat="1" applyFill="1" applyAlignment="1">
      <alignment horizontal="center"/>
    </xf>
    <xf numFmtId="169" fontId="0" fillId="8" borderId="0" xfId="0" applyFill="1"/>
    <xf numFmtId="0" fontId="1" fillId="0" borderId="0" xfId="731" applyFill="1"/>
    <xf numFmtId="164" fontId="1" fillId="0" borderId="0" xfId="732" applyNumberFormat="1" applyFont="1" applyFill="1" applyAlignment="1">
      <alignment horizontal="center" vertical="center"/>
    </xf>
    <xf numFmtId="164" fontId="300" fillId="0" borderId="17" xfId="732" applyNumberFormat="1" applyFont="1" applyFill="1" applyBorder="1" applyAlignment="1">
      <alignment horizontal="center" vertical="center"/>
    </xf>
    <xf numFmtId="164" fontId="300" fillId="0" borderId="0" xfId="732" applyNumberFormat="1" applyFont="1" applyFill="1" applyBorder="1" applyAlignment="1">
      <alignment horizontal="center"/>
    </xf>
    <xf numFmtId="169" fontId="249" fillId="58" borderId="0" xfId="63" applyFill="1" applyAlignment="1">
      <alignment horizontal="center" vertical="center"/>
    </xf>
    <xf numFmtId="169" fontId="314" fillId="58" borderId="0" xfId="63" applyFont="1" applyFill="1" applyAlignment="1">
      <alignment horizontal="center" vertical="center"/>
    </xf>
    <xf numFmtId="169" fontId="249" fillId="58" borderId="0" xfId="63" applyFill="1" applyAlignment="1">
      <alignment vertical="center"/>
    </xf>
    <xf numFmtId="49" fontId="0" fillId="58" borderId="0" xfId="0" applyNumberFormat="1" applyFill="1" applyAlignment="1">
      <alignment horizontal="center" vertical="center"/>
    </xf>
    <xf numFmtId="49" fontId="1" fillId="3" borderId="1" xfId="731" applyNumberFormat="1" applyFill="1" applyBorder="1" applyAlignment="1">
      <alignment horizontal="center"/>
    </xf>
    <xf numFmtId="165"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5" fontId="300" fillId="59"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26" fillId="58"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4" fontId="1" fillId="51" borderId="0" xfId="732" applyNumberFormat="1" applyFont="1" applyFill="1" applyAlignment="1">
      <alignment horizontal="center" vertical="center"/>
    </xf>
    <xf numFmtId="164"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0" fillId="4" borderId="1" xfId="0" applyNumberFormat="1" applyFill="1" applyBorder="1"/>
    <xf numFmtId="49" fontId="314" fillId="57" borderId="0" xfId="0" applyNumberFormat="1" applyFont="1" applyFill="1" applyAlignment="1">
      <alignment horizontal="center" vertical="center"/>
    </xf>
    <xf numFmtId="0" fontId="332" fillId="4" borderId="1" xfId="731" applyFont="1" applyFill="1" applyBorder="1" applyAlignment="1">
      <alignment horizontal="center"/>
    </xf>
    <xf numFmtId="0" fontId="1" fillId="4" borderId="0" xfId="731" applyFill="1"/>
    <xf numFmtId="0" fontId="1" fillId="4" borderId="0" xfId="731" applyFill="1" applyAlignment="1">
      <alignment horizontal="center"/>
    </xf>
    <xf numFmtId="49" fontId="0" fillId="0" borderId="41" xfId="0" applyNumberFormat="1" applyFill="1" applyBorder="1" applyAlignment="1">
      <alignment horizontal="center"/>
    </xf>
    <xf numFmtId="167" fontId="0" fillId="0" borderId="41" xfId="0" applyNumberFormat="1" applyBorder="1" applyAlignment="1">
      <alignment horizontal="center"/>
    </xf>
    <xf numFmtId="1" fontId="0" fillId="0" borderId="41" xfId="0" applyNumberFormat="1" applyFill="1" applyBorder="1" applyAlignment="1">
      <alignment horizontal="center"/>
    </xf>
    <xf numFmtId="169" fontId="0" fillId="4" borderId="0" xfId="0" applyFill="1" applyBorder="1"/>
    <xf numFmtId="169" fontId="333" fillId="60" borderId="41" xfId="0" applyFont="1" applyFill="1" applyBorder="1"/>
    <xf numFmtId="169" fontId="0" fillId="0" borderId="87" xfId="0" applyBorder="1"/>
    <xf numFmtId="49" fontId="0" fillId="0" borderId="87" xfId="0" applyNumberFormat="1" applyFill="1" applyBorder="1" applyAlignment="1">
      <alignment horizontal="center"/>
    </xf>
    <xf numFmtId="169" fontId="0" fillId="4" borderId="87" xfId="0" applyFill="1" applyBorder="1"/>
    <xf numFmtId="169" fontId="0" fillId="38" borderId="87" xfId="0" applyFill="1" applyBorder="1"/>
    <xf numFmtId="169" fontId="0" fillId="38" borderId="87" xfId="0" applyFill="1" applyBorder="1" applyAlignment="1">
      <alignment horizontal="center"/>
    </xf>
    <xf numFmtId="1" fontId="0" fillId="38" borderId="87" xfId="0" applyNumberFormat="1" applyFill="1" applyBorder="1" applyAlignment="1">
      <alignment horizontal="center"/>
    </xf>
    <xf numFmtId="167" fontId="0" fillId="0" borderId="87" xfId="0" applyNumberFormat="1" applyBorder="1" applyAlignment="1">
      <alignment horizontal="center"/>
    </xf>
    <xf numFmtId="1" fontId="0" fillId="0" borderId="87" xfId="0" quotePrefix="1" applyNumberFormat="1" applyBorder="1"/>
    <xf numFmtId="169" fontId="0" fillId="8" borderId="0" xfId="0" applyFill="1" applyBorder="1"/>
    <xf numFmtId="1" fontId="0" fillId="8" borderId="0" xfId="0" quotePrefix="1" applyNumberFormat="1" applyFill="1" applyBorder="1"/>
    <xf numFmtId="1" fontId="0" fillId="8" borderId="0" xfId="0" applyNumberFormat="1" applyFill="1" applyBorder="1" applyAlignment="1">
      <alignment horizontal="center"/>
    </xf>
    <xf numFmtId="169" fontId="0" fillId="8" borderId="87" xfId="0" applyFill="1" applyBorder="1"/>
    <xf numFmtId="1" fontId="0" fillId="8" borderId="87" xfId="0" quotePrefix="1" applyNumberFormat="1" applyFill="1" applyBorder="1"/>
    <xf numFmtId="1" fontId="0" fillId="8" borderId="87" xfId="0" applyNumberFormat="1" applyFill="1" applyBorder="1" applyAlignment="1">
      <alignment horizontal="center"/>
    </xf>
    <xf numFmtId="43" fontId="0" fillId="58" borderId="0" xfId="1" applyFont="1" applyFill="1" applyAlignment="1">
      <alignment horizontal="center" vertical="center"/>
    </xf>
    <xf numFmtId="169" fontId="250" fillId="44" borderId="0" xfId="63" applyFont="1" applyFill="1" applyAlignment="1">
      <alignment vertical="top"/>
    </xf>
    <xf numFmtId="169" fontId="258" fillId="8" borderId="0" xfId="94" applyFont="1" applyFill="1" applyAlignment="1">
      <alignment horizontal="center" vertical="top"/>
    </xf>
    <xf numFmtId="169" fontId="0" fillId="8" borderId="0" xfId="0" applyFill="1" applyAlignment="1">
      <alignment horizontal="center"/>
    </xf>
    <xf numFmtId="169" fontId="0" fillId="44" borderId="0" xfId="95" applyFont="1" applyFill="1" applyAlignment="1">
      <alignment horizontal="center" wrapText="1"/>
    </xf>
    <xf numFmtId="167" fontId="0" fillId="8" borderId="0" xfId="0" applyNumberFormat="1" applyFill="1" applyBorder="1" applyAlignment="1">
      <alignment horizontal="center"/>
    </xf>
    <xf numFmtId="167" fontId="0" fillId="11" borderId="87" xfId="0" applyNumberFormat="1" applyFill="1" applyBorder="1" applyAlignment="1">
      <alignment horizontal="center"/>
    </xf>
    <xf numFmtId="167" fontId="0" fillId="11" borderId="41" xfId="0" applyNumberFormat="1" applyFill="1" applyBorder="1" applyAlignment="1">
      <alignment horizontal="center"/>
    </xf>
    <xf numFmtId="167" fontId="0" fillId="11" borderId="47" xfId="0" applyNumberFormat="1" applyFill="1" applyBorder="1"/>
    <xf numFmtId="169" fontId="261" fillId="8" borderId="0" xfId="0" applyFont="1" applyFill="1"/>
    <xf numFmtId="169" fontId="258" fillId="8" borderId="0" xfId="94" applyFont="1" applyFill="1" applyAlignment="1">
      <alignment vertical="top"/>
    </xf>
    <xf numFmtId="49" fontId="258" fillId="8" borderId="0" xfId="94" applyNumberFormat="1" applyFont="1" applyFill="1" applyAlignment="1">
      <alignment vertical="top"/>
    </xf>
    <xf numFmtId="4" fontId="258" fillId="8" borderId="0" xfId="94" applyNumberFormat="1" applyFont="1" applyFill="1" applyAlignment="1">
      <alignment vertical="top"/>
    </xf>
    <xf numFmtId="169" fontId="0" fillId="0" borderId="0" xfId="0" applyFont="1" applyFill="1" applyAlignment="1">
      <alignment horizontal="left"/>
    </xf>
    <xf numFmtId="169" fontId="0" fillId="0" borderId="0" xfId="0" applyFont="1"/>
    <xf numFmtId="0" fontId="0" fillId="12" borderId="72" xfId="0" applyNumberFormat="1" applyFont="1" applyFill="1" applyBorder="1" applyAlignment="1">
      <alignment horizontal="center" wrapText="1"/>
    </xf>
    <xf numFmtId="169" fontId="0" fillId="40" borderId="0" xfId="0" applyFill="1" applyBorder="1"/>
    <xf numFmtId="167" fontId="0" fillId="8" borderId="0" xfId="0" applyNumberFormat="1" applyFill="1" applyAlignment="1">
      <alignment horizontal="center"/>
    </xf>
    <xf numFmtId="169" fontId="258" fillId="45" borderId="0" xfId="53" applyFont="1" applyFill="1" applyBorder="1" applyAlignment="1">
      <alignment horizontal="left" vertical="top"/>
    </xf>
    <xf numFmtId="1" fontId="258" fillId="45" borderId="0" xfId="56" applyNumberFormat="1" applyFont="1" applyFill="1"/>
    <xf numFmtId="0" fontId="1" fillId="4" borderId="0" xfId="738" applyFill="1"/>
    <xf numFmtId="0" fontId="1" fillId="12" borderId="0" xfId="738" applyFill="1"/>
    <xf numFmtId="167"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0" fontId="250" fillId="12" borderId="86" xfId="0" applyNumberFormat="1" applyFont="1" applyFill="1" applyBorder="1" applyAlignment="1">
      <alignment horizontal="center" vertical="center" wrapText="1"/>
    </xf>
    <xf numFmtId="4" fontId="260" fillId="58" borderId="80" xfId="765" applyNumberFormat="1" applyFont="1" applyFill="1" applyBorder="1" applyAlignment="1">
      <alignment horizontal="center" vertical="center"/>
    </xf>
    <xf numFmtId="4" fontId="249" fillId="0" borderId="0" xfId="1" applyNumberFormat="1" applyAlignment="1">
      <alignment horizontal="center"/>
    </xf>
    <xf numFmtId="4" fontId="315" fillId="52" borderId="0" xfId="0" applyNumberFormat="1" applyFont="1" applyFill="1" applyAlignment="1">
      <alignment horizontal="center" vertical="center"/>
    </xf>
    <xf numFmtId="167" fontId="0" fillId="0" borderId="31" xfId="0" applyNumberFormat="1" applyFill="1" applyBorder="1" applyAlignment="1">
      <alignment horizontal="center" vertical="center"/>
    </xf>
    <xf numFmtId="49" fontId="268" fillId="0" borderId="31" xfId="0" applyNumberFormat="1" applyFont="1" applyFill="1" applyBorder="1" applyAlignment="1">
      <alignment horizontal="left" vertical="center" wrapText="1"/>
    </xf>
    <xf numFmtId="167" fontId="0" fillId="0" borderId="89" xfId="0" applyNumberFormat="1" applyFill="1" applyBorder="1" applyAlignment="1">
      <alignment horizontal="center" vertical="center"/>
    </xf>
    <xf numFmtId="49" fontId="0" fillId="0" borderId="89" xfId="0" applyNumberFormat="1" applyFill="1" applyBorder="1" applyAlignment="1">
      <alignment horizontal="center" vertical="center"/>
    </xf>
    <xf numFmtId="169" fontId="0" fillId="0" borderId="89" xfId="0" applyFill="1" applyBorder="1" applyAlignment="1">
      <alignment horizontal="left" vertical="center"/>
    </xf>
    <xf numFmtId="49" fontId="0" fillId="6" borderId="89" xfId="0" applyNumberFormat="1" applyFont="1" applyFill="1" applyBorder="1" applyAlignment="1">
      <alignment vertical="center"/>
    </xf>
    <xf numFmtId="49" fontId="0" fillId="0" borderId="90" xfId="0" applyNumberFormat="1" applyBorder="1" applyAlignment="1">
      <alignment horizontal="center" vertical="center"/>
    </xf>
    <xf numFmtId="49" fontId="0" fillId="0" borderId="89" xfId="0" applyNumberFormat="1" applyBorder="1" applyAlignment="1">
      <alignment horizontal="center" vertical="center"/>
    </xf>
    <xf numFmtId="169" fontId="268" fillId="0" borderId="89" xfId="0" applyFont="1" applyFill="1" applyBorder="1" applyAlignment="1">
      <alignment vertical="center"/>
    </xf>
    <xf numFmtId="169" fontId="268" fillId="0" borderId="88" xfId="0" applyFont="1" applyFill="1" applyBorder="1" applyAlignment="1">
      <alignment vertical="center"/>
    </xf>
    <xf numFmtId="169" fontId="0" fillId="0" borderId="90" xfId="0" applyFont="1" applyFill="1" applyBorder="1" applyAlignment="1">
      <alignment vertical="center"/>
    </xf>
    <xf numFmtId="169" fontId="0" fillId="39" borderId="89" xfId="0" applyFont="1" applyFill="1" applyBorder="1" applyAlignment="1">
      <alignment vertical="center"/>
    </xf>
    <xf numFmtId="49" fontId="0" fillId="4" borderId="91" xfId="0" applyNumberFormat="1" applyFont="1" applyFill="1" applyBorder="1" applyAlignment="1">
      <alignment vertical="center"/>
    </xf>
    <xf numFmtId="169" fontId="0" fillId="0" borderId="31" xfId="0" applyBorder="1" applyAlignment="1">
      <alignment horizontal="left" vertical="center"/>
    </xf>
    <xf numFmtId="169" fontId="0" fillId="0" borderId="32" xfId="0" applyFont="1" applyFill="1" applyBorder="1"/>
    <xf numFmtId="169" fontId="268" fillId="0" borderId="31" xfId="0" applyFont="1" applyFill="1" applyBorder="1"/>
    <xf numFmtId="169" fontId="317" fillId="0" borderId="0" xfId="0" applyFont="1"/>
    <xf numFmtId="169" fontId="270" fillId="0" borderId="0" xfId="0" applyFont="1"/>
    <xf numFmtId="169" fontId="268" fillId="0" borderId="11" xfId="0" applyFont="1" applyFill="1" applyBorder="1"/>
    <xf numFmtId="167" fontId="0" fillId="0" borderId="43" xfId="0" applyNumberFormat="1" applyFill="1" applyBorder="1" applyAlignment="1">
      <alignment horizontal="center" vertical="center"/>
    </xf>
    <xf numFmtId="167" fontId="0" fillId="8" borderId="31" xfId="0" applyNumberFormat="1" applyFill="1" applyBorder="1" applyAlignment="1">
      <alignment horizontal="center"/>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0" fontId="0" fillId="40" borderId="0" xfId="0" applyNumberFormat="1" applyFill="1" applyBorder="1" applyAlignment="1">
      <alignment horizontal="left" vertical="center"/>
    </xf>
    <xf numFmtId="49" fontId="0" fillId="61" borderId="41" xfId="0" applyNumberFormat="1" applyFill="1" applyBorder="1" applyAlignment="1">
      <alignment horizontal="center" vertical="center" wrapText="1"/>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69"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69" fontId="0" fillId="3" borderId="55" xfId="0" applyFill="1" applyBorder="1" applyAlignment="1">
      <alignment horizontal="center" vertical="center" wrapText="1"/>
    </xf>
    <xf numFmtId="169" fontId="249" fillId="58" borderId="81" xfId="63" applyFill="1" applyBorder="1" applyAlignment="1">
      <alignment vertical="center" wrapText="1"/>
    </xf>
    <xf numFmtId="169" fontId="0" fillId="58"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69"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69" fontId="0" fillId="0" borderId="31" xfId="0" applyBorder="1" applyAlignment="1">
      <alignment horizontal="center" vertical="center" wrapText="1"/>
    </xf>
    <xf numFmtId="167" fontId="0" fillId="0" borderId="73" xfId="0" applyNumberFormat="1" applyFill="1" applyBorder="1" applyAlignment="1">
      <alignment horizontal="center" vertical="center"/>
    </xf>
    <xf numFmtId="49" fontId="0" fillId="0" borderId="73" xfId="0" applyNumberFormat="1" applyFill="1" applyBorder="1" applyAlignment="1">
      <alignment horizontal="center" vertical="center"/>
    </xf>
    <xf numFmtId="49" fontId="268" fillId="0" borderId="73" xfId="0" applyNumberFormat="1" applyFont="1" applyFill="1" applyBorder="1" applyAlignment="1">
      <alignment horizontal="left" vertical="center" wrapText="1"/>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3333CC"/>
      <color rgb="FFFF6600"/>
      <color rgb="FF00FF00"/>
      <color rgb="FF84DC1A"/>
      <color rgb="FFCC99FF"/>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113</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80</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81</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81</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81</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81</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81</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81</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81</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214313</xdr:colOff>
      <xdr:row>113</xdr:row>
      <xdr:rowOff>0</xdr:rowOff>
    </xdr:from>
    <xdr:ext cx="184731" cy="264560"/>
    <xdr:sp macro="" textlink="">
      <xdr:nvSpPr>
        <xdr:cNvPr id="63" name="TextBox 62"/>
        <xdr:cNvSpPr txBox="1"/>
      </xdr:nvSpPr>
      <xdr:spPr>
        <a:xfrm>
          <a:off x="7624763" y="23441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2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5" name="Picture 2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6"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7" name="Picture 2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8" name="Picture 2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9" name="Picture 2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30" name="Picture 2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31" name="Picture 3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3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3"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37"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9"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0"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1"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4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47" name="Picture 4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8"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9" name="Picture 4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0" name="Picture 4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1" name="Picture 5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2" name="Picture 51"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3" name="Picture 5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5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152400" cy="152400"/>
    <xdr:sp macro="" textlink="">
      <xdr:nvSpPr>
        <xdr:cNvPr id="59"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0"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1"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2"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3"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5"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6"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4"/>
  <sheetViews>
    <sheetView tabSelected="1" topLeftCell="A3" workbookViewId="0">
      <selection activeCell="G15" sqref="G15"/>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2.425781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41222.120081018518</v>
      </c>
      <c r="C1" s="125" t="s">
        <v>591</v>
      </c>
      <c r="J1" s="458" t="s">
        <v>815</v>
      </c>
      <c r="K1" s="167"/>
      <c r="L1" s="57"/>
      <c r="M1" s="57"/>
      <c r="N1" s="57"/>
      <c r="O1" s="717" t="s">
        <v>600</v>
      </c>
      <c r="P1" s="717" t="s">
        <v>850</v>
      </c>
      <c r="Q1" s="717"/>
      <c r="R1" s="717"/>
      <c r="S1" s="717"/>
    </row>
    <row r="2" spans="1:23" ht="20.25" customHeight="1" x14ac:dyDescent="0.25">
      <c r="O2" s="718"/>
      <c r="P2" s="718"/>
      <c r="Q2" s="718"/>
      <c r="R2" s="718"/>
      <c r="S2" s="718"/>
    </row>
    <row r="3" spans="1:23" s="123" customFormat="1" x14ac:dyDescent="0.25">
      <c r="A3" s="123" t="s">
        <v>120</v>
      </c>
      <c r="B3" s="123" t="s">
        <v>570</v>
      </c>
      <c r="C3" s="158" t="s">
        <v>571</v>
      </c>
      <c r="D3" s="123" t="s">
        <v>596</v>
      </c>
      <c r="E3" s="123" t="s">
        <v>601</v>
      </c>
      <c r="F3" s="123" t="s">
        <v>611</v>
      </c>
      <c r="G3" s="123" t="s">
        <v>636</v>
      </c>
      <c r="H3" s="123" t="s">
        <v>572</v>
      </c>
      <c r="I3" s="123" t="s">
        <v>573</v>
      </c>
      <c r="J3" s="127" t="s">
        <v>577</v>
      </c>
      <c r="K3" s="143" t="s">
        <v>592</v>
      </c>
      <c r="L3" s="127" t="s">
        <v>593</v>
      </c>
      <c r="M3" s="127" t="s">
        <v>594</v>
      </c>
      <c r="N3" s="158" t="s">
        <v>613</v>
      </c>
      <c r="O3" s="123" t="s">
        <v>597</v>
      </c>
      <c r="T3" s="123" t="s">
        <v>599</v>
      </c>
    </row>
    <row r="4" spans="1:23" s="171" customFormat="1" x14ac:dyDescent="0.25">
      <c r="A4" s="248"/>
      <c r="B4" s="169" t="s">
        <v>616</v>
      </c>
      <c r="C4" s="170">
        <v>44</v>
      </c>
      <c r="H4" s="169" t="s">
        <v>617</v>
      </c>
      <c r="I4" s="169" t="s">
        <v>616</v>
      </c>
      <c r="J4" s="169" t="s">
        <v>616</v>
      </c>
      <c r="K4" s="172" t="s">
        <v>618</v>
      </c>
      <c r="L4" s="153">
        <v>1</v>
      </c>
      <c r="M4" s="153">
        <v>3</v>
      </c>
      <c r="N4" s="168">
        <v>41112.947581018518</v>
      </c>
    </row>
    <row r="5" spans="1:23" s="171" customFormat="1" x14ac:dyDescent="0.25">
      <c r="A5" s="248"/>
      <c r="B5" s="169" t="s">
        <v>635</v>
      </c>
      <c r="C5" s="170" t="s">
        <v>1231</v>
      </c>
      <c r="H5" s="169" t="s">
        <v>617</v>
      </c>
      <c r="I5" s="169" t="s">
        <v>635</v>
      </c>
      <c r="J5" s="169" t="s">
        <v>635</v>
      </c>
      <c r="K5" s="172" t="s">
        <v>618</v>
      </c>
      <c r="L5" s="153">
        <v>1</v>
      </c>
      <c r="M5" s="153">
        <v>3</v>
      </c>
      <c r="N5" s="168">
        <v>41120.947581018518</v>
      </c>
    </row>
    <row r="6" spans="1:23" s="171" customFormat="1" x14ac:dyDescent="0.25">
      <c r="A6" s="248"/>
      <c r="B6" s="169" t="s">
        <v>621</v>
      </c>
      <c r="C6" s="170" t="s">
        <v>571</v>
      </c>
      <c r="H6" s="169" t="s">
        <v>687</v>
      </c>
      <c r="I6" s="169"/>
      <c r="J6" s="169" t="s">
        <v>619</v>
      </c>
      <c r="K6" s="172" t="s">
        <v>618</v>
      </c>
      <c r="L6" s="153">
        <v>3</v>
      </c>
      <c r="M6" s="153">
        <v>1</v>
      </c>
      <c r="N6" s="168">
        <v>41112.947581018518</v>
      </c>
      <c r="O6" s="169" t="s">
        <v>315</v>
      </c>
    </row>
    <row r="7" spans="1:23" s="171" customFormat="1" x14ac:dyDescent="0.25">
      <c r="A7" s="248"/>
      <c r="B7" s="169"/>
      <c r="C7" s="170">
        <v>0</v>
      </c>
      <c r="D7" s="251"/>
      <c r="F7" s="540"/>
      <c r="H7" s="169"/>
      <c r="I7" s="169"/>
      <c r="J7" s="169" t="s">
        <v>620</v>
      </c>
      <c r="K7" s="172" t="s">
        <v>595</v>
      </c>
      <c r="L7" s="153">
        <v>6</v>
      </c>
      <c r="M7" s="153">
        <v>1</v>
      </c>
      <c r="N7" s="168"/>
    </row>
    <row r="8" spans="1:23" s="136" customFormat="1" x14ac:dyDescent="0.25">
      <c r="A8" s="249">
        <v>41222.120081018518</v>
      </c>
      <c r="B8" s="136" t="s">
        <v>569</v>
      </c>
      <c r="C8" s="141">
        <v>4943</v>
      </c>
      <c r="D8" s="141">
        <v>5</v>
      </c>
      <c r="E8" s="141">
        <v>2</v>
      </c>
      <c r="F8" t="s">
        <v>663</v>
      </c>
      <c r="G8" s="141" t="s">
        <v>112</v>
      </c>
      <c r="H8" s="136" t="s">
        <v>690</v>
      </c>
      <c r="I8" s="147" t="s">
        <v>569</v>
      </c>
      <c r="J8" s="137" t="s">
        <v>68</v>
      </c>
      <c r="K8" s="144" t="s">
        <v>595</v>
      </c>
      <c r="L8" s="142">
        <v>1</v>
      </c>
      <c r="M8" s="142" t="s">
        <v>665</v>
      </c>
      <c r="N8" s="135">
        <v>41220</v>
      </c>
      <c r="O8" s="146" t="s">
        <v>315</v>
      </c>
      <c r="P8" s="146"/>
      <c r="Q8" s="146"/>
      <c r="T8" s="136" t="s">
        <v>646</v>
      </c>
      <c r="W8" s="159"/>
    </row>
    <row r="9" spans="1:23" s="149" customFormat="1" x14ac:dyDescent="0.25">
      <c r="A9" s="250"/>
      <c r="B9" s="149" t="s">
        <v>569</v>
      </c>
      <c r="C9" s="150"/>
      <c r="D9" s="150"/>
      <c r="E9" s="150"/>
      <c r="J9" s="151" t="s">
        <v>67</v>
      </c>
      <c r="K9" s="152" t="s">
        <v>595</v>
      </c>
      <c r="L9" s="153">
        <v>1</v>
      </c>
      <c r="M9" s="153" t="s">
        <v>670</v>
      </c>
      <c r="N9" s="148"/>
      <c r="O9" s="154"/>
      <c r="P9" s="154"/>
      <c r="Q9" s="154"/>
      <c r="T9" s="160"/>
    </row>
    <row r="10" spans="1:23" x14ac:dyDescent="0.25">
      <c r="A10" s="248">
        <v>41222.057500000003</v>
      </c>
      <c r="B10" t="s">
        <v>574</v>
      </c>
      <c r="C10" s="145">
        <v>1105</v>
      </c>
      <c r="D10" s="139">
        <v>8</v>
      </c>
      <c r="E10" s="139">
        <v>2</v>
      </c>
      <c r="F10" t="s">
        <v>677</v>
      </c>
      <c r="G10" s="150" t="s">
        <v>112</v>
      </c>
      <c r="H10" t="s">
        <v>690</v>
      </c>
      <c r="I10" s="163" t="s">
        <v>574</v>
      </c>
      <c r="J10" s="128" t="s">
        <v>602</v>
      </c>
      <c r="K10" s="129" t="s">
        <v>595</v>
      </c>
      <c r="L10" s="153">
        <v>1</v>
      </c>
      <c r="M10" s="153" t="s">
        <v>1062</v>
      </c>
      <c r="N10" s="124">
        <v>41221</v>
      </c>
      <c r="O10" s="138" t="s">
        <v>315</v>
      </c>
      <c r="P10" s="138"/>
      <c r="Q10" s="138"/>
      <c r="T10" t="s">
        <v>647</v>
      </c>
    </row>
    <row r="11" spans="1:23" x14ac:dyDescent="0.25">
      <c r="A11" s="250"/>
      <c r="B11" t="s">
        <v>574</v>
      </c>
      <c r="C11" s="145"/>
      <c r="D11" s="139"/>
      <c r="E11" s="139"/>
      <c r="G11" s="149"/>
      <c r="I11" s="149"/>
      <c r="J11" s="128" t="s">
        <v>603</v>
      </c>
      <c r="K11" s="129" t="s">
        <v>595</v>
      </c>
      <c r="L11" s="153">
        <v>1</v>
      </c>
      <c r="M11" s="153" t="s">
        <v>1061</v>
      </c>
      <c r="N11" s="124"/>
      <c r="O11" s="161"/>
      <c r="P11" s="161"/>
      <c r="Q11" s="161"/>
    </row>
    <row r="12" spans="1:23" x14ac:dyDescent="0.25">
      <c r="A12" s="248">
        <v>41222.028668981482</v>
      </c>
      <c r="B12" t="s">
        <v>575</v>
      </c>
      <c r="C12" s="145">
        <v>2731</v>
      </c>
      <c r="D12" s="145">
        <v>1</v>
      </c>
      <c r="E12" s="145">
        <v>0</v>
      </c>
      <c r="F12" t="s">
        <v>663</v>
      </c>
      <c r="G12" s="150" t="s">
        <v>71</v>
      </c>
      <c r="H12" t="s">
        <v>690</v>
      </c>
      <c r="I12" s="164" t="s">
        <v>575</v>
      </c>
      <c r="J12" s="128" t="s">
        <v>604</v>
      </c>
      <c r="K12" s="129" t="s">
        <v>595</v>
      </c>
      <c r="L12" s="153" t="s">
        <v>664</v>
      </c>
      <c r="M12" s="153" t="s">
        <v>666</v>
      </c>
      <c r="N12" s="124">
        <v>41221</v>
      </c>
      <c r="O12" s="138" t="s">
        <v>315</v>
      </c>
      <c r="P12" s="138"/>
      <c r="Q12" s="138"/>
      <c r="T12" t="s">
        <v>648</v>
      </c>
    </row>
    <row r="13" spans="1:23" x14ac:dyDescent="0.25">
      <c r="A13" s="250"/>
      <c r="B13" t="s">
        <v>575</v>
      </c>
      <c r="C13" s="145"/>
      <c r="D13" s="145"/>
      <c r="E13" s="145"/>
      <c r="G13" s="2"/>
      <c r="I13" s="149"/>
      <c r="J13" s="128" t="s">
        <v>605</v>
      </c>
      <c r="K13" s="129" t="s">
        <v>595</v>
      </c>
      <c r="L13" s="153" t="s">
        <v>664</v>
      </c>
      <c r="M13" s="153" t="s">
        <v>667</v>
      </c>
      <c r="N13" s="162"/>
      <c r="O13" s="161"/>
      <c r="P13" s="161"/>
      <c r="Q13" s="161"/>
      <c r="T13" s="2"/>
    </row>
    <row r="14" spans="1:23" s="136" customFormat="1" ht="15.75" customHeight="1" x14ac:dyDescent="0.25">
      <c r="A14" s="249">
        <v>41221.594247685185</v>
      </c>
      <c r="B14" s="136" t="s">
        <v>576</v>
      </c>
      <c r="C14" s="141">
        <v>3743</v>
      </c>
      <c r="D14" s="141">
        <v>2</v>
      </c>
      <c r="E14" s="141">
        <v>6</v>
      </c>
      <c r="F14" s="136" t="s">
        <v>625</v>
      </c>
      <c r="G14" s="141" t="s">
        <v>91</v>
      </c>
      <c r="H14" s="136" t="str">
        <f t="shared" ref="H14:H21" si="0">H$6</f>
        <v>SFDC.xlsx</v>
      </c>
      <c r="I14" s="165" t="s">
        <v>576</v>
      </c>
      <c r="J14" s="137" t="s">
        <v>578</v>
      </c>
      <c r="K14" s="144" t="s">
        <v>595</v>
      </c>
      <c r="L14" s="142">
        <v>2</v>
      </c>
      <c r="M14" s="142" t="s">
        <v>668</v>
      </c>
      <c r="N14" s="270">
        <v>41221.59375</v>
      </c>
      <c r="O14" s="146"/>
      <c r="P14" s="146"/>
      <c r="Q14" s="146"/>
      <c r="T14" s="136" t="str">
        <f>Process!F26</f>
        <v>LOAD_SF</v>
      </c>
    </row>
    <row r="15" spans="1:23" ht="15.75" customHeight="1" x14ac:dyDescent="0.25">
      <c r="A15" s="248">
        <v>41222.027314814812</v>
      </c>
      <c r="B15" t="s">
        <v>579</v>
      </c>
      <c r="C15" s="145">
        <v>812</v>
      </c>
      <c r="D15" s="139">
        <v>2</v>
      </c>
      <c r="E15" s="139">
        <v>6</v>
      </c>
      <c r="F15" t="s">
        <v>625</v>
      </c>
      <c r="G15" s="150" t="s">
        <v>91</v>
      </c>
      <c r="H15" t="str">
        <f t="shared" si="0"/>
        <v>SFDC.xlsx</v>
      </c>
      <c r="I15" s="166" t="s">
        <v>579</v>
      </c>
      <c r="J15" s="128" t="s">
        <v>580</v>
      </c>
      <c r="K15" s="129" t="s">
        <v>595</v>
      </c>
      <c r="L15" s="140">
        <v>2</v>
      </c>
      <c r="M15" s="140" t="s">
        <v>668</v>
      </c>
      <c r="N15" s="124">
        <v>41222.025694444441</v>
      </c>
      <c r="O15" s="138"/>
      <c r="Q15" s="138"/>
      <c r="T15" s="149" t="str">
        <f>Process!F32</f>
        <v>LOAD_SFD</v>
      </c>
    </row>
    <row r="16" spans="1:23" ht="15.75" x14ac:dyDescent="0.3">
      <c r="A16" s="248">
        <v>41221.599247685182</v>
      </c>
      <c r="B16" t="s">
        <v>581</v>
      </c>
      <c r="C16" s="145">
        <v>2870</v>
      </c>
      <c r="D16" s="139" t="s">
        <v>598</v>
      </c>
      <c r="E16" s="139">
        <v>6</v>
      </c>
      <c r="F16" t="s">
        <v>612</v>
      </c>
      <c r="G16" s="150" t="s">
        <v>91</v>
      </c>
      <c r="H16" t="str">
        <f t="shared" si="0"/>
        <v>SFDC.xlsx</v>
      </c>
      <c r="I16" s="166" t="s">
        <v>581</v>
      </c>
      <c r="J16" s="130" t="s">
        <v>582</v>
      </c>
      <c r="K16" s="129" t="s">
        <v>595</v>
      </c>
      <c r="L16" s="140">
        <v>2</v>
      </c>
      <c r="M16" s="140">
        <v>1</v>
      </c>
      <c r="N16" s="124">
        <v>41221.597916666666</v>
      </c>
      <c r="O16" s="138"/>
      <c r="Q16" s="138"/>
    </row>
    <row r="17" spans="1:20" ht="15.75" x14ac:dyDescent="0.3">
      <c r="A17" s="248">
        <v>41221.960914351854</v>
      </c>
      <c r="B17" t="s">
        <v>136</v>
      </c>
      <c r="C17" s="145">
        <v>3949</v>
      </c>
      <c r="D17" s="139" t="s">
        <v>598</v>
      </c>
      <c r="E17" s="139">
        <v>6</v>
      </c>
      <c r="F17" t="s">
        <v>612</v>
      </c>
      <c r="G17" s="150" t="s">
        <v>91</v>
      </c>
      <c r="H17" t="str">
        <f t="shared" si="0"/>
        <v>SFDC.xlsx</v>
      </c>
      <c r="I17" s="166" t="s">
        <v>136</v>
      </c>
      <c r="J17" s="131" t="s">
        <v>136</v>
      </c>
      <c r="K17" s="129" t="s">
        <v>595</v>
      </c>
      <c r="L17" s="140">
        <v>2</v>
      </c>
      <c r="M17" s="140">
        <v>1</v>
      </c>
      <c r="N17" s="124">
        <v>41221.959722222222</v>
      </c>
      <c r="O17" s="138"/>
      <c r="Q17" s="138"/>
      <c r="T17" t="str">
        <f>Process!F38</f>
        <v>LOAD_SFacc</v>
      </c>
    </row>
    <row r="18" spans="1:20" ht="15.75" x14ac:dyDescent="0.3">
      <c r="A18" s="677">
        <v>41211.859120370369</v>
      </c>
      <c r="B18" t="s">
        <v>584</v>
      </c>
      <c r="C18" s="145">
        <v>7574</v>
      </c>
      <c r="D18" s="139" t="s">
        <v>598</v>
      </c>
      <c r="E18" s="139">
        <v>6</v>
      </c>
      <c r="F18" t="s">
        <v>612</v>
      </c>
      <c r="G18" s="150" t="s">
        <v>113</v>
      </c>
      <c r="H18" t="str">
        <f t="shared" si="0"/>
        <v>SFDC.xlsx</v>
      </c>
      <c r="I18" s="166" t="s">
        <v>584</v>
      </c>
      <c r="J18" s="131" t="s">
        <v>583</v>
      </c>
      <c r="K18" s="129" t="s">
        <v>595</v>
      </c>
      <c r="L18" s="140">
        <v>2</v>
      </c>
      <c r="M18" s="140">
        <v>1</v>
      </c>
      <c r="N18" s="124">
        <v>41211.85833333333</v>
      </c>
      <c r="O18" s="138"/>
      <c r="Q18" s="138"/>
    </row>
    <row r="19" spans="1:20" ht="15.75" x14ac:dyDescent="0.3">
      <c r="A19" s="248">
        <v>41211.856666666667</v>
      </c>
      <c r="B19" t="s">
        <v>586</v>
      </c>
      <c r="C19" s="145">
        <v>1745</v>
      </c>
      <c r="D19" s="139" t="s">
        <v>598</v>
      </c>
      <c r="E19" s="139">
        <v>6</v>
      </c>
      <c r="F19" t="s">
        <v>612</v>
      </c>
      <c r="G19" s="150" t="s">
        <v>71</v>
      </c>
      <c r="H19" t="str">
        <f t="shared" si="0"/>
        <v>SFDC.xlsx</v>
      </c>
      <c r="I19" s="166" t="s">
        <v>586</v>
      </c>
      <c r="J19" s="132" t="s">
        <v>585</v>
      </c>
      <c r="K19" s="129" t="s">
        <v>595</v>
      </c>
      <c r="L19" s="140">
        <v>2</v>
      </c>
      <c r="M19" s="140">
        <v>1</v>
      </c>
      <c r="N19" s="124">
        <v>41211.856249999997</v>
      </c>
      <c r="O19" s="138"/>
      <c r="Q19" s="138"/>
    </row>
    <row r="20" spans="1:20" ht="15.75" x14ac:dyDescent="0.3">
      <c r="A20" s="677">
        <v>41211.85800925926</v>
      </c>
      <c r="B20" t="s">
        <v>587</v>
      </c>
      <c r="C20" s="145">
        <v>194</v>
      </c>
      <c r="D20" s="139" t="s">
        <v>598</v>
      </c>
      <c r="E20" s="139">
        <v>6</v>
      </c>
      <c r="F20" t="s">
        <v>612</v>
      </c>
      <c r="G20" s="150" t="s">
        <v>91</v>
      </c>
      <c r="H20" t="str">
        <f t="shared" si="0"/>
        <v>SFDC.xlsx</v>
      </c>
      <c r="I20" s="166" t="s">
        <v>587</v>
      </c>
      <c r="J20" s="133" t="s">
        <v>588</v>
      </c>
      <c r="K20" s="129" t="s">
        <v>595</v>
      </c>
      <c r="L20" s="140">
        <v>2</v>
      </c>
      <c r="M20" s="140">
        <v>1</v>
      </c>
      <c r="N20" s="124">
        <v>41211.857638888891</v>
      </c>
      <c r="O20" s="138"/>
      <c r="Q20" s="138"/>
    </row>
    <row r="21" spans="1:20" ht="15.75" x14ac:dyDescent="0.3">
      <c r="A21" s="677">
        <v>41211.857361111113</v>
      </c>
      <c r="B21" t="s">
        <v>589</v>
      </c>
      <c r="C21" s="145">
        <v>362</v>
      </c>
      <c r="D21" s="139" t="s">
        <v>598</v>
      </c>
      <c r="E21" s="139">
        <v>6</v>
      </c>
      <c r="F21" t="s">
        <v>612</v>
      </c>
      <c r="G21" s="150" t="s">
        <v>113</v>
      </c>
      <c r="H21" t="str">
        <f t="shared" si="0"/>
        <v>SFDC.xlsx</v>
      </c>
      <c r="I21" s="565" t="s">
        <v>589</v>
      </c>
      <c r="J21" s="134" t="s">
        <v>590</v>
      </c>
      <c r="K21" s="295" t="s">
        <v>595</v>
      </c>
      <c r="L21" s="140">
        <v>2</v>
      </c>
      <c r="M21" s="140">
        <v>1</v>
      </c>
      <c r="N21" s="162">
        <v>41211.856944444444</v>
      </c>
      <c r="O21" s="564"/>
      <c r="P21" s="297"/>
      <c r="Q21" s="564"/>
      <c r="R21" s="297"/>
      <c r="S21" s="297"/>
    </row>
    <row r="22" spans="1:20" s="136" customFormat="1" x14ac:dyDescent="0.25">
      <c r="A22" s="712">
        <v>41211.864050925928</v>
      </c>
      <c r="B22" s="136" t="s">
        <v>606</v>
      </c>
      <c r="C22" s="157">
        <v>8718</v>
      </c>
      <c r="D22" s="157" t="s">
        <v>130</v>
      </c>
      <c r="E22" s="157" t="s">
        <v>598</v>
      </c>
      <c r="F22" s="136" t="s">
        <v>791</v>
      </c>
      <c r="G22" s="535">
        <v>10</v>
      </c>
      <c r="H22" s="136" t="s">
        <v>691</v>
      </c>
      <c r="I22" s="278" t="str">
        <f>B22</f>
        <v>Склад</v>
      </c>
      <c r="J22" s="137" t="s">
        <v>65</v>
      </c>
      <c r="K22" s="152" t="s">
        <v>618</v>
      </c>
      <c r="L22" s="142" t="s">
        <v>668</v>
      </c>
      <c r="M22" s="142" t="s">
        <v>886</v>
      </c>
      <c r="N22" s="135">
        <v>41186.09652777778</v>
      </c>
      <c r="O22" s="154" t="s">
        <v>315</v>
      </c>
      <c r="P22" s="160"/>
      <c r="Q22" s="563" t="s">
        <v>875</v>
      </c>
      <c r="R22" s="277"/>
      <c r="S22" s="160"/>
      <c r="T22" s="136" t="s">
        <v>652</v>
      </c>
    </row>
    <row r="23" spans="1:20" s="149" customFormat="1" x14ac:dyDescent="0.25">
      <c r="A23" s="274"/>
      <c r="C23" s="275"/>
      <c r="D23" s="275"/>
      <c r="E23" s="275"/>
      <c r="I23" s="160"/>
      <c r="J23" s="151" t="s">
        <v>692</v>
      </c>
      <c r="K23" s="152" t="s">
        <v>595</v>
      </c>
      <c r="L23" s="153" t="s">
        <v>668</v>
      </c>
      <c r="M23" s="153" t="s">
        <v>887</v>
      </c>
      <c r="N23" s="148"/>
      <c r="O23" s="154" t="s">
        <v>315</v>
      </c>
      <c r="Q23" s="154"/>
      <c r="R23" s="277"/>
    </row>
    <row r="24" spans="1:20" s="149" customFormat="1" x14ac:dyDescent="0.25">
      <c r="A24" s="274"/>
      <c r="C24" s="275"/>
      <c r="D24" s="275"/>
      <c r="E24" s="275"/>
      <c r="I24" s="160"/>
      <c r="J24" s="151" t="s">
        <v>693</v>
      </c>
      <c r="K24" s="152" t="s">
        <v>595</v>
      </c>
      <c r="L24" s="153" t="s">
        <v>668</v>
      </c>
      <c r="M24" s="153" t="s">
        <v>882</v>
      </c>
      <c r="N24" s="148"/>
      <c r="O24" s="154" t="s">
        <v>315</v>
      </c>
      <c r="Q24" s="154"/>
      <c r="R24" s="277"/>
    </row>
    <row r="25" spans="1:20" s="149" customFormat="1" x14ac:dyDescent="0.25">
      <c r="A25" s="274"/>
      <c r="C25" s="275"/>
      <c r="D25" s="275"/>
      <c r="E25" s="275"/>
      <c r="I25" s="160"/>
      <c r="J25" s="151" t="s">
        <v>694</v>
      </c>
      <c r="K25" s="152" t="s">
        <v>595</v>
      </c>
      <c r="L25" s="153" t="s">
        <v>668</v>
      </c>
      <c r="M25" s="153" t="s">
        <v>883</v>
      </c>
      <c r="N25" s="148"/>
      <c r="O25" s="154" t="s">
        <v>315</v>
      </c>
      <c r="Q25" s="154"/>
      <c r="R25" s="277"/>
    </row>
    <row r="26" spans="1:20" s="149" customFormat="1" x14ac:dyDescent="0.25">
      <c r="A26" s="274"/>
      <c r="C26" s="275"/>
      <c r="D26" s="275"/>
      <c r="E26" s="275"/>
      <c r="I26" s="160"/>
      <c r="J26" s="151" t="s">
        <v>695</v>
      </c>
      <c r="K26" s="152" t="s">
        <v>595</v>
      </c>
      <c r="L26" s="153" t="s">
        <v>668</v>
      </c>
      <c r="M26" s="153" t="s">
        <v>884</v>
      </c>
      <c r="N26" s="148"/>
      <c r="O26" s="154" t="s">
        <v>315</v>
      </c>
      <c r="Q26" s="154"/>
      <c r="R26" s="277"/>
    </row>
    <row r="27" spans="1:20" s="280" customFormat="1" x14ac:dyDescent="0.25">
      <c r="A27" s="279"/>
      <c r="C27" s="281"/>
      <c r="D27" s="281"/>
      <c r="E27" s="281"/>
      <c r="I27" s="160"/>
      <c r="J27" s="282" t="s">
        <v>696</v>
      </c>
      <c r="K27" s="283" t="s">
        <v>595</v>
      </c>
      <c r="L27" s="284" t="s">
        <v>668</v>
      </c>
      <c r="M27" s="284" t="s">
        <v>885</v>
      </c>
      <c r="N27" s="285"/>
      <c r="O27" s="286"/>
      <c r="Q27" s="286"/>
      <c r="R27" s="287"/>
    </row>
    <row r="28" spans="1:20" s="288" customFormat="1" x14ac:dyDescent="0.25">
      <c r="A28" s="668">
        <v>41221.716736111113</v>
      </c>
      <c r="B28" s="288" t="s">
        <v>610</v>
      </c>
      <c r="C28" s="289">
        <v>1271</v>
      </c>
      <c r="D28" s="536">
        <v>8</v>
      </c>
      <c r="E28" s="536">
        <v>19</v>
      </c>
      <c r="F28" s="288" t="s">
        <v>871</v>
      </c>
      <c r="G28" s="536">
        <v>10</v>
      </c>
      <c r="H28" s="288" t="s">
        <v>691</v>
      </c>
      <c r="I28" s="276" t="str">
        <f>B28</f>
        <v>Заказы</v>
      </c>
      <c r="J28" s="290" t="s">
        <v>697</v>
      </c>
      <c r="K28" s="291" t="s">
        <v>595</v>
      </c>
      <c r="L28" s="292" t="s">
        <v>668</v>
      </c>
      <c r="M28" s="292" t="s">
        <v>891</v>
      </c>
      <c r="N28" s="293">
        <v>41211.864074074074</v>
      </c>
      <c r="O28" s="288" t="s">
        <v>315</v>
      </c>
      <c r="P28" s="537">
        <v>2</v>
      </c>
      <c r="Q28" s="562" t="s">
        <v>874</v>
      </c>
      <c r="R28" s="149"/>
      <c r="S28" s="149"/>
      <c r="T28" s="288" t="s">
        <v>653</v>
      </c>
    </row>
    <row r="29" spans="1:20" s="149" customFormat="1" x14ac:dyDescent="0.25">
      <c r="A29" s="294"/>
      <c r="C29" s="275"/>
      <c r="J29" s="151" t="s">
        <v>698</v>
      </c>
      <c r="K29" s="152" t="s">
        <v>595</v>
      </c>
      <c r="L29" s="153" t="s">
        <v>668</v>
      </c>
      <c r="M29" s="153" t="s">
        <v>892</v>
      </c>
      <c r="N29" s="148"/>
      <c r="O29" s="149" t="s">
        <v>315</v>
      </c>
      <c r="P29" s="538">
        <v>2</v>
      </c>
    </row>
    <row r="30" spans="1:20" x14ac:dyDescent="0.25">
      <c r="A30" s="263"/>
      <c r="C30" s="269"/>
      <c r="H30" s="149"/>
      <c r="I30" s="149"/>
      <c r="J30" s="151" t="s">
        <v>65</v>
      </c>
      <c r="K30" s="152" t="s">
        <v>595</v>
      </c>
      <c r="L30" s="153" t="s">
        <v>668</v>
      </c>
      <c r="M30" s="153" t="s">
        <v>893</v>
      </c>
      <c r="N30" s="148"/>
      <c r="O30" t="s">
        <v>315</v>
      </c>
      <c r="P30" s="538">
        <v>2</v>
      </c>
    </row>
    <row r="31" spans="1:20" x14ac:dyDescent="0.25">
      <c r="A31" s="263"/>
      <c r="C31" s="269"/>
      <c r="H31" s="149"/>
      <c r="I31" s="149"/>
      <c r="J31" s="151" t="s">
        <v>1</v>
      </c>
      <c r="K31" s="152" t="s">
        <v>595</v>
      </c>
      <c r="L31" s="153" t="s">
        <v>668</v>
      </c>
      <c r="M31" s="153" t="s">
        <v>894</v>
      </c>
      <c r="N31" s="148"/>
      <c r="O31" t="s">
        <v>315</v>
      </c>
      <c r="P31" s="538">
        <v>2</v>
      </c>
    </row>
    <row r="32" spans="1:20" x14ac:dyDescent="0.25">
      <c r="A32" s="263"/>
      <c r="C32" s="269"/>
      <c r="H32" s="149"/>
      <c r="I32" s="149"/>
      <c r="J32" s="151" t="s">
        <v>699</v>
      </c>
      <c r="K32" s="152" t="s">
        <v>595</v>
      </c>
      <c r="L32" s="153" t="s">
        <v>668</v>
      </c>
      <c r="M32" s="153" t="s">
        <v>895</v>
      </c>
      <c r="N32" s="148"/>
      <c r="O32" t="s">
        <v>315</v>
      </c>
      <c r="P32" s="538">
        <v>2</v>
      </c>
    </row>
    <row r="33" spans="1:20" x14ac:dyDescent="0.25">
      <c r="A33" s="263"/>
      <c r="C33" s="269"/>
      <c r="H33" s="149"/>
      <c r="I33" s="149"/>
      <c r="J33" s="151" t="s">
        <v>700</v>
      </c>
      <c r="K33" s="152" t="s">
        <v>595</v>
      </c>
      <c r="L33" s="153" t="s">
        <v>668</v>
      </c>
      <c r="M33" s="153" t="s">
        <v>896</v>
      </c>
      <c r="N33" s="148"/>
      <c r="O33" t="s">
        <v>315</v>
      </c>
      <c r="P33" s="538">
        <v>2</v>
      </c>
    </row>
    <row r="34" spans="1:20" x14ac:dyDescent="0.25">
      <c r="A34" s="263"/>
      <c r="C34" s="269"/>
      <c r="H34" s="149"/>
      <c r="I34" s="149"/>
      <c r="J34" s="151" t="s">
        <v>701</v>
      </c>
      <c r="K34" s="295" t="s">
        <v>595</v>
      </c>
      <c r="L34" s="153" t="s">
        <v>668</v>
      </c>
      <c r="M34" s="153" t="s">
        <v>897</v>
      </c>
      <c r="N34" s="148"/>
      <c r="P34" s="539">
        <v>2</v>
      </c>
    </row>
    <row r="35" spans="1:20" s="136" customFormat="1" x14ac:dyDescent="0.25">
      <c r="A35" s="249"/>
      <c r="B35" s="136" t="s">
        <v>607</v>
      </c>
      <c r="C35" s="157" t="s">
        <v>609</v>
      </c>
      <c r="D35" s="157" t="s">
        <v>126</v>
      </c>
      <c r="E35" s="157"/>
      <c r="F35" s="457"/>
      <c r="H35" s="136" t="s">
        <v>615</v>
      </c>
      <c r="I35" s="273" t="s">
        <v>704</v>
      </c>
      <c r="J35" s="137" t="s">
        <v>702</v>
      </c>
      <c r="K35" s="152" t="s">
        <v>595</v>
      </c>
      <c r="L35" s="142">
        <v>3</v>
      </c>
      <c r="M35" s="142">
        <v>1</v>
      </c>
      <c r="N35" s="135"/>
      <c r="O35" s="146" t="s">
        <v>315</v>
      </c>
      <c r="Q35" s="146"/>
      <c r="R35" s="155"/>
      <c r="T35" s="136" t="s">
        <v>654</v>
      </c>
    </row>
    <row r="36" spans="1:20" x14ac:dyDescent="0.25">
      <c r="A36" s="250"/>
      <c r="I36" s="149"/>
      <c r="J36" s="151" t="s">
        <v>703</v>
      </c>
      <c r="K36" s="152" t="s">
        <v>595</v>
      </c>
      <c r="L36" s="153">
        <v>3</v>
      </c>
      <c r="M36" s="153">
        <v>3</v>
      </c>
      <c r="O36" t="s">
        <v>315</v>
      </c>
    </row>
    <row r="37" spans="1:20" x14ac:dyDescent="0.25">
      <c r="A37" s="250"/>
      <c r="I37" s="149"/>
      <c r="J37" s="151" t="s">
        <v>188</v>
      </c>
      <c r="K37" s="152" t="s">
        <v>595</v>
      </c>
      <c r="L37" s="153">
        <v>3</v>
      </c>
      <c r="M37" s="153">
        <v>9</v>
      </c>
      <c r="O37" t="s">
        <v>315</v>
      </c>
    </row>
    <row r="38" spans="1:20" s="297" customFormat="1" x14ac:dyDescent="0.25">
      <c r="A38" s="296"/>
      <c r="C38" s="298"/>
      <c r="J38" s="299" t="s">
        <v>369</v>
      </c>
      <c r="K38" s="295" t="s">
        <v>595</v>
      </c>
      <c r="L38" s="300">
        <v>3</v>
      </c>
      <c r="M38" s="300">
        <v>21</v>
      </c>
    </row>
    <row r="39" spans="1:20" s="149" customFormat="1" x14ac:dyDescent="0.25">
      <c r="A39" s="274">
        <v>0</v>
      </c>
      <c r="B39" s="149" t="s">
        <v>817</v>
      </c>
      <c r="C39" s="275">
        <v>1</v>
      </c>
      <c r="D39" s="275"/>
      <c r="E39" s="275"/>
      <c r="F39" s="149" t="s">
        <v>1559</v>
      </c>
      <c r="H39" s="149" t="s">
        <v>1238</v>
      </c>
      <c r="I39" s="644" t="s">
        <v>817</v>
      </c>
      <c r="J39" s="151"/>
      <c r="K39" s="152" t="s">
        <v>1240</v>
      </c>
      <c r="L39" s="153"/>
      <c r="M39" s="153"/>
      <c r="N39" s="148">
        <v>41222.057511574072</v>
      </c>
      <c r="O39" s="154"/>
      <c r="P39" s="149" t="s">
        <v>1232</v>
      </c>
      <c r="Q39" s="154"/>
      <c r="R39" s="277"/>
    </row>
    <row r="40" spans="1:20" s="149" customFormat="1" x14ac:dyDescent="0.25">
      <c r="A40" s="665">
        <v>41222.057500000003</v>
      </c>
      <c r="B40" s="149" t="s">
        <v>689</v>
      </c>
      <c r="C40" s="275">
        <v>1</v>
      </c>
      <c r="D40" s="275"/>
      <c r="E40" s="275"/>
      <c r="F40" s="149" t="s">
        <v>640</v>
      </c>
      <c r="H40" s="149" t="s">
        <v>1238</v>
      </c>
      <c r="I40" s="644" t="s">
        <v>689</v>
      </c>
      <c r="J40" s="151"/>
      <c r="K40" s="152" t="s">
        <v>1240</v>
      </c>
      <c r="L40" s="153"/>
      <c r="M40" s="153"/>
      <c r="N40" s="148">
        <v>41222.057476851849</v>
      </c>
      <c r="O40" s="154"/>
      <c r="P40" s="149" t="s">
        <v>1233</v>
      </c>
      <c r="Q40" s="154"/>
      <c r="R40" s="277"/>
    </row>
    <row r="41" spans="1:20" s="149" customFormat="1" x14ac:dyDescent="0.25">
      <c r="A41" s="665">
        <v>41222.057511574072</v>
      </c>
      <c r="B41" s="149" t="s">
        <v>828</v>
      </c>
      <c r="C41" s="275">
        <v>1</v>
      </c>
      <c r="D41" s="275"/>
      <c r="E41" s="275"/>
      <c r="F41" s="149" t="s">
        <v>688</v>
      </c>
      <c r="H41" s="149" t="s">
        <v>1238</v>
      </c>
      <c r="I41" s="644" t="s">
        <v>828</v>
      </c>
      <c r="J41" s="151"/>
      <c r="K41" s="152" t="s">
        <v>1240</v>
      </c>
      <c r="L41" s="153"/>
      <c r="M41" s="153"/>
      <c r="N41" s="148">
        <v>41222.057511574072</v>
      </c>
      <c r="O41" s="154"/>
      <c r="P41" s="149" t="s">
        <v>1235</v>
      </c>
      <c r="Q41" s="154"/>
      <c r="R41" s="277"/>
    </row>
    <row r="42" spans="1:20" s="149" customFormat="1" x14ac:dyDescent="0.25">
      <c r="A42" s="274"/>
      <c r="B42" s="149" t="s">
        <v>1229</v>
      </c>
      <c r="C42" s="275" t="s">
        <v>91</v>
      </c>
      <c r="D42" s="275"/>
      <c r="E42" s="275"/>
      <c r="H42" s="149" t="s">
        <v>1238</v>
      </c>
      <c r="I42" s="644" t="s">
        <v>1229</v>
      </c>
      <c r="J42" s="151"/>
      <c r="K42" s="152" t="s">
        <v>1240</v>
      </c>
      <c r="L42" s="153"/>
      <c r="M42" s="153"/>
      <c r="N42" s="148"/>
      <c r="O42" s="154"/>
      <c r="P42" s="654"/>
      <c r="Q42" s="655"/>
      <c r="R42" s="656"/>
      <c r="S42" s="654"/>
      <c r="T42" s="654"/>
    </row>
    <row r="43" spans="1:20" s="646" customFormat="1" x14ac:dyDescent="0.25">
      <c r="A43" s="666"/>
      <c r="B43" s="646" t="s">
        <v>1570</v>
      </c>
      <c r="C43" s="647" t="s">
        <v>1150</v>
      </c>
      <c r="D43" s="647"/>
      <c r="E43" s="647"/>
      <c r="H43" s="646" t="s">
        <v>1238</v>
      </c>
      <c r="I43" s="648" t="s">
        <v>1230</v>
      </c>
      <c r="J43" s="649"/>
      <c r="K43" s="650" t="s">
        <v>1240</v>
      </c>
      <c r="L43" s="651"/>
      <c r="M43" s="651"/>
      <c r="N43" s="652"/>
      <c r="O43" s="653"/>
      <c r="P43" s="657" t="s">
        <v>1575</v>
      </c>
      <c r="Q43" s="658"/>
      <c r="R43" s="659"/>
      <c r="S43" s="657"/>
      <c r="T43" s="657"/>
    </row>
    <row r="44" spans="1:20" s="297" customFormat="1" x14ac:dyDescent="0.25">
      <c r="A44" s="667"/>
      <c r="B44" s="297" t="s">
        <v>1228</v>
      </c>
      <c r="C44" s="641" t="s">
        <v>115</v>
      </c>
      <c r="D44" s="641"/>
      <c r="E44" s="641"/>
      <c r="H44" s="297" t="s">
        <v>1238</v>
      </c>
      <c r="I44" s="645" t="s">
        <v>1228</v>
      </c>
      <c r="J44" s="299"/>
      <c r="K44" s="295" t="s">
        <v>1240</v>
      </c>
      <c r="L44" s="300"/>
      <c r="M44" s="300"/>
      <c r="N44" s="642"/>
      <c r="O44" s="564"/>
      <c r="P44" s="297" t="s">
        <v>1236</v>
      </c>
      <c r="Q44" s="564"/>
      <c r="R44" s="643"/>
    </row>
    <row r="45" spans="1:20" x14ac:dyDescent="0.25">
      <c r="A45" s="25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row r="14393" spans="1:1" x14ac:dyDescent="0.25">
      <c r="A14393" s="250"/>
    </row>
    <row r="14394" spans="1:1" x14ac:dyDescent="0.25">
      <c r="A14394"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AC106"/>
  <sheetViews>
    <sheetView topLeftCell="A32" zoomScale="85" zoomScaleNormal="85" workbookViewId="0">
      <selection activeCell="B6" sqref="B6"/>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7.140625" bestFit="1" customWidth="1"/>
    <col min="15" max="15" width="2" bestFit="1" customWidth="1"/>
    <col min="20" max="20" width="13" customWidth="1"/>
  </cols>
  <sheetData>
    <row r="1" spans="1:29" ht="19.5" customHeight="1" thickBot="1" x14ac:dyDescent="0.35">
      <c r="A1" s="126">
        <v>41222.120081018518</v>
      </c>
      <c r="C1" s="125" t="s">
        <v>622</v>
      </c>
      <c r="D1" s="125"/>
      <c r="G1" s="459"/>
      <c r="H1" s="459"/>
      <c r="I1" s="459"/>
    </row>
    <row r="2" spans="1:29" ht="15" customHeight="1" thickBot="1" x14ac:dyDescent="0.35">
      <c r="B2" s="125"/>
    </row>
    <row r="3" spans="1:29" ht="15.75" customHeight="1" x14ac:dyDescent="0.25">
      <c r="E3" s="719" t="s">
        <v>626</v>
      </c>
      <c r="F3" s="721" t="s">
        <v>627</v>
      </c>
      <c r="G3" s="722"/>
      <c r="H3" s="722"/>
      <c r="I3" s="722"/>
      <c r="J3" s="723"/>
      <c r="K3" s="721" t="s">
        <v>628</v>
      </c>
      <c r="L3" s="722"/>
      <c r="M3" s="722"/>
      <c r="N3" s="722"/>
      <c r="O3" s="723"/>
    </row>
    <row r="4" spans="1:29" s="123" customFormat="1" ht="15.75" thickBot="1" x14ac:dyDescent="0.3">
      <c r="B4" s="158" t="s">
        <v>623</v>
      </c>
      <c r="C4" s="123" t="s">
        <v>624</v>
      </c>
      <c r="E4" s="720"/>
      <c r="F4" s="179">
        <v>1</v>
      </c>
      <c r="G4" s="180" t="s">
        <v>94</v>
      </c>
      <c r="H4" s="180" t="s">
        <v>92</v>
      </c>
      <c r="I4" s="180" t="s">
        <v>41</v>
      </c>
      <c r="J4" s="181" t="s">
        <v>91</v>
      </c>
      <c r="K4" s="179">
        <v>1</v>
      </c>
      <c r="L4" s="180" t="s">
        <v>94</v>
      </c>
      <c r="M4" s="180" t="s">
        <v>92</v>
      </c>
      <c r="N4" s="180" t="s">
        <v>41</v>
      </c>
      <c r="O4" s="181" t="s">
        <v>91</v>
      </c>
      <c r="T4"/>
      <c r="U4"/>
      <c r="V4"/>
      <c r="W4"/>
      <c r="X4"/>
      <c r="Y4"/>
      <c r="Z4"/>
      <c r="AA4"/>
      <c r="AB4"/>
      <c r="AC4"/>
    </row>
    <row r="5" spans="1:29" s="123" customFormat="1" x14ac:dyDescent="0.25">
      <c r="A5" s="182"/>
      <c r="B5" s="183" t="s">
        <v>612</v>
      </c>
      <c r="C5" s="182"/>
      <c r="D5" s="182"/>
      <c r="E5" s="193"/>
      <c r="F5" s="184"/>
      <c r="G5" s="185"/>
      <c r="H5" s="185"/>
      <c r="I5" s="185"/>
      <c r="J5" s="186"/>
      <c r="K5" s="184"/>
      <c r="L5" s="185"/>
      <c r="M5" s="185"/>
      <c r="N5" s="185"/>
      <c r="O5" s="186"/>
      <c r="T5"/>
      <c r="U5"/>
      <c r="V5"/>
      <c r="W5"/>
      <c r="X5"/>
      <c r="Y5"/>
      <c r="Z5"/>
      <c r="AA5"/>
      <c r="AB5"/>
      <c r="AC5"/>
    </row>
    <row r="6" spans="1:29" s="173" customFormat="1" x14ac:dyDescent="0.25">
      <c r="A6" s="482"/>
      <c r="B6" s="483" t="s">
        <v>632</v>
      </c>
      <c r="C6" s="482"/>
      <c r="E6" s="190"/>
      <c r="F6" s="189" t="s">
        <v>646</v>
      </c>
      <c r="G6" s="174"/>
      <c r="H6" s="174"/>
      <c r="I6" s="174"/>
      <c r="J6" s="175"/>
      <c r="K6" s="188" t="s">
        <v>569</v>
      </c>
      <c r="L6" s="174"/>
      <c r="M6" s="174"/>
      <c r="N6" s="174"/>
      <c r="O6" s="175"/>
      <c r="T6"/>
      <c r="U6"/>
      <c r="V6"/>
      <c r="W6"/>
      <c r="X6"/>
      <c r="Y6"/>
      <c r="Z6"/>
      <c r="AA6"/>
      <c r="AB6"/>
      <c r="AC6"/>
    </row>
    <row r="7" spans="1:29" s="173" customFormat="1" outlineLevel="1" x14ac:dyDescent="0.25">
      <c r="A7" s="264">
        <v>41222.119745370372</v>
      </c>
      <c r="B7" s="265" t="s">
        <v>614</v>
      </c>
      <c r="C7" s="302" t="s">
        <v>612</v>
      </c>
      <c r="D7" s="196"/>
      <c r="E7" s="197" t="s">
        <v>70</v>
      </c>
      <c r="F7" s="427" t="s">
        <v>782</v>
      </c>
      <c r="G7" s="428" t="s">
        <v>783</v>
      </c>
      <c r="H7" s="198"/>
      <c r="I7" s="198"/>
      <c r="J7" s="199"/>
      <c r="K7" s="200" t="str">
        <f>K6</f>
        <v>Платежи</v>
      </c>
      <c r="O7" s="199"/>
      <c r="T7"/>
      <c r="U7"/>
      <c r="V7"/>
      <c r="W7"/>
      <c r="X7"/>
      <c r="Y7"/>
      <c r="Z7"/>
      <c r="AA7"/>
      <c r="AB7"/>
      <c r="AC7"/>
    </row>
    <row r="8" spans="1:29" s="173" customFormat="1" outlineLevel="1" x14ac:dyDescent="0.25">
      <c r="A8" s="264">
        <v>41222.11996527778</v>
      </c>
      <c r="B8" s="265" t="s">
        <v>791</v>
      </c>
      <c r="C8" s="302" t="str">
        <f>B7</f>
        <v>InsMyCol</v>
      </c>
      <c r="D8" s="196"/>
      <c r="E8" s="197" t="s">
        <v>70</v>
      </c>
      <c r="F8" s="427" t="str">
        <f>F7</f>
        <v>HDR_1C_Payment_MyCol</v>
      </c>
      <c r="G8" s="428"/>
      <c r="H8" s="198"/>
      <c r="I8" s="198"/>
      <c r="J8" s="199"/>
      <c r="K8" s="200" t="str">
        <f>K6</f>
        <v>Платежи</v>
      </c>
      <c r="L8" s="301" t="str">
        <f>TOCmatch!B$17</f>
        <v>SFacc</v>
      </c>
      <c r="M8" s="301" t="str">
        <f>TOCmatch!B$14</f>
        <v>SF</v>
      </c>
      <c r="N8" s="301" t="str">
        <f>TOCmatch!B$20</f>
        <v>SF_PA</v>
      </c>
      <c r="O8" s="199"/>
      <c r="T8"/>
      <c r="U8"/>
      <c r="V8"/>
      <c r="W8"/>
      <c r="X8"/>
      <c r="Y8"/>
      <c r="Z8"/>
      <c r="AA8"/>
      <c r="AB8"/>
      <c r="AC8"/>
    </row>
    <row r="9" spans="1:29" s="173" customFormat="1" outlineLevel="1" x14ac:dyDescent="0.25">
      <c r="A9" s="264">
        <v>41222.119976851849</v>
      </c>
      <c r="B9" s="265" t="s">
        <v>625</v>
      </c>
      <c r="C9" s="302" t="str">
        <f t="shared" ref="C9:C10" si="0">B8</f>
        <v>Adapt</v>
      </c>
      <c r="D9" s="196"/>
      <c r="E9" s="197" t="s">
        <v>70</v>
      </c>
      <c r="F9" s="200" t="str">
        <f>K6</f>
        <v>Платежи</v>
      </c>
      <c r="G9" s="221" t="s">
        <v>112</v>
      </c>
      <c r="H9" s="198"/>
      <c r="I9" s="198"/>
      <c r="J9" s="199"/>
      <c r="K9" s="200" t="str">
        <f>K6</f>
        <v>Платежи</v>
      </c>
      <c r="L9" s="201"/>
      <c r="M9" s="198"/>
      <c r="N9" s="201"/>
      <c r="O9" s="199"/>
      <c r="T9"/>
      <c r="U9"/>
      <c r="V9"/>
      <c r="W9"/>
      <c r="X9"/>
      <c r="Y9"/>
      <c r="Z9"/>
      <c r="AA9"/>
      <c r="AB9"/>
      <c r="AC9"/>
    </row>
    <row r="10" spans="1:29" s="174" customFormat="1" outlineLevel="1" x14ac:dyDescent="0.25">
      <c r="A10" s="682">
        <v>41222.120034722226</v>
      </c>
      <c r="B10" s="460" t="s">
        <v>637</v>
      </c>
      <c r="C10" s="302" t="str">
        <f t="shared" si="0"/>
        <v>DateSort</v>
      </c>
      <c r="D10" s="5"/>
      <c r="E10" s="203" t="s">
        <v>70</v>
      </c>
      <c r="F10" s="214"/>
      <c r="G10" s="198"/>
      <c r="H10" s="198"/>
      <c r="I10" s="198"/>
      <c r="J10" s="199"/>
      <c r="K10" s="200" t="str">
        <f>K6</f>
        <v>Платежи</v>
      </c>
      <c r="L10" s="201"/>
      <c r="M10" s="198"/>
      <c r="N10" s="201"/>
      <c r="O10" s="199"/>
      <c r="T10"/>
      <c r="U10"/>
      <c r="V10"/>
      <c r="W10"/>
      <c r="X10"/>
      <c r="Y10"/>
      <c r="Z10"/>
      <c r="AA10"/>
      <c r="AB10"/>
      <c r="AC10"/>
    </row>
    <row r="11" spans="1:29" outlineLevel="1" x14ac:dyDescent="0.25">
      <c r="A11" s="264">
        <v>41222.120081018518</v>
      </c>
      <c r="B11" s="265" t="s">
        <v>663</v>
      </c>
      <c r="C11" s="484" t="str">
        <f>B10</f>
        <v>PaymentPaint</v>
      </c>
      <c r="D11" s="5"/>
      <c r="E11" s="218" t="s">
        <v>70</v>
      </c>
      <c r="F11" s="200"/>
      <c r="G11" s="201"/>
      <c r="H11" s="215"/>
      <c r="I11" s="215"/>
      <c r="J11" s="216"/>
      <c r="K11" s="200" t="str">
        <f>K6</f>
        <v>Платежи</v>
      </c>
      <c r="L11" s="201"/>
      <c r="M11" s="201"/>
      <c r="N11" s="201"/>
      <c r="O11" s="216"/>
    </row>
    <row r="12" spans="1:29" s="187" customFormat="1" outlineLevel="1" x14ac:dyDescent="0.25">
      <c r="A12" s="683"/>
      <c r="B12" s="684" t="s">
        <v>633</v>
      </c>
      <c r="C12" s="237"/>
      <c r="D12" s="205"/>
      <c r="E12" s="206"/>
      <c r="F12" s="207"/>
      <c r="G12" s="208"/>
      <c r="H12" s="208"/>
      <c r="I12" s="208"/>
      <c r="J12" s="209"/>
      <c r="K12" s="210"/>
      <c r="L12" s="211"/>
      <c r="M12" s="208"/>
      <c r="N12" s="211"/>
      <c r="O12" s="209"/>
    </row>
    <row r="13" spans="1:29" s="173" customFormat="1" x14ac:dyDescent="0.25">
      <c r="A13" s="468"/>
      <c r="B13" s="469" t="s">
        <v>632</v>
      </c>
      <c r="C13" s="470"/>
      <c r="D13" s="471"/>
      <c r="E13" s="472" t="s">
        <v>201</v>
      </c>
      <c r="F13" s="473" t="s">
        <v>647</v>
      </c>
      <c r="G13" s="471"/>
      <c r="H13" s="471"/>
      <c r="I13" s="471"/>
      <c r="J13" s="474"/>
      <c r="K13" s="475" t="str">
        <f>TOCmatch!B10</f>
        <v>Договоры</v>
      </c>
      <c r="L13" s="476"/>
      <c r="M13" s="471"/>
      <c r="N13" s="476"/>
      <c r="O13" s="474"/>
    </row>
    <row r="14" spans="1:29" s="149" customFormat="1" hidden="1" outlineLevel="1" x14ac:dyDescent="0.25">
      <c r="A14" s="264">
        <v>41221.564120370371</v>
      </c>
      <c r="B14" s="265" t="s">
        <v>614</v>
      </c>
      <c r="C14" s="302" t="s">
        <v>612</v>
      </c>
      <c r="D14" s="196"/>
      <c r="E14" s="197" t="s">
        <v>70</v>
      </c>
      <c r="F14" s="427" t="s">
        <v>789</v>
      </c>
      <c r="G14" s="428" t="s">
        <v>790</v>
      </c>
      <c r="H14" s="198"/>
      <c r="I14" s="198"/>
      <c r="J14" s="216"/>
      <c r="K14" s="200" t="str">
        <f>TOCmatch!B10</f>
        <v>Договоры</v>
      </c>
      <c r="N14" s="215"/>
      <c r="O14" s="216"/>
    </row>
    <row r="15" spans="1:29" s="149" customFormat="1" hidden="1" outlineLevel="1" x14ac:dyDescent="0.25">
      <c r="A15" s="264">
        <v>41222.02752314815</v>
      </c>
      <c r="B15" s="265" t="s">
        <v>791</v>
      </c>
      <c r="C15" s="302" t="str">
        <f>B14</f>
        <v>InsMyCol</v>
      </c>
      <c r="D15" s="196"/>
      <c r="E15" s="197" t="s">
        <v>70</v>
      </c>
      <c r="F15" s="427" t="str">
        <f>F14</f>
        <v>HDR_1C_Contract_MyCol</v>
      </c>
      <c r="J15" s="216"/>
      <c r="K15" s="200" t="str">
        <f>K13</f>
        <v>Договоры</v>
      </c>
      <c r="L15" s="301" t="str">
        <f>TOCmatch!B$17</f>
        <v>SFacc</v>
      </c>
      <c r="M15" s="301" t="str">
        <f>TOCmatch!B$15</f>
        <v>SFD</v>
      </c>
      <c r="N15" s="215"/>
      <c r="O15" s="216"/>
    </row>
    <row r="16" spans="1:29" s="149" customFormat="1" hidden="1" outlineLevel="1" x14ac:dyDescent="0.25">
      <c r="A16" s="682">
        <v>41222.027581018519</v>
      </c>
      <c r="B16" s="265" t="s">
        <v>625</v>
      </c>
      <c r="C16" s="302" t="str">
        <f>B15</f>
        <v>Adapt</v>
      </c>
      <c r="D16" s="196"/>
      <c r="E16" s="197" t="s">
        <v>70</v>
      </c>
      <c r="F16" s="271" t="s">
        <v>574</v>
      </c>
      <c r="G16" s="221" t="s">
        <v>132</v>
      </c>
      <c r="H16" s="215"/>
      <c r="I16" s="215"/>
      <c r="J16" s="216"/>
      <c r="K16" s="200" t="str">
        <f>TOCmatch!B10</f>
        <v>Договоры</v>
      </c>
      <c r="L16" s="215"/>
      <c r="M16" s="215"/>
      <c r="N16" s="215"/>
      <c r="O16" s="216"/>
    </row>
    <row r="17" spans="1:19" s="149" customFormat="1" hidden="1" outlineLevel="1" x14ac:dyDescent="0.25">
      <c r="A17" s="682">
        <v>41222.027581018519</v>
      </c>
      <c r="B17" s="460" t="s">
        <v>629</v>
      </c>
      <c r="C17" s="302" t="str">
        <f>B16</f>
        <v>DateSort</v>
      </c>
      <c r="D17" s="5"/>
      <c r="E17" s="219" t="s">
        <v>70</v>
      </c>
      <c r="F17" s="272"/>
      <c r="G17" s="215"/>
      <c r="H17" s="215"/>
      <c r="I17" s="215"/>
      <c r="J17" s="216"/>
      <c r="K17" s="200" t="str">
        <f>TOCmatch!B10</f>
        <v>Договоры</v>
      </c>
      <c r="L17" s="301" t="str">
        <f>TOCmatch!B15</f>
        <v>SFD</v>
      </c>
      <c r="N17" s="215"/>
      <c r="O17" s="216"/>
    </row>
    <row r="18" spans="1:19" hidden="1" outlineLevel="1" x14ac:dyDescent="0.25">
      <c r="A18" s="264">
        <v>41222.027592592596</v>
      </c>
      <c r="B18" s="265" t="s">
        <v>663</v>
      </c>
      <c r="C18" s="302" t="str">
        <f>B17</f>
        <v>ContractPaint</v>
      </c>
      <c r="D18" s="5"/>
      <c r="E18" s="218" t="s">
        <v>70</v>
      </c>
      <c r="F18" s="271"/>
      <c r="G18" s="201"/>
      <c r="H18" s="215"/>
      <c r="I18" s="215"/>
      <c r="J18" s="216"/>
      <c r="K18" s="200" t="str">
        <f>K13</f>
        <v>Договоры</v>
      </c>
      <c r="L18" s="201"/>
      <c r="M18" s="201"/>
      <c r="N18" s="301" t="str">
        <f>TOCmatch!B17</f>
        <v>SFacc</v>
      </c>
      <c r="O18" s="216"/>
    </row>
    <row r="19" spans="1:19" s="187" customFormat="1" hidden="1" outlineLevel="1" x14ac:dyDescent="0.25">
      <c r="A19" s="683"/>
      <c r="B19" s="684" t="s">
        <v>633</v>
      </c>
      <c r="C19" s="237"/>
      <c r="D19" s="205"/>
      <c r="E19" s="206"/>
      <c r="F19" s="207"/>
      <c r="G19" s="208"/>
      <c r="H19" s="208"/>
      <c r="I19" s="208"/>
      <c r="J19" s="209"/>
      <c r="K19" s="210"/>
      <c r="L19" s="211"/>
      <c r="M19" s="208"/>
      <c r="N19" s="211"/>
      <c r="O19" s="209"/>
    </row>
    <row r="20" spans="1:19" s="173" customFormat="1" ht="15.75" collapsed="1" thickBot="1" x14ac:dyDescent="0.3">
      <c r="A20" s="264"/>
      <c r="B20" s="265" t="s">
        <v>632</v>
      </c>
      <c r="C20" s="266"/>
      <c r="D20" s="212"/>
      <c r="E20" s="197"/>
      <c r="F20" s="220" t="s">
        <v>648</v>
      </c>
      <c r="G20" s="198"/>
      <c r="H20" s="198"/>
      <c r="I20" s="198"/>
      <c r="J20" s="199"/>
      <c r="K20" s="200" t="str">
        <f>TOCmatch!B12</f>
        <v>Список клиентов 1C</v>
      </c>
      <c r="L20" s="201"/>
      <c r="M20" s="198"/>
      <c r="N20" s="201"/>
      <c r="O20" s="199"/>
    </row>
    <row r="21" spans="1:19" s="173" customFormat="1" hidden="1" outlineLevel="1" x14ac:dyDescent="0.25">
      <c r="A21" s="264">
        <v>41221.592488425929</v>
      </c>
      <c r="B21" s="265" t="s">
        <v>662</v>
      </c>
      <c r="C21" s="302" t="s">
        <v>612</v>
      </c>
      <c r="D21" s="5"/>
      <c r="E21" s="197" t="s">
        <v>70</v>
      </c>
      <c r="F21" s="271"/>
      <c r="G21" s="221"/>
      <c r="H21" s="198"/>
      <c r="I21" s="198"/>
      <c r="J21" s="199"/>
      <c r="K21" s="200" t="str">
        <f>K20</f>
        <v>Список клиентов 1C</v>
      </c>
      <c r="L21" s="201"/>
      <c r="M21" s="198"/>
      <c r="N21" s="201"/>
      <c r="O21" s="199"/>
    </row>
    <row r="22" spans="1:19" s="149" customFormat="1" hidden="1" outlineLevel="1" x14ac:dyDescent="0.25">
      <c r="A22" s="264">
        <v>41221.592511574076</v>
      </c>
      <c r="B22" s="265" t="s">
        <v>614</v>
      </c>
      <c r="C22" s="676" t="str">
        <f>B21</f>
        <v>Acc1C_Bottom</v>
      </c>
      <c r="D22" s="196"/>
      <c r="E22" s="197" t="s">
        <v>70</v>
      </c>
      <c r="F22" s="200" t="s">
        <v>669</v>
      </c>
      <c r="G22" s="201"/>
      <c r="H22" s="198"/>
      <c r="I22" s="198"/>
      <c r="J22" s="216"/>
      <c r="K22" s="200" t="str">
        <f>K20</f>
        <v>Список клиентов 1C</v>
      </c>
      <c r="L22" s="215"/>
      <c r="M22" s="215"/>
      <c r="O22" s="216"/>
      <c r="S22" s="173"/>
    </row>
    <row r="23" spans="1:19" s="149" customFormat="1" hidden="1" outlineLevel="1" x14ac:dyDescent="0.25">
      <c r="A23" s="264">
        <v>41222.028657407405</v>
      </c>
      <c r="B23" s="265" t="s">
        <v>791</v>
      </c>
      <c r="C23" s="676" t="str">
        <f t="shared" ref="C23:C24" si="1">B22</f>
        <v>InsMyCol</v>
      </c>
      <c r="D23" s="196"/>
      <c r="E23" s="197" t="s">
        <v>70</v>
      </c>
      <c r="F23" s="200" t="str">
        <f>F22</f>
        <v>Acc1C_MyCol</v>
      </c>
      <c r="G23" s="201"/>
      <c r="H23" s="198"/>
      <c r="I23" s="198"/>
      <c r="J23" s="216"/>
      <c r="K23" s="200" t="str">
        <f>K20</f>
        <v>Список клиентов 1C</v>
      </c>
      <c r="L23" s="215"/>
      <c r="M23" s="215"/>
      <c r="N23" s="301" t="str">
        <f>TOCmatch!B$17</f>
        <v>SFacc</v>
      </c>
      <c r="O23" s="216"/>
      <c r="S23" s="173"/>
    </row>
    <row r="24" spans="1:19" hidden="1" outlineLevel="1" x14ac:dyDescent="0.25">
      <c r="A24" s="264">
        <v>41222.028668981482</v>
      </c>
      <c r="B24" s="265" t="s">
        <v>663</v>
      </c>
      <c r="C24" s="676" t="str">
        <f t="shared" si="1"/>
        <v>Adapt</v>
      </c>
      <c r="D24" s="5"/>
      <c r="E24" s="218" t="s">
        <v>70</v>
      </c>
      <c r="F24" s="200"/>
      <c r="G24" s="201"/>
      <c r="H24" s="215"/>
      <c r="I24" s="215"/>
      <c r="J24" s="216"/>
      <c r="K24" s="200" t="str">
        <f>K20</f>
        <v>Список клиентов 1C</v>
      </c>
      <c r="L24" s="201"/>
      <c r="M24" s="201"/>
      <c r="N24" s="301" t="str">
        <f>TOCmatch!B17</f>
        <v>SFacc</v>
      </c>
      <c r="O24" s="216"/>
      <c r="S24" s="173"/>
    </row>
    <row r="25" spans="1:19" s="247" customFormat="1" ht="15.75" hidden="1" outlineLevel="1" thickBot="1" x14ac:dyDescent="0.3">
      <c r="A25" s="713"/>
      <c r="B25" s="714" t="s">
        <v>633</v>
      </c>
      <c r="C25" s="560"/>
      <c r="D25" s="240"/>
      <c r="E25" s="241"/>
      <c r="F25" s="242"/>
      <c r="G25" s="243"/>
      <c r="H25" s="243"/>
      <c r="I25" s="243"/>
      <c r="J25" s="244"/>
      <c r="K25" s="245"/>
      <c r="L25" s="246"/>
      <c r="M25" s="243"/>
      <c r="N25" s="246"/>
      <c r="O25" s="244"/>
    </row>
    <row r="26" spans="1:19" s="173" customFormat="1" ht="15.75" collapsed="1" thickTop="1" x14ac:dyDescent="0.25">
      <c r="A26" s="477"/>
      <c r="B26" s="478" t="s">
        <v>632</v>
      </c>
      <c r="C26" s="479"/>
      <c r="D26" s="309"/>
      <c r="E26" s="310" t="s">
        <v>201</v>
      </c>
      <c r="F26" s="311" t="s">
        <v>649</v>
      </c>
      <c r="G26" s="309"/>
      <c r="H26" s="309"/>
      <c r="I26" s="309"/>
      <c r="J26" s="312"/>
      <c r="K26" s="313" t="s">
        <v>576</v>
      </c>
      <c r="L26" s="314"/>
      <c r="M26" s="309"/>
      <c r="N26" s="314"/>
      <c r="O26" s="312"/>
    </row>
    <row r="27" spans="1:19" hidden="1" outlineLevel="1" x14ac:dyDescent="0.25">
      <c r="A27" s="264">
        <v>41221.594189814816</v>
      </c>
      <c r="B27" s="265" t="s">
        <v>614</v>
      </c>
      <c r="C27" s="302" t="s">
        <v>612</v>
      </c>
      <c r="D27" s="196"/>
      <c r="E27" s="197" t="s">
        <v>70</v>
      </c>
      <c r="F27" s="200" t="s">
        <v>630</v>
      </c>
      <c r="G27" s="201" t="s">
        <v>631</v>
      </c>
      <c r="H27" s="215"/>
      <c r="I27" s="215"/>
      <c r="J27" s="222"/>
      <c r="K27" s="223" t="s">
        <v>576</v>
      </c>
      <c r="L27" s="215"/>
      <c r="M27" s="215"/>
      <c r="N27" s="215"/>
      <c r="O27" s="222"/>
      <c r="S27" s="173"/>
    </row>
    <row r="28" spans="1:19" ht="45" hidden="1" outlineLevel="1" x14ac:dyDescent="0.25">
      <c r="A28" s="195">
        <v>41221.594236111108</v>
      </c>
      <c r="B28" s="196" t="s">
        <v>634</v>
      </c>
      <c r="C28" s="235" t="s">
        <v>657</v>
      </c>
      <c r="D28" s="215"/>
      <c r="E28" s="218" t="s">
        <v>201</v>
      </c>
      <c r="F28" s="214"/>
      <c r="G28" s="201"/>
      <c r="H28" s="215"/>
      <c r="I28" s="215"/>
      <c r="J28" s="222"/>
      <c r="K28" s="223" t="s">
        <v>576</v>
      </c>
      <c r="L28" s="215" t="str">
        <f>TOCmatch!B8</f>
        <v>Платежи</v>
      </c>
      <c r="M28" s="215"/>
      <c r="N28" s="215"/>
      <c r="O28" s="222"/>
      <c r="S28" s="173"/>
    </row>
    <row r="29" spans="1:19" hidden="1" outlineLevel="1" x14ac:dyDescent="0.25">
      <c r="A29" s="264">
        <v>41221.594247685185</v>
      </c>
      <c r="B29" s="265" t="s">
        <v>625</v>
      </c>
      <c r="C29" s="302"/>
      <c r="D29" s="196"/>
      <c r="E29" s="197" t="s">
        <v>70</v>
      </c>
      <c r="F29" s="220" t="str">
        <f>K29</f>
        <v>SF</v>
      </c>
      <c r="G29" s="221" t="s">
        <v>91</v>
      </c>
      <c r="H29" s="215"/>
      <c r="I29" s="215"/>
      <c r="J29" s="216"/>
      <c r="K29" s="200" t="s">
        <v>576</v>
      </c>
      <c r="L29" s="215"/>
      <c r="M29" s="215"/>
      <c r="N29" s="215"/>
      <c r="O29" s="216"/>
      <c r="S29" s="173"/>
    </row>
    <row r="30" spans="1:19" hidden="1" outlineLevel="1" x14ac:dyDescent="0.25">
      <c r="A30" s="195">
        <v>41221.595254629632</v>
      </c>
      <c r="B30" s="202" t="s">
        <v>671</v>
      </c>
      <c r="C30" s="235" t="s">
        <v>634</v>
      </c>
      <c r="D30" s="5"/>
      <c r="E30" s="218" t="s">
        <v>201</v>
      </c>
      <c r="F30" s="200" t="str">
        <f>F6</f>
        <v>LOAD_1C_P</v>
      </c>
      <c r="G30" s="201"/>
      <c r="H30" s="215"/>
      <c r="I30" s="215"/>
      <c r="J30" s="222"/>
      <c r="K30" s="223" t="s">
        <v>569</v>
      </c>
      <c r="L30" s="215"/>
      <c r="M30" s="215"/>
      <c r="N30" s="215"/>
      <c r="O30" s="222"/>
      <c r="S30" s="173"/>
    </row>
    <row r="31" spans="1:19" s="187" customFormat="1" hidden="1" outlineLevel="1" x14ac:dyDescent="0.25">
      <c r="A31" s="204"/>
      <c r="B31" s="205" t="s">
        <v>633</v>
      </c>
      <c r="C31" s="237"/>
      <c r="D31" s="205"/>
      <c r="E31" s="206" t="s">
        <v>201</v>
      </c>
      <c r="F31" s="207"/>
      <c r="G31" s="208"/>
      <c r="H31" s="208"/>
      <c r="I31" s="208"/>
      <c r="J31" s="209"/>
      <c r="K31" s="210" t="s">
        <v>576</v>
      </c>
      <c r="L31" s="211"/>
      <c r="M31" s="208"/>
      <c r="N31" s="211"/>
      <c r="O31" s="209"/>
    </row>
    <row r="32" spans="1:19" s="173" customFormat="1" collapsed="1" x14ac:dyDescent="0.25">
      <c r="A32" s="685"/>
      <c r="B32" s="686" t="s">
        <v>632</v>
      </c>
      <c r="C32" s="687"/>
      <c r="D32" s="303"/>
      <c r="E32" s="304" t="s">
        <v>201</v>
      </c>
      <c r="F32" s="305" t="s">
        <v>650</v>
      </c>
      <c r="G32" s="303"/>
      <c r="H32" s="303"/>
      <c r="I32" s="303"/>
      <c r="J32" s="306"/>
      <c r="K32" s="307" t="s">
        <v>579</v>
      </c>
      <c r="L32" s="308"/>
      <c r="M32" s="303"/>
      <c r="N32" s="308"/>
      <c r="O32" s="306"/>
    </row>
    <row r="33" spans="1:21" hidden="1" outlineLevel="1" x14ac:dyDescent="0.25">
      <c r="A33" s="264">
        <v>41222.026921296296</v>
      </c>
      <c r="B33" s="265" t="s">
        <v>614</v>
      </c>
      <c r="C33" s="302" t="s">
        <v>612</v>
      </c>
      <c r="D33" s="196"/>
      <c r="E33" s="197" t="s">
        <v>70</v>
      </c>
      <c r="F33" s="200" t="s">
        <v>658</v>
      </c>
      <c r="G33" s="201" t="s">
        <v>659</v>
      </c>
      <c r="H33" s="215"/>
      <c r="I33" s="215"/>
      <c r="J33" s="222"/>
      <c r="K33" s="223" t="s">
        <v>579</v>
      </c>
      <c r="M33" s="215"/>
      <c r="N33" s="215"/>
      <c r="O33" s="222"/>
      <c r="S33" s="173"/>
    </row>
    <row r="34" spans="1:21" hidden="1" outlineLevel="1" x14ac:dyDescent="0.25">
      <c r="A34" s="264">
        <v>41222.027268518519</v>
      </c>
      <c r="B34" s="265" t="s">
        <v>791</v>
      </c>
      <c r="C34" s="302" t="str">
        <f>B33</f>
        <v>InsMyCol</v>
      </c>
      <c r="D34" s="196"/>
      <c r="E34" s="197" t="s">
        <v>70</v>
      </c>
      <c r="F34" s="200" t="str">
        <f>F33</f>
        <v xml:space="preserve"> SFD_MyCol</v>
      </c>
      <c r="G34" s="201"/>
      <c r="H34" s="215"/>
      <c r="I34" s="215"/>
      <c r="J34" s="222"/>
      <c r="K34" s="223" t="s">
        <v>579</v>
      </c>
      <c r="L34" s="5" t="str">
        <f>TOCmatch!B$10</f>
        <v>Договоры</v>
      </c>
      <c r="M34" s="215"/>
      <c r="N34" s="215"/>
      <c r="O34" s="222"/>
      <c r="S34" s="173"/>
    </row>
    <row r="35" spans="1:21" hidden="1" outlineLevel="1" x14ac:dyDescent="0.25">
      <c r="A35" s="264">
        <v>41222.027314814812</v>
      </c>
      <c r="B35" s="265" t="s">
        <v>625</v>
      </c>
      <c r="C35" s="302" t="str">
        <f>B34</f>
        <v>Adapt</v>
      </c>
      <c r="D35" s="196"/>
      <c r="E35" s="197" t="s">
        <v>70</v>
      </c>
      <c r="F35" s="220" t="str">
        <f>K35</f>
        <v>SFD</v>
      </c>
      <c r="G35" s="221" t="s">
        <v>128</v>
      </c>
      <c r="H35" s="215"/>
      <c r="I35" s="215"/>
      <c r="J35" s="216"/>
      <c r="K35" s="223" t="s">
        <v>579</v>
      </c>
      <c r="L35" s="215"/>
      <c r="M35" s="215"/>
      <c r="N35" s="215"/>
      <c r="O35" s="216"/>
    </row>
    <row r="36" spans="1:21" hidden="1" outlineLevel="1" x14ac:dyDescent="0.25">
      <c r="A36" s="264">
        <v>41222.027592592596</v>
      </c>
      <c r="B36" s="460" t="s">
        <v>671</v>
      </c>
      <c r="C36" s="676" t="str">
        <f>B35</f>
        <v>DateSort</v>
      </c>
      <c r="D36" s="5"/>
      <c r="E36" s="218" t="s">
        <v>70</v>
      </c>
      <c r="F36" s="200" t="str">
        <f>F13</f>
        <v>LOAD_1C_DOG</v>
      </c>
      <c r="G36" s="201"/>
      <c r="H36" s="215"/>
      <c r="I36" s="215"/>
      <c r="J36" s="222"/>
      <c r="K36" s="223" t="s">
        <v>574</v>
      </c>
      <c r="L36" s="215"/>
      <c r="M36" s="215"/>
      <c r="N36" s="215"/>
      <c r="O36" s="222"/>
    </row>
    <row r="37" spans="1:21" s="187" customFormat="1" hidden="1" outlineLevel="1" x14ac:dyDescent="0.25">
      <c r="A37" s="683"/>
      <c r="B37" s="684" t="s">
        <v>633</v>
      </c>
      <c r="C37" s="237"/>
      <c r="D37" s="205"/>
      <c r="E37" s="206" t="s">
        <v>201</v>
      </c>
      <c r="F37" s="207"/>
      <c r="G37" s="208"/>
      <c r="H37" s="208"/>
      <c r="I37" s="208"/>
      <c r="J37" s="209"/>
      <c r="K37" s="210"/>
      <c r="L37" s="211"/>
      <c r="M37" s="208"/>
      <c r="N37" s="211"/>
      <c r="O37" s="209"/>
    </row>
    <row r="38" spans="1:21" s="173" customFormat="1" collapsed="1" x14ac:dyDescent="0.25">
      <c r="A38" s="468"/>
      <c r="B38" s="469" t="s">
        <v>632</v>
      </c>
      <c r="C38" s="470"/>
      <c r="D38" s="471"/>
      <c r="E38" s="472" t="s">
        <v>201</v>
      </c>
      <c r="F38" s="473" t="s">
        <v>651</v>
      </c>
      <c r="G38" s="471"/>
      <c r="H38" s="471"/>
      <c r="I38" s="471"/>
      <c r="J38" s="474"/>
      <c r="K38" s="475" t="str">
        <f>TOCmatch!B17</f>
        <v>SFacc</v>
      </c>
      <c r="L38" s="476"/>
      <c r="M38" s="471"/>
      <c r="N38" s="476"/>
      <c r="O38" s="474"/>
    </row>
    <row r="39" spans="1:21" hidden="1" outlineLevel="1" x14ac:dyDescent="0.25">
      <c r="A39" s="264">
        <v>41221.964814814812</v>
      </c>
      <c r="B39" s="265" t="s">
        <v>671</v>
      </c>
      <c r="C39" s="302"/>
      <c r="D39" s="5"/>
      <c r="E39" s="218" t="s">
        <v>70</v>
      </c>
      <c r="F39" s="200" t="str">
        <f>F6</f>
        <v>LOAD_1C_P</v>
      </c>
      <c r="G39" s="201"/>
      <c r="H39" s="215"/>
      <c r="I39" s="215"/>
      <c r="J39" s="216"/>
      <c r="K39" s="200" t="str">
        <f>K38</f>
        <v>SFacc</v>
      </c>
      <c r="L39" s="201"/>
      <c r="M39" s="201"/>
      <c r="N39" s="215"/>
      <c r="O39" s="216"/>
    </row>
    <row r="40" spans="1:21" hidden="1" outlineLevel="1" x14ac:dyDescent="0.25">
      <c r="A40" s="195">
        <v>41215.784826388888</v>
      </c>
      <c r="B40" s="196" t="s">
        <v>671</v>
      </c>
      <c r="C40" s="235"/>
      <c r="D40" s="5"/>
      <c r="E40" s="218" t="s">
        <v>201</v>
      </c>
      <c r="F40" s="200" t="str">
        <f>F13</f>
        <v>LOAD_1C_DOG</v>
      </c>
      <c r="G40" s="201"/>
      <c r="H40" s="215"/>
      <c r="I40" s="215"/>
      <c r="J40" s="216"/>
      <c r="K40" s="200" t="str">
        <f>K38</f>
        <v>SFacc</v>
      </c>
      <c r="L40" s="201"/>
      <c r="M40" s="201"/>
      <c r="N40" s="215"/>
      <c r="O40" s="216"/>
    </row>
    <row r="41" spans="1:21" hidden="1" outlineLevel="1" x14ac:dyDescent="0.25">
      <c r="A41" s="195">
        <v>41215.784849537034</v>
      </c>
      <c r="B41" s="196" t="s">
        <v>671</v>
      </c>
      <c r="C41" s="235"/>
      <c r="D41" s="5"/>
      <c r="E41" s="218" t="s">
        <v>201</v>
      </c>
      <c r="F41" s="200" t="str">
        <f>F20</f>
        <v>LOAD_1C_ACC</v>
      </c>
      <c r="G41" s="201"/>
      <c r="H41" s="215"/>
      <c r="I41" s="215"/>
      <c r="J41" s="216"/>
      <c r="K41" s="200" t="str">
        <f>K38</f>
        <v>SFacc</v>
      </c>
      <c r="L41" s="201"/>
      <c r="M41" s="201"/>
      <c r="N41" s="215"/>
      <c r="O41" s="216"/>
    </row>
    <row r="42" spans="1:21" s="247" customFormat="1" ht="15.75" hidden="1" outlineLevel="1" thickBot="1" x14ac:dyDescent="0.3">
      <c r="A42" s="711"/>
      <c r="B42" s="240" t="s">
        <v>633</v>
      </c>
      <c r="C42" s="560"/>
      <c r="D42" s="240"/>
      <c r="E42" s="241"/>
      <c r="F42" s="242"/>
      <c r="G42" s="243"/>
      <c r="H42" s="243"/>
      <c r="I42" s="243"/>
      <c r="J42" s="244"/>
      <c r="K42" s="245"/>
      <c r="L42" s="246"/>
      <c r="M42" s="243"/>
      <c r="N42" s="246"/>
      <c r="O42" s="244"/>
    </row>
    <row r="43" spans="1:21" s="173" customFormat="1" collapsed="1" x14ac:dyDescent="0.25">
      <c r="B43" s="269" t="s">
        <v>632</v>
      </c>
      <c r="E43" s="190"/>
      <c r="F43" s="189" t="s">
        <v>653</v>
      </c>
      <c r="G43" s="174"/>
      <c r="H43" s="174"/>
      <c r="I43" s="174"/>
      <c r="J43" s="175"/>
      <c r="K43" s="188" t="str">
        <f>TOCmatch!B28</f>
        <v>Заказы</v>
      </c>
      <c r="L43" s="174"/>
      <c r="M43" s="174"/>
      <c r="N43" s="174"/>
      <c r="O43" s="175"/>
      <c r="T43" s="123"/>
      <c r="U43" s="123"/>
    </row>
    <row r="44" spans="1:21" s="173" customFormat="1" hidden="1" outlineLevel="1" x14ac:dyDescent="0.25">
      <c r="A44" s="264">
        <v>41211.867719907408</v>
      </c>
      <c r="B44" s="265" t="s">
        <v>868</v>
      </c>
      <c r="C44" s="302" t="s">
        <v>612</v>
      </c>
      <c r="D44" s="196"/>
      <c r="E44" s="197" t="s">
        <v>70</v>
      </c>
      <c r="F44" s="214" t="s">
        <v>872</v>
      </c>
      <c r="G44" s="221"/>
      <c r="H44" s="198"/>
      <c r="I44" s="198"/>
      <c r="J44" s="199"/>
      <c r="K44" s="200" t="str">
        <f>K43</f>
        <v>Заказы</v>
      </c>
      <c r="L44" s="201"/>
      <c r="M44" s="198"/>
      <c r="N44" s="201"/>
      <c r="O44" s="199"/>
    </row>
    <row r="45" spans="1:21" s="173" customFormat="1" hidden="1" outlineLevel="1" x14ac:dyDescent="0.25">
      <c r="A45" s="264">
        <v>41211.867777777778</v>
      </c>
      <c r="B45" s="265" t="s">
        <v>614</v>
      </c>
      <c r="C45" s="484" t="str">
        <f>B44</f>
        <v>RowDel</v>
      </c>
      <c r="D45" s="196"/>
      <c r="E45" s="197" t="s">
        <v>70</v>
      </c>
      <c r="F45" s="200" t="s">
        <v>873</v>
      </c>
      <c r="G45" s="428"/>
      <c r="H45" s="198"/>
      <c r="I45" s="198"/>
      <c r="J45" s="199"/>
      <c r="K45" s="200" t="str">
        <f>K43</f>
        <v>Заказы</v>
      </c>
      <c r="L45" s="201"/>
      <c r="M45" s="198"/>
      <c r="N45" s="201"/>
      <c r="O45" s="199"/>
      <c r="T45" s="123"/>
      <c r="U45" s="123"/>
    </row>
    <row r="46" spans="1:21" s="173" customFormat="1" hidden="1" outlineLevel="1" x14ac:dyDescent="0.25">
      <c r="A46" s="195">
        <v>41221.716736111113</v>
      </c>
      <c r="B46" s="196" t="s">
        <v>871</v>
      </c>
      <c r="C46" s="673" t="str">
        <f>B45</f>
        <v>InsMyCol</v>
      </c>
      <c r="D46" s="196"/>
      <c r="E46" s="197" t="s">
        <v>201</v>
      </c>
      <c r="F46" s="214" t="s">
        <v>94</v>
      </c>
      <c r="G46" s="221" t="s">
        <v>126</v>
      </c>
      <c r="H46" s="221" t="s">
        <v>130</v>
      </c>
      <c r="I46" s="221" t="s">
        <v>821</v>
      </c>
      <c r="J46" s="559"/>
      <c r="K46" s="200" t="str">
        <f>K43</f>
        <v>Заказы</v>
      </c>
      <c r="L46" s="201" t="str">
        <f>TOCmatch!B8</f>
        <v>Платежи</v>
      </c>
      <c r="M46" s="198"/>
      <c r="O46" s="199"/>
    </row>
    <row r="47" spans="1:21" s="173" customFormat="1" hidden="1" outlineLevel="1" x14ac:dyDescent="0.25">
      <c r="A47" s="217"/>
      <c r="B47" s="196" t="s">
        <v>638</v>
      </c>
      <c r="C47" s="236"/>
      <c r="D47" s="196"/>
      <c r="E47" s="197"/>
      <c r="F47" s="214" t="s">
        <v>70</v>
      </c>
      <c r="G47" s="221"/>
      <c r="H47" s="198"/>
      <c r="I47" s="198"/>
      <c r="J47" s="199"/>
      <c r="K47" s="561"/>
      <c r="L47" s="201"/>
      <c r="M47" s="198"/>
      <c r="N47" s="201"/>
      <c r="O47" s="199"/>
    </row>
    <row r="48" spans="1:21" s="173" customFormat="1" hidden="1" outlineLevel="1" x14ac:dyDescent="0.25">
      <c r="A48" s="195">
        <v>41211.867939814816</v>
      </c>
      <c r="B48" s="196" t="s">
        <v>791</v>
      </c>
      <c r="C48" s="673" t="str">
        <f>B46</f>
        <v>GetInv1C</v>
      </c>
      <c r="D48" s="196"/>
      <c r="E48" s="197" t="s">
        <v>201</v>
      </c>
      <c r="F48" s="189" t="str">
        <f>F45</f>
        <v>Orders_MyCol</v>
      </c>
      <c r="G48" s="221"/>
      <c r="H48" s="198"/>
      <c r="I48" s="198"/>
      <c r="J48" s="199"/>
      <c r="K48" s="200" t="str">
        <f>K43</f>
        <v>Заказы</v>
      </c>
      <c r="L48" s="201" t="str">
        <f>TOCmatch!B9</f>
        <v>Платежи</v>
      </c>
      <c r="M48" s="301" t="str">
        <f>TOCmatch!B14</f>
        <v>SF</v>
      </c>
      <c r="N48" s="301" t="str">
        <f>TOCmatch!B20</f>
        <v>SF_PA</v>
      </c>
      <c r="O48" s="199"/>
    </row>
    <row r="49" spans="1:21" s="187" customFormat="1" hidden="1" outlineLevel="1" x14ac:dyDescent="0.25">
      <c r="A49" s="204"/>
      <c r="B49" s="205" t="s">
        <v>633</v>
      </c>
      <c r="C49" s="237"/>
      <c r="D49" s="205"/>
      <c r="E49" s="206"/>
      <c r="F49" s="207"/>
      <c r="G49" s="208"/>
      <c r="H49" s="208"/>
      <c r="I49" s="208"/>
      <c r="J49" s="209"/>
      <c r="K49" s="210"/>
      <c r="L49" s="211"/>
      <c r="M49" s="208"/>
      <c r="N49" s="211"/>
      <c r="O49" s="209"/>
    </row>
    <row r="50" spans="1:21" s="173" customFormat="1" ht="15.75" collapsed="1" thickBot="1" x14ac:dyDescent="0.3">
      <c r="A50" s="482"/>
      <c r="B50" s="483" t="s">
        <v>632</v>
      </c>
      <c r="C50" s="482"/>
      <c r="E50" s="190"/>
      <c r="F50" s="189" t="s">
        <v>652</v>
      </c>
      <c r="G50" s="174"/>
      <c r="H50" s="174"/>
      <c r="I50" s="174"/>
      <c r="J50" s="175"/>
      <c r="K50" s="188" t="str">
        <f>TOCmatch!B22</f>
        <v>Склад</v>
      </c>
      <c r="L50" s="174"/>
      <c r="M50" s="174"/>
      <c r="N50" s="174"/>
      <c r="O50" s="175"/>
      <c r="T50" s="123"/>
      <c r="U50" s="123"/>
    </row>
    <row r="51" spans="1:21" s="173" customFormat="1" hidden="1" outlineLevel="1" x14ac:dyDescent="0.25">
      <c r="A51" s="217"/>
      <c r="B51" s="196" t="s">
        <v>638</v>
      </c>
      <c r="C51" s="236"/>
      <c r="D51" s="196"/>
      <c r="E51" s="197"/>
      <c r="F51" s="214" t="s">
        <v>70</v>
      </c>
      <c r="G51" s="221"/>
      <c r="H51" s="198"/>
      <c r="I51" s="198"/>
      <c r="J51" s="199"/>
      <c r="K51" s="561"/>
      <c r="L51" s="201"/>
      <c r="M51" s="198"/>
      <c r="N51" s="201"/>
      <c r="O51" s="199"/>
    </row>
    <row r="52" spans="1:21" s="173" customFormat="1" hidden="1" outlineLevel="1" x14ac:dyDescent="0.25">
      <c r="A52" s="264">
        <v>41211.862233796295</v>
      </c>
      <c r="B52" s="265" t="s">
        <v>868</v>
      </c>
      <c r="C52" s="302" t="s">
        <v>612</v>
      </c>
      <c r="D52" s="196"/>
      <c r="E52" s="197" t="s">
        <v>70</v>
      </c>
      <c r="F52" s="214" t="s">
        <v>869</v>
      </c>
      <c r="G52" s="221"/>
      <c r="H52" s="198"/>
      <c r="I52" s="198"/>
      <c r="J52" s="199"/>
      <c r="K52" s="561" t="str">
        <f>K50</f>
        <v>Склад</v>
      </c>
      <c r="L52" s="201"/>
      <c r="M52" s="198"/>
      <c r="N52" s="201"/>
      <c r="O52" s="199"/>
    </row>
    <row r="53" spans="1:21" s="173" customFormat="1" hidden="1" outlineLevel="1" x14ac:dyDescent="0.25">
      <c r="A53" s="264">
        <v>41211.862604166665</v>
      </c>
      <c r="B53" s="265" t="s">
        <v>614</v>
      </c>
      <c r="C53" s="484" t="str">
        <f>B52</f>
        <v>RowDel</v>
      </c>
      <c r="D53" s="196"/>
      <c r="E53" s="197" t="s">
        <v>70</v>
      </c>
      <c r="F53" s="200" t="s">
        <v>870</v>
      </c>
      <c r="G53" s="221"/>
      <c r="H53" s="198"/>
      <c r="I53" s="198"/>
      <c r="J53" s="199"/>
      <c r="K53" s="200" t="str">
        <f>K50</f>
        <v>Склад</v>
      </c>
      <c r="L53" s="201"/>
      <c r="M53" s="198"/>
      <c r="N53" s="201"/>
      <c r="O53" s="199"/>
      <c r="T53" s="123"/>
      <c r="U53" s="123"/>
    </row>
    <row r="54" spans="1:21" s="149" customFormat="1" hidden="1" outlineLevel="1" x14ac:dyDescent="0.25">
      <c r="A54" s="195">
        <v>41211.86377314815</v>
      </c>
      <c r="B54" s="196" t="s">
        <v>871</v>
      </c>
      <c r="C54" s="673" t="str">
        <f>B53</f>
        <v>InsMyCol</v>
      </c>
      <c r="D54" s="196"/>
      <c r="E54" s="197" t="s">
        <v>201</v>
      </c>
      <c r="F54" s="214" t="s">
        <v>128</v>
      </c>
      <c r="G54" s="221" t="s">
        <v>91</v>
      </c>
      <c r="H54" s="221" t="s">
        <v>110</v>
      </c>
      <c r="I54" s="221" t="s">
        <v>821</v>
      </c>
      <c r="J54" s="559"/>
      <c r="K54" s="561" t="str">
        <f>K50</f>
        <v>Склад</v>
      </c>
      <c r="L54" s="201" t="str">
        <f>TOCmatch!B8</f>
        <v>Платежи</v>
      </c>
      <c r="M54" s="215"/>
      <c r="N54" s="173"/>
      <c r="O54" s="199"/>
    </row>
    <row r="55" spans="1:21" s="173" customFormat="1" hidden="1" outlineLevel="1" x14ac:dyDescent="0.25">
      <c r="A55" s="195">
        <v>41211.864050925928</v>
      </c>
      <c r="B55" s="196" t="s">
        <v>791</v>
      </c>
      <c r="C55" s="673" t="str">
        <f>B54</f>
        <v>GetInv1C</v>
      </c>
      <c r="D55" s="196"/>
      <c r="E55" s="197" t="s">
        <v>201</v>
      </c>
      <c r="F55" s="189" t="str">
        <f>F53</f>
        <v>Stock_MyCol</v>
      </c>
      <c r="G55" s="221"/>
      <c r="H55" s="198"/>
      <c r="I55" s="198"/>
      <c r="J55" s="199"/>
      <c r="K55" s="200" t="str">
        <f>K50</f>
        <v>Склад</v>
      </c>
      <c r="L55" s="201" t="str">
        <f>L54</f>
        <v>Платежи</v>
      </c>
      <c r="M55" s="198"/>
      <c r="N55" s="301" t="str">
        <f>TOCmatch!B14</f>
        <v>SF</v>
      </c>
      <c r="O55" s="199"/>
    </row>
    <row r="56" spans="1:21" s="187" customFormat="1" ht="15.75" hidden="1" outlineLevel="1" thickBot="1" x14ac:dyDescent="0.3">
      <c r="A56" s="204"/>
      <c r="B56" s="205" t="s">
        <v>633</v>
      </c>
      <c r="C56" s="237"/>
      <c r="D56" s="205"/>
      <c r="E56" s="206"/>
      <c r="F56" s="207"/>
      <c r="G56" s="208"/>
      <c r="H56" s="208"/>
      <c r="I56" s="208"/>
      <c r="J56" s="209"/>
      <c r="K56" s="210"/>
      <c r="L56" s="211"/>
      <c r="M56" s="208"/>
      <c r="N56" s="211"/>
      <c r="O56" s="209"/>
    </row>
    <row r="57" spans="1:21" s="173" customFormat="1" ht="15.75" collapsed="1" thickTop="1" x14ac:dyDescent="0.25">
      <c r="A57" s="477"/>
      <c r="B57" s="478" t="s">
        <v>632</v>
      </c>
      <c r="C57" s="479"/>
      <c r="D57" s="309"/>
      <c r="E57" s="310" t="s">
        <v>201</v>
      </c>
      <c r="F57" s="311" t="s">
        <v>655</v>
      </c>
      <c r="G57" s="309"/>
      <c r="H57" s="309"/>
      <c r="I57" s="309"/>
      <c r="J57" s="312"/>
      <c r="K57" s="480" t="s">
        <v>569</v>
      </c>
      <c r="L57" s="314"/>
      <c r="M57" s="309"/>
      <c r="N57" s="314"/>
      <c r="O57" s="312"/>
    </row>
    <row r="58" spans="1:21" s="173" customFormat="1" x14ac:dyDescent="0.25">
      <c r="A58" s="217"/>
      <c r="B58" s="196" t="s">
        <v>638</v>
      </c>
      <c r="C58" s="236"/>
      <c r="D58" s="196"/>
      <c r="E58" s="197"/>
      <c r="F58" s="214" t="s">
        <v>70</v>
      </c>
      <c r="G58" s="221"/>
      <c r="H58" s="198"/>
      <c r="I58" s="198"/>
      <c r="J58" s="199"/>
      <c r="K58" s="200"/>
      <c r="L58" s="201"/>
      <c r="M58" s="198"/>
      <c r="N58" s="201"/>
      <c r="O58" s="199"/>
    </row>
    <row r="59" spans="1:21" ht="30" x14ac:dyDescent="0.25">
      <c r="A59" s="217"/>
      <c r="B59" s="202" t="s">
        <v>672</v>
      </c>
      <c r="C59" s="235" t="s">
        <v>673</v>
      </c>
      <c r="D59" s="5"/>
      <c r="E59" s="218" t="s">
        <v>201</v>
      </c>
      <c r="F59" s="200"/>
      <c r="G59" s="201"/>
      <c r="H59" s="215"/>
      <c r="I59" s="215"/>
      <c r="J59" s="222"/>
      <c r="K59" s="223" t="s">
        <v>569</v>
      </c>
      <c r="L59" s="215"/>
      <c r="M59" s="215"/>
      <c r="N59" s="215"/>
      <c r="O59" s="222"/>
    </row>
    <row r="60" spans="1:21" x14ac:dyDescent="0.25">
      <c r="A60" s="217"/>
      <c r="B60" s="202" t="s">
        <v>640</v>
      </c>
      <c r="C60" s="239" t="s">
        <v>639</v>
      </c>
      <c r="D60" s="5"/>
      <c r="E60" s="218"/>
      <c r="F60" s="200" t="s">
        <v>641</v>
      </c>
      <c r="G60" s="201" t="s">
        <v>642</v>
      </c>
      <c r="H60" s="215" t="s">
        <v>643</v>
      </c>
      <c r="I60" s="215" t="s">
        <v>644</v>
      </c>
      <c r="J60" s="222"/>
      <c r="K60" s="223"/>
      <c r="L60" s="215"/>
      <c r="M60" s="215"/>
      <c r="N60" s="215"/>
      <c r="O60" s="222"/>
    </row>
    <row r="61" spans="1:21" s="187" customFormat="1" ht="15.75" thickBot="1" x14ac:dyDescent="0.3">
      <c r="A61" s="204"/>
      <c r="B61" s="205" t="s">
        <v>633</v>
      </c>
      <c r="C61" s="237"/>
      <c r="D61" s="205"/>
      <c r="E61" s="206" t="s">
        <v>201</v>
      </c>
      <c r="F61" s="207"/>
      <c r="G61" s="208"/>
      <c r="H61" s="208"/>
      <c r="I61" s="208"/>
      <c r="J61" s="209"/>
      <c r="K61" s="210"/>
      <c r="L61" s="211"/>
      <c r="M61" s="208"/>
      <c r="N61" s="211"/>
      <c r="O61" s="209"/>
    </row>
    <row r="62" spans="1:21" s="173" customFormat="1" ht="16.5" thickTop="1" thickBot="1" x14ac:dyDescent="0.3">
      <c r="A62" s="195"/>
      <c r="B62" s="196" t="s">
        <v>632</v>
      </c>
      <c r="C62" s="238"/>
      <c r="D62" s="212"/>
      <c r="E62" s="487" t="s">
        <v>201</v>
      </c>
      <c r="F62" s="213" t="s">
        <v>816</v>
      </c>
      <c r="G62" s="198"/>
      <c r="H62" s="198"/>
      <c r="I62" s="198"/>
      <c r="J62" s="199"/>
      <c r="K62" s="188" t="str">
        <f>TOCmatch!B8</f>
        <v>Платежи</v>
      </c>
      <c r="L62" s="201"/>
      <c r="M62" s="198"/>
      <c r="N62" s="201"/>
      <c r="O62" s="199"/>
      <c r="P62" s="464"/>
    </row>
    <row r="63" spans="1:21" s="173" customFormat="1" ht="15.75" thickTop="1" x14ac:dyDescent="0.25">
      <c r="A63" s="195"/>
      <c r="B63" s="196" t="s">
        <v>638</v>
      </c>
      <c r="C63" s="236"/>
      <c r="D63" s="196"/>
      <c r="E63" s="197" t="s">
        <v>201</v>
      </c>
      <c r="F63" s="214" t="s">
        <v>70</v>
      </c>
      <c r="G63" s="221"/>
      <c r="H63" s="198"/>
      <c r="I63" s="198"/>
      <c r="J63" s="199"/>
      <c r="K63" s="200"/>
      <c r="L63" s="201"/>
      <c r="M63" s="198"/>
      <c r="N63" s="201"/>
      <c r="O63" s="199"/>
      <c r="P63" s="464"/>
    </row>
    <row r="64" spans="1:21" s="173" customFormat="1" x14ac:dyDescent="0.25">
      <c r="A64" s="264">
        <v>41188.065844907411</v>
      </c>
      <c r="B64" s="265" t="s">
        <v>688</v>
      </c>
      <c r="C64" s="266"/>
      <c r="D64" s="212"/>
      <c r="E64" s="197" t="s">
        <v>70</v>
      </c>
      <c r="F64" s="267" t="s">
        <v>817</v>
      </c>
      <c r="G64" s="198"/>
      <c r="H64" s="198"/>
      <c r="I64" s="198"/>
      <c r="J64" s="199"/>
      <c r="K64" s="267" t="str">
        <f>F64</f>
        <v>NewPayment</v>
      </c>
      <c r="L64" s="201"/>
      <c r="M64" s="198"/>
      <c r="N64" s="201"/>
      <c r="O64" s="199"/>
      <c r="P64" s="464"/>
    </row>
    <row r="65" spans="1:16" s="173" customFormat="1" x14ac:dyDescent="0.25">
      <c r="A65" s="195">
        <v>41188.073067129626</v>
      </c>
      <c r="B65" s="196" t="s">
        <v>818</v>
      </c>
      <c r="C65" s="467" t="str">
        <f>B64</f>
        <v>NewSheet</v>
      </c>
      <c r="D65" s="196"/>
      <c r="E65" s="197" t="s">
        <v>201</v>
      </c>
      <c r="F65" s="214"/>
      <c r="G65" s="221"/>
      <c r="H65" s="198"/>
      <c r="I65" s="198"/>
      <c r="J65" s="199"/>
      <c r="K65" s="200" t="str">
        <f>K62</f>
        <v>Платежи</v>
      </c>
      <c r="L65" s="301" t="str">
        <f>TOCmatch!B16</f>
        <v>SFopp</v>
      </c>
      <c r="M65" s="198"/>
      <c r="N65" s="201"/>
      <c r="O65" s="199"/>
      <c r="P65" s="464"/>
    </row>
    <row r="66" spans="1:16" s="173" customFormat="1" x14ac:dyDescent="0.25">
      <c r="A66" s="195">
        <v>41188.074467592596</v>
      </c>
      <c r="B66" s="202" t="s">
        <v>640</v>
      </c>
      <c r="C66" s="467" t="str">
        <f>B65</f>
        <v>NewPaidOpp</v>
      </c>
      <c r="D66" s="196"/>
      <c r="E66" s="197" t="s">
        <v>201</v>
      </c>
      <c r="F66" s="267" t="s">
        <v>817</v>
      </c>
      <c r="G66" s="201" t="s">
        <v>814</v>
      </c>
      <c r="H66" s="215" t="s">
        <v>823</v>
      </c>
      <c r="I66" s="215" t="s">
        <v>824</v>
      </c>
      <c r="J66" s="199"/>
      <c r="K66" s="200"/>
      <c r="L66" s="201"/>
      <c r="M66" s="198"/>
      <c r="N66" s="201"/>
      <c r="O66" s="199"/>
      <c r="P66" s="464"/>
    </row>
    <row r="67" spans="1:16" s="187" customFormat="1" x14ac:dyDescent="0.25">
      <c r="A67" s="204"/>
      <c r="B67" s="205" t="s">
        <v>633</v>
      </c>
      <c r="C67" s="237">
        <v>54</v>
      </c>
      <c r="D67" s="205"/>
      <c r="E67" s="206" t="s">
        <v>201</v>
      </c>
      <c r="F67" s="207"/>
      <c r="G67" s="208"/>
      <c r="H67" s="208"/>
      <c r="I67" s="208"/>
      <c r="J67" s="209"/>
      <c r="K67" s="210"/>
      <c r="L67" s="211"/>
      <c r="M67" s="208"/>
      <c r="N67" s="211"/>
      <c r="O67" s="209"/>
      <c r="P67" s="465"/>
    </row>
    <row r="68" spans="1:16" s="173" customFormat="1" x14ac:dyDescent="0.25">
      <c r="A68" s="195"/>
      <c r="B68" s="196" t="s">
        <v>632</v>
      </c>
      <c r="C68" s="238"/>
      <c r="D68" s="212"/>
      <c r="E68" s="197"/>
      <c r="F68" s="213" t="s">
        <v>819</v>
      </c>
      <c r="G68" s="198"/>
      <c r="H68" s="198"/>
      <c r="I68" s="198"/>
      <c r="J68" s="199"/>
      <c r="K68" s="188" t="str">
        <f>TOCmatch!B8</f>
        <v>Платежи</v>
      </c>
      <c r="L68" s="201"/>
      <c r="M68" s="198"/>
      <c r="N68" s="201"/>
      <c r="O68" s="199"/>
      <c r="P68" s="462"/>
    </row>
    <row r="69" spans="1:16" s="187" customFormat="1" ht="15.75" thickBot="1" x14ac:dyDescent="0.3">
      <c r="A69" s="204"/>
      <c r="B69" s="205" t="s">
        <v>633</v>
      </c>
      <c r="C69" s="237">
        <v>37</v>
      </c>
      <c r="D69" s="205"/>
      <c r="E69" s="203"/>
      <c r="F69" s="207"/>
      <c r="G69" s="208"/>
      <c r="H69" s="208"/>
      <c r="I69" s="208"/>
      <c r="J69" s="209"/>
      <c r="K69" s="210"/>
      <c r="L69" s="211"/>
      <c r="M69" s="208"/>
      <c r="N69" s="211"/>
      <c r="O69" s="209"/>
      <c r="P69" s="463"/>
    </row>
    <row r="70" spans="1:16" s="173" customFormat="1" ht="16.5" thickTop="1" thickBot="1" x14ac:dyDescent="0.3">
      <c r="A70" s="264"/>
      <c r="B70" s="265" t="s">
        <v>632</v>
      </c>
      <c r="C70" s="266"/>
      <c r="D70" s="212"/>
      <c r="E70" s="487" t="s">
        <v>598</v>
      </c>
      <c r="F70" s="486" t="s">
        <v>678</v>
      </c>
      <c r="G70" s="198"/>
      <c r="H70" s="198"/>
      <c r="I70" s="198"/>
      <c r="J70" s="199"/>
      <c r="K70" s="188" t="str">
        <f>K13</f>
        <v>Договоры</v>
      </c>
      <c r="L70" s="201"/>
      <c r="M70" s="198"/>
      <c r="N70" s="201"/>
      <c r="O70" s="199"/>
    </row>
    <row r="71" spans="1:16" s="173" customFormat="1" ht="15.75" thickTop="1" x14ac:dyDescent="0.25">
      <c r="A71" s="264">
        <v>41222.057488425926</v>
      </c>
      <c r="B71" s="265" t="s">
        <v>677</v>
      </c>
      <c r="C71" s="715" t="str">
        <f>F13&amp;"/"&amp;B14</f>
        <v>LOAD_1C_DOG/InsMyCol</v>
      </c>
      <c r="D71" s="196"/>
      <c r="E71" s="197" t="s">
        <v>70</v>
      </c>
      <c r="F71" s="267" t="s">
        <v>689</v>
      </c>
      <c r="G71" s="221"/>
      <c r="H71" s="198"/>
      <c r="I71" s="198"/>
      <c r="J71" s="199"/>
      <c r="K71" s="200" t="str">
        <f>K70</f>
        <v>Договоры</v>
      </c>
      <c r="L71" s="301" t="str">
        <f>TOCmatch!B15</f>
        <v>SFD</v>
      </c>
      <c r="M71" s="301" t="str">
        <f>TOCmatch!B17</f>
        <v>SFacc</v>
      </c>
      <c r="N71" s="201"/>
      <c r="O71" s="199"/>
    </row>
    <row r="72" spans="1:16" s="173" customFormat="1" x14ac:dyDescent="0.25">
      <c r="A72" s="264">
        <v>41222.057500000003</v>
      </c>
      <c r="B72" s="460" t="s">
        <v>640</v>
      </c>
      <c r="C72" s="589" t="str">
        <f>B71</f>
        <v>NewContr</v>
      </c>
      <c r="D72" s="196"/>
      <c r="E72" s="197" t="s">
        <v>70</v>
      </c>
      <c r="F72" s="268" t="str">
        <f>F71</f>
        <v>NewContract</v>
      </c>
      <c r="G72" s="201" t="s">
        <v>814</v>
      </c>
      <c r="H72" s="215" t="s">
        <v>679</v>
      </c>
      <c r="I72" s="215" t="s">
        <v>680</v>
      </c>
      <c r="J72" s="199"/>
      <c r="K72" s="267" t="str">
        <f>F72</f>
        <v>NewContract</v>
      </c>
      <c r="M72" s="198"/>
      <c r="N72" s="201"/>
      <c r="O72" s="199"/>
    </row>
    <row r="73" spans="1:16" s="187" customFormat="1" x14ac:dyDescent="0.25">
      <c r="A73" s="683"/>
      <c r="B73" s="684" t="s">
        <v>633</v>
      </c>
      <c r="C73" s="716">
        <v>0</v>
      </c>
      <c r="D73" s="205"/>
      <c r="E73" s="206" t="s">
        <v>201</v>
      </c>
      <c r="F73" s="207"/>
      <c r="G73" s="208"/>
      <c r="H73" s="208"/>
      <c r="I73" s="208"/>
      <c r="J73" s="209"/>
      <c r="K73" s="210"/>
      <c r="L73" s="211"/>
      <c r="M73" s="208"/>
      <c r="N73" s="211"/>
      <c r="O73" s="209"/>
    </row>
    <row r="74" spans="1:16" s="173" customFormat="1" x14ac:dyDescent="0.25">
      <c r="A74" s="264"/>
      <c r="B74" s="265" t="s">
        <v>632</v>
      </c>
      <c r="C74" s="266"/>
      <c r="D74" s="212"/>
      <c r="E74" s="197" t="s">
        <v>201</v>
      </c>
      <c r="F74" s="213" t="s">
        <v>674</v>
      </c>
      <c r="G74" s="198"/>
      <c r="H74" s="198"/>
      <c r="I74" s="198"/>
      <c r="J74" s="199"/>
      <c r="K74" s="188" t="str">
        <f>TOCmatch!B10</f>
        <v>Договоры</v>
      </c>
      <c r="L74" s="201"/>
      <c r="M74" s="198"/>
      <c r="N74" s="201"/>
      <c r="O74" s="199"/>
    </row>
    <row r="75" spans="1:16" x14ac:dyDescent="0.25">
      <c r="A75" s="217"/>
      <c r="B75" s="202" t="s">
        <v>675</v>
      </c>
      <c r="C75" s="235" t="s">
        <v>677</v>
      </c>
      <c r="D75" s="5"/>
      <c r="E75" s="218" t="s">
        <v>201</v>
      </c>
      <c r="F75" s="200"/>
      <c r="G75" s="201"/>
      <c r="H75" s="215"/>
      <c r="I75" s="215"/>
      <c r="J75" s="222"/>
      <c r="K75" s="223" t="s">
        <v>574</v>
      </c>
      <c r="L75" s="215"/>
      <c r="M75" s="215"/>
      <c r="N75" s="215"/>
      <c r="O75" s="222"/>
    </row>
    <row r="76" spans="1:16" x14ac:dyDescent="0.25">
      <c r="A76" s="217"/>
      <c r="B76" s="202" t="s">
        <v>640</v>
      </c>
      <c r="C76" s="239" t="s">
        <v>675</v>
      </c>
      <c r="D76" s="5"/>
      <c r="E76" s="218"/>
      <c r="F76" s="200" t="s">
        <v>676</v>
      </c>
      <c r="G76" s="201" t="s">
        <v>642</v>
      </c>
      <c r="H76" s="215" t="s">
        <v>643</v>
      </c>
      <c r="I76" s="215" t="s">
        <v>644</v>
      </c>
      <c r="J76" s="222"/>
      <c r="K76" s="223"/>
      <c r="L76" s="215"/>
      <c r="M76" s="215"/>
      <c r="N76" s="215"/>
      <c r="O76" s="222"/>
    </row>
    <row r="77" spans="1:16" s="174" customFormat="1" ht="15.75" thickBot="1" x14ac:dyDescent="0.3">
      <c r="A77" s="518"/>
      <c r="B77" s="202" t="s">
        <v>633</v>
      </c>
      <c r="C77" s="519"/>
      <c r="D77" s="202"/>
      <c r="E77" s="203" t="s">
        <v>201</v>
      </c>
      <c r="F77" s="520"/>
      <c r="G77" s="198"/>
      <c r="H77" s="198"/>
      <c r="I77" s="198"/>
      <c r="J77" s="199"/>
      <c r="K77" s="200"/>
      <c r="L77" s="201"/>
      <c r="M77" s="198"/>
      <c r="N77" s="201"/>
      <c r="O77" s="199"/>
    </row>
    <row r="78" spans="1:16" s="527" customFormat="1" ht="16.5" thickTop="1" thickBot="1" x14ac:dyDescent="0.3">
      <c r="A78" s="744">
        <v>41201.045671296299</v>
      </c>
      <c r="B78" s="745" t="s">
        <v>632</v>
      </c>
      <c r="C78" s="746"/>
      <c r="D78" s="521"/>
      <c r="E78" s="522" t="s">
        <v>201</v>
      </c>
      <c r="F78" s="523" t="s">
        <v>845</v>
      </c>
      <c r="G78" s="521"/>
      <c r="H78" s="521"/>
      <c r="I78" s="521"/>
      <c r="J78" s="524"/>
      <c r="K78" s="525" t="str">
        <f>K6</f>
        <v>Платежи</v>
      </c>
      <c r="L78" s="526"/>
      <c r="M78" s="521"/>
      <c r="N78" s="526"/>
      <c r="O78" s="524"/>
    </row>
    <row r="79" spans="1:16" s="173" customFormat="1" ht="15.75" thickTop="1" x14ac:dyDescent="0.25">
      <c r="A79" s="264">
        <v>41222.057500000003</v>
      </c>
      <c r="B79" s="460" t="s">
        <v>848</v>
      </c>
      <c r="C79" s="461"/>
      <c r="D79" s="196"/>
      <c r="E79" s="452" t="s">
        <v>70</v>
      </c>
      <c r="F79" s="200" t="str">
        <f>F70</f>
        <v>HANDL_NewContract</v>
      </c>
      <c r="G79" s="221"/>
      <c r="H79" s="198"/>
      <c r="I79" s="198"/>
      <c r="J79" s="199"/>
      <c r="K79" s="200"/>
      <c r="L79" s="201"/>
      <c r="M79" s="198"/>
      <c r="N79" s="201"/>
      <c r="O79" s="199"/>
    </row>
    <row r="80" spans="1:16" s="173" customFormat="1" x14ac:dyDescent="0.25">
      <c r="A80" s="264">
        <v>41222.057500000003</v>
      </c>
      <c r="B80" s="265" t="s">
        <v>847</v>
      </c>
      <c r="C80" s="589" t="str">
        <f>B79</f>
        <v>ProcReset</v>
      </c>
      <c r="D80" s="196"/>
      <c r="E80" s="197" t="s">
        <v>70</v>
      </c>
      <c r="F80" s="528">
        <f>C73</f>
        <v>0</v>
      </c>
      <c r="G80" s="221"/>
      <c r="H80" s="198"/>
      <c r="I80" s="198"/>
      <c r="J80" s="199"/>
      <c r="K80" s="200"/>
      <c r="L80" s="201"/>
      <c r="M80" s="198"/>
      <c r="N80" s="201"/>
      <c r="O80" s="199"/>
    </row>
    <row r="81" spans="1:15" s="173" customFormat="1" x14ac:dyDescent="0.25">
      <c r="A81" s="264">
        <v>41222.057511574072</v>
      </c>
      <c r="B81" s="265" t="s">
        <v>688</v>
      </c>
      <c r="C81" s="266"/>
      <c r="D81" s="212"/>
      <c r="E81" s="197" t="s">
        <v>70</v>
      </c>
      <c r="F81" s="267" t="s">
        <v>828</v>
      </c>
      <c r="G81" s="198"/>
      <c r="H81" s="198"/>
      <c r="I81" s="198"/>
      <c r="J81" s="199"/>
      <c r="K81" s="267" t="str">
        <f>F81</f>
        <v>NewOpp</v>
      </c>
      <c r="L81" s="201"/>
      <c r="M81" s="198"/>
      <c r="N81" s="201"/>
      <c r="O81" s="199"/>
    </row>
    <row r="82" spans="1:15" s="173" customFormat="1" x14ac:dyDescent="0.25">
      <c r="A82" s="264">
        <v>41222.057511574072</v>
      </c>
      <c r="B82" s="265" t="s">
        <v>688</v>
      </c>
      <c r="C82" s="266"/>
      <c r="D82" s="212"/>
      <c r="E82" s="197" t="s">
        <v>70</v>
      </c>
      <c r="F82" s="267" t="s">
        <v>817</v>
      </c>
      <c r="G82" s="198"/>
      <c r="H82" s="198"/>
      <c r="I82" s="198"/>
      <c r="J82" s="199"/>
      <c r="K82" s="267" t="str">
        <f>F82</f>
        <v>NewPayment</v>
      </c>
      <c r="L82" s="201"/>
      <c r="M82" s="198"/>
      <c r="N82" s="201"/>
      <c r="O82" s="199"/>
    </row>
    <row r="83" spans="1:15" s="173" customFormat="1" ht="15.75" thickBot="1" x14ac:dyDescent="0.3">
      <c r="A83" s="694"/>
      <c r="B83" s="695" t="s">
        <v>1774</v>
      </c>
      <c r="C83" s="696" t="str">
        <f>B80</f>
        <v>CheckProc0</v>
      </c>
      <c r="D83" s="695"/>
      <c r="E83" s="697" t="s">
        <v>201</v>
      </c>
      <c r="F83" s="698" t="s">
        <v>846</v>
      </c>
      <c r="G83" s="699"/>
      <c r="H83" s="700"/>
      <c r="I83" s="700"/>
      <c r="J83" s="701"/>
      <c r="K83" s="702" t="str">
        <f>K78</f>
        <v>Платежи</v>
      </c>
      <c r="L83" s="703" t="str">
        <f>TOCmatch!B17</f>
        <v>SFacc</v>
      </c>
      <c r="M83" s="703" t="str">
        <f>TOCmatch!B16</f>
        <v>SFopp</v>
      </c>
      <c r="N83" s="703" t="str">
        <f>TOCmatch!B15</f>
        <v>SFD</v>
      </c>
      <c r="O83" s="701"/>
    </row>
    <row r="84" spans="1:15" s="173" customFormat="1" ht="15.75" thickTop="1" x14ac:dyDescent="0.25">
      <c r="A84" s="195"/>
      <c r="B84" s="202" t="s">
        <v>640</v>
      </c>
      <c r="C84" s="467" t="str">
        <f>B83</f>
        <v>WP_Paid</v>
      </c>
      <c r="D84" s="196"/>
      <c r="E84" s="197" t="s">
        <v>201</v>
      </c>
      <c r="F84" s="267" t="s">
        <v>828</v>
      </c>
      <c r="G84" s="201" t="s">
        <v>814</v>
      </c>
      <c r="H84" s="215" t="s">
        <v>904</v>
      </c>
      <c r="I84" s="215" t="s">
        <v>1560</v>
      </c>
      <c r="J84" s="199"/>
      <c r="K84" s="267" t="str">
        <f>F84</f>
        <v>NewOpp</v>
      </c>
      <c r="L84" s="201"/>
      <c r="M84" s="198"/>
      <c r="N84" s="201"/>
      <c r="O84" s="199"/>
    </row>
    <row r="85" spans="1:15" s="173" customFormat="1" x14ac:dyDescent="0.25">
      <c r="A85" s="195"/>
      <c r="B85" s="202" t="s">
        <v>640</v>
      </c>
      <c r="C85" s="467" t="str">
        <f>B83</f>
        <v>WP_Paid</v>
      </c>
      <c r="D85" s="196"/>
      <c r="E85" s="197" t="s">
        <v>201</v>
      </c>
      <c r="F85" s="267" t="s">
        <v>817</v>
      </c>
      <c r="G85" s="201" t="s">
        <v>814</v>
      </c>
      <c r="H85" s="215" t="s">
        <v>823</v>
      </c>
      <c r="I85" s="215" t="s">
        <v>824</v>
      </c>
      <c r="J85" s="199"/>
      <c r="K85" s="267" t="str">
        <f>F85</f>
        <v>NewPayment</v>
      </c>
      <c r="L85" s="201"/>
      <c r="M85" s="198"/>
      <c r="N85" s="201"/>
      <c r="O85" s="199"/>
    </row>
    <row r="86" spans="1:15" s="174" customFormat="1" x14ac:dyDescent="0.25">
      <c r="A86" s="518"/>
      <c r="B86" s="202" t="s">
        <v>633</v>
      </c>
      <c r="C86" s="519">
        <v>5</v>
      </c>
      <c r="D86" s="202"/>
      <c r="E86" s="203" t="s">
        <v>201</v>
      </c>
      <c r="F86" s="520"/>
      <c r="G86" s="198"/>
      <c r="H86" s="198"/>
      <c r="I86" s="198"/>
      <c r="J86" s="199"/>
      <c r="K86" s="200"/>
      <c r="L86" s="201"/>
      <c r="M86" s="198"/>
      <c r="N86" s="201"/>
      <c r="O86" s="199"/>
    </row>
    <row r="87" spans="1:15" s="707" customFormat="1" ht="15.75" thickBot="1" x14ac:dyDescent="0.3">
      <c r="A87" s="692">
        <v>41201.045671296299</v>
      </c>
      <c r="B87" s="228" t="s">
        <v>632</v>
      </c>
      <c r="C87" s="693"/>
      <c r="D87" s="303"/>
      <c r="E87" s="704" t="s">
        <v>201</v>
      </c>
      <c r="F87" s="705" t="s">
        <v>1769</v>
      </c>
      <c r="G87" s="303"/>
      <c r="H87" s="303"/>
      <c r="I87" s="303"/>
      <c r="J87" s="306"/>
      <c r="K87" s="706" t="str">
        <f>TOCmatch!B$8</f>
        <v>Платежи</v>
      </c>
      <c r="L87" s="308"/>
      <c r="M87" s="303"/>
      <c r="N87" s="308"/>
      <c r="O87" s="306"/>
    </row>
    <row r="88" spans="1:15" s="173" customFormat="1" ht="15.75" thickTop="1" x14ac:dyDescent="0.25">
      <c r="A88" s="264">
        <v>41218.822870370372</v>
      </c>
      <c r="B88" s="265" t="s">
        <v>688</v>
      </c>
      <c r="C88" s="266"/>
      <c r="D88" s="212"/>
      <c r="E88" s="197"/>
      <c r="F88" s="267" t="s">
        <v>1229</v>
      </c>
      <c r="G88" s="198"/>
      <c r="H88" s="198"/>
      <c r="I88" s="198"/>
      <c r="J88" s="199"/>
      <c r="K88" s="267" t="str">
        <f>F88</f>
        <v>NewAcc</v>
      </c>
      <c r="L88" s="201"/>
      <c r="M88" s="198"/>
      <c r="N88" s="201"/>
      <c r="O88" s="199"/>
    </row>
    <row r="89" spans="1:15" s="173" customFormat="1" x14ac:dyDescent="0.25">
      <c r="A89" s="264"/>
      <c r="B89" s="265" t="s">
        <v>1772</v>
      </c>
      <c r="C89" s="467" t="str">
        <f>B88</f>
        <v>NewSheet</v>
      </c>
      <c r="D89" s="212"/>
      <c r="E89" s="197"/>
      <c r="F89" s="710"/>
      <c r="G89" s="198"/>
      <c r="H89" s="198"/>
      <c r="I89" s="198"/>
      <c r="J89" s="199"/>
      <c r="K89" s="267"/>
      <c r="L89" s="201"/>
      <c r="M89" s="198"/>
      <c r="N89" s="201"/>
      <c r="O89" s="199"/>
    </row>
    <row r="90" spans="1:15" s="173" customFormat="1" ht="15.75" thickBot="1" x14ac:dyDescent="0.3">
      <c r="A90" s="694">
        <v>41218.824293981481</v>
      </c>
      <c r="B90" s="695" t="s">
        <v>1774</v>
      </c>
      <c r="C90" s="696" t="str">
        <f>B89</f>
        <v>SFaccDicBuild</v>
      </c>
      <c r="D90" s="695"/>
      <c r="E90" s="697" t="s">
        <v>201</v>
      </c>
      <c r="F90" s="698" t="s">
        <v>1770</v>
      </c>
      <c r="G90" s="699"/>
      <c r="H90" s="700"/>
      <c r="I90" s="700"/>
      <c r="J90" s="701"/>
      <c r="K90" s="702" t="str">
        <f>K87</f>
        <v>Платежи</v>
      </c>
      <c r="L90" s="703">
        <f>TOCmatch!B27</f>
        <v>0</v>
      </c>
      <c r="M90" s="703">
        <f>TOCmatch!B26</f>
        <v>0</v>
      </c>
      <c r="N90" s="703">
        <f>TOCmatch!B25</f>
        <v>0</v>
      </c>
      <c r="O90" s="701"/>
    </row>
    <row r="91" spans="1:15" s="173" customFormat="1" ht="15.75" thickTop="1" x14ac:dyDescent="0.25">
      <c r="A91" s="195">
        <v>41218.824293981481</v>
      </c>
      <c r="B91" s="202" t="s">
        <v>640</v>
      </c>
      <c r="C91" s="467" t="str">
        <f>B90</f>
        <v>WP_Paid</v>
      </c>
      <c r="D91" s="196"/>
      <c r="E91" s="197" t="s">
        <v>201</v>
      </c>
      <c r="F91" s="267" t="str">
        <f>F88</f>
        <v>NewAcc</v>
      </c>
      <c r="G91" s="201" t="s">
        <v>814</v>
      </c>
      <c r="H91" s="215" t="s">
        <v>904</v>
      </c>
      <c r="I91" s="215" t="s">
        <v>1560</v>
      </c>
      <c r="J91" s="199"/>
      <c r="K91" s="267" t="str">
        <f>F91</f>
        <v>NewAcc</v>
      </c>
      <c r="L91" s="201"/>
      <c r="M91" s="198"/>
      <c r="N91" s="201"/>
      <c r="O91" s="199"/>
    </row>
    <row r="92" spans="1:15" s="187" customFormat="1" x14ac:dyDescent="0.25">
      <c r="A92" s="204"/>
      <c r="B92" s="205" t="s">
        <v>633</v>
      </c>
      <c r="C92" s="237">
        <v>5</v>
      </c>
      <c r="D92" s="205"/>
      <c r="E92" s="206" t="s">
        <v>201</v>
      </c>
      <c r="F92" s="207"/>
      <c r="G92" s="208"/>
      <c r="H92" s="208"/>
      <c r="I92" s="208"/>
      <c r="J92" s="209"/>
      <c r="K92" s="210"/>
      <c r="L92" s="211"/>
      <c r="M92" s="208"/>
      <c r="N92" s="211"/>
      <c r="O92" s="209"/>
    </row>
    <row r="93" spans="1:15" s="173" customFormat="1" x14ac:dyDescent="0.25">
      <c r="A93" s="195"/>
      <c r="B93" s="196" t="s">
        <v>632</v>
      </c>
      <c r="C93" s="238"/>
      <c r="D93" s="212"/>
      <c r="E93" s="197" t="s">
        <v>201</v>
      </c>
      <c r="F93" s="213" t="s">
        <v>656</v>
      </c>
      <c r="G93" s="198"/>
      <c r="H93" s="198"/>
      <c r="I93" s="198"/>
      <c r="J93" s="199"/>
      <c r="K93" s="188" t="s">
        <v>569</v>
      </c>
      <c r="L93" s="201"/>
      <c r="M93" s="198"/>
      <c r="N93" s="201"/>
      <c r="O93" s="199"/>
    </row>
    <row r="94" spans="1:15" s="173" customFormat="1" x14ac:dyDescent="0.25">
      <c r="A94" s="217"/>
      <c r="B94" s="196" t="s">
        <v>638</v>
      </c>
      <c r="C94" s="236"/>
      <c r="D94" s="196"/>
      <c r="E94" s="197"/>
      <c r="F94" s="214" t="s">
        <v>70</v>
      </c>
      <c r="G94" s="221"/>
      <c r="H94" s="198"/>
      <c r="I94" s="198"/>
      <c r="J94" s="199"/>
      <c r="K94" s="200"/>
      <c r="L94" s="201"/>
      <c r="M94" s="198"/>
      <c r="N94" s="201"/>
      <c r="O94" s="199"/>
    </row>
    <row r="95" spans="1:15" ht="30" x14ac:dyDescent="0.25">
      <c r="A95" s="217"/>
      <c r="B95" s="202" t="s">
        <v>645</v>
      </c>
      <c r="C95" s="235" t="s">
        <v>673</v>
      </c>
      <c r="D95" s="5"/>
      <c r="E95" s="218" t="s">
        <v>201</v>
      </c>
      <c r="F95" s="200"/>
      <c r="G95" s="201"/>
      <c r="H95" s="215"/>
      <c r="I95" s="215"/>
      <c r="J95" s="222"/>
      <c r="K95" s="223" t="s">
        <v>569</v>
      </c>
      <c r="L95" s="215" t="s">
        <v>581</v>
      </c>
      <c r="M95" s="215"/>
      <c r="N95" s="215"/>
      <c r="O95" s="222"/>
    </row>
    <row r="96" spans="1:15" s="187" customFormat="1" x14ac:dyDescent="0.25">
      <c r="A96" s="204"/>
      <c r="B96" s="205" t="s">
        <v>633</v>
      </c>
      <c r="C96" s="237"/>
      <c r="D96" s="205"/>
      <c r="E96" s="206" t="s">
        <v>201</v>
      </c>
      <c r="F96" s="207"/>
      <c r="G96" s="208"/>
      <c r="H96" s="208"/>
      <c r="I96" s="208"/>
      <c r="J96" s="209"/>
      <c r="K96" s="210"/>
      <c r="L96" s="211"/>
      <c r="M96" s="208"/>
      <c r="N96" s="211"/>
      <c r="O96" s="209"/>
    </row>
    <row r="97" spans="1:19" s="136" customFormat="1" x14ac:dyDescent="0.25">
      <c r="A97" s="225"/>
      <c r="B97" s="226" t="s">
        <v>609</v>
      </c>
      <c r="C97" s="227" t="s">
        <v>126</v>
      </c>
      <c r="D97" s="228"/>
      <c r="E97" s="229"/>
      <c r="F97" s="230"/>
      <c r="G97" s="224"/>
      <c r="H97" s="224"/>
      <c r="I97" s="224"/>
      <c r="J97" s="231"/>
      <c r="K97" s="230" t="s">
        <v>608</v>
      </c>
      <c r="L97" s="224"/>
      <c r="M97" s="224"/>
      <c r="N97" s="224"/>
      <c r="O97" s="231"/>
    </row>
    <row r="98" spans="1:19" x14ac:dyDescent="0.25">
      <c r="A98" s="232"/>
      <c r="B98" s="233">
        <v>1043</v>
      </c>
      <c r="C98" s="234"/>
      <c r="D98" s="5"/>
      <c r="E98" s="197"/>
      <c r="F98" s="220"/>
      <c r="G98" s="215"/>
      <c r="H98" s="215"/>
      <c r="I98" s="215"/>
      <c r="J98" s="216"/>
      <c r="K98" s="220" t="s">
        <v>608</v>
      </c>
      <c r="L98" s="215"/>
      <c r="M98" s="215"/>
      <c r="N98" s="215"/>
      <c r="O98" s="216"/>
    </row>
    <row r="99" spans="1:19" s="136" customFormat="1" ht="15.75" thickBot="1" x14ac:dyDescent="0.3">
      <c r="A99" s="135"/>
      <c r="B99" s="156" t="s">
        <v>609</v>
      </c>
      <c r="C99" s="194" t="s">
        <v>126</v>
      </c>
      <c r="D99" s="157"/>
      <c r="E99" s="192"/>
      <c r="F99" s="176"/>
      <c r="G99" s="177"/>
      <c r="H99" s="177"/>
      <c r="I99" s="177"/>
      <c r="J99" s="178"/>
      <c r="K99" s="176" t="s">
        <v>615</v>
      </c>
      <c r="L99" s="177"/>
      <c r="M99" s="177"/>
      <c r="N99" s="177"/>
      <c r="O99" s="178"/>
    </row>
    <row r="100" spans="1:19" x14ac:dyDescent="0.25">
      <c r="A100" s="145"/>
    </row>
    <row r="103" spans="1:19" ht="45" outlineLevel="1" x14ac:dyDescent="0.25">
      <c r="A103" s="195">
        <v>41217.705717592595</v>
      </c>
      <c r="B103" s="196" t="s">
        <v>661</v>
      </c>
      <c r="C103" s="235" t="s">
        <v>660</v>
      </c>
      <c r="D103" s="215"/>
      <c r="E103" s="218" t="s">
        <v>201</v>
      </c>
      <c r="F103" s="214" t="s">
        <v>579</v>
      </c>
      <c r="G103" s="201" t="s">
        <v>574</v>
      </c>
      <c r="H103" s="221" t="s">
        <v>94</v>
      </c>
      <c r="I103" s="221" t="s">
        <v>128</v>
      </c>
      <c r="J103" s="222"/>
      <c r="L103" s="301" t="str">
        <f>TOCmatch!B$15</f>
        <v>SFD</v>
      </c>
      <c r="M103" s="215"/>
      <c r="N103" s="215"/>
      <c r="O103" s="222"/>
      <c r="S103" s="173"/>
    </row>
    <row r="106" spans="1:19" s="149" customFormat="1" outlineLevel="1" x14ac:dyDescent="0.25">
      <c r="A106" s="195">
        <v>41217.684374999997</v>
      </c>
      <c r="B106" s="196" t="s">
        <v>614</v>
      </c>
      <c r="C106" s="235" t="s">
        <v>612</v>
      </c>
      <c r="D106" s="196"/>
      <c r="E106" s="197" t="s">
        <v>201</v>
      </c>
      <c r="F106" s="427" t="s">
        <v>789</v>
      </c>
      <c r="G106" s="428" t="s">
        <v>790</v>
      </c>
      <c r="H106" s="198"/>
      <c r="I106" s="198"/>
      <c r="J106" s="216"/>
      <c r="K106" s="200">
        <f>TOCmatch!B95</f>
        <v>0</v>
      </c>
      <c r="L106" s="301" t="str">
        <f>TOCmatch!B$17</f>
        <v>SFacc</v>
      </c>
      <c r="M106" s="301" t="str">
        <f>TOCmatch!B$15</f>
        <v>SFD</v>
      </c>
      <c r="N106" s="215"/>
      <c r="O106" s="216"/>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L292"/>
  <sheetViews>
    <sheetView topLeftCell="A40" workbookViewId="0">
      <selection activeCell="B53" sqref="B53"/>
    </sheetView>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0" width="9.140625" style="17"/>
    <col min="11" max="11" width="13" style="17" customWidth="1"/>
    <col min="12"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256</v>
      </c>
      <c r="E9" s="27" t="s">
        <v>218</v>
      </c>
      <c r="F9" s="44" t="s">
        <v>247</v>
      </c>
      <c r="G9" s="61">
        <v>0</v>
      </c>
    </row>
    <row r="10" spans="1:7" ht="50.25" customHeight="1" x14ac:dyDescent="0.25">
      <c r="A10" s="52" t="s">
        <v>7</v>
      </c>
      <c r="B10" s="69" t="s">
        <v>44</v>
      </c>
      <c r="C10" s="37" t="s">
        <v>74</v>
      </c>
      <c r="D10" s="38" t="s">
        <v>171</v>
      </c>
      <c r="E10" s="39" t="s">
        <v>217</v>
      </c>
      <c r="F10" s="53" t="s">
        <v>260</v>
      </c>
      <c r="G10" s="63">
        <v>0</v>
      </c>
    </row>
    <row r="11" spans="1:7" x14ac:dyDescent="0.25">
      <c r="A11" s="51" t="s">
        <v>34</v>
      </c>
      <c r="B11" s="68"/>
      <c r="C11" s="22" t="s">
        <v>69</v>
      </c>
      <c r="D11" s="38" t="s">
        <v>256</v>
      </c>
      <c r="E11" s="39"/>
      <c r="F11" s="45" t="s">
        <v>259</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254</v>
      </c>
      <c r="G13" s="61">
        <v>0</v>
      </c>
    </row>
    <row r="14" spans="1:7" x14ac:dyDescent="0.25">
      <c r="A14" s="51" t="s">
        <v>28</v>
      </c>
      <c r="B14" s="68" t="s">
        <v>52</v>
      </c>
      <c r="C14" s="22" t="s">
        <v>20</v>
      </c>
      <c r="D14" s="17" t="s">
        <v>174</v>
      </c>
      <c r="E14" s="22" t="s">
        <v>33</v>
      </c>
      <c r="F14" s="54" t="s">
        <v>544</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347</v>
      </c>
      <c r="G16" s="61">
        <v>0</v>
      </c>
    </row>
    <row r="17" spans="1:7" x14ac:dyDescent="0.25">
      <c r="A17" s="51" t="s">
        <v>95</v>
      </c>
      <c r="B17" s="70"/>
      <c r="C17" s="22" t="s">
        <v>78</v>
      </c>
      <c r="D17" s="17" t="s">
        <v>258</v>
      </c>
      <c r="E17" s="22"/>
      <c r="F17" s="54" t="s">
        <v>107</v>
      </c>
      <c r="G17" s="61">
        <v>0</v>
      </c>
    </row>
    <row r="18" spans="1:7" x14ac:dyDescent="0.25">
      <c r="A18" s="51" t="s">
        <v>10</v>
      </c>
      <c r="B18" s="68" t="s">
        <v>46</v>
      </c>
      <c r="C18" s="22" t="s">
        <v>19</v>
      </c>
      <c r="D18" s="17" t="s">
        <v>177</v>
      </c>
      <c r="E18" s="22" t="s">
        <v>5</v>
      </c>
      <c r="F18" s="54" t="s">
        <v>367</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551</v>
      </c>
      <c r="G20" s="61">
        <v>0</v>
      </c>
    </row>
    <row r="21" spans="1:7" x14ac:dyDescent="0.25">
      <c r="A21" s="51" t="s">
        <v>32</v>
      </c>
      <c r="B21" s="68" t="s">
        <v>83</v>
      </c>
      <c r="C21" s="22" t="s">
        <v>22</v>
      </c>
      <c r="D21" s="17" t="s">
        <v>182</v>
      </c>
      <c r="E21" s="22" t="s">
        <v>22</v>
      </c>
      <c r="F21" s="54" t="s">
        <v>542</v>
      </c>
      <c r="G21" s="61">
        <v>0</v>
      </c>
    </row>
    <row r="22" spans="1:7" ht="30" x14ac:dyDescent="0.25">
      <c r="A22" s="52" t="s">
        <v>31</v>
      </c>
      <c r="B22" s="69" t="s">
        <v>48</v>
      </c>
      <c r="C22" s="37" t="s">
        <v>16</v>
      </c>
      <c r="D22" s="38" t="s">
        <v>178</v>
      </c>
      <c r="E22" s="39" t="s">
        <v>220</v>
      </c>
      <c r="F22" s="53" t="s">
        <v>545</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368</v>
      </c>
      <c r="G26" s="61">
        <v>0</v>
      </c>
    </row>
    <row r="27" spans="1:7" x14ac:dyDescent="0.25">
      <c r="A27" s="51" t="s">
        <v>4</v>
      </c>
      <c r="B27" s="68" t="s">
        <v>72</v>
      </c>
      <c r="C27" s="22" t="s">
        <v>69</v>
      </c>
      <c r="D27" s="17" t="s">
        <v>256</v>
      </c>
      <c r="E27" s="27"/>
      <c r="F27" s="54" t="s">
        <v>264</v>
      </c>
      <c r="G27" s="61">
        <v>1</v>
      </c>
    </row>
    <row r="28" spans="1:7" x14ac:dyDescent="0.25">
      <c r="A28" s="51" t="s">
        <v>39</v>
      </c>
      <c r="B28" s="68" t="s">
        <v>80</v>
      </c>
      <c r="C28" s="22" t="s">
        <v>69</v>
      </c>
      <c r="D28" s="38" t="s">
        <v>256</v>
      </c>
      <c r="E28" s="27"/>
      <c r="F28" s="54" t="s">
        <v>106</v>
      </c>
      <c r="G28" s="61">
        <v>0</v>
      </c>
    </row>
    <row r="29" spans="1:7" x14ac:dyDescent="0.25">
      <c r="A29" s="51" t="s">
        <v>5</v>
      </c>
      <c r="B29" s="68" t="s">
        <v>54</v>
      </c>
      <c r="C29" s="22" t="s">
        <v>76</v>
      </c>
      <c r="D29" s="17" t="s">
        <v>181</v>
      </c>
      <c r="E29" s="27"/>
      <c r="F29" s="54" t="s">
        <v>546</v>
      </c>
      <c r="G29" s="61">
        <v>0</v>
      </c>
    </row>
    <row r="30" spans="1:7" x14ac:dyDescent="0.25">
      <c r="A30" s="51" t="s">
        <v>105</v>
      </c>
      <c r="B30" s="68" t="s">
        <v>81</v>
      </c>
      <c r="C30" s="22" t="s">
        <v>40</v>
      </c>
      <c r="D30" s="17" t="s">
        <v>257</v>
      </c>
      <c r="E30" s="22"/>
      <c r="F30" s="54" t="s">
        <v>143</v>
      </c>
      <c r="G30" s="61">
        <v>0</v>
      </c>
    </row>
    <row r="31" spans="1:7" x14ac:dyDescent="0.25">
      <c r="A31" s="51" t="s">
        <v>26</v>
      </c>
      <c r="B31" s="68" t="s">
        <v>49</v>
      </c>
      <c r="C31" s="22" t="s">
        <v>22</v>
      </c>
      <c r="D31" s="17" t="s">
        <v>182</v>
      </c>
      <c r="E31" s="27"/>
      <c r="F31" s="54" t="s">
        <v>263</v>
      </c>
      <c r="G31" s="61">
        <v>0</v>
      </c>
    </row>
    <row r="32" spans="1:7" x14ac:dyDescent="0.25">
      <c r="A32" s="51" t="s">
        <v>13</v>
      </c>
      <c r="B32" s="68" t="s">
        <v>47</v>
      </c>
      <c r="C32" s="22" t="s">
        <v>23</v>
      </c>
      <c r="D32" s="17" t="s">
        <v>183</v>
      </c>
      <c r="E32" s="27"/>
      <c r="F32" s="54" t="s">
        <v>253</v>
      </c>
      <c r="G32" s="61">
        <v>0</v>
      </c>
    </row>
    <row r="33" spans="1:12" x14ac:dyDescent="0.25">
      <c r="A33" s="51" t="s">
        <v>25</v>
      </c>
      <c r="B33" s="68"/>
      <c r="C33" s="22" t="s">
        <v>25</v>
      </c>
      <c r="D33" s="27" t="s">
        <v>243</v>
      </c>
      <c r="E33" s="27"/>
      <c r="F33" s="44"/>
      <c r="G33" s="61">
        <v>0</v>
      </c>
    </row>
    <row r="35" spans="1:12" x14ac:dyDescent="0.25">
      <c r="A35" s="19" t="s">
        <v>161</v>
      </c>
      <c r="B35" s="66" t="s">
        <v>162</v>
      </c>
      <c r="C35" s="19" t="s">
        <v>184</v>
      </c>
    </row>
    <row r="36" spans="1:12" ht="15" customHeight="1" x14ac:dyDescent="0.25">
      <c r="A36" s="23" t="s">
        <v>45</v>
      </c>
      <c r="B36" s="24" t="s">
        <v>17</v>
      </c>
      <c r="C36" s="24">
        <v>1</v>
      </c>
    </row>
    <row r="37" spans="1:12" x14ac:dyDescent="0.25">
      <c r="A37" s="23" t="s">
        <v>43</v>
      </c>
      <c r="B37" s="24" t="s">
        <v>15</v>
      </c>
      <c r="C37" s="25" t="s">
        <v>185</v>
      </c>
    </row>
    <row r="38" spans="1:12" x14ac:dyDescent="0.25">
      <c r="A38" s="23" t="s">
        <v>53</v>
      </c>
      <c r="B38" s="24" t="s">
        <v>14</v>
      </c>
      <c r="C38" s="25" t="s">
        <v>261</v>
      </c>
    </row>
    <row r="39" spans="1:12" x14ac:dyDescent="0.25">
      <c r="H39" s="724" t="s">
        <v>356</v>
      </c>
      <c r="I39" s="725"/>
      <c r="J39" s="725"/>
      <c r="K39" s="718"/>
      <c r="L39" s="27"/>
    </row>
    <row r="40" spans="1:12" ht="30" x14ac:dyDescent="0.25">
      <c r="A40" s="27" t="s">
        <v>223</v>
      </c>
      <c r="B40" s="25" t="s">
        <v>379</v>
      </c>
      <c r="C40" s="41" t="s">
        <v>231</v>
      </c>
      <c r="D40" s="41" t="s">
        <v>149</v>
      </c>
      <c r="E40" s="46" t="s">
        <v>235</v>
      </c>
      <c r="F40" s="47" t="s">
        <v>241</v>
      </c>
      <c r="G40" s="56" t="s">
        <v>351</v>
      </c>
      <c r="H40" s="60" t="s">
        <v>353</v>
      </c>
      <c r="I40" s="60" t="s">
        <v>354</v>
      </c>
      <c r="J40" s="60" t="s">
        <v>1262</v>
      </c>
      <c r="K40" s="664" t="s">
        <v>1261</v>
      </c>
    </row>
    <row r="41" spans="1:12" ht="15.75" x14ac:dyDescent="0.3">
      <c r="A41" s="27" t="s">
        <v>137</v>
      </c>
      <c r="B41" s="71" t="s">
        <v>498</v>
      </c>
      <c r="C41" s="50" t="s">
        <v>229</v>
      </c>
      <c r="D41" s="49" t="s">
        <v>137</v>
      </c>
      <c r="E41" s="48" t="s">
        <v>137</v>
      </c>
      <c r="F41" s="44" t="s">
        <v>239</v>
      </c>
      <c r="G41" s="56" t="s">
        <v>350</v>
      </c>
      <c r="H41" s="27" t="s">
        <v>351</v>
      </c>
      <c r="I41" s="27" t="s">
        <v>352</v>
      </c>
      <c r="J41" s="27"/>
    </row>
    <row r="42" spans="1:12" ht="15.75" x14ac:dyDescent="0.3">
      <c r="A42" s="27" t="s">
        <v>106</v>
      </c>
      <c r="B42" s="71" t="s">
        <v>265</v>
      </c>
      <c r="C42" s="50" t="s">
        <v>229</v>
      </c>
      <c r="D42" s="49" t="s">
        <v>106</v>
      </c>
      <c r="E42" s="48" t="s">
        <v>236</v>
      </c>
      <c r="F42" s="44" t="s">
        <v>238</v>
      </c>
      <c r="G42" s="56" t="s">
        <v>357</v>
      </c>
      <c r="H42" s="27" t="s">
        <v>351</v>
      </c>
      <c r="I42" s="27" t="s">
        <v>352</v>
      </c>
      <c r="J42" s="27"/>
    </row>
    <row r="43" spans="1:12" ht="15.75" x14ac:dyDescent="0.3">
      <c r="A43" s="27" t="s">
        <v>18</v>
      </c>
      <c r="B43" s="71" t="s">
        <v>552</v>
      </c>
      <c r="C43" s="50" t="s">
        <v>229</v>
      </c>
      <c r="D43" s="49" t="s">
        <v>18</v>
      </c>
      <c r="E43" s="48" t="s">
        <v>219</v>
      </c>
      <c r="F43" s="44" t="s">
        <v>239</v>
      </c>
      <c r="G43" s="61" t="b">
        <v>1</v>
      </c>
    </row>
    <row r="44" spans="1:12" ht="15.75" x14ac:dyDescent="0.3">
      <c r="A44" s="27" t="s">
        <v>139</v>
      </c>
      <c r="B44" s="71" t="s">
        <v>227</v>
      </c>
      <c r="C44" s="50" t="s">
        <v>229</v>
      </c>
      <c r="D44" s="49" t="s">
        <v>139</v>
      </c>
      <c r="E44" s="48" t="s">
        <v>234</v>
      </c>
      <c r="F44" s="44" t="s">
        <v>240</v>
      </c>
      <c r="H44" s="27" t="s">
        <v>351</v>
      </c>
      <c r="I44" s="27" t="s">
        <v>352</v>
      </c>
      <c r="J44" s="27"/>
    </row>
    <row r="45" spans="1:12" ht="15.75" x14ac:dyDescent="0.3">
      <c r="A45" s="27" t="s">
        <v>144</v>
      </c>
      <c r="B45" s="71" t="s">
        <v>543</v>
      </c>
      <c r="C45" s="50" t="s">
        <v>229</v>
      </c>
      <c r="D45" s="49" t="s">
        <v>144</v>
      </c>
      <c r="E45" s="48" t="s">
        <v>234</v>
      </c>
      <c r="F45" s="44" t="s">
        <v>240</v>
      </c>
      <c r="G45" s="56" t="s">
        <v>355</v>
      </c>
      <c r="H45" s="27" t="s">
        <v>351</v>
      </c>
      <c r="I45" s="27" t="s">
        <v>352</v>
      </c>
      <c r="J45" s="27"/>
    </row>
    <row r="46" spans="1:12" ht="15.75" x14ac:dyDescent="0.3">
      <c r="A46" s="27" t="s">
        <v>224</v>
      </c>
      <c r="B46" s="71" t="s">
        <v>549</v>
      </c>
      <c r="C46" s="49" t="s">
        <v>224</v>
      </c>
      <c r="D46" s="49" t="s">
        <v>146</v>
      </c>
      <c r="E46" s="48" t="s">
        <v>233</v>
      </c>
      <c r="F46" s="44" t="s">
        <v>240</v>
      </c>
      <c r="K46" s="27" t="s">
        <v>1264</v>
      </c>
    </row>
    <row r="47" spans="1:12" x14ac:dyDescent="0.25">
      <c r="A47" s="27" t="s">
        <v>198</v>
      </c>
      <c r="B47" s="71" t="s">
        <v>564</v>
      </c>
      <c r="C47" s="50" t="s">
        <v>229</v>
      </c>
      <c r="D47" s="28" t="s">
        <v>138</v>
      </c>
      <c r="E47" s="48" t="s">
        <v>237</v>
      </c>
      <c r="F47" s="44" t="s">
        <v>238</v>
      </c>
      <c r="G47" s="56" t="s">
        <v>355</v>
      </c>
      <c r="H47" s="27" t="s">
        <v>351</v>
      </c>
      <c r="I47" s="27" t="s">
        <v>352</v>
      </c>
      <c r="J47" s="27"/>
    </row>
    <row r="48" spans="1:12" ht="15.75" x14ac:dyDescent="0.3">
      <c r="A48" s="27" t="s">
        <v>107</v>
      </c>
      <c r="B48" s="71" t="s">
        <v>226</v>
      </c>
      <c r="C48" s="50" t="s">
        <v>229</v>
      </c>
      <c r="D48" s="49" t="s">
        <v>107</v>
      </c>
      <c r="E48" s="48" t="s">
        <v>233</v>
      </c>
      <c r="F48" s="44" t="s">
        <v>240</v>
      </c>
      <c r="G48" s="56" t="s">
        <v>355</v>
      </c>
      <c r="H48" s="27" t="s">
        <v>351</v>
      </c>
      <c r="I48" s="27" t="s">
        <v>352</v>
      </c>
      <c r="J48" s="27"/>
    </row>
    <row r="49" spans="1:12" ht="15.75" x14ac:dyDescent="0.3">
      <c r="A49" s="27" t="s">
        <v>203</v>
      </c>
      <c r="B49" s="71" t="s">
        <v>1260</v>
      </c>
      <c r="C49" s="49" t="s">
        <v>212</v>
      </c>
      <c r="D49" s="50" t="s">
        <v>140</v>
      </c>
      <c r="E49" s="48" t="s">
        <v>233</v>
      </c>
      <c r="F49" s="44" t="s">
        <v>240</v>
      </c>
      <c r="I49" s="27"/>
      <c r="J49" s="27"/>
      <c r="K49" s="17" t="str">
        <f>A49</f>
        <v>Расходники</v>
      </c>
      <c r="L49" s="27"/>
    </row>
    <row r="50" spans="1:12" ht="15.75" x14ac:dyDescent="0.3">
      <c r="A50" s="27" t="s">
        <v>225</v>
      </c>
      <c r="B50" s="71" t="s">
        <v>547</v>
      </c>
      <c r="C50" s="49" t="s">
        <v>225</v>
      </c>
      <c r="D50" s="49" t="s">
        <v>141</v>
      </c>
      <c r="E50" s="48" t="s">
        <v>233</v>
      </c>
      <c r="F50" s="44" t="s">
        <v>240</v>
      </c>
      <c r="K50" s="27" t="s">
        <v>1265</v>
      </c>
    </row>
    <row r="51" spans="1:12" ht="15.75" x14ac:dyDescent="0.3">
      <c r="A51" s="27" t="s">
        <v>104</v>
      </c>
      <c r="B51" s="71" t="s">
        <v>222</v>
      </c>
      <c r="C51" s="50" t="s">
        <v>229</v>
      </c>
      <c r="D51" s="49" t="s">
        <v>104</v>
      </c>
      <c r="E51" s="48" t="s">
        <v>104</v>
      </c>
      <c r="F51" s="44" t="s">
        <v>239</v>
      </c>
      <c r="G51" s="56" t="s">
        <v>355</v>
      </c>
      <c r="H51" s="27" t="s">
        <v>351</v>
      </c>
      <c r="I51" s="27" t="s">
        <v>352</v>
      </c>
      <c r="J51" s="27"/>
    </row>
    <row r="52" spans="1:12" ht="15.75" x14ac:dyDescent="0.3">
      <c r="A52" s="27" t="s">
        <v>143</v>
      </c>
      <c r="B52" s="71" t="s">
        <v>143</v>
      </c>
      <c r="C52" s="50" t="s">
        <v>229</v>
      </c>
      <c r="D52" s="49" t="s">
        <v>143</v>
      </c>
      <c r="E52" s="48" t="s">
        <v>233</v>
      </c>
      <c r="F52" s="44" t="s">
        <v>240</v>
      </c>
      <c r="G52" s="56" t="s">
        <v>355</v>
      </c>
      <c r="H52" s="27" t="s">
        <v>351</v>
      </c>
      <c r="I52" s="27" t="s">
        <v>352</v>
      </c>
      <c r="J52" s="27"/>
    </row>
    <row r="53" spans="1:12" x14ac:dyDescent="0.25">
      <c r="A53" s="55" t="s">
        <v>247</v>
      </c>
      <c r="B53" s="71" t="s">
        <v>1709</v>
      </c>
      <c r="C53" s="50"/>
      <c r="D53" s="28"/>
      <c r="E53" s="48"/>
      <c r="F53" s="44"/>
    </row>
    <row r="54" spans="1:12" x14ac:dyDescent="0.25">
      <c r="C54" s="50"/>
      <c r="D54" s="50" t="s">
        <v>142</v>
      </c>
      <c r="E54" s="48" t="s">
        <v>233</v>
      </c>
      <c r="F54" s="44" t="s">
        <v>240</v>
      </c>
    </row>
    <row r="55" spans="1:12" x14ac:dyDescent="0.25">
      <c r="C55" s="50"/>
      <c r="D55" s="50" t="s">
        <v>147</v>
      </c>
      <c r="E55" s="48" t="s">
        <v>233</v>
      </c>
      <c r="F55" s="44" t="s">
        <v>240</v>
      </c>
    </row>
    <row r="56" spans="1:12" x14ac:dyDescent="0.25">
      <c r="A56" s="27"/>
      <c r="C56" s="50"/>
      <c r="D56" s="50" t="s">
        <v>148</v>
      </c>
      <c r="E56" s="48" t="s">
        <v>233</v>
      </c>
      <c r="F56" s="44" t="s">
        <v>240</v>
      </c>
    </row>
    <row r="57" spans="1:12" x14ac:dyDescent="0.25">
      <c r="C57" s="28"/>
      <c r="D57" s="50" t="s">
        <v>145</v>
      </c>
      <c r="E57" s="48" t="s">
        <v>233</v>
      </c>
      <c r="F57" s="44" t="s">
        <v>240</v>
      </c>
    </row>
    <row r="58" spans="1:12" x14ac:dyDescent="0.25">
      <c r="A58" s="27" t="s">
        <v>1266</v>
      </c>
      <c r="C58" s="28"/>
      <c r="D58" s="50"/>
      <c r="F58" s="44"/>
    </row>
    <row r="59" spans="1:12" x14ac:dyDescent="0.25">
      <c r="A59" s="27" t="s">
        <v>1264</v>
      </c>
      <c r="B59" s="68" t="s">
        <v>1267</v>
      </c>
      <c r="C59" s="28"/>
      <c r="D59" s="50"/>
      <c r="F59" s="44"/>
    </row>
    <row r="60" spans="1:12" x14ac:dyDescent="0.25">
      <c r="A60" s="27" t="s">
        <v>351</v>
      </c>
      <c r="B60" s="68" t="s">
        <v>1268</v>
      </c>
      <c r="C60" s="28"/>
      <c r="D60" s="50"/>
      <c r="F60" s="44"/>
    </row>
    <row r="61" spans="1:12" x14ac:dyDescent="0.25">
      <c r="C61" s="28"/>
      <c r="D61" s="50"/>
      <c r="F61" s="44"/>
    </row>
    <row r="62" spans="1:12" x14ac:dyDescent="0.25">
      <c r="A62" s="72" t="s">
        <v>553</v>
      </c>
    </row>
    <row r="63" spans="1:12" x14ac:dyDescent="0.25">
      <c r="A63" s="27" t="s">
        <v>321</v>
      </c>
    </row>
    <row r="64" spans="1:12" x14ac:dyDescent="0.25">
      <c r="A64" s="27" t="s">
        <v>323</v>
      </c>
    </row>
    <row r="65" spans="1:7" x14ac:dyDescent="0.25">
      <c r="A65" s="27" t="s">
        <v>526</v>
      </c>
      <c r="B65" s="25" t="s">
        <v>70</v>
      </c>
    </row>
    <row r="66" spans="1:7" x14ac:dyDescent="0.25">
      <c r="A66" s="27" t="s">
        <v>294</v>
      </c>
      <c r="B66" s="24">
        <v>1</v>
      </c>
    </row>
    <row r="67" spans="1:7" x14ac:dyDescent="0.25">
      <c r="A67" s="27" t="s">
        <v>292</v>
      </c>
      <c r="B67" s="24">
        <v>1</v>
      </c>
    </row>
    <row r="68" spans="1:7" x14ac:dyDescent="0.25">
      <c r="A68" s="27" t="s">
        <v>300</v>
      </c>
      <c r="B68" s="24">
        <v>1</v>
      </c>
    </row>
    <row r="69" spans="1:7" x14ac:dyDescent="0.25">
      <c r="A69" s="27" t="s">
        <v>307</v>
      </c>
    </row>
    <row r="70" spans="1:7" x14ac:dyDescent="0.25">
      <c r="A70" s="27" t="s">
        <v>536</v>
      </c>
    </row>
    <row r="71" spans="1:7" x14ac:dyDescent="0.25">
      <c r="A71" s="27" t="s">
        <v>533</v>
      </c>
      <c r="B71" s="25" t="s">
        <v>70</v>
      </c>
    </row>
    <row r="72" spans="1:7" x14ac:dyDescent="0.25">
      <c r="A72" s="27" t="s">
        <v>365</v>
      </c>
      <c r="F72" s="17"/>
      <c r="G72" s="17"/>
    </row>
    <row r="73" spans="1:7" x14ac:dyDescent="0.25">
      <c r="A73" s="27" t="s">
        <v>283</v>
      </c>
      <c r="F73" s="17"/>
      <c r="G73" s="17"/>
    </row>
    <row r="74" spans="1:7" x14ac:dyDescent="0.25">
      <c r="A74" s="27" t="s">
        <v>324</v>
      </c>
      <c r="F74" s="17"/>
      <c r="G74" s="17"/>
    </row>
    <row r="75" spans="1:7" x14ac:dyDescent="0.25">
      <c r="A75" s="27" t="s">
        <v>290</v>
      </c>
      <c r="F75" s="17"/>
      <c r="G75" s="17"/>
    </row>
    <row r="76" spans="1:7" x14ac:dyDescent="0.25">
      <c r="A76" s="27" t="s">
        <v>293</v>
      </c>
      <c r="B76" s="24">
        <v>1</v>
      </c>
      <c r="F76" s="17"/>
      <c r="G76" s="17"/>
    </row>
    <row r="77" spans="1:7" x14ac:dyDescent="0.25">
      <c r="A77" s="27" t="s">
        <v>296</v>
      </c>
      <c r="B77" s="24">
        <v>1</v>
      </c>
      <c r="F77" s="17"/>
      <c r="G77" s="17"/>
    </row>
    <row r="78" spans="1:7" x14ac:dyDescent="0.25">
      <c r="A78" s="27" t="s">
        <v>322</v>
      </c>
      <c r="F78" s="17"/>
      <c r="G78" s="17"/>
    </row>
    <row r="79" spans="1:7" x14ac:dyDescent="0.25">
      <c r="A79" s="27" t="s">
        <v>335</v>
      </c>
      <c r="F79" s="17"/>
      <c r="G79" s="17"/>
    </row>
    <row r="80" spans="1:7" x14ac:dyDescent="0.25">
      <c r="A80" s="27" t="s">
        <v>303</v>
      </c>
      <c r="F80" s="17"/>
      <c r="G80" s="17"/>
    </row>
    <row r="81" spans="1:7" x14ac:dyDescent="0.25">
      <c r="A81" s="27" t="s">
        <v>306</v>
      </c>
      <c r="F81" s="17"/>
      <c r="G81" s="17"/>
    </row>
    <row r="82" spans="1:7" x14ac:dyDescent="0.25">
      <c r="A82" s="27" t="s">
        <v>287</v>
      </c>
      <c r="B82" s="24">
        <v>1</v>
      </c>
      <c r="F82" s="17"/>
      <c r="G82" s="17"/>
    </row>
    <row r="83" spans="1:7" x14ac:dyDescent="0.25">
      <c r="A83" s="27" t="s">
        <v>269</v>
      </c>
      <c r="B83" s="24">
        <v>1</v>
      </c>
      <c r="F83" s="17"/>
      <c r="G83" s="17"/>
    </row>
    <row r="84" spans="1:7" x14ac:dyDescent="0.25">
      <c r="A84" s="27" t="s">
        <v>268</v>
      </c>
      <c r="F84" s="17"/>
      <c r="G84" s="17"/>
    </row>
    <row r="85" spans="1:7" x14ac:dyDescent="0.25">
      <c r="A85" s="27" t="s">
        <v>313</v>
      </c>
      <c r="B85" s="24">
        <v>1</v>
      </c>
      <c r="F85" s="17"/>
      <c r="G85" s="17"/>
    </row>
    <row r="86" spans="1:7" x14ac:dyDescent="0.25">
      <c r="A86" s="27" t="s">
        <v>362</v>
      </c>
      <c r="F86" s="17"/>
      <c r="G86" s="17"/>
    </row>
    <row r="87" spans="1:7" x14ac:dyDescent="0.25">
      <c r="A87" s="27" t="s">
        <v>299</v>
      </c>
      <c r="B87" s="24">
        <v>1</v>
      </c>
      <c r="F87" s="17"/>
      <c r="G87" s="17"/>
    </row>
    <row r="88" spans="1:7" x14ac:dyDescent="0.25">
      <c r="A88" s="27" t="s">
        <v>279</v>
      </c>
      <c r="B88" s="24">
        <v>1</v>
      </c>
      <c r="F88" s="17"/>
      <c r="G88" s="17"/>
    </row>
    <row r="89" spans="1:7" x14ac:dyDescent="0.25">
      <c r="A89" s="27" t="s">
        <v>270</v>
      </c>
      <c r="F89" s="17"/>
      <c r="G89" s="17"/>
    </row>
    <row r="90" spans="1:7" x14ac:dyDescent="0.25">
      <c r="A90" s="27" t="s">
        <v>272</v>
      </c>
      <c r="F90" s="17"/>
      <c r="G90" s="17"/>
    </row>
    <row r="91" spans="1:7" x14ac:dyDescent="0.25">
      <c r="A91" s="27" t="s">
        <v>537</v>
      </c>
      <c r="F91" s="17"/>
      <c r="G91" s="17"/>
    </row>
    <row r="92" spans="1:7" x14ac:dyDescent="0.25">
      <c r="A92" s="27" t="s">
        <v>332</v>
      </c>
      <c r="F92" s="17"/>
      <c r="G92" s="17"/>
    </row>
    <row r="93" spans="1:7" x14ac:dyDescent="0.25">
      <c r="A93" s="27" t="s">
        <v>274</v>
      </c>
      <c r="F93" s="17"/>
      <c r="G93" s="17"/>
    </row>
    <row r="94" spans="1:7" x14ac:dyDescent="0.25">
      <c r="A94" s="27" t="s">
        <v>289</v>
      </c>
      <c r="F94" s="17"/>
      <c r="G94" s="17"/>
    </row>
    <row r="95" spans="1:7" x14ac:dyDescent="0.25">
      <c r="A95" s="27" t="s">
        <v>325</v>
      </c>
      <c r="B95" s="24">
        <v>1</v>
      </c>
      <c r="F95" s="17"/>
      <c r="G95" s="17"/>
    </row>
    <row r="96" spans="1:7" x14ac:dyDescent="0.25">
      <c r="A96" s="27" t="s">
        <v>282</v>
      </c>
      <c r="F96" s="17"/>
      <c r="G96" s="17"/>
    </row>
    <row r="97" spans="1:7" x14ac:dyDescent="0.25">
      <c r="A97" s="27" t="s">
        <v>311</v>
      </c>
      <c r="F97" s="17"/>
      <c r="G97" s="17"/>
    </row>
    <row r="98" spans="1:7" x14ac:dyDescent="0.25">
      <c r="A98" s="27" t="s">
        <v>334</v>
      </c>
      <c r="F98" s="17"/>
      <c r="G98" s="17"/>
    </row>
    <row r="99" spans="1:7" x14ac:dyDescent="0.25">
      <c r="A99" s="27" t="s">
        <v>298</v>
      </c>
      <c r="B99" s="24">
        <v>1</v>
      </c>
      <c r="F99" s="17"/>
      <c r="G99" s="17"/>
    </row>
    <row r="100" spans="1:7" x14ac:dyDescent="0.25">
      <c r="A100" s="27" t="s">
        <v>318</v>
      </c>
      <c r="F100" s="17"/>
      <c r="G100" s="17"/>
    </row>
    <row r="101" spans="1:7" x14ac:dyDescent="0.25">
      <c r="A101" s="27" t="s">
        <v>535</v>
      </c>
      <c r="F101" s="17"/>
      <c r="G101" s="17"/>
    </row>
    <row r="102" spans="1:7" x14ac:dyDescent="0.25">
      <c r="A102" s="27" t="s">
        <v>534</v>
      </c>
      <c r="F102" s="17"/>
      <c r="G102" s="17"/>
    </row>
    <row r="103" spans="1:7" x14ac:dyDescent="0.25">
      <c r="A103" s="27" t="s">
        <v>228</v>
      </c>
      <c r="F103" s="17"/>
      <c r="G103" s="17"/>
    </row>
    <row r="104" spans="1:7" x14ac:dyDescent="0.25">
      <c r="A104" s="27" t="s">
        <v>326</v>
      </c>
      <c r="B104" s="24">
        <v>1</v>
      </c>
      <c r="F104" s="17"/>
      <c r="G104" s="17"/>
    </row>
    <row r="105" spans="1:7" x14ac:dyDescent="0.25">
      <c r="A105" s="27" t="s">
        <v>329</v>
      </c>
      <c r="B105" s="24">
        <v>1</v>
      </c>
      <c r="F105" s="17"/>
      <c r="G105" s="17"/>
    </row>
    <row r="106" spans="1:7" x14ac:dyDescent="0.25">
      <c r="A106" s="27" t="s">
        <v>278</v>
      </c>
      <c r="F106" s="17"/>
      <c r="G106" s="17"/>
    </row>
    <row r="107" spans="1:7" x14ac:dyDescent="0.25">
      <c r="A107" s="27" t="s">
        <v>285</v>
      </c>
      <c r="F107" s="17"/>
      <c r="G107" s="17"/>
    </row>
    <row r="108" spans="1:7" x14ac:dyDescent="0.25">
      <c r="A108" s="27" t="s">
        <v>266</v>
      </c>
      <c r="F108" s="17"/>
      <c r="G108" s="17"/>
    </row>
    <row r="109" spans="1:7" x14ac:dyDescent="0.25">
      <c r="A109" s="27" t="s">
        <v>330</v>
      </c>
      <c r="B109" s="24">
        <v>1</v>
      </c>
      <c r="F109" s="17"/>
      <c r="G109" s="17"/>
    </row>
    <row r="110" spans="1:7" x14ac:dyDescent="0.25">
      <c r="A110" s="27" t="s">
        <v>286</v>
      </c>
      <c r="F110" s="17"/>
      <c r="G110" s="17"/>
    </row>
    <row r="111" spans="1:7" x14ac:dyDescent="0.25">
      <c r="A111" s="27" t="s">
        <v>297</v>
      </c>
      <c r="F111" s="17"/>
      <c r="G111" s="17"/>
    </row>
    <row r="112" spans="1:7" x14ac:dyDescent="0.25">
      <c r="A112" s="27" t="s">
        <v>291</v>
      </c>
      <c r="B112" s="24">
        <v>1</v>
      </c>
      <c r="F112" s="17"/>
      <c r="G112" s="17"/>
    </row>
    <row r="113" spans="1:7" x14ac:dyDescent="0.25">
      <c r="A113" s="27" t="s">
        <v>304</v>
      </c>
      <c r="F113" s="17"/>
      <c r="G113" s="17"/>
    </row>
    <row r="114" spans="1:7" x14ac:dyDescent="0.25">
      <c r="A114" s="27" t="s">
        <v>309</v>
      </c>
      <c r="F114" s="17"/>
      <c r="G114" s="17"/>
    </row>
    <row r="115" spans="1:7" x14ac:dyDescent="0.25">
      <c r="A115" s="27" t="s">
        <v>273</v>
      </c>
      <c r="F115" s="17"/>
      <c r="G115" s="17"/>
    </row>
    <row r="116" spans="1:7" x14ac:dyDescent="0.25">
      <c r="A116" s="27" t="s">
        <v>314</v>
      </c>
      <c r="F116" s="17"/>
      <c r="G116" s="17"/>
    </row>
    <row r="117" spans="1:7" x14ac:dyDescent="0.25">
      <c r="A117" s="27" t="s">
        <v>302</v>
      </c>
      <c r="B117" s="24">
        <v>1</v>
      </c>
      <c r="F117" s="17"/>
      <c r="G117" s="17"/>
    </row>
    <row r="118" spans="1:7" x14ac:dyDescent="0.25">
      <c r="A118" s="27" t="s">
        <v>320</v>
      </c>
      <c r="B118" s="24">
        <v>1</v>
      </c>
      <c r="F118" s="17"/>
      <c r="G118" s="17"/>
    </row>
    <row r="119" spans="1:7" x14ac:dyDescent="0.25">
      <c r="A119" s="27" t="s">
        <v>213</v>
      </c>
      <c r="F119" s="17"/>
      <c r="G119" s="17"/>
    </row>
    <row r="120" spans="1:7" x14ac:dyDescent="0.25">
      <c r="A120" s="27" t="s">
        <v>328</v>
      </c>
      <c r="B120" s="24">
        <v>1</v>
      </c>
      <c r="F120" s="17"/>
      <c r="G120" s="17"/>
    </row>
    <row r="121" spans="1:7" x14ac:dyDescent="0.25">
      <c r="A121" s="27" t="s">
        <v>275</v>
      </c>
      <c r="F121" s="17"/>
      <c r="G121" s="17"/>
    </row>
    <row r="122" spans="1:7" x14ac:dyDescent="0.25">
      <c r="A122" s="27" t="s">
        <v>312</v>
      </c>
      <c r="B122" s="24">
        <v>1</v>
      </c>
      <c r="F122" s="17"/>
      <c r="G122" s="17"/>
    </row>
    <row r="123" spans="1:7" x14ac:dyDescent="0.25">
      <c r="A123" s="27" t="s">
        <v>310</v>
      </c>
      <c r="F123" s="17"/>
      <c r="G123" s="17"/>
    </row>
    <row r="124" spans="1:7" x14ac:dyDescent="0.25">
      <c r="A124" s="27" t="s">
        <v>280</v>
      </c>
      <c r="F124" s="17"/>
      <c r="G124" s="17"/>
    </row>
    <row r="125" spans="1:7" x14ac:dyDescent="0.25">
      <c r="A125" s="27" t="s">
        <v>308</v>
      </c>
      <c r="F125" s="17"/>
      <c r="G125" s="17"/>
    </row>
    <row r="126" spans="1:7" x14ac:dyDescent="0.25">
      <c r="A126" s="27" t="s">
        <v>317</v>
      </c>
      <c r="F126" s="17"/>
      <c r="G126" s="17"/>
    </row>
    <row r="127" spans="1:7" x14ac:dyDescent="0.25">
      <c r="A127" s="27" t="s">
        <v>102</v>
      </c>
      <c r="F127" s="17"/>
      <c r="G127" s="17"/>
    </row>
    <row r="128" spans="1:7" x14ac:dyDescent="0.25">
      <c r="A128" s="27" t="s">
        <v>284</v>
      </c>
      <c r="F128" s="17"/>
      <c r="G128" s="17"/>
    </row>
    <row r="129" spans="1:7" x14ac:dyDescent="0.25">
      <c r="A129" s="27" t="s">
        <v>333</v>
      </c>
      <c r="B129" s="24">
        <v>1</v>
      </c>
      <c r="F129" s="17"/>
      <c r="G129" s="17"/>
    </row>
    <row r="130" spans="1:7" x14ac:dyDescent="0.25">
      <c r="A130" s="27" t="s">
        <v>331</v>
      </c>
      <c r="B130" s="24">
        <v>1</v>
      </c>
      <c r="F130" s="17"/>
      <c r="G130" s="17"/>
    </row>
    <row r="131" spans="1:7" x14ac:dyDescent="0.25">
      <c r="A131" s="27" t="s">
        <v>305</v>
      </c>
      <c r="F131" s="17"/>
      <c r="G131" s="17"/>
    </row>
    <row r="132" spans="1:7" x14ac:dyDescent="0.25">
      <c r="A132" s="27" t="s">
        <v>316</v>
      </c>
      <c r="B132" s="24">
        <v>1</v>
      </c>
      <c r="F132" s="17"/>
      <c r="G132" s="17"/>
    </row>
    <row r="133" spans="1:7" x14ac:dyDescent="0.25">
      <c r="A133" s="27" t="s">
        <v>538</v>
      </c>
      <c r="B133" s="25" t="s">
        <v>70</v>
      </c>
      <c r="F133" s="17"/>
      <c r="G133" s="17"/>
    </row>
    <row r="134" spans="1:7" x14ac:dyDescent="0.25">
      <c r="A134" s="27" t="s">
        <v>277</v>
      </c>
      <c r="F134" s="17"/>
      <c r="G134" s="17"/>
    </row>
    <row r="135" spans="1:7" x14ac:dyDescent="0.25">
      <c r="A135" s="27" t="s">
        <v>327</v>
      </c>
      <c r="B135" s="24">
        <v>1</v>
      </c>
      <c r="F135" s="17"/>
      <c r="G135" s="17"/>
    </row>
    <row r="136" spans="1:7" x14ac:dyDescent="0.25">
      <c r="A136" s="27" t="s">
        <v>271</v>
      </c>
      <c r="F136" s="17"/>
      <c r="G136" s="17"/>
    </row>
    <row r="137" spans="1:7" x14ac:dyDescent="0.25">
      <c r="A137" s="27" t="s">
        <v>364</v>
      </c>
      <c r="F137" s="17"/>
      <c r="G137" s="17"/>
    </row>
    <row r="138" spans="1:7" x14ac:dyDescent="0.25">
      <c r="A138" s="27" t="s">
        <v>301</v>
      </c>
      <c r="F138" s="17"/>
      <c r="G138" s="17"/>
    </row>
    <row r="139" spans="1:7" x14ac:dyDescent="0.25">
      <c r="A139" s="27" t="s">
        <v>539</v>
      </c>
      <c r="F139" s="17"/>
      <c r="G139" s="17"/>
    </row>
    <row r="140" spans="1:7" x14ac:dyDescent="0.25">
      <c r="A140" s="27" t="s">
        <v>267</v>
      </c>
      <c r="F140" s="17"/>
      <c r="G140" s="17"/>
    </row>
    <row r="141" spans="1:7" x14ac:dyDescent="0.25">
      <c r="A141" s="27" t="s">
        <v>532</v>
      </c>
      <c r="B141" s="25" t="s">
        <v>70</v>
      </c>
      <c r="F141" s="17"/>
      <c r="G141" s="17"/>
    </row>
    <row r="142" spans="1:7" x14ac:dyDescent="0.25">
      <c r="A142" s="27" t="s">
        <v>276</v>
      </c>
      <c r="F142" s="17"/>
      <c r="G142" s="17"/>
    </row>
    <row r="143" spans="1:7" x14ac:dyDescent="0.25">
      <c r="A143" s="27" t="s">
        <v>319</v>
      </c>
      <c r="F143" s="17"/>
      <c r="G143" s="17"/>
    </row>
    <row r="144" spans="1:7" x14ac:dyDescent="0.25">
      <c r="A144" s="27" t="s">
        <v>363</v>
      </c>
      <c r="F144" s="17"/>
      <c r="G144" s="17"/>
    </row>
    <row r="145" spans="1:7" x14ac:dyDescent="0.25">
      <c r="A145" s="27" t="s">
        <v>295</v>
      </c>
      <c r="B145" s="24">
        <v>1</v>
      </c>
      <c r="F145" s="17"/>
      <c r="G145" s="17"/>
    </row>
    <row r="146" spans="1:7" x14ac:dyDescent="0.25">
      <c r="A146" s="27" t="s">
        <v>288</v>
      </c>
      <c r="B146" s="24">
        <v>1</v>
      </c>
      <c r="F146" s="17"/>
      <c r="G146" s="17"/>
    </row>
    <row r="147" spans="1:7" x14ac:dyDescent="0.25">
      <c r="A147" s="27" t="s">
        <v>540</v>
      </c>
      <c r="F147" s="17"/>
      <c r="G147" s="17"/>
    </row>
    <row r="148" spans="1:7" x14ac:dyDescent="0.25">
      <c r="A148" s="27" t="s">
        <v>525</v>
      </c>
      <c r="F148" s="17"/>
      <c r="G148" s="17"/>
    </row>
    <row r="149" spans="1:7" x14ac:dyDescent="0.25">
      <c r="A149" s="27" t="s">
        <v>281</v>
      </c>
      <c r="F149" s="17"/>
      <c r="G149" s="17"/>
    </row>
    <row r="150" spans="1:7" x14ac:dyDescent="0.25">
      <c r="A150" s="27" t="s">
        <v>527</v>
      </c>
      <c r="B150" s="25" t="s">
        <v>70</v>
      </c>
      <c r="F150" s="17"/>
      <c r="G150" s="17"/>
    </row>
    <row r="151" spans="1:7" x14ac:dyDescent="0.25">
      <c r="F151" s="17"/>
      <c r="G151" s="17"/>
    </row>
    <row r="152" spans="1:7" x14ac:dyDescent="0.25">
      <c r="A152" s="73" t="s">
        <v>474</v>
      </c>
      <c r="F152" s="17"/>
      <c r="G152" s="17"/>
    </row>
    <row r="153" spans="1:7" x14ac:dyDescent="0.25">
      <c r="A153" s="17" t="s">
        <v>88</v>
      </c>
      <c r="F153" s="17"/>
      <c r="G153" s="17"/>
    </row>
    <row r="154" spans="1:7" x14ac:dyDescent="0.25">
      <c r="A154" s="27" t="s">
        <v>528</v>
      </c>
      <c r="B154" s="25" t="s">
        <v>529</v>
      </c>
      <c r="F154" s="17"/>
      <c r="G154" s="17"/>
    </row>
    <row r="155" spans="1:7" x14ac:dyDescent="0.25">
      <c r="A155" s="17" t="s">
        <v>501</v>
      </c>
      <c r="F155" s="17"/>
      <c r="G155" s="17"/>
    </row>
    <row r="156" spans="1:7" x14ac:dyDescent="0.25">
      <c r="A156" s="27" t="s">
        <v>200</v>
      </c>
      <c r="F156" s="17"/>
      <c r="G156" s="17"/>
    </row>
    <row r="157" spans="1:7" x14ac:dyDescent="0.25">
      <c r="A157" s="17" t="s">
        <v>195</v>
      </c>
      <c r="B157" s="17"/>
      <c r="F157" s="17"/>
      <c r="G157" s="17"/>
    </row>
    <row r="158" spans="1:7" x14ac:dyDescent="0.25">
      <c r="A158" s="17" t="s">
        <v>87</v>
      </c>
      <c r="F158" s="17"/>
      <c r="G158" s="17"/>
    </row>
    <row r="159" spans="1:7" x14ac:dyDescent="0.25">
      <c r="A159" s="17" t="s">
        <v>503</v>
      </c>
      <c r="B159" s="74" t="s">
        <v>504</v>
      </c>
      <c r="F159" s="17"/>
      <c r="G159" s="17"/>
    </row>
    <row r="160" spans="1:7" x14ac:dyDescent="0.25">
      <c r="A160" s="27" t="s">
        <v>531</v>
      </c>
      <c r="B160" s="74" t="s">
        <v>530</v>
      </c>
      <c r="F160" s="17"/>
      <c r="G160" s="17"/>
    </row>
    <row r="161" spans="1:7" x14ac:dyDescent="0.25">
      <c r="A161" s="17" t="s">
        <v>472</v>
      </c>
      <c r="B161" s="27"/>
      <c r="F161" s="17"/>
      <c r="G161" s="17"/>
    </row>
    <row r="162" spans="1:7" x14ac:dyDescent="0.25">
      <c r="A162" s="17" t="s">
        <v>93</v>
      </c>
      <c r="F162" s="17"/>
      <c r="G162" s="17"/>
    </row>
    <row r="163" spans="1:7" x14ac:dyDescent="0.25">
      <c r="A163" s="17" t="s">
        <v>85</v>
      </c>
    </row>
    <row r="164" spans="1:7" x14ac:dyDescent="0.25">
      <c r="A164" s="17" t="s">
        <v>103</v>
      </c>
      <c r="F164" s="17"/>
      <c r="G164" s="17"/>
    </row>
    <row r="165" spans="1:7" x14ac:dyDescent="0.25">
      <c r="A165" s="17" t="s">
        <v>86</v>
      </c>
      <c r="F165" s="17"/>
      <c r="G165" s="17"/>
    </row>
    <row r="166" spans="1:7" x14ac:dyDescent="0.25">
      <c r="A166" s="17" t="s">
        <v>191</v>
      </c>
      <c r="F166" s="17"/>
      <c r="G166" s="17"/>
    </row>
    <row r="167" spans="1:7" x14ac:dyDescent="0.25">
      <c r="A167" s="17" t="s">
        <v>89</v>
      </c>
      <c r="F167" s="17"/>
      <c r="G167" s="17"/>
    </row>
    <row r="168" spans="1:7" x14ac:dyDescent="0.25">
      <c r="A168" s="17" t="s">
        <v>473</v>
      </c>
      <c r="B168" s="27"/>
    </row>
    <row r="169" spans="1:7" x14ac:dyDescent="0.25">
      <c r="A169" s="17" t="s">
        <v>524</v>
      </c>
      <c r="F169" s="17"/>
      <c r="G169" s="17"/>
    </row>
    <row r="170" spans="1:7" x14ac:dyDescent="0.25">
      <c r="A170" s="17" t="s">
        <v>197</v>
      </c>
      <c r="C170" s="27" t="s">
        <v>505</v>
      </c>
      <c r="F170" s="17"/>
      <c r="G170" s="17"/>
    </row>
    <row r="171" spans="1:7" x14ac:dyDescent="0.25">
      <c r="A171" s="17" t="s">
        <v>193</v>
      </c>
      <c r="C171" s="27"/>
      <c r="F171" s="17"/>
      <c r="G171" s="17"/>
    </row>
    <row r="172" spans="1:7" x14ac:dyDescent="0.25">
      <c r="A172" s="17" t="s">
        <v>502</v>
      </c>
      <c r="B172" s="17" t="s">
        <v>470</v>
      </c>
      <c r="F172" s="17"/>
      <c r="G172" s="17"/>
    </row>
    <row r="173" spans="1:7" x14ac:dyDescent="0.25">
      <c r="A173" s="17" t="s">
        <v>500</v>
      </c>
      <c r="F173" s="17"/>
      <c r="G173" s="17"/>
    </row>
    <row r="174" spans="1:7" x14ac:dyDescent="0.25">
      <c r="A174" s="17" t="s">
        <v>199</v>
      </c>
      <c r="F174" s="17"/>
      <c r="G174" s="17"/>
    </row>
    <row r="175" spans="1:7" x14ac:dyDescent="0.25">
      <c r="A175" s="17" t="s">
        <v>469</v>
      </c>
    </row>
    <row r="176" spans="1:7" x14ac:dyDescent="0.25">
      <c r="A176" s="17" t="s">
        <v>471</v>
      </c>
      <c r="B176" s="27"/>
      <c r="F176" s="17"/>
      <c r="G176" s="17"/>
    </row>
    <row r="177" spans="1:7" x14ac:dyDescent="0.25">
      <c r="A177" s="17" t="s">
        <v>196</v>
      </c>
      <c r="B177" s="27"/>
      <c r="F177" s="17"/>
      <c r="G177" s="17"/>
    </row>
    <row r="178" spans="1:7" x14ac:dyDescent="0.25">
      <c r="A178" s="17" t="s">
        <v>194</v>
      </c>
      <c r="B178" s="27"/>
      <c r="F178" s="17"/>
      <c r="G178" s="17"/>
    </row>
    <row r="179" spans="1:7" x14ac:dyDescent="0.25">
      <c r="A179" s="17" t="s">
        <v>90</v>
      </c>
      <c r="F179" s="17"/>
      <c r="G179" s="17"/>
    </row>
    <row r="180" spans="1:7" x14ac:dyDescent="0.25">
      <c r="F180" s="17"/>
      <c r="G180" s="17"/>
    </row>
    <row r="181" spans="1:7" x14ac:dyDescent="0.25">
      <c r="A181" s="73" t="s">
        <v>481</v>
      </c>
      <c r="E181" s="74"/>
      <c r="F181" s="17"/>
      <c r="G181" s="17"/>
    </row>
    <row r="182" spans="1:7" x14ac:dyDescent="0.25">
      <c r="A182" s="27" t="s">
        <v>475</v>
      </c>
      <c r="E182"/>
      <c r="F182" s="17"/>
      <c r="G182" s="17"/>
    </row>
    <row r="183" spans="1:7" x14ac:dyDescent="0.25">
      <c r="A183" s="27" t="s">
        <v>476</v>
      </c>
      <c r="E183"/>
      <c r="F183" s="17"/>
      <c r="G183" s="17"/>
    </row>
    <row r="184" spans="1:7" x14ac:dyDescent="0.25">
      <c r="A184" s="27" t="s">
        <v>192</v>
      </c>
      <c r="E184"/>
      <c r="F184" s="17"/>
      <c r="G184" s="17"/>
    </row>
    <row r="185" spans="1:7" x14ac:dyDescent="0.25">
      <c r="A185" s="27" t="s">
        <v>477</v>
      </c>
      <c r="E185"/>
      <c r="F185" s="17"/>
      <c r="G185" s="17"/>
    </row>
    <row r="186" spans="1:7" x14ac:dyDescent="0.25">
      <c r="A186" s="17" t="s">
        <v>478</v>
      </c>
      <c r="E186"/>
      <c r="F186" s="17"/>
      <c r="G186" s="17"/>
    </row>
    <row r="187" spans="1:7" x14ac:dyDescent="0.25">
      <c r="D187" s="74"/>
      <c r="E187"/>
      <c r="F187" s="17"/>
      <c r="G187" s="17"/>
    </row>
    <row r="188" spans="1:7" x14ac:dyDescent="0.25">
      <c r="A188" s="72" t="s">
        <v>482</v>
      </c>
      <c r="D188" s="74"/>
      <c r="E188" s="74"/>
      <c r="F188" s="17"/>
      <c r="G188" s="17"/>
    </row>
    <row r="189" spans="1:7" x14ac:dyDescent="0.25">
      <c r="A189" s="27" t="s">
        <v>479</v>
      </c>
      <c r="D189" s="74"/>
      <c r="E189"/>
    </row>
    <row r="190" spans="1:7" x14ac:dyDescent="0.25">
      <c r="A190" s="27" t="s">
        <v>480</v>
      </c>
      <c r="D190" s="74"/>
      <c r="E190"/>
      <c r="F190" s="17"/>
      <c r="G190" s="17"/>
    </row>
    <row r="191" spans="1:7" x14ac:dyDescent="0.25">
      <c r="A191" s="27" t="s">
        <v>190</v>
      </c>
      <c r="D191" s="74"/>
      <c r="E191"/>
      <c r="F191" s="17"/>
      <c r="G191" s="17"/>
    </row>
    <row r="192" spans="1:7" x14ac:dyDescent="0.25">
      <c r="F192" s="17"/>
      <c r="G192" s="17"/>
    </row>
    <row r="193" spans="1:7" x14ac:dyDescent="0.25">
      <c r="A193" s="73" t="s">
        <v>373</v>
      </c>
      <c r="F193" s="17"/>
      <c r="G193" s="17"/>
    </row>
    <row r="194" spans="1:7" x14ac:dyDescent="0.25">
      <c r="A194" s="27" t="s">
        <v>372</v>
      </c>
      <c r="F194" s="17"/>
      <c r="G194" s="17"/>
    </row>
    <row r="195" spans="1:7" x14ac:dyDescent="0.25">
      <c r="A195" s="27" t="s">
        <v>465</v>
      </c>
      <c r="F195" s="17"/>
      <c r="G195" s="17"/>
    </row>
    <row r="196" spans="1:7" x14ac:dyDescent="0.25">
      <c r="A196" s="27" t="s">
        <v>463</v>
      </c>
    </row>
    <row r="197" spans="1:7" x14ac:dyDescent="0.25">
      <c r="A197" s="27" t="s">
        <v>467</v>
      </c>
    </row>
    <row r="198" spans="1:7" x14ac:dyDescent="0.25">
      <c r="A198" s="27" t="s">
        <v>464</v>
      </c>
    </row>
    <row r="199" spans="1:7" x14ac:dyDescent="0.25">
      <c r="A199" s="27" t="s">
        <v>370</v>
      </c>
    </row>
    <row r="200" spans="1:7" x14ac:dyDescent="0.25">
      <c r="A200" s="27" t="s">
        <v>466</v>
      </c>
    </row>
    <row r="201" spans="1:7" x14ac:dyDescent="0.25">
      <c r="A201" s="27" t="s">
        <v>374</v>
      </c>
    </row>
    <row r="202" spans="1:7" x14ac:dyDescent="0.25">
      <c r="A202" s="27" t="s">
        <v>366</v>
      </c>
    </row>
    <row r="203" spans="1:7" ht="15.75" thickBot="1" x14ac:dyDescent="0.3"/>
    <row r="204" spans="1:7" x14ac:dyDescent="0.25">
      <c r="A204" s="75" t="s">
        <v>378</v>
      </c>
      <c r="B204" s="79"/>
      <c r="C204" s="82" t="s">
        <v>483</v>
      </c>
      <c r="D204" s="83" t="s">
        <v>484</v>
      </c>
      <c r="E204" s="84"/>
      <c r="F204" s="85"/>
      <c r="G204" s="17"/>
    </row>
    <row r="205" spans="1:7" x14ac:dyDescent="0.25">
      <c r="A205" s="76" t="s">
        <v>490</v>
      </c>
      <c r="B205" s="80" t="s">
        <v>491</v>
      </c>
      <c r="C205" s="86" t="s">
        <v>461</v>
      </c>
      <c r="D205" s="29" t="s">
        <v>381</v>
      </c>
      <c r="E205" s="29"/>
      <c r="F205" s="77"/>
      <c r="G205" s="17"/>
    </row>
    <row r="206" spans="1:7" x14ac:dyDescent="0.25">
      <c r="A206" s="76" t="s">
        <v>459</v>
      </c>
      <c r="B206" s="80" t="s">
        <v>491</v>
      </c>
      <c r="C206" s="86" t="s">
        <v>377</v>
      </c>
      <c r="D206" s="29" t="s">
        <v>382</v>
      </c>
      <c r="E206" s="29"/>
      <c r="F206" s="77"/>
      <c r="G206" s="17"/>
    </row>
    <row r="207" spans="1:7" x14ac:dyDescent="0.25">
      <c r="A207" s="76" t="s">
        <v>457</v>
      </c>
      <c r="B207" s="80" t="s">
        <v>491</v>
      </c>
      <c r="C207" s="86" t="s">
        <v>377</v>
      </c>
      <c r="D207" s="29" t="s">
        <v>383</v>
      </c>
      <c r="E207" s="29"/>
      <c r="F207" s="77"/>
      <c r="G207" s="17"/>
    </row>
    <row r="208" spans="1:7" x14ac:dyDescent="0.25">
      <c r="A208" s="76" t="s">
        <v>380</v>
      </c>
      <c r="B208" s="81" t="s">
        <v>491</v>
      </c>
      <c r="C208" s="86" t="s">
        <v>377</v>
      </c>
      <c r="D208" s="29" t="s">
        <v>384</v>
      </c>
      <c r="E208" s="29"/>
      <c r="F208" s="77"/>
      <c r="G208" s="17"/>
    </row>
    <row r="209" spans="1:7" x14ac:dyDescent="0.25">
      <c r="A209" s="76" t="s">
        <v>468</v>
      </c>
      <c r="B209" s="80" t="s">
        <v>491</v>
      </c>
      <c r="C209" s="86" t="s">
        <v>489</v>
      </c>
      <c r="D209" s="29" t="s">
        <v>385</v>
      </c>
      <c r="E209" s="29"/>
      <c r="F209" s="77"/>
      <c r="G209" s="17"/>
    </row>
    <row r="210" spans="1:7" x14ac:dyDescent="0.25">
      <c r="A210" s="76" t="s">
        <v>458</v>
      </c>
      <c r="B210" s="80" t="s">
        <v>491</v>
      </c>
      <c r="C210" s="86" t="s">
        <v>494</v>
      </c>
      <c r="D210" s="29" t="s">
        <v>386</v>
      </c>
      <c r="E210" s="29"/>
      <c r="F210" s="77"/>
      <c r="G210" s="17"/>
    </row>
    <row r="211" spans="1:7" x14ac:dyDescent="0.25">
      <c r="A211" s="76" t="s">
        <v>376</v>
      </c>
      <c r="B211" s="80" t="s">
        <v>491</v>
      </c>
      <c r="C211" s="86" t="s">
        <v>462</v>
      </c>
      <c r="D211" s="29" t="s">
        <v>387</v>
      </c>
      <c r="E211" s="29"/>
      <c r="F211" s="77"/>
      <c r="G211" s="17"/>
    </row>
    <row r="212" spans="1:7" x14ac:dyDescent="0.25">
      <c r="A212" s="76" t="s">
        <v>489</v>
      </c>
      <c r="B212" s="80" t="s">
        <v>491</v>
      </c>
      <c r="C212" s="86" t="s">
        <v>518</v>
      </c>
      <c r="D212" s="29" t="s">
        <v>388</v>
      </c>
      <c r="E212" s="29"/>
      <c r="F212" s="77"/>
      <c r="G212" s="17"/>
    </row>
    <row r="213" spans="1:7" x14ac:dyDescent="0.25">
      <c r="A213" s="76" t="s">
        <v>506</v>
      </c>
      <c r="B213" s="80" t="s">
        <v>491</v>
      </c>
      <c r="C213" s="86" t="s">
        <v>518</v>
      </c>
      <c r="D213" s="29" t="s">
        <v>389</v>
      </c>
      <c r="E213" s="29"/>
      <c r="F213" s="77"/>
      <c r="G213" s="17"/>
    </row>
    <row r="214" spans="1:7" x14ac:dyDescent="0.25">
      <c r="A214" s="76" t="s">
        <v>507</v>
      </c>
      <c r="B214" s="80" t="s">
        <v>491</v>
      </c>
      <c r="C214" s="86" t="s">
        <v>518</v>
      </c>
      <c r="D214" s="29" t="s">
        <v>390</v>
      </c>
      <c r="E214" s="29"/>
      <c r="F214" s="77"/>
      <c r="G214" s="17"/>
    </row>
    <row r="215" spans="1:7" x14ac:dyDescent="0.25">
      <c r="A215" s="76" t="s">
        <v>486</v>
      </c>
      <c r="B215" s="80" t="s">
        <v>491</v>
      </c>
      <c r="C215" s="86" t="s">
        <v>457</v>
      </c>
      <c r="D215" s="81" t="s">
        <v>391</v>
      </c>
      <c r="E215" s="29"/>
      <c r="F215" s="77"/>
      <c r="G215" s="17"/>
    </row>
    <row r="216" spans="1:7" x14ac:dyDescent="0.25">
      <c r="A216" s="76" t="s">
        <v>509</v>
      </c>
      <c r="B216" s="80" t="s">
        <v>491</v>
      </c>
      <c r="C216" s="86" t="s">
        <v>457</v>
      </c>
      <c r="D216" s="29" t="s">
        <v>392</v>
      </c>
      <c r="E216" s="29"/>
      <c r="F216" s="77"/>
      <c r="G216" s="17"/>
    </row>
    <row r="217" spans="1:7" x14ac:dyDescent="0.25">
      <c r="A217" s="76" t="s">
        <v>487</v>
      </c>
      <c r="B217" s="80" t="s">
        <v>516</v>
      </c>
      <c r="C217" s="86" t="s">
        <v>485</v>
      </c>
      <c r="D217" s="29" t="s">
        <v>393</v>
      </c>
      <c r="E217" s="29"/>
      <c r="F217" s="77"/>
      <c r="G217" s="17"/>
    </row>
    <row r="218" spans="1:7" x14ac:dyDescent="0.25">
      <c r="A218" s="76" t="s">
        <v>488</v>
      </c>
      <c r="B218" s="80" t="s">
        <v>516</v>
      </c>
      <c r="C218" s="86" t="s">
        <v>380</v>
      </c>
      <c r="D218" s="29" t="s">
        <v>394</v>
      </c>
      <c r="E218" s="29"/>
      <c r="F218" s="77"/>
      <c r="G218" s="17"/>
    </row>
    <row r="219" spans="1:7" x14ac:dyDescent="0.25">
      <c r="A219" s="76" t="s">
        <v>375</v>
      </c>
      <c r="B219" s="80" t="s">
        <v>492</v>
      </c>
      <c r="C219" s="86" t="s">
        <v>376</v>
      </c>
      <c r="D219" s="29" t="s">
        <v>395</v>
      </c>
      <c r="E219" s="29"/>
      <c r="F219" s="77"/>
      <c r="G219" s="17"/>
    </row>
    <row r="220" spans="1:7" x14ac:dyDescent="0.25">
      <c r="A220" s="76" t="s">
        <v>485</v>
      </c>
      <c r="B220" s="81" t="s">
        <v>492</v>
      </c>
      <c r="C220" s="86" t="s">
        <v>488</v>
      </c>
      <c r="D220" s="29" t="s">
        <v>396</v>
      </c>
      <c r="E220" s="29"/>
      <c r="F220" s="77"/>
      <c r="G220" s="17"/>
    </row>
    <row r="221" spans="1:7" x14ac:dyDescent="0.25">
      <c r="A221" s="76" t="s">
        <v>462</v>
      </c>
      <c r="B221" s="81" t="s">
        <v>492</v>
      </c>
      <c r="C221" s="86" t="s">
        <v>488</v>
      </c>
      <c r="D221" s="29" t="s">
        <v>397</v>
      </c>
      <c r="E221" s="29"/>
      <c r="F221" s="77"/>
      <c r="G221" s="17"/>
    </row>
    <row r="222" spans="1:7" x14ac:dyDescent="0.25">
      <c r="A222" s="76" t="s">
        <v>508</v>
      </c>
      <c r="B222" s="81" t="s">
        <v>492</v>
      </c>
      <c r="C222" s="86" t="s">
        <v>458</v>
      </c>
      <c r="D222" s="29" t="s">
        <v>398</v>
      </c>
      <c r="E222" s="29"/>
      <c r="F222" s="77"/>
      <c r="G222" s="17"/>
    </row>
    <row r="223" spans="1:7" x14ac:dyDescent="0.25">
      <c r="A223" s="76" t="s">
        <v>460</v>
      </c>
      <c r="B223" s="80" t="s">
        <v>492</v>
      </c>
      <c r="C223" s="86" t="s">
        <v>460</v>
      </c>
      <c r="D223" s="29" t="s">
        <v>399</v>
      </c>
      <c r="E223" s="29"/>
      <c r="F223" s="77"/>
      <c r="G223" s="17"/>
    </row>
    <row r="224" spans="1:7" x14ac:dyDescent="0.25">
      <c r="A224" s="76" t="s">
        <v>517</v>
      </c>
      <c r="B224" s="80" t="s">
        <v>492</v>
      </c>
      <c r="C224" s="86" t="s">
        <v>459</v>
      </c>
      <c r="D224" s="29" t="s">
        <v>400</v>
      </c>
      <c r="E224" s="29"/>
      <c r="F224" s="77"/>
      <c r="G224" s="17"/>
    </row>
    <row r="225" spans="1:7" x14ac:dyDescent="0.25">
      <c r="A225" s="76" t="s">
        <v>513</v>
      </c>
      <c r="B225" s="80" t="s">
        <v>492</v>
      </c>
      <c r="C225" s="86" t="s">
        <v>380</v>
      </c>
      <c r="D225" s="29" t="s">
        <v>401</v>
      </c>
      <c r="E225" s="29"/>
      <c r="F225" s="77"/>
      <c r="G225" s="17"/>
    </row>
    <row r="226" spans="1:7" x14ac:dyDescent="0.25">
      <c r="A226" s="76" t="s">
        <v>512</v>
      </c>
      <c r="B226" s="81" t="s">
        <v>492</v>
      </c>
      <c r="C226" s="86" t="s">
        <v>468</v>
      </c>
      <c r="D226" s="29" t="s">
        <v>402</v>
      </c>
      <c r="E226" s="29"/>
      <c r="F226" s="77"/>
      <c r="G226" s="17"/>
    </row>
    <row r="227" spans="1:7" x14ac:dyDescent="0.25">
      <c r="A227" s="76" t="s">
        <v>510</v>
      </c>
      <c r="B227" s="80" t="s">
        <v>492</v>
      </c>
      <c r="C227" s="86" t="s">
        <v>468</v>
      </c>
      <c r="D227" s="29" t="s">
        <v>403</v>
      </c>
      <c r="E227" s="29"/>
      <c r="F227" s="77"/>
      <c r="G227" s="17"/>
    </row>
    <row r="228" spans="1:7" x14ac:dyDescent="0.25">
      <c r="A228" s="76" t="s">
        <v>511</v>
      </c>
      <c r="B228" s="80" t="s">
        <v>495</v>
      </c>
      <c r="C228" s="86" t="s">
        <v>490</v>
      </c>
      <c r="D228" s="29" t="s">
        <v>404</v>
      </c>
      <c r="E228" s="29"/>
      <c r="F228" s="77"/>
      <c r="G228" s="17"/>
    </row>
    <row r="229" spans="1:7" x14ac:dyDescent="0.25">
      <c r="A229" s="76" t="s">
        <v>461</v>
      </c>
      <c r="B229" s="80" t="s">
        <v>495</v>
      </c>
      <c r="C229" s="86" t="s">
        <v>490</v>
      </c>
      <c r="D229" s="29" t="s">
        <v>405</v>
      </c>
      <c r="E229" s="29"/>
      <c r="F229" s="77"/>
      <c r="G229" s="17"/>
    </row>
    <row r="230" spans="1:7" x14ac:dyDescent="0.25">
      <c r="A230" s="76" t="s">
        <v>496</v>
      </c>
      <c r="B230" s="80" t="s">
        <v>495</v>
      </c>
      <c r="C230" s="86" t="s">
        <v>490</v>
      </c>
      <c r="D230" s="29" t="s">
        <v>406</v>
      </c>
      <c r="E230" s="29"/>
      <c r="F230" s="77"/>
      <c r="G230" s="17"/>
    </row>
    <row r="231" spans="1:7" x14ac:dyDescent="0.25">
      <c r="A231" s="76" t="s">
        <v>493</v>
      </c>
      <c r="B231" s="80" t="s">
        <v>495</v>
      </c>
      <c r="C231" s="86" t="s">
        <v>506</v>
      </c>
      <c r="D231" s="29" t="s">
        <v>407</v>
      </c>
      <c r="E231" s="29"/>
      <c r="F231" s="77"/>
      <c r="G231" s="17"/>
    </row>
    <row r="232" spans="1:7" x14ac:dyDescent="0.25">
      <c r="A232" s="76" t="s">
        <v>494</v>
      </c>
      <c r="B232" s="80" t="s">
        <v>495</v>
      </c>
      <c r="C232" s="86" t="s">
        <v>486</v>
      </c>
      <c r="D232" s="29" t="s">
        <v>408</v>
      </c>
      <c r="E232" s="29"/>
      <c r="F232" s="77"/>
      <c r="G232" s="17"/>
    </row>
    <row r="233" spans="1:7" x14ac:dyDescent="0.25">
      <c r="A233" s="76" t="s">
        <v>514</v>
      </c>
      <c r="B233" s="80" t="s">
        <v>495</v>
      </c>
      <c r="C233" s="86" t="s">
        <v>486</v>
      </c>
      <c r="D233" s="29" t="s">
        <v>409</v>
      </c>
      <c r="E233" s="29"/>
      <c r="F233" s="77"/>
      <c r="G233" s="17"/>
    </row>
    <row r="234" spans="1:7" x14ac:dyDescent="0.25">
      <c r="A234" s="76" t="s">
        <v>497</v>
      </c>
      <c r="B234" s="80" t="s">
        <v>495</v>
      </c>
      <c r="C234" s="86" t="s">
        <v>486</v>
      </c>
      <c r="D234" s="29" t="s">
        <v>410</v>
      </c>
      <c r="E234" s="29"/>
      <c r="F234" s="77"/>
      <c r="G234" s="17"/>
    </row>
    <row r="235" spans="1:7" x14ac:dyDescent="0.25">
      <c r="A235" s="76" t="s">
        <v>42</v>
      </c>
      <c r="B235" s="80" t="s">
        <v>42</v>
      </c>
      <c r="C235" s="86" t="s">
        <v>487</v>
      </c>
      <c r="D235" s="29" t="s">
        <v>411</v>
      </c>
      <c r="E235" s="29"/>
      <c r="F235" s="77"/>
      <c r="G235" s="17"/>
    </row>
    <row r="236" spans="1:7" x14ac:dyDescent="0.25">
      <c r="A236" s="76" t="s">
        <v>377</v>
      </c>
      <c r="B236" s="80" t="s">
        <v>377</v>
      </c>
      <c r="C236" s="86" t="s">
        <v>487</v>
      </c>
      <c r="D236" s="29" t="s">
        <v>412</v>
      </c>
      <c r="E236" s="29"/>
      <c r="F236" s="77"/>
      <c r="G236" s="17"/>
    </row>
    <row r="237" spans="1:7" ht="15.75" thickBot="1" x14ac:dyDescent="0.3">
      <c r="A237" s="78" t="s">
        <v>518</v>
      </c>
      <c r="B237" s="91" t="s">
        <v>518</v>
      </c>
      <c r="C237" s="86" t="s">
        <v>487</v>
      </c>
      <c r="D237" s="29" t="s">
        <v>413</v>
      </c>
      <c r="E237" s="29"/>
      <c r="F237" s="77"/>
      <c r="G237" s="17"/>
    </row>
    <row r="238" spans="1:7" x14ac:dyDescent="0.25">
      <c r="C238" s="86" t="s">
        <v>459</v>
      </c>
      <c r="D238" s="29" t="s">
        <v>414</v>
      </c>
      <c r="E238" s="29"/>
      <c r="F238" s="77"/>
      <c r="G238" s="17"/>
    </row>
    <row r="239" spans="1:7" x14ac:dyDescent="0.25">
      <c r="C239" s="86" t="s">
        <v>459</v>
      </c>
      <c r="D239" s="29" t="s">
        <v>415</v>
      </c>
      <c r="E239" s="29"/>
      <c r="F239" s="77"/>
      <c r="G239" s="17"/>
    </row>
    <row r="240" spans="1:7" x14ac:dyDescent="0.25">
      <c r="C240" s="86" t="s">
        <v>459</v>
      </c>
      <c r="D240" s="29" t="s">
        <v>416</v>
      </c>
      <c r="E240" s="29"/>
      <c r="F240" s="77"/>
      <c r="G240" s="17"/>
    </row>
    <row r="241" spans="2:7" x14ac:dyDescent="0.25">
      <c r="C241" s="86" t="s">
        <v>509</v>
      </c>
      <c r="D241" s="29" t="s">
        <v>417</v>
      </c>
      <c r="E241" s="29"/>
      <c r="F241" s="77"/>
      <c r="G241" s="17"/>
    </row>
    <row r="242" spans="2:7" x14ac:dyDescent="0.25">
      <c r="C242" s="86" t="s">
        <v>380</v>
      </c>
      <c r="D242" s="29" t="s">
        <v>418</v>
      </c>
      <c r="E242" s="29"/>
      <c r="F242" s="77"/>
      <c r="G242" s="17"/>
    </row>
    <row r="243" spans="2:7" x14ac:dyDescent="0.25">
      <c r="C243" s="86" t="s">
        <v>507</v>
      </c>
      <c r="D243" s="29" t="s">
        <v>419</v>
      </c>
      <c r="E243" s="29"/>
      <c r="F243" s="77"/>
      <c r="G243" s="17"/>
    </row>
    <row r="244" spans="2:7" x14ac:dyDescent="0.25">
      <c r="C244" s="86" t="s">
        <v>485</v>
      </c>
      <c r="D244" s="29" t="s">
        <v>420</v>
      </c>
      <c r="E244" s="29"/>
      <c r="F244" s="77"/>
      <c r="G244" s="17"/>
    </row>
    <row r="245" spans="2:7" x14ac:dyDescent="0.25">
      <c r="C245" s="86" t="s">
        <v>377</v>
      </c>
      <c r="D245" s="29" t="s">
        <v>421</v>
      </c>
      <c r="E245" s="29"/>
      <c r="F245" s="77"/>
      <c r="G245" s="17"/>
    </row>
    <row r="246" spans="2:7" x14ac:dyDescent="0.25">
      <c r="C246" s="86" t="s">
        <v>377</v>
      </c>
      <c r="D246" s="29" t="s">
        <v>422</v>
      </c>
      <c r="E246" s="29"/>
      <c r="F246" s="77"/>
      <c r="G246" s="17"/>
    </row>
    <row r="247" spans="2:7" x14ac:dyDescent="0.25">
      <c r="B247" s="17"/>
      <c r="C247" s="86" t="s">
        <v>462</v>
      </c>
      <c r="D247" s="29" t="s">
        <v>423</v>
      </c>
      <c r="E247" s="29"/>
      <c r="F247" s="77"/>
      <c r="G247" s="17"/>
    </row>
    <row r="248" spans="2:7" x14ac:dyDescent="0.25">
      <c r="B248" s="17"/>
      <c r="C248" s="86" t="s">
        <v>462</v>
      </c>
      <c r="D248" s="29" t="s">
        <v>424</v>
      </c>
      <c r="E248" s="29"/>
      <c r="F248" s="77"/>
      <c r="G248" s="17"/>
    </row>
    <row r="249" spans="2:7" x14ac:dyDescent="0.25">
      <c r="B249" s="17"/>
      <c r="C249" s="86" t="s">
        <v>512</v>
      </c>
      <c r="D249" s="29" t="s">
        <v>425</v>
      </c>
      <c r="E249" s="29"/>
      <c r="F249" s="77"/>
      <c r="G249" s="17"/>
    </row>
    <row r="250" spans="2:7" x14ac:dyDescent="0.25">
      <c r="B250" s="17"/>
      <c r="C250" s="86" t="s">
        <v>513</v>
      </c>
      <c r="D250" s="29" t="s">
        <v>426</v>
      </c>
      <c r="E250" s="29"/>
      <c r="F250" s="77"/>
      <c r="G250" s="17"/>
    </row>
    <row r="251" spans="2:7" x14ac:dyDescent="0.25">
      <c r="B251" s="17"/>
      <c r="C251" s="86" t="s">
        <v>513</v>
      </c>
      <c r="D251" s="29" t="s">
        <v>427</v>
      </c>
      <c r="E251" s="29"/>
      <c r="F251" s="77"/>
      <c r="G251" s="17"/>
    </row>
    <row r="252" spans="2:7" x14ac:dyDescent="0.25">
      <c r="B252" s="17"/>
      <c r="C252" s="86" t="s">
        <v>513</v>
      </c>
      <c r="D252" s="29" t="s">
        <v>428</v>
      </c>
      <c r="E252" s="29"/>
      <c r="F252" s="77"/>
      <c r="G252" s="17"/>
    </row>
    <row r="253" spans="2:7" x14ac:dyDescent="0.25">
      <c r="B253" s="17"/>
      <c r="C253" s="86" t="s">
        <v>375</v>
      </c>
      <c r="D253" s="29" t="s">
        <v>429</v>
      </c>
      <c r="E253" s="29"/>
      <c r="F253" s="77"/>
      <c r="G253" s="17"/>
    </row>
    <row r="254" spans="2:7" x14ac:dyDescent="0.25">
      <c r="B254" s="17"/>
      <c r="C254" s="86" t="s">
        <v>375</v>
      </c>
      <c r="D254" s="29" t="s">
        <v>430</v>
      </c>
      <c r="E254" s="29"/>
      <c r="F254" s="77"/>
      <c r="G254" s="17"/>
    </row>
    <row r="255" spans="2:7" x14ac:dyDescent="0.25">
      <c r="B255" s="17"/>
      <c r="C255" s="86" t="s">
        <v>375</v>
      </c>
      <c r="D255" s="29" t="s">
        <v>431</v>
      </c>
      <c r="E255" s="29"/>
      <c r="F255" s="77"/>
      <c r="G255" s="17"/>
    </row>
    <row r="256" spans="2:7" x14ac:dyDescent="0.25">
      <c r="B256" s="17"/>
      <c r="C256" s="86" t="s">
        <v>508</v>
      </c>
      <c r="D256" s="29" t="s">
        <v>432</v>
      </c>
      <c r="E256" s="29"/>
      <c r="F256" s="77"/>
      <c r="G256" s="17"/>
    </row>
    <row r="257" spans="2:7" x14ac:dyDescent="0.25">
      <c r="B257" s="17"/>
      <c r="C257" s="86" t="s">
        <v>508</v>
      </c>
      <c r="D257" s="29" t="s">
        <v>433</v>
      </c>
      <c r="E257" s="29"/>
      <c r="F257" s="77"/>
      <c r="G257" s="17"/>
    </row>
    <row r="258" spans="2:7" x14ac:dyDescent="0.25">
      <c r="B258" s="17"/>
      <c r="C258" s="86" t="s">
        <v>508</v>
      </c>
      <c r="D258" s="29" t="s">
        <v>434</v>
      </c>
      <c r="E258" s="29"/>
      <c r="F258" s="77"/>
      <c r="G258" s="17"/>
    </row>
    <row r="259" spans="2:7" x14ac:dyDescent="0.25">
      <c r="B259" s="17"/>
      <c r="C259" s="86" t="s">
        <v>517</v>
      </c>
      <c r="D259" s="29" t="s">
        <v>435</v>
      </c>
      <c r="E259" s="29"/>
      <c r="F259" s="77"/>
      <c r="G259" s="17"/>
    </row>
    <row r="260" spans="2:7" x14ac:dyDescent="0.25">
      <c r="B260" s="17"/>
      <c r="C260" s="86" t="s">
        <v>517</v>
      </c>
      <c r="D260" s="29" t="s">
        <v>436</v>
      </c>
      <c r="E260" s="29"/>
      <c r="F260" s="77"/>
      <c r="G260" s="17"/>
    </row>
    <row r="261" spans="2:7" x14ac:dyDescent="0.25">
      <c r="B261" s="17"/>
      <c r="C261" s="86" t="s">
        <v>517</v>
      </c>
      <c r="D261" s="29" t="s">
        <v>437</v>
      </c>
      <c r="E261" s="29"/>
      <c r="F261" s="77"/>
      <c r="G261" s="17"/>
    </row>
    <row r="262" spans="2:7" x14ac:dyDescent="0.25">
      <c r="B262" s="17"/>
      <c r="C262" s="86" t="s">
        <v>514</v>
      </c>
      <c r="D262" s="29" t="s">
        <v>438</v>
      </c>
      <c r="E262" s="29"/>
      <c r="F262" s="77"/>
      <c r="G262" s="17"/>
    </row>
    <row r="263" spans="2:7" x14ac:dyDescent="0.25">
      <c r="B263" s="17"/>
      <c r="C263" s="86" t="s">
        <v>510</v>
      </c>
      <c r="D263" s="29" t="s">
        <v>439</v>
      </c>
      <c r="E263" s="29"/>
      <c r="F263" s="77"/>
      <c r="G263" s="17"/>
    </row>
    <row r="264" spans="2:7" x14ac:dyDescent="0.25">
      <c r="B264" s="17"/>
      <c r="C264" s="86" t="s">
        <v>510</v>
      </c>
      <c r="D264" s="29" t="s">
        <v>440</v>
      </c>
      <c r="E264" s="29"/>
      <c r="F264" s="77"/>
      <c r="G264" s="17"/>
    </row>
    <row r="265" spans="2:7" x14ac:dyDescent="0.25">
      <c r="B265" s="17"/>
      <c r="C265" s="86" t="s">
        <v>510</v>
      </c>
      <c r="D265" s="29" t="s">
        <v>441</v>
      </c>
      <c r="E265" s="29"/>
      <c r="F265" s="77"/>
      <c r="G265" s="17"/>
    </row>
    <row r="266" spans="2:7" x14ac:dyDescent="0.25">
      <c r="B266" s="17"/>
      <c r="C266" s="86" t="s">
        <v>510</v>
      </c>
      <c r="D266" s="29" t="s">
        <v>442</v>
      </c>
      <c r="E266" s="29"/>
      <c r="F266" s="77"/>
      <c r="G266" s="17"/>
    </row>
    <row r="267" spans="2:7" x14ac:dyDescent="0.25">
      <c r="B267" s="17"/>
      <c r="C267" s="86" t="s">
        <v>510</v>
      </c>
      <c r="D267" s="29" t="s">
        <v>443</v>
      </c>
      <c r="E267" s="29"/>
      <c r="F267" s="77"/>
      <c r="G267" s="17"/>
    </row>
    <row r="268" spans="2:7" x14ac:dyDescent="0.25">
      <c r="B268" s="17"/>
      <c r="C268" s="86" t="s">
        <v>510</v>
      </c>
      <c r="D268" s="29" t="s">
        <v>444</v>
      </c>
      <c r="E268" s="29"/>
      <c r="F268" s="77"/>
      <c r="G268" s="17"/>
    </row>
    <row r="269" spans="2:7" x14ac:dyDescent="0.25">
      <c r="B269" s="17"/>
      <c r="C269" s="86" t="s">
        <v>485</v>
      </c>
      <c r="D269" s="29" t="s">
        <v>445</v>
      </c>
      <c r="E269" s="29"/>
      <c r="F269" s="77"/>
      <c r="G269" s="17"/>
    </row>
    <row r="270" spans="2:7" x14ac:dyDescent="0.25">
      <c r="B270" s="17"/>
      <c r="C270" s="86" t="s">
        <v>485</v>
      </c>
      <c r="D270" s="29" t="s">
        <v>446</v>
      </c>
      <c r="E270" s="29"/>
      <c r="F270" s="77"/>
      <c r="G270" s="17"/>
    </row>
    <row r="271" spans="2:7" x14ac:dyDescent="0.25">
      <c r="B271" s="17"/>
      <c r="C271" s="86" t="s">
        <v>485</v>
      </c>
      <c r="D271" s="29" t="s">
        <v>447</v>
      </c>
      <c r="E271" s="29"/>
      <c r="F271" s="77"/>
      <c r="G271" s="17"/>
    </row>
    <row r="272" spans="2:7" x14ac:dyDescent="0.25">
      <c r="B272" s="17"/>
      <c r="C272" s="86" t="s">
        <v>494</v>
      </c>
      <c r="D272" s="29" t="s">
        <v>448</v>
      </c>
      <c r="E272" s="29"/>
      <c r="F272" s="77"/>
      <c r="G272" s="17"/>
    </row>
    <row r="273" spans="1:7" x14ac:dyDescent="0.25">
      <c r="B273" s="17"/>
      <c r="C273" s="86" t="s">
        <v>494</v>
      </c>
      <c r="D273" s="29" t="s">
        <v>449</v>
      </c>
      <c r="E273" s="29"/>
      <c r="F273" s="77"/>
      <c r="G273" s="17"/>
    </row>
    <row r="274" spans="1:7" x14ac:dyDescent="0.25">
      <c r="B274" s="17"/>
      <c r="C274" s="86" t="s">
        <v>494</v>
      </c>
      <c r="D274" s="29" t="s">
        <v>450</v>
      </c>
      <c r="E274" s="29"/>
      <c r="F274" s="77"/>
      <c r="G274" s="17"/>
    </row>
    <row r="275" spans="1:7" x14ac:dyDescent="0.25">
      <c r="B275" s="17"/>
      <c r="C275" s="86" t="s">
        <v>493</v>
      </c>
      <c r="D275" s="29" t="s">
        <v>451</v>
      </c>
      <c r="E275" s="29"/>
      <c r="F275" s="77"/>
      <c r="G275" s="17"/>
    </row>
    <row r="276" spans="1:7" x14ac:dyDescent="0.25">
      <c r="B276" s="17"/>
      <c r="C276" s="86" t="s">
        <v>493</v>
      </c>
      <c r="D276" s="29" t="s">
        <v>452</v>
      </c>
      <c r="E276" s="29"/>
      <c r="F276" s="77"/>
      <c r="G276" s="17"/>
    </row>
    <row r="277" spans="1:7" x14ac:dyDescent="0.25">
      <c r="B277" s="17"/>
      <c r="C277" s="86" t="s">
        <v>493</v>
      </c>
      <c r="D277" s="29" t="s">
        <v>453</v>
      </c>
      <c r="E277" s="29"/>
      <c r="F277" s="77"/>
      <c r="G277" s="17"/>
    </row>
    <row r="278" spans="1:7" x14ac:dyDescent="0.25">
      <c r="B278" s="17"/>
      <c r="C278" s="86" t="s">
        <v>511</v>
      </c>
      <c r="D278" s="81" t="s">
        <v>454</v>
      </c>
      <c r="E278" s="29"/>
      <c r="F278" s="77"/>
      <c r="G278" s="17"/>
    </row>
    <row r="279" spans="1:7" x14ac:dyDescent="0.25">
      <c r="B279" s="17"/>
      <c r="C279" s="86" t="s">
        <v>496</v>
      </c>
      <c r="D279" s="81" t="s">
        <v>455</v>
      </c>
      <c r="E279" s="29"/>
      <c r="F279" s="77"/>
      <c r="G279" s="17"/>
    </row>
    <row r="280" spans="1:7" ht="15.75" thickBot="1" x14ac:dyDescent="0.3">
      <c r="B280" s="17"/>
      <c r="C280" s="87" t="s">
        <v>497</v>
      </c>
      <c r="D280" s="90" t="s">
        <v>456</v>
      </c>
      <c r="E280" s="88"/>
      <c r="F280" s="89"/>
      <c r="G280" s="17"/>
    </row>
    <row r="281" spans="1:7" x14ac:dyDescent="0.25">
      <c r="B281" s="17"/>
      <c r="F281" s="17"/>
      <c r="G281" s="17"/>
    </row>
    <row r="282" spans="1:7" x14ac:dyDescent="0.25">
      <c r="B282" s="17"/>
      <c r="G282" s="17"/>
    </row>
    <row r="283" spans="1:7" x14ac:dyDescent="0.25">
      <c r="A283" s="27"/>
      <c r="B283" s="17"/>
      <c r="F283" s="17"/>
      <c r="G283" s="17"/>
    </row>
    <row r="284" spans="1:7" x14ac:dyDescent="0.25">
      <c r="B284" s="17"/>
      <c r="F284" s="17"/>
      <c r="G284" s="17"/>
    </row>
    <row r="285" spans="1:7" x14ac:dyDescent="0.25">
      <c r="A285" s="27"/>
      <c r="B285" s="17"/>
    </row>
    <row r="286" spans="1:7" x14ac:dyDescent="0.25">
      <c r="B286" s="17"/>
    </row>
    <row r="287" spans="1:7" x14ac:dyDescent="0.25">
      <c r="A287" s="27"/>
      <c r="B287" s="17"/>
    </row>
    <row r="288" spans="1:7" x14ac:dyDescent="0.25">
      <c r="A288" s="27"/>
      <c r="B288" s="17"/>
    </row>
    <row r="289" spans="1:2" x14ac:dyDescent="0.25">
      <c r="A289" s="27"/>
      <c r="B289" s="17"/>
    </row>
    <row r="290" spans="1:2" x14ac:dyDescent="0.25">
      <c r="A290" s="27"/>
      <c r="B290" s="17"/>
    </row>
    <row r="291" spans="1:2" x14ac:dyDescent="0.25">
      <c r="A291" s="27"/>
      <c r="B291" s="17"/>
    </row>
    <row r="292" spans="1:2" x14ac:dyDescent="0.25">
      <c r="A292" s="27"/>
      <c r="B292" s="17"/>
    </row>
  </sheetData>
  <autoFilter ref="A1:I1"/>
  <sortState ref="A59:B146">
    <sortCondition ref="A58"/>
  </sortState>
  <mergeCells count="1">
    <mergeCell ref="H39:K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3713"/>
  <sheetViews>
    <sheetView workbookViewId="0"/>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3713</v>
      </c>
    </row>
    <row r="2" spans="1:4" x14ac:dyDescent="0.25">
      <c r="A2" s="36">
        <v>41187</v>
      </c>
      <c r="B2" s="122">
        <v>0.80650462962962965</v>
      </c>
      <c r="C2" s="26" t="s">
        <v>905</v>
      </c>
    </row>
    <row r="3" spans="1:4" x14ac:dyDescent="0.25">
      <c r="A3" s="36">
        <v>41187</v>
      </c>
      <c r="B3" s="122">
        <v>0.86657407407407405</v>
      </c>
      <c r="C3" s="26" t="s">
        <v>906</v>
      </c>
    </row>
    <row r="4" spans="1:4" x14ac:dyDescent="0.25">
      <c r="A4" s="36">
        <v>41187</v>
      </c>
      <c r="B4" s="122">
        <v>0.86730324074074072</v>
      </c>
      <c r="C4" s="26" t="s">
        <v>907</v>
      </c>
    </row>
    <row r="5" spans="1:4" x14ac:dyDescent="0.25">
      <c r="A5" s="36">
        <v>41187</v>
      </c>
      <c r="B5" s="122">
        <v>0.88542824074074078</v>
      </c>
      <c r="C5" s="26" t="s">
        <v>907</v>
      </c>
    </row>
    <row r="6" spans="1:4" x14ac:dyDescent="0.25">
      <c r="A6" s="36">
        <v>41187</v>
      </c>
      <c r="B6" s="122">
        <v>0.90907407407407403</v>
      </c>
      <c r="C6" s="26" t="s">
        <v>907</v>
      </c>
    </row>
    <row r="7" spans="1:4" x14ac:dyDescent="0.25">
      <c r="A7" s="36">
        <v>41187</v>
      </c>
      <c r="B7" s="122">
        <v>0.92020833333333341</v>
      </c>
      <c r="C7" s="26" t="s">
        <v>908</v>
      </c>
    </row>
    <row r="8" spans="1:4" x14ac:dyDescent="0.25">
      <c r="A8" s="36">
        <v>41187</v>
      </c>
      <c r="B8" s="122">
        <v>0.92086805555555562</v>
      </c>
      <c r="C8" s="26" t="s">
        <v>907</v>
      </c>
    </row>
    <row r="9" spans="1:4" x14ac:dyDescent="0.25">
      <c r="A9" s="36">
        <v>41187</v>
      </c>
      <c r="B9" s="122">
        <v>0.92241898148148149</v>
      </c>
      <c r="C9" s="26" t="s">
        <v>907</v>
      </c>
    </row>
    <row r="10" spans="1:4" x14ac:dyDescent="0.25">
      <c r="A10" s="36">
        <v>41187</v>
      </c>
      <c r="B10" s="122">
        <v>0.92835648148148142</v>
      </c>
      <c r="C10" s="26" t="s">
        <v>909</v>
      </c>
    </row>
    <row r="11" spans="1:4" x14ac:dyDescent="0.25">
      <c r="A11" s="36">
        <v>41187</v>
      </c>
      <c r="B11" s="122">
        <v>0.92835648148148142</v>
      </c>
      <c r="C11" s="26" t="s">
        <v>910</v>
      </c>
    </row>
    <row r="12" spans="1:4" x14ac:dyDescent="0.25">
      <c r="A12" s="36">
        <v>41187</v>
      </c>
      <c r="B12" s="122">
        <v>0.92835648148148142</v>
      </c>
      <c r="C12" s="26" t="s">
        <v>911</v>
      </c>
    </row>
    <row r="13" spans="1:4" x14ac:dyDescent="0.25">
      <c r="A13" s="36">
        <v>41187</v>
      </c>
      <c r="B13" s="122">
        <v>0.92835648148148142</v>
      </c>
      <c r="C13" s="26" t="s">
        <v>912</v>
      </c>
    </row>
    <row r="14" spans="1:4" x14ac:dyDescent="0.25">
      <c r="A14" s="36">
        <v>41187</v>
      </c>
      <c r="B14" s="122">
        <v>0.92835648148148142</v>
      </c>
      <c r="C14" s="26" t="s">
        <v>913</v>
      </c>
    </row>
    <row r="15" spans="1:4" x14ac:dyDescent="0.25">
      <c r="A15" s="36">
        <v>41187</v>
      </c>
      <c r="B15" s="122">
        <v>0.92835648148148142</v>
      </c>
      <c r="C15" s="26" t="s">
        <v>914</v>
      </c>
    </row>
    <row r="16" spans="1:4" x14ac:dyDescent="0.25">
      <c r="A16" s="36">
        <v>41187</v>
      </c>
      <c r="B16" s="122">
        <v>0.92835648148148142</v>
      </c>
      <c r="C16" s="26" t="s">
        <v>915</v>
      </c>
    </row>
    <row r="17" spans="1:3" x14ac:dyDescent="0.25">
      <c r="A17" s="36">
        <v>41187</v>
      </c>
      <c r="B17" s="122">
        <v>0.92835648148148142</v>
      </c>
      <c r="C17" s="26" t="s">
        <v>916</v>
      </c>
    </row>
    <row r="18" spans="1:3" x14ac:dyDescent="0.25">
      <c r="A18" s="36">
        <v>41187</v>
      </c>
      <c r="B18" s="122">
        <v>0.92835648148148142</v>
      </c>
      <c r="C18" s="26" t="s">
        <v>917</v>
      </c>
    </row>
    <row r="19" spans="1:3" x14ac:dyDescent="0.25">
      <c r="A19" s="36">
        <v>41187</v>
      </c>
      <c r="B19" s="122">
        <v>0.92835648148148142</v>
      </c>
      <c r="C19" s="26" t="s">
        <v>918</v>
      </c>
    </row>
    <row r="20" spans="1:3" x14ac:dyDescent="0.25">
      <c r="A20" s="36">
        <v>41187</v>
      </c>
      <c r="B20" s="122">
        <v>0.92835648148148142</v>
      </c>
      <c r="C20" s="26" t="s">
        <v>919</v>
      </c>
    </row>
    <row r="21" spans="1:3" x14ac:dyDescent="0.25">
      <c r="A21" s="36">
        <v>41187</v>
      </c>
      <c r="B21" s="122">
        <v>0.92835648148148142</v>
      </c>
      <c r="C21" s="26" t="s">
        <v>920</v>
      </c>
    </row>
    <row r="22" spans="1:3" x14ac:dyDescent="0.25">
      <c r="A22" s="36">
        <v>41187</v>
      </c>
      <c r="B22" s="122">
        <v>0.92835648148148142</v>
      </c>
      <c r="C22" s="26" t="s">
        <v>921</v>
      </c>
    </row>
    <row r="23" spans="1:3" x14ac:dyDescent="0.25">
      <c r="A23" s="36">
        <v>41187</v>
      </c>
      <c r="B23" s="122">
        <v>0.92835648148148142</v>
      </c>
      <c r="C23" s="26" t="s">
        <v>922</v>
      </c>
    </row>
    <row r="24" spans="1:3" x14ac:dyDescent="0.25">
      <c r="A24" s="36">
        <v>41187</v>
      </c>
      <c r="B24" s="122">
        <v>0.92835648148148142</v>
      </c>
      <c r="C24" s="26" t="s">
        <v>923</v>
      </c>
    </row>
    <row r="25" spans="1:3" x14ac:dyDescent="0.25">
      <c r="A25" s="36">
        <v>41187</v>
      </c>
      <c r="B25" s="122">
        <v>0.92835648148148142</v>
      </c>
      <c r="C25" s="26" t="s">
        <v>924</v>
      </c>
    </row>
    <row r="26" spans="1:3" x14ac:dyDescent="0.25">
      <c r="A26" s="36">
        <v>41187</v>
      </c>
      <c r="B26" s="122">
        <v>0.92835648148148142</v>
      </c>
      <c r="C26" s="26" t="s">
        <v>925</v>
      </c>
    </row>
    <row r="27" spans="1:3" x14ac:dyDescent="0.25">
      <c r="A27" s="36">
        <v>41187</v>
      </c>
      <c r="B27" s="122">
        <v>0.92835648148148142</v>
      </c>
      <c r="C27" s="26" t="s">
        <v>926</v>
      </c>
    </row>
    <row r="28" spans="1:3" x14ac:dyDescent="0.25">
      <c r="A28" s="36">
        <v>41187</v>
      </c>
      <c r="B28" s="122">
        <v>0.92835648148148142</v>
      </c>
      <c r="C28" s="26" t="s">
        <v>927</v>
      </c>
    </row>
    <row r="29" spans="1:3" x14ac:dyDescent="0.25">
      <c r="A29" s="36">
        <v>41187</v>
      </c>
      <c r="B29" s="122">
        <v>0.92835648148148142</v>
      </c>
      <c r="C29" s="26" t="s">
        <v>928</v>
      </c>
    </row>
    <row r="30" spans="1:3" x14ac:dyDescent="0.25">
      <c r="A30" s="36">
        <v>41187</v>
      </c>
      <c r="B30" s="122">
        <v>0.92835648148148142</v>
      </c>
      <c r="C30" s="26" t="s">
        <v>929</v>
      </c>
    </row>
    <row r="31" spans="1:3" x14ac:dyDescent="0.25">
      <c r="A31" s="36">
        <v>41187</v>
      </c>
      <c r="B31" s="122">
        <v>0.92835648148148142</v>
      </c>
      <c r="C31" s="26" t="s">
        <v>930</v>
      </c>
    </row>
    <row r="32" spans="1:3" x14ac:dyDescent="0.25">
      <c r="A32" s="36">
        <v>41187</v>
      </c>
      <c r="B32" s="122">
        <v>0.92835648148148142</v>
      </c>
      <c r="C32" s="26" t="s">
        <v>931</v>
      </c>
    </row>
    <row r="33" spans="1:3" x14ac:dyDescent="0.25">
      <c r="A33" s="36">
        <v>41187</v>
      </c>
      <c r="B33" s="122">
        <v>0.92835648148148142</v>
      </c>
      <c r="C33" s="26" t="s">
        <v>932</v>
      </c>
    </row>
    <row r="34" spans="1:3" x14ac:dyDescent="0.25">
      <c r="A34" s="36">
        <v>41187</v>
      </c>
      <c r="B34" s="122">
        <v>0.92835648148148142</v>
      </c>
      <c r="C34" s="26" t="s">
        <v>933</v>
      </c>
    </row>
    <row r="35" spans="1:3" x14ac:dyDescent="0.25">
      <c r="A35" s="36">
        <v>41187</v>
      </c>
      <c r="B35" s="122">
        <v>0.92835648148148142</v>
      </c>
      <c r="C35" s="26" t="s">
        <v>934</v>
      </c>
    </row>
    <row r="36" spans="1:3" x14ac:dyDescent="0.25">
      <c r="A36" s="36">
        <v>41187</v>
      </c>
      <c r="B36" s="122">
        <v>0.92835648148148142</v>
      </c>
      <c r="C36" s="26" t="s">
        <v>935</v>
      </c>
    </row>
    <row r="37" spans="1:3" x14ac:dyDescent="0.25">
      <c r="A37" s="36">
        <v>41187</v>
      </c>
      <c r="B37" s="122">
        <v>0.92835648148148142</v>
      </c>
      <c r="C37" s="26" t="s">
        <v>936</v>
      </c>
    </row>
    <row r="38" spans="1:3" x14ac:dyDescent="0.25">
      <c r="A38" s="36">
        <v>41187</v>
      </c>
      <c r="B38" s="122">
        <v>0.92835648148148142</v>
      </c>
      <c r="C38" s="26" t="s">
        <v>932</v>
      </c>
    </row>
    <row r="39" spans="1:3" x14ac:dyDescent="0.25">
      <c r="A39" s="36">
        <v>41187</v>
      </c>
      <c r="B39" s="122">
        <v>0.92835648148148142</v>
      </c>
      <c r="C39" s="26" t="s">
        <v>937</v>
      </c>
    </row>
    <row r="40" spans="1:3" x14ac:dyDescent="0.25">
      <c r="A40" s="36">
        <v>41187</v>
      </c>
      <c r="B40" s="122">
        <v>0.92835648148148142</v>
      </c>
      <c r="C40" s="26" t="s">
        <v>938</v>
      </c>
    </row>
    <row r="41" spans="1:3" x14ac:dyDescent="0.25">
      <c r="A41" s="36">
        <v>41187</v>
      </c>
      <c r="B41" s="122">
        <v>0.92835648148148142</v>
      </c>
      <c r="C41" s="26" t="s">
        <v>939</v>
      </c>
    </row>
    <row r="42" spans="1:3" x14ac:dyDescent="0.25">
      <c r="A42" s="36">
        <v>41187</v>
      </c>
      <c r="B42" s="122">
        <v>0.92835648148148142</v>
      </c>
      <c r="C42" s="26" t="s">
        <v>940</v>
      </c>
    </row>
    <row r="43" spans="1:3" x14ac:dyDescent="0.25">
      <c r="A43" s="36">
        <v>41187</v>
      </c>
      <c r="B43" s="122">
        <v>0.92835648148148142</v>
      </c>
      <c r="C43" s="26" t="s">
        <v>941</v>
      </c>
    </row>
    <row r="44" spans="1:3" x14ac:dyDescent="0.25">
      <c r="A44" s="36">
        <v>41187</v>
      </c>
      <c r="B44" s="122">
        <v>0.92835648148148142</v>
      </c>
      <c r="C44" s="26" t="s">
        <v>942</v>
      </c>
    </row>
    <row r="45" spans="1:3" x14ac:dyDescent="0.25">
      <c r="A45" s="36">
        <v>41187</v>
      </c>
      <c r="B45" s="122">
        <v>0.92835648148148142</v>
      </c>
      <c r="C45" s="26" t="s">
        <v>943</v>
      </c>
    </row>
    <row r="46" spans="1:3" x14ac:dyDescent="0.25">
      <c r="A46" s="36">
        <v>41187</v>
      </c>
      <c r="B46" s="122">
        <v>0.92835648148148142</v>
      </c>
      <c r="C46" s="26" t="s">
        <v>944</v>
      </c>
    </row>
    <row r="47" spans="1:3" x14ac:dyDescent="0.25">
      <c r="A47" s="36">
        <v>41187</v>
      </c>
      <c r="B47" s="122">
        <v>0.92835648148148142</v>
      </c>
      <c r="C47" s="26" t="s">
        <v>945</v>
      </c>
    </row>
    <row r="48" spans="1:3" x14ac:dyDescent="0.25">
      <c r="A48" s="36">
        <v>41187</v>
      </c>
      <c r="B48" s="122">
        <v>0.92835648148148142</v>
      </c>
      <c r="C48" s="26" t="s">
        <v>945</v>
      </c>
    </row>
    <row r="49" spans="1:3" x14ac:dyDescent="0.25">
      <c r="A49" s="36">
        <v>41187</v>
      </c>
      <c r="B49" s="122">
        <v>0.92835648148148142</v>
      </c>
      <c r="C49" s="26" t="s">
        <v>930</v>
      </c>
    </row>
    <row r="50" spans="1:3" x14ac:dyDescent="0.25">
      <c r="A50" s="36">
        <v>41187</v>
      </c>
      <c r="B50" s="122">
        <v>0.92835648148148142</v>
      </c>
      <c r="C50" s="26" t="s">
        <v>946</v>
      </c>
    </row>
    <row r="51" spans="1:3" x14ac:dyDescent="0.25">
      <c r="A51" s="36">
        <v>41187</v>
      </c>
      <c r="B51" s="122">
        <v>0.92835648148148142</v>
      </c>
      <c r="C51" s="26" t="s">
        <v>947</v>
      </c>
    </row>
    <row r="52" spans="1:3" x14ac:dyDescent="0.25">
      <c r="A52" s="36">
        <v>41187</v>
      </c>
      <c r="B52" s="122">
        <v>0.92835648148148142</v>
      </c>
      <c r="C52" s="26" t="s">
        <v>948</v>
      </c>
    </row>
    <row r="53" spans="1:3" x14ac:dyDescent="0.25">
      <c r="A53" s="36">
        <v>41187</v>
      </c>
      <c r="B53" s="122">
        <v>0.92835648148148142</v>
      </c>
      <c r="C53" s="26" t="s">
        <v>949</v>
      </c>
    </row>
    <row r="54" spans="1:3" x14ac:dyDescent="0.25">
      <c r="A54" s="36">
        <v>41187</v>
      </c>
      <c r="B54" s="122">
        <v>0.92835648148148142</v>
      </c>
      <c r="C54" s="26" t="s">
        <v>950</v>
      </c>
    </row>
    <row r="55" spans="1:3" x14ac:dyDescent="0.25">
      <c r="A55" s="36">
        <v>41187</v>
      </c>
      <c r="B55" s="122">
        <v>0.92835648148148142</v>
      </c>
      <c r="C55" s="26" t="s">
        <v>946</v>
      </c>
    </row>
    <row r="56" spans="1:3" x14ac:dyDescent="0.25">
      <c r="A56" s="36">
        <v>41187</v>
      </c>
      <c r="B56" s="122">
        <v>0.92835648148148142</v>
      </c>
      <c r="C56" s="26" t="s">
        <v>951</v>
      </c>
    </row>
    <row r="57" spans="1:3" x14ac:dyDescent="0.25">
      <c r="A57" s="36">
        <v>41187</v>
      </c>
      <c r="B57" s="122">
        <v>0.92835648148148142</v>
      </c>
      <c r="C57" s="26" t="s">
        <v>952</v>
      </c>
    </row>
    <row r="58" spans="1:3" x14ac:dyDescent="0.25">
      <c r="A58" s="36">
        <v>41187</v>
      </c>
      <c r="B58" s="122">
        <v>0.92835648148148142</v>
      </c>
      <c r="C58" s="26" t="s">
        <v>942</v>
      </c>
    </row>
    <row r="59" spans="1:3" x14ac:dyDescent="0.25">
      <c r="A59" s="36">
        <v>41187</v>
      </c>
      <c r="B59" s="122">
        <v>0.92835648148148142</v>
      </c>
      <c r="C59" s="26" t="s">
        <v>953</v>
      </c>
    </row>
    <row r="60" spans="1:3" x14ac:dyDescent="0.25">
      <c r="A60" s="36">
        <v>41187</v>
      </c>
      <c r="B60" s="122">
        <v>0.92835648148148142</v>
      </c>
      <c r="C60" s="26" t="s">
        <v>954</v>
      </c>
    </row>
    <row r="61" spans="1:3" x14ac:dyDescent="0.25">
      <c r="A61" s="36">
        <v>41187</v>
      </c>
      <c r="B61" s="122">
        <v>0.92835648148148142</v>
      </c>
      <c r="C61" s="26" t="s">
        <v>955</v>
      </c>
    </row>
    <row r="62" spans="1:3" x14ac:dyDescent="0.25">
      <c r="A62" s="36">
        <v>41187</v>
      </c>
      <c r="B62" s="122">
        <v>0.92835648148148142</v>
      </c>
      <c r="C62" s="26" t="s">
        <v>956</v>
      </c>
    </row>
    <row r="63" spans="1:3" x14ac:dyDescent="0.25">
      <c r="A63" s="36">
        <v>41187</v>
      </c>
      <c r="B63" s="122">
        <v>0.92835648148148142</v>
      </c>
      <c r="C63" s="26" t="s">
        <v>957</v>
      </c>
    </row>
    <row r="64" spans="1:3" x14ac:dyDescent="0.25">
      <c r="A64" s="36">
        <v>41187</v>
      </c>
      <c r="B64" s="122">
        <v>0.92835648148148142</v>
      </c>
      <c r="C64" s="26" t="s">
        <v>958</v>
      </c>
    </row>
    <row r="65" spans="1:3" x14ac:dyDescent="0.25">
      <c r="A65" s="36">
        <v>41187</v>
      </c>
      <c r="B65" s="122">
        <v>0.92835648148148142</v>
      </c>
      <c r="C65" s="26" t="s">
        <v>959</v>
      </c>
    </row>
    <row r="66" spans="1:3" x14ac:dyDescent="0.25">
      <c r="A66" s="36">
        <v>41187</v>
      </c>
      <c r="B66" s="122">
        <v>0.92835648148148142</v>
      </c>
      <c r="C66" s="26" t="s">
        <v>960</v>
      </c>
    </row>
    <row r="67" spans="1:3" x14ac:dyDescent="0.25">
      <c r="A67" s="36">
        <v>41187</v>
      </c>
      <c r="B67" s="122">
        <v>0.92835648148148142</v>
      </c>
      <c r="C67" s="26" t="s">
        <v>953</v>
      </c>
    </row>
    <row r="68" spans="1:3" x14ac:dyDescent="0.25">
      <c r="A68" s="36">
        <v>41187</v>
      </c>
      <c r="B68" s="122">
        <v>0.92835648148148142</v>
      </c>
      <c r="C68" s="26" t="s">
        <v>961</v>
      </c>
    </row>
    <row r="69" spans="1:3" x14ac:dyDescent="0.25">
      <c r="A69" s="36">
        <v>41187</v>
      </c>
      <c r="B69" s="122">
        <v>0.92835648148148142</v>
      </c>
      <c r="C69" s="26" t="s">
        <v>962</v>
      </c>
    </row>
    <row r="70" spans="1:3" x14ac:dyDescent="0.25">
      <c r="A70" s="36">
        <v>41187</v>
      </c>
      <c r="B70" s="122">
        <v>0.92835648148148142</v>
      </c>
      <c r="C70" s="26" t="s">
        <v>963</v>
      </c>
    </row>
    <row r="71" spans="1:3" x14ac:dyDescent="0.25">
      <c r="A71" s="36">
        <v>41187</v>
      </c>
      <c r="B71" s="122">
        <v>0.92835648148148142</v>
      </c>
      <c r="C71" s="26" t="s">
        <v>964</v>
      </c>
    </row>
    <row r="72" spans="1:3" x14ac:dyDescent="0.25">
      <c r="A72" s="36">
        <v>41187</v>
      </c>
      <c r="B72" s="122">
        <v>0.92835648148148142</v>
      </c>
      <c r="C72" s="26" t="s">
        <v>960</v>
      </c>
    </row>
    <row r="73" spans="1:3" x14ac:dyDescent="0.25">
      <c r="A73" s="36">
        <v>41187</v>
      </c>
      <c r="B73" s="122">
        <v>0.92835648148148142</v>
      </c>
      <c r="C73" s="26" t="s">
        <v>965</v>
      </c>
    </row>
    <row r="74" spans="1:3" x14ac:dyDescent="0.25">
      <c r="A74" s="36">
        <v>41187</v>
      </c>
      <c r="B74" s="122">
        <v>0.92835648148148142</v>
      </c>
      <c r="C74" s="26" t="s">
        <v>965</v>
      </c>
    </row>
    <row r="75" spans="1:3" x14ac:dyDescent="0.25">
      <c r="A75" s="36">
        <v>41187</v>
      </c>
      <c r="B75" s="122">
        <v>0.92835648148148142</v>
      </c>
      <c r="C75" s="26" t="s">
        <v>966</v>
      </c>
    </row>
    <row r="76" spans="1:3" x14ac:dyDescent="0.25">
      <c r="A76" s="36">
        <v>41187</v>
      </c>
      <c r="B76" s="122">
        <v>0.92835648148148142</v>
      </c>
      <c r="C76" s="26" t="s">
        <v>953</v>
      </c>
    </row>
    <row r="77" spans="1:3" x14ac:dyDescent="0.25">
      <c r="A77" s="36">
        <v>41187</v>
      </c>
      <c r="B77" s="122">
        <v>0.92835648148148142</v>
      </c>
      <c r="C77" s="26" t="s">
        <v>967</v>
      </c>
    </row>
    <row r="78" spans="1:3" x14ac:dyDescent="0.25">
      <c r="A78" s="36">
        <v>41187</v>
      </c>
      <c r="B78" s="122">
        <v>0.92836805555555557</v>
      </c>
      <c r="C78" s="26" t="s">
        <v>930</v>
      </c>
    </row>
    <row r="79" spans="1:3" x14ac:dyDescent="0.25">
      <c r="A79" s="36">
        <v>41187</v>
      </c>
      <c r="B79" s="122">
        <v>0.92836805555555557</v>
      </c>
      <c r="C79" s="26" t="s">
        <v>968</v>
      </c>
    </row>
    <row r="80" spans="1:3" x14ac:dyDescent="0.25">
      <c r="A80" s="36">
        <v>41187</v>
      </c>
      <c r="B80" s="122">
        <v>0.92836805555555557</v>
      </c>
      <c r="C80" s="26" t="s">
        <v>969</v>
      </c>
    </row>
    <row r="81" spans="1:3" x14ac:dyDescent="0.25">
      <c r="A81" s="36">
        <v>41187</v>
      </c>
      <c r="B81" s="122">
        <v>0.92836805555555557</v>
      </c>
      <c r="C81" s="26" t="s">
        <v>970</v>
      </c>
    </row>
    <row r="82" spans="1:3" x14ac:dyDescent="0.25">
      <c r="A82" s="36">
        <v>41187</v>
      </c>
      <c r="B82" s="122">
        <v>0.92836805555555557</v>
      </c>
      <c r="C82" s="26" t="s">
        <v>953</v>
      </c>
    </row>
    <row r="83" spans="1:3" x14ac:dyDescent="0.25">
      <c r="A83" s="36">
        <v>41187</v>
      </c>
      <c r="B83" s="122">
        <v>0.92836805555555557</v>
      </c>
      <c r="C83" s="26" t="s">
        <v>971</v>
      </c>
    </row>
    <row r="84" spans="1:3" x14ac:dyDescent="0.25">
      <c r="A84" s="36">
        <v>41187</v>
      </c>
      <c r="B84" s="122">
        <v>0.92836805555555557</v>
      </c>
      <c r="C84" s="26" t="s">
        <v>972</v>
      </c>
    </row>
    <row r="85" spans="1:3" x14ac:dyDescent="0.25">
      <c r="A85" s="36">
        <v>41187</v>
      </c>
      <c r="B85" s="122">
        <v>0.92836805555555557</v>
      </c>
      <c r="C85" s="26" t="s">
        <v>954</v>
      </c>
    </row>
    <row r="86" spans="1:3" x14ac:dyDescent="0.25">
      <c r="A86" s="36">
        <v>41187</v>
      </c>
      <c r="B86" s="122">
        <v>0.92836805555555557</v>
      </c>
      <c r="C86" s="26" t="s">
        <v>965</v>
      </c>
    </row>
    <row r="87" spans="1:3" x14ac:dyDescent="0.25">
      <c r="A87" s="36">
        <v>41187</v>
      </c>
      <c r="B87" s="122">
        <v>0.92836805555555557</v>
      </c>
      <c r="C87" s="26" t="s">
        <v>973</v>
      </c>
    </row>
    <row r="88" spans="1:3" x14ac:dyDescent="0.25">
      <c r="A88" s="36">
        <v>41187</v>
      </c>
      <c r="B88" s="122">
        <v>0.92836805555555557</v>
      </c>
      <c r="C88" s="26" t="s">
        <v>974</v>
      </c>
    </row>
    <row r="89" spans="1:3" x14ac:dyDescent="0.25">
      <c r="A89" s="36">
        <v>41187</v>
      </c>
      <c r="B89" s="122">
        <v>0.92836805555555557</v>
      </c>
      <c r="C89" s="26" t="s">
        <v>975</v>
      </c>
    </row>
    <row r="90" spans="1:3" x14ac:dyDescent="0.25">
      <c r="A90" s="36">
        <v>41187</v>
      </c>
      <c r="B90" s="122">
        <v>0.92836805555555557</v>
      </c>
      <c r="C90" s="26" t="s">
        <v>976</v>
      </c>
    </row>
    <row r="91" spans="1:3" x14ac:dyDescent="0.25">
      <c r="A91" s="36">
        <v>41187</v>
      </c>
      <c r="B91" s="122">
        <v>0.92836805555555557</v>
      </c>
      <c r="C91" s="26" t="s">
        <v>976</v>
      </c>
    </row>
    <row r="92" spans="1:3" x14ac:dyDescent="0.25">
      <c r="A92" s="36">
        <v>41187</v>
      </c>
      <c r="B92" s="122">
        <v>0.92836805555555557</v>
      </c>
      <c r="C92" s="26" t="s">
        <v>977</v>
      </c>
    </row>
    <row r="93" spans="1:3" x14ac:dyDescent="0.25">
      <c r="A93" s="36">
        <v>41187</v>
      </c>
      <c r="B93" s="122">
        <v>0.92836805555555557</v>
      </c>
      <c r="C93" s="26" t="s">
        <v>978</v>
      </c>
    </row>
    <row r="94" spans="1:3" x14ac:dyDescent="0.25">
      <c r="A94" s="36">
        <v>41187</v>
      </c>
      <c r="B94" s="122">
        <v>0.92836805555555557</v>
      </c>
      <c r="C94" s="26" t="s">
        <v>979</v>
      </c>
    </row>
    <row r="95" spans="1:3" x14ac:dyDescent="0.25">
      <c r="A95" s="36">
        <v>41187</v>
      </c>
      <c r="B95" s="122">
        <v>0.92836805555555557</v>
      </c>
      <c r="C95" s="26" t="s">
        <v>980</v>
      </c>
    </row>
    <row r="96" spans="1:3" x14ac:dyDescent="0.25">
      <c r="A96" s="36">
        <v>41187</v>
      </c>
      <c r="B96" s="122">
        <v>0.92836805555555557</v>
      </c>
      <c r="C96" s="26" t="s">
        <v>942</v>
      </c>
    </row>
    <row r="97" spans="1:3" x14ac:dyDescent="0.25">
      <c r="A97" s="36">
        <v>41187</v>
      </c>
      <c r="B97" s="122">
        <v>0.92836805555555557</v>
      </c>
      <c r="C97" s="26" t="s">
        <v>981</v>
      </c>
    </row>
    <row r="98" spans="1:3" x14ac:dyDescent="0.25">
      <c r="A98" s="36">
        <v>41187</v>
      </c>
      <c r="B98" s="122">
        <v>0.92836805555555557</v>
      </c>
      <c r="C98" s="26" t="s">
        <v>982</v>
      </c>
    </row>
    <row r="99" spans="1:3" x14ac:dyDescent="0.25">
      <c r="A99" s="36">
        <v>41187</v>
      </c>
      <c r="B99" s="122">
        <v>0.92836805555555557</v>
      </c>
      <c r="C99" s="26" t="s">
        <v>983</v>
      </c>
    </row>
    <row r="100" spans="1:3" x14ac:dyDescent="0.25">
      <c r="A100" s="36">
        <v>41187</v>
      </c>
      <c r="B100" s="122">
        <v>0.92836805555555557</v>
      </c>
      <c r="C100" s="26" t="s">
        <v>984</v>
      </c>
    </row>
    <row r="101" spans="1:3" x14ac:dyDescent="0.25">
      <c r="A101" s="36">
        <v>41187</v>
      </c>
      <c r="B101" s="122">
        <v>0.92836805555555557</v>
      </c>
      <c r="C101" s="26" t="s">
        <v>985</v>
      </c>
    </row>
    <row r="102" spans="1:3" x14ac:dyDescent="0.25">
      <c r="A102" s="36">
        <v>41187</v>
      </c>
      <c r="B102" s="122">
        <v>0.92836805555555557</v>
      </c>
      <c r="C102" s="26" t="s">
        <v>986</v>
      </c>
    </row>
    <row r="103" spans="1:3" x14ac:dyDescent="0.25">
      <c r="A103" s="36">
        <v>41187</v>
      </c>
      <c r="B103" s="122">
        <v>0.92836805555555557</v>
      </c>
      <c r="C103" s="26" t="s">
        <v>986</v>
      </c>
    </row>
    <row r="104" spans="1:3" x14ac:dyDescent="0.25">
      <c r="A104" s="36">
        <v>41187</v>
      </c>
      <c r="B104" s="122">
        <v>0.92836805555555557</v>
      </c>
      <c r="C104" s="26" t="s">
        <v>986</v>
      </c>
    </row>
    <row r="105" spans="1:3" x14ac:dyDescent="0.25">
      <c r="A105" s="36">
        <v>41187</v>
      </c>
      <c r="B105" s="122">
        <v>0.92836805555555557</v>
      </c>
      <c r="C105" s="26" t="s">
        <v>986</v>
      </c>
    </row>
    <row r="106" spans="1:3" x14ac:dyDescent="0.25">
      <c r="A106" s="36">
        <v>41187</v>
      </c>
      <c r="B106" s="122">
        <v>0.92836805555555557</v>
      </c>
      <c r="C106" s="26" t="s">
        <v>986</v>
      </c>
    </row>
    <row r="107" spans="1:3" x14ac:dyDescent="0.25">
      <c r="A107" s="36">
        <v>41187</v>
      </c>
      <c r="B107" s="122">
        <v>0.92836805555555557</v>
      </c>
      <c r="C107" s="26" t="s">
        <v>986</v>
      </c>
    </row>
    <row r="108" spans="1:3" x14ac:dyDescent="0.25">
      <c r="A108" s="36">
        <v>41187</v>
      </c>
      <c r="B108" s="122">
        <v>0.92836805555555557</v>
      </c>
      <c r="C108" s="26" t="s">
        <v>965</v>
      </c>
    </row>
    <row r="109" spans="1:3" x14ac:dyDescent="0.25">
      <c r="A109" s="36">
        <v>41187</v>
      </c>
      <c r="B109" s="122">
        <v>0.92836805555555557</v>
      </c>
      <c r="C109" s="26" t="s">
        <v>981</v>
      </c>
    </row>
    <row r="110" spans="1:3" x14ac:dyDescent="0.25">
      <c r="A110" s="36">
        <v>41187</v>
      </c>
      <c r="B110" s="122">
        <v>0.92836805555555557</v>
      </c>
      <c r="C110" s="26" t="s">
        <v>987</v>
      </c>
    </row>
    <row r="111" spans="1:3" x14ac:dyDescent="0.25">
      <c r="A111" s="36">
        <v>41187</v>
      </c>
      <c r="B111" s="122">
        <v>0.92836805555555557</v>
      </c>
      <c r="C111" s="26" t="s">
        <v>930</v>
      </c>
    </row>
    <row r="112" spans="1:3" x14ac:dyDescent="0.25">
      <c r="A112" s="36">
        <v>41187</v>
      </c>
      <c r="B112" s="122">
        <v>0.92836805555555557</v>
      </c>
      <c r="C112" s="26" t="s">
        <v>988</v>
      </c>
    </row>
    <row r="113" spans="1:3" x14ac:dyDescent="0.25">
      <c r="A113" s="36">
        <v>41187</v>
      </c>
      <c r="B113" s="122">
        <v>0.92836805555555557</v>
      </c>
      <c r="C113" s="26" t="s">
        <v>989</v>
      </c>
    </row>
    <row r="114" spans="1:3" x14ac:dyDescent="0.25">
      <c r="A114" s="36">
        <v>41187</v>
      </c>
      <c r="B114" s="122">
        <v>0.92836805555555557</v>
      </c>
      <c r="C114" s="26" t="s">
        <v>990</v>
      </c>
    </row>
    <row r="115" spans="1:3" x14ac:dyDescent="0.25">
      <c r="A115" s="36">
        <v>41187</v>
      </c>
      <c r="B115" s="122">
        <v>0.92836805555555557</v>
      </c>
      <c r="C115" s="26" t="s">
        <v>990</v>
      </c>
    </row>
    <row r="116" spans="1:3" x14ac:dyDescent="0.25">
      <c r="A116" s="36">
        <v>41187</v>
      </c>
      <c r="B116" s="122">
        <v>0.92836805555555557</v>
      </c>
      <c r="C116" s="26" t="s">
        <v>991</v>
      </c>
    </row>
    <row r="117" spans="1:3" x14ac:dyDescent="0.25">
      <c r="A117" s="36">
        <v>41187</v>
      </c>
      <c r="B117" s="122">
        <v>0.92836805555555557</v>
      </c>
      <c r="C117" s="26" t="s">
        <v>992</v>
      </c>
    </row>
    <row r="118" spans="1:3" x14ac:dyDescent="0.25">
      <c r="A118" s="36">
        <v>41187</v>
      </c>
      <c r="B118" s="122">
        <v>0.92836805555555557</v>
      </c>
      <c r="C118" s="26" t="s">
        <v>968</v>
      </c>
    </row>
    <row r="119" spans="1:3" x14ac:dyDescent="0.25">
      <c r="A119" s="36">
        <v>41187</v>
      </c>
      <c r="B119" s="122">
        <v>0.92836805555555557</v>
      </c>
      <c r="C119" s="26" t="s">
        <v>993</v>
      </c>
    </row>
    <row r="120" spans="1:3" x14ac:dyDescent="0.25">
      <c r="A120" s="36">
        <v>41187</v>
      </c>
      <c r="B120" s="122">
        <v>0.92856481481481479</v>
      </c>
      <c r="C120" s="26" t="s">
        <v>907</v>
      </c>
    </row>
    <row r="121" spans="1:3" x14ac:dyDescent="0.25">
      <c r="A121" s="36">
        <v>41187</v>
      </c>
      <c r="B121" s="122">
        <v>0.97378472222222223</v>
      </c>
      <c r="C121" s="26" t="s">
        <v>905</v>
      </c>
    </row>
    <row r="122" spans="1:3" x14ac:dyDescent="0.25">
      <c r="A122" s="36">
        <v>41187</v>
      </c>
      <c r="B122" s="122">
        <v>0.97410879629629632</v>
      </c>
      <c r="C122" s="26" t="s">
        <v>907</v>
      </c>
    </row>
    <row r="123" spans="1:3" x14ac:dyDescent="0.25">
      <c r="A123" s="36">
        <v>41187</v>
      </c>
      <c r="B123" s="122">
        <v>0.98363425925925929</v>
      </c>
      <c r="C123" s="26" t="s">
        <v>907</v>
      </c>
    </row>
    <row r="124" spans="1:3" x14ac:dyDescent="0.25">
      <c r="A124" s="36">
        <v>41187</v>
      </c>
      <c r="B124" s="122">
        <v>0.99670138888888893</v>
      </c>
      <c r="C124" s="26" t="s">
        <v>906</v>
      </c>
    </row>
    <row r="125" spans="1:3" x14ac:dyDescent="0.25">
      <c r="A125" s="36">
        <v>41187</v>
      </c>
      <c r="B125" s="122">
        <v>0.99682870370370369</v>
      </c>
      <c r="C125" s="26" t="s">
        <v>907</v>
      </c>
    </row>
    <row r="126" spans="1:3" x14ac:dyDescent="0.25">
      <c r="A126" s="36">
        <v>41187</v>
      </c>
      <c r="B126" s="122">
        <v>0.99927083333333344</v>
      </c>
      <c r="C126" s="26" t="s">
        <v>994</v>
      </c>
    </row>
    <row r="127" spans="1:3" x14ac:dyDescent="0.25">
      <c r="A127" s="36">
        <v>41187</v>
      </c>
      <c r="B127" s="122">
        <v>0.99944444444444447</v>
      </c>
      <c r="C127" s="26" t="s">
        <v>995</v>
      </c>
    </row>
    <row r="128" spans="1:3" x14ac:dyDescent="0.25">
      <c r="A128" s="36">
        <v>41187</v>
      </c>
      <c r="B128" s="122">
        <v>0.99954861111111104</v>
      </c>
      <c r="C128" s="26" t="s">
        <v>995</v>
      </c>
    </row>
    <row r="129" spans="1:3" x14ac:dyDescent="0.25">
      <c r="A129" s="36">
        <v>41187</v>
      </c>
      <c r="B129" s="122">
        <v>0.99962962962962953</v>
      </c>
      <c r="C129" s="26" t="s">
        <v>995</v>
      </c>
    </row>
    <row r="130" spans="1:3" x14ac:dyDescent="0.25">
      <c r="A130" s="36">
        <v>41187</v>
      </c>
      <c r="B130" s="122">
        <v>0.99965277777777783</v>
      </c>
      <c r="C130" s="26" t="s">
        <v>995</v>
      </c>
    </row>
    <row r="131" spans="1:3" x14ac:dyDescent="0.25">
      <c r="A131" s="36">
        <v>41187</v>
      </c>
      <c r="B131" s="122">
        <v>0.99965277777777783</v>
      </c>
      <c r="C131" s="26" t="s">
        <v>995</v>
      </c>
    </row>
    <row r="132" spans="1:3" x14ac:dyDescent="0.25">
      <c r="A132" s="36">
        <v>41187</v>
      </c>
      <c r="B132" s="122">
        <v>0.99966435185185187</v>
      </c>
      <c r="C132" s="26" t="s">
        <v>996</v>
      </c>
    </row>
    <row r="133" spans="1:3" x14ac:dyDescent="0.25">
      <c r="A133" s="36">
        <v>41187</v>
      </c>
      <c r="B133" s="122">
        <v>0.99967592592592591</v>
      </c>
      <c r="C133" s="26" t="s">
        <v>995</v>
      </c>
    </row>
    <row r="134" spans="1:3" x14ac:dyDescent="0.25">
      <c r="A134" s="36">
        <v>41187</v>
      </c>
      <c r="B134" s="122">
        <v>0.99967592592592591</v>
      </c>
      <c r="C134" s="26" t="s">
        <v>995</v>
      </c>
    </row>
    <row r="135" spans="1:3" x14ac:dyDescent="0.25">
      <c r="A135" s="36">
        <v>41187</v>
      </c>
      <c r="B135" s="122">
        <v>0.99968749999999995</v>
      </c>
      <c r="C135" s="26" t="s">
        <v>997</v>
      </c>
    </row>
    <row r="136" spans="1:3" x14ac:dyDescent="0.25">
      <c r="A136" s="36">
        <v>41188</v>
      </c>
      <c r="B136" s="122">
        <v>2.6620370370370372E-4</v>
      </c>
      <c r="C136" s="26" t="s">
        <v>998</v>
      </c>
    </row>
    <row r="137" spans="1:3" x14ac:dyDescent="0.25">
      <c r="A137" s="36">
        <v>41188</v>
      </c>
      <c r="B137" s="122">
        <v>2.8935185185185189E-4</v>
      </c>
      <c r="C137" s="26" t="s">
        <v>999</v>
      </c>
    </row>
    <row r="138" spans="1:3" x14ac:dyDescent="0.25">
      <c r="A138" s="36">
        <v>41188</v>
      </c>
      <c r="B138" s="122">
        <v>3.0092592592592595E-4</v>
      </c>
      <c r="C138" s="26" t="s">
        <v>995</v>
      </c>
    </row>
    <row r="139" spans="1:3" x14ac:dyDescent="0.25">
      <c r="A139" s="36">
        <v>41188</v>
      </c>
      <c r="B139" s="122">
        <v>3.1250000000000001E-4</v>
      </c>
      <c r="C139" s="26" t="s">
        <v>995</v>
      </c>
    </row>
    <row r="140" spans="1:3" x14ac:dyDescent="0.25">
      <c r="A140" s="36">
        <v>41188</v>
      </c>
      <c r="B140" s="122">
        <v>3.2407407407407406E-4</v>
      </c>
      <c r="C140" s="26" t="s">
        <v>995</v>
      </c>
    </row>
    <row r="141" spans="1:3" x14ac:dyDescent="0.25">
      <c r="A141" s="36">
        <v>41188</v>
      </c>
      <c r="B141" s="122">
        <v>3.3564814814814812E-4</v>
      </c>
      <c r="C141" s="26" t="s">
        <v>1000</v>
      </c>
    </row>
    <row r="142" spans="1:3" x14ac:dyDescent="0.25">
      <c r="A142" s="36">
        <v>41188</v>
      </c>
      <c r="B142" s="122">
        <v>3.4722222222222224E-4</v>
      </c>
      <c r="C142" s="26" t="s">
        <v>995</v>
      </c>
    </row>
    <row r="143" spans="1:3" x14ac:dyDescent="0.25">
      <c r="A143" s="36">
        <v>41188</v>
      </c>
      <c r="B143" s="122">
        <v>3.5879629629629635E-4</v>
      </c>
      <c r="C143" s="26" t="s">
        <v>995</v>
      </c>
    </row>
    <row r="144" spans="1:3" x14ac:dyDescent="0.25">
      <c r="A144" s="36">
        <v>41188</v>
      </c>
      <c r="B144" s="122">
        <v>3.5879629629629635E-4</v>
      </c>
      <c r="C144" s="26" t="s">
        <v>1001</v>
      </c>
    </row>
    <row r="145" spans="1:3" x14ac:dyDescent="0.25">
      <c r="A145" s="36">
        <v>41188</v>
      </c>
      <c r="B145" s="122">
        <v>3.7037037037037035E-4</v>
      </c>
      <c r="C145" s="26" t="s">
        <v>1001</v>
      </c>
    </row>
    <row r="146" spans="1:3" x14ac:dyDescent="0.25">
      <c r="A146" s="36">
        <v>41188</v>
      </c>
      <c r="B146" s="122">
        <v>3.8194444444444446E-4</v>
      </c>
      <c r="C146" s="26" t="s">
        <v>995</v>
      </c>
    </row>
    <row r="147" spans="1:3" x14ac:dyDescent="0.25">
      <c r="A147" s="36">
        <v>41188</v>
      </c>
      <c r="B147" s="122">
        <v>3.9351851851851852E-4</v>
      </c>
      <c r="C147" s="26" t="s">
        <v>995</v>
      </c>
    </row>
    <row r="148" spans="1:3" x14ac:dyDescent="0.25">
      <c r="A148" s="36">
        <v>41188</v>
      </c>
      <c r="B148" s="122">
        <v>4.0509259259259258E-4</v>
      </c>
      <c r="C148" s="26" t="s">
        <v>995</v>
      </c>
    </row>
    <row r="149" spans="1:3" x14ac:dyDescent="0.25">
      <c r="A149" s="36">
        <v>41188</v>
      </c>
      <c r="B149" s="122">
        <v>4.1666666666666669E-4</v>
      </c>
      <c r="C149" s="26" t="s">
        <v>995</v>
      </c>
    </row>
    <row r="150" spans="1:3" x14ac:dyDescent="0.25">
      <c r="A150" s="36">
        <v>41188</v>
      </c>
      <c r="B150" s="122">
        <v>4.1666666666666669E-4</v>
      </c>
      <c r="C150" s="26" t="s">
        <v>1002</v>
      </c>
    </row>
    <row r="151" spans="1:3" x14ac:dyDescent="0.25">
      <c r="A151" s="36">
        <v>41188</v>
      </c>
      <c r="B151" s="122">
        <v>4.2824074074074075E-4</v>
      </c>
      <c r="C151" s="26" t="s">
        <v>995</v>
      </c>
    </row>
    <row r="152" spans="1:3" x14ac:dyDescent="0.25">
      <c r="A152" s="36">
        <v>41188</v>
      </c>
      <c r="B152" s="122">
        <v>4.8611111111111104E-4</v>
      </c>
      <c r="C152" s="26" t="s">
        <v>995</v>
      </c>
    </row>
    <row r="153" spans="1:3" x14ac:dyDescent="0.25">
      <c r="A153" s="36">
        <v>41188</v>
      </c>
      <c r="B153" s="122">
        <v>5.2083333333333333E-4</v>
      </c>
      <c r="C153" s="26" t="s">
        <v>995</v>
      </c>
    </row>
    <row r="154" spans="1:3" x14ac:dyDescent="0.25">
      <c r="A154" s="36">
        <v>41188</v>
      </c>
      <c r="B154" s="122">
        <v>1.6087962962962963E-3</v>
      </c>
      <c r="C154" s="26" t="s">
        <v>995</v>
      </c>
    </row>
    <row r="155" spans="1:3" x14ac:dyDescent="0.25">
      <c r="A155" s="36">
        <v>41188</v>
      </c>
      <c r="B155" s="122">
        <v>1.6203703703703703E-3</v>
      </c>
      <c r="C155" s="26" t="s">
        <v>995</v>
      </c>
    </row>
    <row r="156" spans="1:3" x14ac:dyDescent="0.25">
      <c r="A156" s="36">
        <v>41188</v>
      </c>
      <c r="B156" s="122">
        <v>1.6319444444444445E-3</v>
      </c>
      <c r="C156" s="26" t="s">
        <v>1003</v>
      </c>
    </row>
    <row r="157" spans="1:3" x14ac:dyDescent="0.25">
      <c r="A157" s="36">
        <v>41188</v>
      </c>
      <c r="B157" s="122">
        <v>1.6435185185185183E-3</v>
      </c>
      <c r="C157" s="26" t="s">
        <v>995</v>
      </c>
    </row>
    <row r="158" spans="1:3" x14ac:dyDescent="0.25">
      <c r="A158" s="36">
        <v>41188</v>
      </c>
      <c r="B158" s="122">
        <v>1.6550925925925926E-3</v>
      </c>
      <c r="C158" s="26" t="s">
        <v>995</v>
      </c>
    </row>
    <row r="159" spans="1:3" x14ac:dyDescent="0.25">
      <c r="A159" s="36">
        <v>41188</v>
      </c>
      <c r="B159" s="122">
        <v>1.6666666666666668E-3</v>
      </c>
      <c r="C159" s="26" t="s">
        <v>995</v>
      </c>
    </row>
    <row r="160" spans="1:3" x14ac:dyDescent="0.25">
      <c r="A160" s="36">
        <v>41188</v>
      </c>
      <c r="B160" s="122">
        <v>4.0509259259259257E-3</v>
      </c>
      <c r="C160" s="26" t="s">
        <v>906</v>
      </c>
    </row>
    <row r="161" spans="1:3" x14ac:dyDescent="0.25">
      <c r="A161" s="36">
        <v>41188</v>
      </c>
      <c r="B161" s="122">
        <v>4.1203703703703706E-3</v>
      </c>
      <c r="C161" s="26" t="s">
        <v>907</v>
      </c>
    </row>
    <row r="162" spans="1:3" x14ac:dyDescent="0.25">
      <c r="A162" s="36">
        <v>41188</v>
      </c>
      <c r="B162" s="122">
        <v>4.2013888888888891E-3</v>
      </c>
      <c r="C162" s="26" t="s">
        <v>994</v>
      </c>
    </row>
    <row r="163" spans="1:3" x14ac:dyDescent="0.25">
      <c r="A163" s="36">
        <v>41188</v>
      </c>
      <c r="B163" s="122">
        <v>4.2361111111111106E-3</v>
      </c>
      <c r="C163" s="26" t="s">
        <v>995</v>
      </c>
    </row>
    <row r="164" spans="1:3" x14ac:dyDescent="0.25">
      <c r="A164" s="36">
        <v>41188</v>
      </c>
      <c r="B164" s="122">
        <v>4.2476851851851851E-3</v>
      </c>
      <c r="C164" s="26" t="s">
        <v>995</v>
      </c>
    </row>
    <row r="165" spans="1:3" x14ac:dyDescent="0.25">
      <c r="A165" s="36">
        <v>41188</v>
      </c>
      <c r="B165" s="122">
        <v>4.2476851851851851E-3</v>
      </c>
      <c r="C165" s="26" t="s">
        <v>995</v>
      </c>
    </row>
    <row r="166" spans="1:3" x14ac:dyDescent="0.25">
      <c r="A166" s="36">
        <v>41188</v>
      </c>
      <c r="B166" s="122">
        <v>4.2592592592592595E-3</v>
      </c>
      <c r="C166" s="26" t="s">
        <v>995</v>
      </c>
    </row>
    <row r="167" spans="1:3" x14ac:dyDescent="0.25">
      <c r="A167" s="36">
        <v>41188</v>
      </c>
      <c r="B167" s="122">
        <v>4.2708333333333339E-3</v>
      </c>
      <c r="C167" s="26" t="s">
        <v>995</v>
      </c>
    </row>
    <row r="168" spans="1:3" x14ac:dyDescent="0.25">
      <c r="A168" s="36">
        <v>41188</v>
      </c>
      <c r="B168" s="122">
        <v>4.2824074074074075E-3</v>
      </c>
      <c r="C168" s="26" t="s">
        <v>996</v>
      </c>
    </row>
    <row r="169" spans="1:3" x14ac:dyDescent="0.25">
      <c r="A169" s="36">
        <v>41188</v>
      </c>
      <c r="B169" s="122">
        <v>4.2939814814814811E-3</v>
      </c>
      <c r="C169" s="26" t="s">
        <v>995</v>
      </c>
    </row>
    <row r="170" spans="1:3" x14ac:dyDescent="0.25">
      <c r="A170" s="36">
        <v>41188</v>
      </c>
      <c r="B170" s="122">
        <v>4.3055555555555555E-3</v>
      </c>
      <c r="C170" s="26" t="s">
        <v>995</v>
      </c>
    </row>
    <row r="171" spans="1:3" x14ac:dyDescent="0.25">
      <c r="A171" s="36">
        <v>41188</v>
      </c>
      <c r="B171" s="122">
        <v>4.3055555555555555E-3</v>
      </c>
      <c r="C171" s="26" t="s">
        <v>997</v>
      </c>
    </row>
    <row r="172" spans="1:3" x14ac:dyDescent="0.25">
      <c r="A172" s="36">
        <v>41188</v>
      </c>
      <c r="B172" s="122">
        <v>4.363425925925926E-3</v>
      </c>
      <c r="C172" s="26" t="s">
        <v>998</v>
      </c>
    </row>
    <row r="173" spans="1:3" x14ac:dyDescent="0.25">
      <c r="A173" s="36">
        <v>41188</v>
      </c>
      <c r="B173" s="122">
        <v>4.386574074074074E-3</v>
      </c>
      <c r="C173" s="26" t="s">
        <v>999</v>
      </c>
    </row>
    <row r="174" spans="1:3" x14ac:dyDescent="0.25">
      <c r="A174" s="36">
        <v>41188</v>
      </c>
      <c r="B174" s="122">
        <v>4.386574074074074E-3</v>
      </c>
      <c r="C174" s="26" t="s">
        <v>995</v>
      </c>
    </row>
    <row r="175" spans="1:3" x14ac:dyDescent="0.25">
      <c r="A175" s="36">
        <v>41188</v>
      </c>
      <c r="B175" s="122">
        <v>4.3981481481481484E-3</v>
      </c>
      <c r="C175" s="26" t="s">
        <v>995</v>
      </c>
    </row>
    <row r="176" spans="1:3" x14ac:dyDescent="0.25">
      <c r="A176" s="36">
        <v>41188</v>
      </c>
      <c r="B176" s="122">
        <v>4.409722222222222E-3</v>
      </c>
      <c r="C176" s="26" t="s">
        <v>995</v>
      </c>
    </row>
    <row r="177" spans="1:3" x14ac:dyDescent="0.25">
      <c r="A177" s="36">
        <v>41188</v>
      </c>
      <c r="B177" s="122">
        <v>4.4212962962962956E-3</v>
      </c>
      <c r="C177" s="26" t="s">
        <v>1000</v>
      </c>
    </row>
    <row r="178" spans="1:3" x14ac:dyDescent="0.25">
      <c r="A178" s="36">
        <v>41188</v>
      </c>
      <c r="B178" s="122">
        <v>4.4328703703703709E-3</v>
      </c>
      <c r="C178" s="26" t="s">
        <v>995</v>
      </c>
    </row>
    <row r="179" spans="1:3" x14ac:dyDescent="0.25">
      <c r="A179" s="36">
        <v>41188</v>
      </c>
      <c r="B179" s="122">
        <v>4.4444444444444444E-3</v>
      </c>
      <c r="C179" s="26" t="s">
        <v>995</v>
      </c>
    </row>
    <row r="180" spans="1:3" x14ac:dyDescent="0.25">
      <c r="A180" s="36">
        <v>41188</v>
      </c>
      <c r="B180" s="122">
        <v>4.4560185185185189E-3</v>
      </c>
      <c r="C180" s="26" t="s">
        <v>1001</v>
      </c>
    </row>
    <row r="181" spans="1:3" x14ac:dyDescent="0.25">
      <c r="A181" s="36">
        <v>41188</v>
      </c>
      <c r="B181" s="122">
        <v>4.4560185185185189E-3</v>
      </c>
      <c r="C181" s="26" t="s">
        <v>1001</v>
      </c>
    </row>
    <row r="182" spans="1:3" x14ac:dyDescent="0.25">
      <c r="A182" s="36">
        <v>41188</v>
      </c>
      <c r="B182" s="122">
        <v>4.4675925925925933E-3</v>
      </c>
      <c r="C182" s="26" t="s">
        <v>995</v>
      </c>
    </row>
    <row r="183" spans="1:3" x14ac:dyDescent="0.25">
      <c r="A183" s="36">
        <v>41188</v>
      </c>
      <c r="B183" s="122">
        <v>4.4791666666666669E-3</v>
      </c>
      <c r="C183" s="26" t="s">
        <v>995</v>
      </c>
    </row>
    <row r="184" spans="1:3" x14ac:dyDescent="0.25">
      <c r="A184" s="36">
        <v>41188</v>
      </c>
      <c r="B184" s="122">
        <v>4.4907407407407405E-3</v>
      </c>
      <c r="C184" s="26" t="s">
        <v>995</v>
      </c>
    </row>
    <row r="185" spans="1:3" x14ac:dyDescent="0.25">
      <c r="A185" s="36">
        <v>41188</v>
      </c>
      <c r="B185" s="122">
        <v>4.4907407407407405E-3</v>
      </c>
      <c r="C185" s="26" t="s">
        <v>995</v>
      </c>
    </row>
    <row r="186" spans="1:3" x14ac:dyDescent="0.25">
      <c r="A186" s="36">
        <v>41188</v>
      </c>
      <c r="B186" s="122">
        <v>4.5023148148148149E-3</v>
      </c>
      <c r="C186" s="26" t="s">
        <v>1002</v>
      </c>
    </row>
    <row r="187" spans="1:3" x14ac:dyDescent="0.25">
      <c r="A187" s="36">
        <v>41188</v>
      </c>
      <c r="B187" s="122">
        <v>4.5138888888888893E-3</v>
      </c>
      <c r="C187" s="26" t="s">
        <v>995</v>
      </c>
    </row>
    <row r="188" spans="1:3" x14ac:dyDescent="0.25">
      <c r="A188" s="36">
        <v>41188</v>
      </c>
      <c r="B188" s="122">
        <v>4.5486111111111109E-3</v>
      </c>
      <c r="C188" s="26" t="s">
        <v>995</v>
      </c>
    </row>
    <row r="189" spans="1:3" x14ac:dyDescent="0.25">
      <c r="A189" s="36">
        <v>41188</v>
      </c>
      <c r="B189" s="122">
        <v>4.5601851851851853E-3</v>
      </c>
      <c r="C189" s="26" t="s">
        <v>995</v>
      </c>
    </row>
    <row r="190" spans="1:3" x14ac:dyDescent="0.25">
      <c r="A190" s="36">
        <v>41188</v>
      </c>
      <c r="B190" s="122">
        <v>4.6064814814814814E-3</v>
      </c>
      <c r="C190" s="26" t="s">
        <v>995</v>
      </c>
    </row>
    <row r="191" spans="1:3" x14ac:dyDescent="0.25">
      <c r="A191" s="36">
        <v>41188</v>
      </c>
      <c r="B191" s="122">
        <v>4.6180555555555558E-3</v>
      </c>
      <c r="C191" s="26" t="s">
        <v>995</v>
      </c>
    </row>
    <row r="192" spans="1:3" x14ac:dyDescent="0.25">
      <c r="A192" s="36">
        <v>41188</v>
      </c>
      <c r="B192" s="122">
        <v>4.6180555555555558E-3</v>
      </c>
      <c r="C192" s="26" t="s">
        <v>1003</v>
      </c>
    </row>
    <row r="193" spans="1:3" x14ac:dyDescent="0.25">
      <c r="A193" s="36">
        <v>41188</v>
      </c>
      <c r="B193" s="122">
        <v>4.6296296296296302E-3</v>
      </c>
      <c r="C193" s="26" t="s">
        <v>995</v>
      </c>
    </row>
    <row r="194" spans="1:3" x14ac:dyDescent="0.25">
      <c r="A194" s="36">
        <v>41188</v>
      </c>
      <c r="B194" s="122">
        <v>4.6412037037037038E-3</v>
      </c>
      <c r="C194" s="26" t="s">
        <v>995</v>
      </c>
    </row>
    <row r="195" spans="1:3" x14ac:dyDescent="0.25">
      <c r="A195" s="36">
        <v>41188</v>
      </c>
      <c r="B195" s="122">
        <v>4.6527777777777774E-3</v>
      </c>
      <c r="C195" s="26" t="s">
        <v>995</v>
      </c>
    </row>
    <row r="196" spans="1:3" x14ac:dyDescent="0.25">
      <c r="A196" s="36">
        <v>41188</v>
      </c>
      <c r="B196" s="122">
        <v>4.6874999999999998E-3</v>
      </c>
      <c r="C196" s="26" t="s">
        <v>995</v>
      </c>
    </row>
    <row r="197" spans="1:3" x14ac:dyDescent="0.25">
      <c r="A197" s="36">
        <v>41188</v>
      </c>
      <c r="B197" s="122">
        <v>4.6990740740740743E-3</v>
      </c>
      <c r="C197" s="26" t="s">
        <v>1004</v>
      </c>
    </row>
    <row r="198" spans="1:3" x14ac:dyDescent="0.25">
      <c r="A198" s="36">
        <v>41188</v>
      </c>
      <c r="B198" s="122">
        <v>4.7106481481481478E-3</v>
      </c>
      <c r="C198" s="26" t="s">
        <v>995</v>
      </c>
    </row>
    <row r="199" spans="1:3" x14ac:dyDescent="0.25">
      <c r="A199" s="36">
        <v>41188</v>
      </c>
      <c r="B199" s="122">
        <v>4.7222222222222223E-3</v>
      </c>
      <c r="C199" s="26" t="s">
        <v>1004</v>
      </c>
    </row>
    <row r="200" spans="1:3" x14ac:dyDescent="0.25">
      <c r="A200" s="36">
        <v>41188</v>
      </c>
      <c r="B200" s="122">
        <v>4.7337962962962958E-3</v>
      </c>
      <c r="C200" s="26" t="s">
        <v>1005</v>
      </c>
    </row>
    <row r="201" spans="1:3" x14ac:dyDescent="0.25">
      <c r="A201" s="36">
        <v>41188</v>
      </c>
      <c r="B201" s="122">
        <v>4.7453703703703703E-3</v>
      </c>
      <c r="C201" s="26" t="s">
        <v>1006</v>
      </c>
    </row>
    <row r="202" spans="1:3" x14ac:dyDescent="0.25">
      <c r="A202" s="36">
        <v>41188</v>
      </c>
      <c r="B202" s="122">
        <v>4.7685185185185183E-3</v>
      </c>
      <c r="C202" s="26" t="s">
        <v>995</v>
      </c>
    </row>
    <row r="203" spans="1:3" x14ac:dyDescent="0.25">
      <c r="A203" s="36">
        <v>41188</v>
      </c>
      <c r="B203" s="122">
        <v>4.7800925925925919E-3</v>
      </c>
      <c r="C203" s="26" t="s">
        <v>995</v>
      </c>
    </row>
    <row r="204" spans="1:3" x14ac:dyDescent="0.25">
      <c r="A204" s="36">
        <v>41188</v>
      </c>
      <c r="B204" s="122">
        <v>4.7916666666666672E-3</v>
      </c>
      <c r="C204" s="26" t="s">
        <v>995</v>
      </c>
    </row>
    <row r="205" spans="1:3" x14ac:dyDescent="0.25">
      <c r="A205" s="36">
        <v>41188</v>
      </c>
      <c r="B205" s="122">
        <v>5.4513888888888884E-3</v>
      </c>
      <c r="C205" s="26" t="s">
        <v>906</v>
      </c>
    </row>
    <row r="206" spans="1:3" x14ac:dyDescent="0.25">
      <c r="A206" s="36">
        <v>41188</v>
      </c>
      <c r="B206" s="122">
        <v>5.5902777777777782E-3</v>
      </c>
      <c r="C206" s="26" t="s">
        <v>907</v>
      </c>
    </row>
    <row r="207" spans="1:3" x14ac:dyDescent="0.25">
      <c r="A207" s="36">
        <v>41188</v>
      </c>
      <c r="B207" s="122">
        <v>7.7777777777777767E-3</v>
      </c>
      <c r="C207" s="26" t="s">
        <v>994</v>
      </c>
    </row>
    <row r="208" spans="1:3" x14ac:dyDescent="0.25">
      <c r="A208" s="36">
        <v>41188</v>
      </c>
      <c r="B208" s="122">
        <v>7.8009259259259256E-3</v>
      </c>
      <c r="C208" s="26" t="s">
        <v>995</v>
      </c>
    </row>
    <row r="209" spans="1:3" x14ac:dyDescent="0.25">
      <c r="A209" s="36">
        <v>41188</v>
      </c>
      <c r="B209" s="122">
        <v>7.8240740740740753E-3</v>
      </c>
      <c r="C209" s="26" t="s">
        <v>995</v>
      </c>
    </row>
    <row r="210" spans="1:3" x14ac:dyDescent="0.25">
      <c r="A210" s="36">
        <v>41188</v>
      </c>
      <c r="B210" s="122">
        <v>7.8356481481481489E-3</v>
      </c>
      <c r="C210" s="26" t="s">
        <v>995</v>
      </c>
    </row>
    <row r="211" spans="1:3" x14ac:dyDescent="0.25">
      <c r="A211" s="36">
        <v>41188</v>
      </c>
      <c r="B211" s="122">
        <v>7.8472222222222224E-3</v>
      </c>
      <c r="C211" s="26" t="s">
        <v>995</v>
      </c>
    </row>
    <row r="212" spans="1:3" x14ac:dyDescent="0.25">
      <c r="A212" s="36">
        <v>41188</v>
      </c>
      <c r="B212" s="122">
        <v>7.8472222222222224E-3</v>
      </c>
      <c r="C212" s="26" t="s">
        <v>995</v>
      </c>
    </row>
    <row r="213" spans="1:3" x14ac:dyDescent="0.25">
      <c r="A213" s="36">
        <v>41188</v>
      </c>
      <c r="B213" s="122">
        <v>7.858796296296296E-3</v>
      </c>
      <c r="C213" s="26" t="s">
        <v>996</v>
      </c>
    </row>
    <row r="214" spans="1:3" x14ac:dyDescent="0.25">
      <c r="A214" s="36">
        <v>41188</v>
      </c>
      <c r="B214" s="122">
        <v>7.8703703703703713E-3</v>
      </c>
      <c r="C214" s="26" t="s">
        <v>995</v>
      </c>
    </row>
    <row r="215" spans="1:3" x14ac:dyDescent="0.25">
      <c r="A215" s="36">
        <v>41188</v>
      </c>
      <c r="B215" s="122">
        <v>7.8819444444444432E-3</v>
      </c>
      <c r="C215" s="26" t="s">
        <v>995</v>
      </c>
    </row>
    <row r="216" spans="1:3" x14ac:dyDescent="0.25">
      <c r="A216" s="36">
        <v>41188</v>
      </c>
      <c r="B216" s="122">
        <v>7.8935185185185185E-3</v>
      </c>
      <c r="C216" s="26" t="s">
        <v>997</v>
      </c>
    </row>
    <row r="217" spans="1:3" x14ac:dyDescent="0.25">
      <c r="A217" s="36">
        <v>41188</v>
      </c>
      <c r="B217" s="122">
        <v>7.905092592592592E-3</v>
      </c>
      <c r="C217" s="26" t="s">
        <v>998</v>
      </c>
    </row>
    <row r="218" spans="1:3" x14ac:dyDescent="0.25">
      <c r="A218" s="36">
        <v>41188</v>
      </c>
      <c r="B218" s="122">
        <v>7.9166666666666673E-3</v>
      </c>
      <c r="C218" s="26" t="s">
        <v>999</v>
      </c>
    </row>
    <row r="219" spans="1:3" x14ac:dyDescent="0.25">
      <c r="A219" s="36">
        <v>41188</v>
      </c>
      <c r="B219" s="122">
        <v>7.9282407407407409E-3</v>
      </c>
      <c r="C219" s="26" t="s">
        <v>995</v>
      </c>
    </row>
    <row r="220" spans="1:3" x14ac:dyDescent="0.25">
      <c r="A220" s="36">
        <v>41188</v>
      </c>
      <c r="B220" s="122">
        <v>7.9398148148148145E-3</v>
      </c>
      <c r="C220" s="26" t="s">
        <v>995</v>
      </c>
    </row>
    <row r="221" spans="1:3" x14ac:dyDescent="0.25">
      <c r="A221" s="36">
        <v>41188</v>
      </c>
      <c r="B221" s="122">
        <v>7.951388888888888E-3</v>
      </c>
      <c r="C221" s="26" t="s">
        <v>995</v>
      </c>
    </row>
    <row r="222" spans="1:3" x14ac:dyDescent="0.25">
      <c r="A222" s="36">
        <v>41188</v>
      </c>
      <c r="B222" s="122">
        <v>7.9629629629629634E-3</v>
      </c>
      <c r="C222" s="26" t="s">
        <v>1000</v>
      </c>
    </row>
    <row r="223" spans="1:3" x14ac:dyDescent="0.25">
      <c r="A223" s="36">
        <v>41188</v>
      </c>
      <c r="B223" s="122">
        <v>7.9745370370370369E-3</v>
      </c>
      <c r="C223" s="26" t="s">
        <v>995</v>
      </c>
    </row>
    <row r="224" spans="1:3" x14ac:dyDescent="0.25">
      <c r="A224" s="36">
        <v>41188</v>
      </c>
      <c r="B224" s="122">
        <v>7.9745370370370369E-3</v>
      </c>
      <c r="C224" s="26" t="s">
        <v>995</v>
      </c>
    </row>
    <row r="225" spans="1:3" x14ac:dyDescent="0.25">
      <c r="A225" s="36">
        <v>41188</v>
      </c>
      <c r="B225" s="122">
        <v>7.9861111111111122E-3</v>
      </c>
      <c r="C225" s="26" t="s">
        <v>1001</v>
      </c>
    </row>
    <row r="226" spans="1:3" x14ac:dyDescent="0.25">
      <c r="A226" s="36">
        <v>41188</v>
      </c>
      <c r="B226" s="122">
        <v>7.9976851851851858E-3</v>
      </c>
      <c r="C226" s="26" t="s">
        <v>1001</v>
      </c>
    </row>
    <row r="227" spans="1:3" x14ac:dyDescent="0.25">
      <c r="A227" s="36">
        <v>41188</v>
      </c>
      <c r="B227" s="122">
        <v>8.0092592592592594E-3</v>
      </c>
      <c r="C227" s="26" t="s">
        <v>995</v>
      </c>
    </row>
    <row r="228" spans="1:3" x14ac:dyDescent="0.25">
      <c r="A228" s="36">
        <v>41188</v>
      </c>
      <c r="B228" s="122">
        <v>8.0092592592592594E-3</v>
      </c>
      <c r="C228" s="26" t="s">
        <v>995</v>
      </c>
    </row>
    <row r="229" spans="1:3" x14ac:dyDescent="0.25">
      <c r="A229" s="36">
        <v>41188</v>
      </c>
      <c r="B229" s="122">
        <v>8.0208333333333329E-3</v>
      </c>
      <c r="C229" s="26" t="s">
        <v>995</v>
      </c>
    </row>
    <row r="230" spans="1:3" x14ac:dyDescent="0.25">
      <c r="A230" s="36">
        <v>41188</v>
      </c>
      <c r="B230" s="122">
        <v>8.0324074074074065E-3</v>
      </c>
      <c r="C230" s="26" t="s">
        <v>995</v>
      </c>
    </row>
    <row r="231" spans="1:3" x14ac:dyDescent="0.25">
      <c r="A231" s="36">
        <v>41188</v>
      </c>
      <c r="B231" s="122">
        <v>8.0439814814814818E-3</v>
      </c>
      <c r="C231" s="26" t="s">
        <v>1002</v>
      </c>
    </row>
    <row r="232" spans="1:3" x14ac:dyDescent="0.25">
      <c r="A232" s="36">
        <v>41188</v>
      </c>
      <c r="B232" s="122">
        <v>8.0439814814814818E-3</v>
      </c>
      <c r="C232" s="26" t="s">
        <v>995</v>
      </c>
    </row>
    <row r="233" spans="1:3" x14ac:dyDescent="0.25">
      <c r="A233" s="36">
        <v>41188</v>
      </c>
      <c r="B233" s="122">
        <v>8.5995370370370357E-3</v>
      </c>
      <c r="C233" s="26" t="s">
        <v>995</v>
      </c>
    </row>
    <row r="234" spans="1:3" x14ac:dyDescent="0.25">
      <c r="A234" s="36">
        <v>41188</v>
      </c>
      <c r="B234" s="122">
        <v>8.6226851851851846E-3</v>
      </c>
      <c r="C234" s="26" t="s">
        <v>995</v>
      </c>
    </row>
    <row r="235" spans="1:3" x14ac:dyDescent="0.25">
      <c r="A235" s="36">
        <v>41188</v>
      </c>
      <c r="B235" s="122">
        <v>8.6342592592592599E-3</v>
      </c>
      <c r="C235" s="26" t="s">
        <v>995</v>
      </c>
    </row>
    <row r="236" spans="1:3" x14ac:dyDescent="0.25">
      <c r="A236" s="36">
        <v>41188</v>
      </c>
      <c r="B236" s="122">
        <v>8.6458333333333335E-3</v>
      </c>
      <c r="C236" s="26" t="s">
        <v>995</v>
      </c>
    </row>
    <row r="237" spans="1:3" x14ac:dyDescent="0.25">
      <c r="A237" s="36">
        <v>41188</v>
      </c>
      <c r="B237" s="122">
        <v>8.6458333333333335E-3</v>
      </c>
      <c r="C237" s="26" t="s">
        <v>1003</v>
      </c>
    </row>
    <row r="238" spans="1:3" x14ac:dyDescent="0.25">
      <c r="A238" s="36">
        <v>41188</v>
      </c>
      <c r="B238" s="122">
        <v>8.6574074074074071E-3</v>
      </c>
      <c r="C238" s="26" t="s">
        <v>995</v>
      </c>
    </row>
    <row r="239" spans="1:3" x14ac:dyDescent="0.25">
      <c r="A239" s="36">
        <v>41188</v>
      </c>
      <c r="B239" s="122">
        <v>8.6689814814814806E-3</v>
      </c>
      <c r="C239" s="26" t="s">
        <v>995</v>
      </c>
    </row>
    <row r="240" spans="1:3" x14ac:dyDescent="0.25">
      <c r="A240" s="36">
        <v>41188</v>
      </c>
      <c r="B240" s="122">
        <v>8.6805555555555559E-3</v>
      </c>
      <c r="C240" s="26" t="s">
        <v>995</v>
      </c>
    </row>
    <row r="241" spans="1:3" x14ac:dyDescent="0.25">
      <c r="A241" s="36">
        <v>41188</v>
      </c>
      <c r="B241" s="122">
        <v>8.8310185185185176E-3</v>
      </c>
      <c r="C241" s="26" t="s">
        <v>995</v>
      </c>
    </row>
    <row r="242" spans="1:3" x14ac:dyDescent="0.25">
      <c r="A242" s="36">
        <v>41188</v>
      </c>
      <c r="B242" s="122">
        <v>8.8425925925925911E-3</v>
      </c>
      <c r="C242" s="26" t="s">
        <v>1004</v>
      </c>
    </row>
    <row r="243" spans="1:3" x14ac:dyDescent="0.25">
      <c r="A243" s="36">
        <v>41188</v>
      </c>
      <c r="B243" s="122">
        <v>8.8541666666666664E-3</v>
      </c>
      <c r="C243" s="26" t="s">
        <v>995</v>
      </c>
    </row>
    <row r="244" spans="1:3" x14ac:dyDescent="0.25">
      <c r="A244" s="36">
        <v>41188</v>
      </c>
      <c r="B244" s="122">
        <v>8.8773148148148153E-3</v>
      </c>
      <c r="C244" s="26" t="s">
        <v>1004</v>
      </c>
    </row>
    <row r="245" spans="1:3" x14ac:dyDescent="0.25">
      <c r="A245" s="36">
        <v>41188</v>
      </c>
      <c r="B245" s="122">
        <v>8.8888888888888889E-3</v>
      </c>
      <c r="C245" s="26" t="s">
        <v>1005</v>
      </c>
    </row>
    <row r="246" spans="1:3" x14ac:dyDescent="0.25">
      <c r="A246" s="36">
        <v>41188</v>
      </c>
      <c r="B246" s="122">
        <v>8.9004629629629625E-3</v>
      </c>
      <c r="C246" s="26" t="s">
        <v>1006</v>
      </c>
    </row>
    <row r="247" spans="1:3" x14ac:dyDescent="0.25">
      <c r="A247" s="36">
        <v>41188</v>
      </c>
      <c r="B247" s="122">
        <v>8.9120370370370378E-3</v>
      </c>
      <c r="C247" s="26" t="s">
        <v>995</v>
      </c>
    </row>
    <row r="248" spans="1:3" x14ac:dyDescent="0.25">
      <c r="A248" s="36">
        <v>41188</v>
      </c>
      <c r="B248" s="122">
        <v>8.9236111111111113E-3</v>
      </c>
      <c r="C248" s="26" t="s">
        <v>995</v>
      </c>
    </row>
    <row r="249" spans="1:3" x14ac:dyDescent="0.25">
      <c r="A249" s="36">
        <v>41188</v>
      </c>
      <c r="B249" s="122">
        <v>8.9236111111111113E-3</v>
      </c>
      <c r="C249" s="26" t="s">
        <v>995</v>
      </c>
    </row>
    <row r="250" spans="1:3" x14ac:dyDescent="0.25">
      <c r="A250" s="36">
        <v>41188</v>
      </c>
      <c r="B250" s="122">
        <v>9.3171296296296283E-3</v>
      </c>
      <c r="C250" s="26" t="s">
        <v>911</v>
      </c>
    </row>
    <row r="251" spans="1:3" x14ac:dyDescent="0.25">
      <c r="A251" s="36">
        <v>41188</v>
      </c>
      <c r="B251" s="122">
        <v>9.3171296296296283E-3</v>
      </c>
      <c r="C251" s="26" t="s">
        <v>995</v>
      </c>
    </row>
    <row r="252" spans="1:3" x14ac:dyDescent="0.25">
      <c r="A252" s="36">
        <v>41188</v>
      </c>
      <c r="B252" s="122">
        <v>9.3402777777777772E-3</v>
      </c>
      <c r="C252" s="26" t="s">
        <v>995</v>
      </c>
    </row>
    <row r="253" spans="1:3" x14ac:dyDescent="0.25">
      <c r="A253" s="36">
        <v>41188</v>
      </c>
      <c r="B253" s="122">
        <v>9.3402777777777772E-3</v>
      </c>
      <c r="C253" s="26" t="s">
        <v>995</v>
      </c>
    </row>
    <row r="254" spans="1:3" x14ac:dyDescent="0.25">
      <c r="A254" s="36">
        <v>41188</v>
      </c>
      <c r="B254" s="122">
        <v>9.3518518518518525E-3</v>
      </c>
      <c r="C254" s="26" t="s">
        <v>995</v>
      </c>
    </row>
    <row r="255" spans="1:3" x14ac:dyDescent="0.25">
      <c r="A255" s="36">
        <v>41188</v>
      </c>
      <c r="B255" s="122">
        <v>9.3634259259259261E-3</v>
      </c>
      <c r="C255" s="26" t="s">
        <v>995</v>
      </c>
    </row>
    <row r="256" spans="1:3" x14ac:dyDescent="0.25">
      <c r="A256" s="36">
        <v>41188</v>
      </c>
      <c r="B256" s="122">
        <v>9.3749999999999997E-3</v>
      </c>
      <c r="C256" s="26" t="s">
        <v>995</v>
      </c>
    </row>
    <row r="257" spans="1:3" x14ac:dyDescent="0.25">
      <c r="A257" s="36">
        <v>41188</v>
      </c>
      <c r="B257" s="122">
        <v>9.3749999999999997E-3</v>
      </c>
      <c r="C257" s="26" t="s">
        <v>995</v>
      </c>
    </row>
    <row r="258" spans="1:3" x14ac:dyDescent="0.25">
      <c r="A258" s="36">
        <v>41188</v>
      </c>
      <c r="B258" s="122">
        <v>9.386574074074075E-3</v>
      </c>
      <c r="C258" s="26" t="s">
        <v>1007</v>
      </c>
    </row>
    <row r="259" spans="1:3" x14ac:dyDescent="0.25">
      <c r="A259" s="36">
        <v>41188</v>
      </c>
      <c r="B259" s="122">
        <v>9.3981481481481485E-3</v>
      </c>
      <c r="C259" s="26" t="s">
        <v>995</v>
      </c>
    </row>
    <row r="260" spans="1:3" x14ac:dyDescent="0.25">
      <c r="A260" s="36">
        <v>41188</v>
      </c>
      <c r="B260" s="122">
        <v>9.4097222222222238E-3</v>
      </c>
      <c r="C260" s="26" t="s">
        <v>995</v>
      </c>
    </row>
    <row r="261" spans="1:3" x14ac:dyDescent="0.25">
      <c r="A261" s="36">
        <v>41188</v>
      </c>
      <c r="B261" s="122">
        <v>9.4212962962962957E-3</v>
      </c>
      <c r="C261" s="26" t="s">
        <v>1004</v>
      </c>
    </row>
    <row r="262" spans="1:3" x14ac:dyDescent="0.25">
      <c r="A262" s="36">
        <v>41188</v>
      </c>
      <c r="B262" s="122">
        <v>9.432870370370371E-3</v>
      </c>
      <c r="C262" s="26" t="s">
        <v>1008</v>
      </c>
    </row>
    <row r="263" spans="1:3" x14ac:dyDescent="0.25">
      <c r="A263" s="36">
        <v>41188</v>
      </c>
      <c r="B263" s="122">
        <v>9.4444444444444445E-3</v>
      </c>
      <c r="C263" s="26" t="s">
        <v>1006</v>
      </c>
    </row>
    <row r="264" spans="1:3" x14ac:dyDescent="0.25">
      <c r="A264" s="36">
        <v>41188</v>
      </c>
      <c r="B264" s="122">
        <v>9.4560185185185181E-3</v>
      </c>
      <c r="C264" s="26" t="s">
        <v>1009</v>
      </c>
    </row>
    <row r="265" spans="1:3" x14ac:dyDescent="0.25">
      <c r="A265" s="36">
        <v>41188</v>
      </c>
      <c r="B265" s="122">
        <v>9.4560185185185181E-3</v>
      </c>
      <c r="C265" s="26" t="s">
        <v>1009</v>
      </c>
    </row>
    <row r="266" spans="1:3" x14ac:dyDescent="0.25">
      <c r="A266" s="36">
        <v>41188</v>
      </c>
      <c r="B266" s="122">
        <v>9.4675925925925917E-3</v>
      </c>
      <c r="C266" s="26" t="s">
        <v>1010</v>
      </c>
    </row>
    <row r="267" spans="1:3" x14ac:dyDescent="0.25">
      <c r="A267" s="36">
        <v>41188</v>
      </c>
      <c r="B267" s="122">
        <v>9.479166666666667E-3</v>
      </c>
      <c r="C267" s="26" t="s">
        <v>995</v>
      </c>
    </row>
    <row r="268" spans="1:3" x14ac:dyDescent="0.25">
      <c r="A268" s="36">
        <v>41188</v>
      </c>
      <c r="B268" s="122">
        <v>9.4907407407407406E-3</v>
      </c>
      <c r="C268" s="26" t="s">
        <v>995</v>
      </c>
    </row>
    <row r="269" spans="1:3" x14ac:dyDescent="0.25">
      <c r="A269" s="36">
        <v>41188</v>
      </c>
      <c r="B269" s="122">
        <v>9.4907407407407406E-3</v>
      </c>
      <c r="C269" s="26" t="s">
        <v>1004</v>
      </c>
    </row>
    <row r="270" spans="1:3" x14ac:dyDescent="0.25">
      <c r="A270" s="36">
        <v>41188</v>
      </c>
      <c r="B270" s="122">
        <v>9.5023148148148159E-3</v>
      </c>
      <c r="C270" s="26" t="s">
        <v>995</v>
      </c>
    </row>
    <row r="271" spans="1:3" x14ac:dyDescent="0.25">
      <c r="A271" s="36">
        <v>41188</v>
      </c>
      <c r="B271" s="122">
        <v>9.5138888888888894E-3</v>
      </c>
      <c r="C271" s="26" t="s">
        <v>995</v>
      </c>
    </row>
    <row r="272" spans="1:3" x14ac:dyDescent="0.25">
      <c r="A272" s="36">
        <v>41188</v>
      </c>
      <c r="B272" s="122">
        <v>9.525462962962963E-3</v>
      </c>
      <c r="C272" s="26" t="s">
        <v>998</v>
      </c>
    </row>
    <row r="273" spans="1:3" x14ac:dyDescent="0.25">
      <c r="A273" s="36">
        <v>41188</v>
      </c>
      <c r="B273" s="122">
        <v>9.525462962962963E-3</v>
      </c>
      <c r="C273" s="26" t="s">
        <v>998</v>
      </c>
    </row>
    <row r="274" spans="1:3" x14ac:dyDescent="0.25">
      <c r="A274" s="36">
        <v>41188</v>
      </c>
      <c r="B274" s="122">
        <v>9.5370370370370366E-3</v>
      </c>
      <c r="C274" s="26" t="s">
        <v>1011</v>
      </c>
    </row>
    <row r="275" spans="1:3" x14ac:dyDescent="0.25">
      <c r="A275" s="36">
        <v>41188</v>
      </c>
      <c r="B275" s="122">
        <v>9.5486111111111101E-3</v>
      </c>
      <c r="C275" s="26" t="s">
        <v>1012</v>
      </c>
    </row>
    <row r="276" spans="1:3" x14ac:dyDescent="0.25">
      <c r="A276" s="36">
        <v>41188</v>
      </c>
      <c r="B276" s="122">
        <v>9.5601851851851855E-3</v>
      </c>
      <c r="C276" s="26" t="s">
        <v>995</v>
      </c>
    </row>
    <row r="277" spans="1:3" x14ac:dyDescent="0.25">
      <c r="A277" s="36">
        <v>41188</v>
      </c>
      <c r="B277" s="122">
        <v>9.7337962962962977E-3</v>
      </c>
      <c r="C277" s="26" t="s">
        <v>951</v>
      </c>
    </row>
    <row r="278" spans="1:3" x14ac:dyDescent="0.25">
      <c r="A278" s="36">
        <v>41188</v>
      </c>
      <c r="B278" s="122">
        <v>9.7337962962962977E-3</v>
      </c>
      <c r="C278" s="26" t="s">
        <v>995</v>
      </c>
    </row>
    <row r="279" spans="1:3" x14ac:dyDescent="0.25">
      <c r="A279" s="36">
        <v>41188</v>
      </c>
      <c r="B279" s="122">
        <v>9.7453703703703713E-3</v>
      </c>
      <c r="C279" s="26" t="s">
        <v>1013</v>
      </c>
    </row>
    <row r="280" spans="1:3" x14ac:dyDescent="0.25">
      <c r="A280" s="36">
        <v>41188</v>
      </c>
      <c r="B280" s="122">
        <v>9.7569444444444448E-3</v>
      </c>
      <c r="C280" s="26" t="s">
        <v>995</v>
      </c>
    </row>
    <row r="281" spans="1:3" x14ac:dyDescent="0.25">
      <c r="A281" s="36">
        <v>41188</v>
      </c>
      <c r="B281" s="122">
        <v>9.7569444444444448E-3</v>
      </c>
      <c r="C281" s="26" t="s">
        <v>1014</v>
      </c>
    </row>
    <row r="282" spans="1:3" x14ac:dyDescent="0.25">
      <c r="A282" s="36">
        <v>41188</v>
      </c>
      <c r="B282" s="122">
        <v>9.7685185185185184E-3</v>
      </c>
      <c r="C282" s="26" t="s">
        <v>1015</v>
      </c>
    </row>
    <row r="283" spans="1:3" x14ac:dyDescent="0.25">
      <c r="A283" s="36">
        <v>41188</v>
      </c>
      <c r="B283" s="122">
        <v>9.780092592592592E-3</v>
      </c>
      <c r="C283" s="26" t="s">
        <v>995</v>
      </c>
    </row>
    <row r="284" spans="1:3" x14ac:dyDescent="0.25">
      <c r="A284" s="36">
        <v>41188</v>
      </c>
      <c r="B284" s="122">
        <v>9.7916666666666655E-3</v>
      </c>
      <c r="C284" s="26" t="s">
        <v>995</v>
      </c>
    </row>
    <row r="285" spans="1:3" x14ac:dyDescent="0.25">
      <c r="A285" s="36">
        <v>41188</v>
      </c>
      <c r="B285" s="122">
        <v>9.8032407407407408E-3</v>
      </c>
      <c r="C285" s="26" t="s">
        <v>1016</v>
      </c>
    </row>
    <row r="286" spans="1:3" x14ac:dyDescent="0.25">
      <c r="A286" s="36">
        <v>41188</v>
      </c>
      <c r="B286" s="122">
        <v>9.8148148148148144E-3</v>
      </c>
      <c r="C286" s="26" t="s">
        <v>995</v>
      </c>
    </row>
    <row r="287" spans="1:3" x14ac:dyDescent="0.25">
      <c r="A287" s="36">
        <v>41188</v>
      </c>
      <c r="B287" s="122">
        <v>9.8148148148148144E-3</v>
      </c>
      <c r="C287" s="26" t="s">
        <v>995</v>
      </c>
    </row>
    <row r="288" spans="1:3" x14ac:dyDescent="0.25">
      <c r="A288" s="36">
        <v>41188</v>
      </c>
      <c r="B288" s="122">
        <v>9.8263888888888897E-3</v>
      </c>
      <c r="C288" s="26" t="s">
        <v>1015</v>
      </c>
    </row>
    <row r="289" spans="1:3" x14ac:dyDescent="0.25">
      <c r="A289" s="36">
        <v>41188</v>
      </c>
      <c r="B289" s="122">
        <v>9.8379629629629633E-3</v>
      </c>
      <c r="C289" s="26" t="s">
        <v>1016</v>
      </c>
    </row>
    <row r="290" spans="1:3" x14ac:dyDescent="0.25">
      <c r="A290" s="36">
        <v>41188</v>
      </c>
      <c r="B290" s="122">
        <v>9.8495370370370369E-3</v>
      </c>
      <c r="C290" s="26" t="s">
        <v>1017</v>
      </c>
    </row>
    <row r="291" spans="1:3" x14ac:dyDescent="0.25">
      <c r="A291" s="36">
        <v>41188</v>
      </c>
      <c r="B291" s="122">
        <v>9.8611111111111104E-3</v>
      </c>
      <c r="C291" s="26" t="s">
        <v>995</v>
      </c>
    </row>
    <row r="292" spans="1:3" x14ac:dyDescent="0.25">
      <c r="A292" s="36">
        <v>41188</v>
      </c>
      <c r="B292" s="122">
        <v>9.8726851851851857E-3</v>
      </c>
      <c r="C292" s="26" t="s">
        <v>995</v>
      </c>
    </row>
    <row r="293" spans="1:3" x14ac:dyDescent="0.25">
      <c r="A293" s="36">
        <v>41188</v>
      </c>
      <c r="B293" s="122">
        <v>9.8842592592592576E-3</v>
      </c>
      <c r="C293" s="26" t="s">
        <v>995</v>
      </c>
    </row>
    <row r="294" spans="1:3" x14ac:dyDescent="0.25">
      <c r="A294" s="36">
        <v>41188</v>
      </c>
      <c r="B294" s="122">
        <v>9.8958333333333329E-3</v>
      </c>
      <c r="C294" s="26" t="s">
        <v>995</v>
      </c>
    </row>
    <row r="295" spans="1:3" x14ac:dyDescent="0.25">
      <c r="A295" s="36">
        <v>41188</v>
      </c>
      <c r="B295" s="122">
        <v>9.8958333333333329E-3</v>
      </c>
      <c r="C295" s="26" t="s">
        <v>1014</v>
      </c>
    </row>
    <row r="296" spans="1:3" x14ac:dyDescent="0.25">
      <c r="A296" s="36">
        <v>41188</v>
      </c>
      <c r="B296" s="122">
        <v>9.9074074074074082E-3</v>
      </c>
      <c r="C296" s="26" t="s">
        <v>995</v>
      </c>
    </row>
    <row r="297" spans="1:3" x14ac:dyDescent="0.25">
      <c r="A297" s="36">
        <v>41188</v>
      </c>
      <c r="B297" s="122">
        <v>9.9189814814814817E-3</v>
      </c>
      <c r="C297" s="26" t="s">
        <v>995</v>
      </c>
    </row>
    <row r="298" spans="1:3" x14ac:dyDescent="0.25">
      <c r="A298" s="36">
        <v>41188</v>
      </c>
      <c r="B298" s="122">
        <v>9.9305555555555553E-3</v>
      </c>
      <c r="C298" s="26" t="s">
        <v>1004</v>
      </c>
    </row>
    <row r="299" spans="1:3" x14ac:dyDescent="0.25">
      <c r="A299" s="36">
        <v>41188</v>
      </c>
      <c r="B299" s="122">
        <v>9.9421296296296289E-3</v>
      </c>
      <c r="C299" s="26" t="s">
        <v>1018</v>
      </c>
    </row>
    <row r="300" spans="1:3" x14ac:dyDescent="0.25">
      <c r="A300" s="36">
        <v>41188</v>
      </c>
      <c r="B300" s="122">
        <v>9.9537037037037042E-3</v>
      </c>
      <c r="C300" s="26" t="s">
        <v>1016</v>
      </c>
    </row>
    <row r="301" spans="1:3" x14ac:dyDescent="0.25">
      <c r="A301" s="36">
        <v>41188</v>
      </c>
      <c r="B301" s="122">
        <v>9.9652777777777778E-3</v>
      </c>
      <c r="C301" s="26" t="s">
        <v>1015</v>
      </c>
    </row>
    <row r="302" spans="1:3" x14ac:dyDescent="0.25">
      <c r="A302" s="36">
        <v>41188</v>
      </c>
      <c r="B302" s="122">
        <v>9.9652777777777778E-3</v>
      </c>
      <c r="C302" s="26" t="s">
        <v>1016</v>
      </c>
    </row>
    <row r="303" spans="1:3" x14ac:dyDescent="0.25">
      <c r="A303" s="36">
        <v>41188</v>
      </c>
      <c r="B303" s="122">
        <v>9.9884259259259266E-3</v>
      </c>
      <c r="C303" s="26" t="s">
        <v>995</v>
      </c>
    </row>
    <row r="304" spans="1:3" x14ac:dyDescent="0.25">
      <c r="A304" s="36">
        <v>41188</v>
      </c>
      <c r="B304" s="122">
        <v>0.01</v>
      </c>
      <c r="C304" s="26" t="s">
        <v>995</v>
      </c>
    </row>
    <row r="305" spans="1:3" x14ac:dyDescent="0.25">
      <c r="A305" s="36">
        <v>41188</v>
      </c>
      <c r="B305" s="122">
        <v>1.0011574074074074E-2</v>
      </c>
      <c r="C305" s="26" t="s">
        <v>995</v>
      </c>
    </row>
    <row r="306" spans="1:3" x14ac:dyDescent="0.25">
      <c r="A306" s="36">
        <v>41188</v>
      </c>
      <c r="B306" s="122">
        <v>1.0023148148148147E-2</v>
      </c>
      <c r="C306" s="26" t="s">
        <v>995</v>
      </c>
    </row>
    <row r="307" spans="1:3" x14ac:dyDescent="0.25">
      <c r="A307" s="36">
        <v>41188</v>
      </c>
      <c r="B307" s="122">
        <v>1.0034722222222221E-2</v>
      </c>
      <c r="C307" s="26" t="s">
        <v>1004</v>
      </c>
    </row>
    <row r="308" spans="1:3" x14ac:dyDescent="0.25">
      <c r="A308" s="36">
        <v>41188</v>
      </c>
      <c r="B308" s="122">
        <v>1.0034722222222221E-2</v>
      </c>
      <c r="C308" s="26" t="s">
        <v>995</v>
      </c>
    </row>
    <row r="309" spans="1:3" x14ac:dyDescent="0.25">
      <c r="A309" s="36">
        <v>41188</v>
      </c>
      <c r="B309" s="122">
        <v>1.0046296296296296E-2</v>
      </c>
      <c r="C309" s="26" t="s">
        <v>1016</v>
      </c>
    </row>
    <row r="310" spans="1:3" ht="45" x14ac:dyDescent="0.25">
      <c r="A310" s="36">
        <v>41188</v>
      </c>
      <c r="B310" s="122">
        <v>1.0069444444444445E-2</v>
      </c>
      <c r="C310" s="585" t="s">
        <v>1019</v>
      </c>
    </row>
    <row r="311" spans="1:3" x14ac:dyDescent="0.25">
      <c r="A311" s="36">
        <v>41188</v>
      </c>
      <c r="B311" s="122">
        <v>1.0231481481481482E-2</v>
      </c>
      <c r="C311" s="26" t="s">
        <v>1020</v>
      </c>
    </row>
    <row r="312" spans="1:3" x14ac:dyDescent="0.25">
      <c r="A312" s="36">
        <v>41188</v>
      </c>
      <c r="B312" s="122">
        <v>1.0231481481481482E-2</v>
      </c>
      <c r="C312" s="26" t="s">
        <v>1021</v>
      </c>
    </row>
    <row r="313" spans="1:3" x14ac:dyDescent="0.25">
      <c r="A313" s="36">
        <v>41188</v>
      </c>
      <c r="B313" s="122">
        <v>1.0231481481481482E-2</v>
      </c>
      <c r="C313" s="26" t="s">
        <v>1022</v>
      </c>
    </row>
    <row r="314" spans="1:3" x14ac:dyDescent="0.25">
      <c r="A314" s="36">
        <v>41188</v>
      </c>
      <c r="B314" s="122">
        <v>1.0578703703703703E-2</v>
      </c>
      <c r="C314" s="26" t="s">
        <v>970</v>
      </c>
    </row>
    <row r="315" spans="1:3" x14ac:dyDescent="0.25">
      <c r="A315" s="36">
        <v>41188</v>
      </c>
      <c r="B315" s="122">
        <v>1.0578703703703703E-2</v>
      </c>
      <c r="C315" s="26" t="s">
        <v>1023</v>
      </c>
    </row>
    <row r="316" spans="1:3" x14ac:dyDescent="0.25">
      <c r="A316" s="36">
        <v>41188</v>
      </c>
      <c r="B316" s="122">
        <v>1.0578703703703703E-2</v>
      </c>
      <c r="C316" s="26" t="s">
        <v>1024</v>
      </c>
    </row>
    <row r="317" spans="1:3" x14ac:dyDescent="0.25">
      <c r="A317" s="36">
        <v>41188</v>
      </c>
      <c r="B317" s="122">
        <v>1.0578703703703703E-2</v>
      </c>
      <c r="C317" s="26" t="s">
        <v>1025</v>
      </c>
    </row>
    <row r="318" spans="1:3" x14ac:dyDescent="0.25">
      <c r="A318" s="36">
        <v>41188</v>
      </c>
      <c r="B318" s="122">
        <v>1.0752314814814814E-2</v>
      </c>
      <c r="C318" s="26" t="s">
        <v>971</v>
      </c>
    </row>
    <row r="319" spans="1:3" x14ac:dyDescent="0.25">
      <c r="A319" s="36">
        <v>41188</v>
      </c>
      <c r="B319" s="122">
        <v>1.0752314814814814E-2</v>
      </c>
      <c r="C319" s="26" t="s">
        <v>995</v>
      </c>
    </row>
    <row r="320" spans="1:3" x14ac:dyDescent="0.25">
      <c r="A320" s="36">
        <v>41188</v>
      </c>
      <c r="B320" s="122">
        <v>1.0775462962962964E-2</v>
      </c>
      <c r="C320" s="26" t="s">
        <v>1026</v>
      </c>
    </row>
    <row r="321" spans="1:3" x14ac:dyDescent="0.25">
      <c r="A321" s="36">
        <v>41188</v>
      </c>
      <c r="B321" s="122">
        <v>1.0787037037037038E-2</v>
      </c>
      <c r="C321" s="26" t="s">
        <v>1015</v>
      </c>
    </row>
    <row r="322" spans="1:3" x14ac:dyDescent="0.25">
      <c r="A322" s="36">
        <v>41188</v>
      </c>
      <c r="B322" s="122">
        <v>1.0798611111111111E-2</v>
      </c>
      <c r="C322" s="26" t="s">
        <v>1016</v>
      </c>
    </row>
    <row r="323" spans="1:3" x14ac:dyDescent="0.25">
      <c r="A323" s="36">
        <v>41188</v>
      </c>
      <c r="B323" s="122">
        <v>1.082175925925926E-2</v>
      </c>
      <c r="C323" s="26" t="s">
        <v>1015</v>
      </c>
    </row>
    <row r="324" spans="1:3" x14ac:dyDescent="0.25">
      <c r="A324" s="36">
        <v>41188</v>
      </c>
      <c r="B324" s="122">
        <v>1.0868055555555556E-2</v>
      </c>
      <c r="C324" s="26" t="s">
        <v>1027</v>
      </c>
    </row>
    <row r="325" spans="1:3" x14ac:dyDescent="0.25">
      <c r="A325" s="36">
        <v>41188</v>
      </c>
      <c r="B325" s="122">
        <v>1.087962962962963E-2</v>
      </c>
      <c r="C325" s="26" t="s">
        <v>995</v>
      </c>
    </row>
    <row r="326" spans="1:3" x14ac:dyDescent="0.25">
      <c r="A326" s="36">
        <v>41188</v>
      </c>
      <c r="B326" s="122">
        <v>1.1782407407407406E-2</v>
      </c>
      <c r="C326" s="26" t="s">
        <v>973</v>
      </c>
    </row>
    <row r="327" spans="1:3" x14ac:dyDescent="0.25">
      <c r="A327" s="36">
        <v>41188</v>
      </c>
      <c r="B327" s="122">
        <v>1.1782407407407406E-2</v>
      </c>
      <c r="C327" s="26" t="s">
        <v>1004</v>
      </c>
    </row>
    <row r="328" spans="1:3" x14ac:dyDescent="0.25">
      <c r="A328" s="36">
        <v>41188</v>
      </c>
      <c r="B328" s="122">
        <v>1.2199074074074072E-2</v>
      </c>
      <c r="C328" s="26" t="s">
        <v>976</v>
      </c>
    </row>
    <row r="329" spans="1:3" x14ac:dyDescent="0.25">
      <c r="A329" s="36">
        <v>41188</v>
      </c>
      <c r="B329" s="122">
        <v>1.2210648148148146E-2</v>
      </c>
      <c r="C329" s="26" t="s">
        <v>976</v>
      </c>
    </row>
    <row r="330" spans="1:3" x14ac:dyDescent="0.25">
      <c r="A330" s="36">
        <v>41188</v>
      </c>
      <c r="B330" s="122">
        <v>1.2222222222222223E-2</v>
      </c>
      <c r="C330" s="26" t="s">
        <v>1028</v>
      </c>
    </row>
    <row r="331" spans="1:3" x14ac:dyDescent="0.25">
      <c r="A331" s="36">
        <v>41188</v>
      </c>
      <c r="B331" s="122">
        <v>1.2222222222222223E-2</v>
      </c>
      <c r="C331" s="26" t="s">
        <v>1029</v>
      </c>
    </row>
    <row r="332" spans="1:3" x14ac:dyDescent="0.25">
      <c r="A332" s="36">
        <v>41188</v>
      </c>
      <c r="B332" s="122">
        <v>1.2222222222222223E-2</v>
      </c>
      <c r="C332" s="26" t="s">
        <v>1030</v>
      </c>
    </row>
    <row r="333" spans="1:3" x14ac:dyDescent="0.25">
      <c r="A333" s="36">
        <v>41188</v>
      </c>
      <c r="B333" s="122">
        <v>1.2233796296296296E-2</v>
      </c>
      <c r="C333" s="26" t="s">
        <v>978</v>
      </c>
    </row>
    <row r="334" spans="1:3" x14ac:dyDescent="0.25">
      <c r="A334" s="36">
        <v>41188</v>
      </c>
      <c r="B334" s="122">
        <v>1.224537037037037E-2</v>
      </c>
      <c r="C334" s="26" t="s">
        <v>1014</v>
      </c>
    </row>
    <row r="335" spans="1:3" x14ac:dyDescent="0.25">
      <c r="A335" s="36">
        <v>41188</v>
      </c>
      <c r="B335" s="122">
        <v>1.2361111111111113E-2</v>
      </c>
      <c r="C335" s="26" t="s">
        <v>981</v>
      </c>
    </row>
    <row r="336" spans="1:3" x14ac:dyDescent="0.25">
      <c r="A336" s="36">
        <v>41188</v>
      </c>
      <c r="B336" s="122">
        <v>1.2361111111111113E-2</v>
      </c>
      <c r="C336" s="26" t="s">
        <v>1031</v>
      </c>
    </row>
    <row r="337" spans="1:3" x14ac:dyDescent="0.25">
      <c r="A337" s="36">
        <v>41188</v>
      </c>
      <c r="B337" s="122">
        <v>1.2361111111111113E-2</v>
      </c>
      <c r="C337" s="26" t="s">
        <v>1032</v>
      </c>
    </row>
    <row r="338" spans="1:3" x14ac:dyDescent="0.25">
      <c r="A338" s="36">
        <v>41188</v>
      </c>
      <c r="B338" s="122">
        <v>1.2418981481481482E-2</v>
      </c>
      <c r="C338" s="26" t="s">
        <v>982</v>
      </c>
    </row>
    <row r="339" spans="1:3" x14ac:dyDescent="0.25">
      <c r="A339" s="36">
        <v>41188</v>
      </c>
      <c r="B339" s="122">
        <v>1.2418981481481482E-2</v>
      </c>
      <c r="C339" s="26" t="s">
        <v>1033</v>
      </c>
    </row>
    <row r="340" spans="1:3" x14ac:dyDescent="0.25">
      <c r="A340" s="36">
        <v>41188</v>
      </c>
      <c r="B340" s="122">
        <v>1.2418981481481482E-2</v>
      </c>
      <c r="C340" s="26" t="s">
        <v>1034</v>
      </c>
    </row>
    <row r="341" spans="1:3" x14ac:dyDescent="0.25">
      <c r="A341" s="36">
        <v>41188</v>
      </c>
      <c r="B341" s="122">
        <v>1.2418981481481482E-2</v>
      </c>
      <c r="C341" s="26" t="s">
        <v>1035</v>
      </c>
    </row>
    <row r="342" spans="1:3" x14ac:dyDescent="0.25">
      <c r="A342" s="36">
        <v>41188</v>
      </c>
      <c r="B342" s="122">
        <v>1.2430555555555554E-2</v>
      </c>
      <c r="C342" s="26" t="s">
        <v>1031</v>
      </c>
    </row>
    <row r="343" spans="1:3" x14ac:dyDescent="0.25">
      <c r="A343" s="36">
        <v>41188</v>
      </c>
      <c r="B343" s="122">
        <v>1.2430555555555554E-2</v>
      </c>
      <c r="C343" s="26" t="s">
        <v>1032</v>
      </c>
    </row>
    <row r="344" spans="1:3" x14ac:dyDescent="0.25">
      <c r="A344" s="36">
        <v>41188</v>
      </c>
      <c r="B344" s="122">
        <v>1.306712962962963E-2</v>
      </c>
      <c r="C344" s="26" t="s">
        <v>995</v>
      </c>
    </row>
    <row r="345" spans="1:3" x14ac:dyDescent="0.25">
      <c r="A345" s="36">
        <v>41188</v>
      </c>
      <c r="B345" s="122">
        <v>1.3101851851851852E-2</v>
      </c>
      <c r="C345" s="26" t="s">
        <v>1031</v>
      </c>
    </row>
    <row r="346" spans="1:3" x14ac:dyDescent="0.25">
      <c r="A346" s="36">
        <v>41188</v>
      </c>
      <c r="B346" s="122">
        <v>1.3101851851851852E-2</v>
      </c>
      <c r="C346" s="26" t="s">
        <v>1032</v>
      </c>
    </row>
    <row r="347" spans="1:3" x14ac:dyDescent="0.25">
      <c r="A347" s="36">
        <v>41188</v>
      </c>
      <c r="B347" s="122">
        <v>1.3113425925925926E-2</v>
      </c>
      <c r="C347" s="26" t="s">
        <v>1036</v>
      </c>
    </row>
    <row r="348" spans="1:3" x14ac:dyDescent="0.25">
      <c r="A348" s="36">
        <v>41188</v>
      </c>
      <c r="B348" s="122">
        <v>1.3182870370370371E-2</v>
      </c>
      <c r="C348" s="26" t="s">
        <v>1037</v>
      </c>
    </row>
    <row r="349" spans="1:3" x14ac:dyDescent="0.25">
      <c r="A349" s="36">
        <v>41188</v>
      </c>
      <c r="B349" s="122">
        <v>1.3194444444444444E-2</v>
      </c>
      <c r="C349" s="26" t="s">
        <v>1038</v>
      </c>
    </row>
    <row r="350" spans="1:3" x14ac:dyDescent="0.25">
      <c r="A350" s="36">
        <v>41188</v>
      </c>
      <c r="B350" s="122">
        <v>1.3194444444444444E-2</v>
      </c>
      <c r="C350" s="26" t="s">
        <v>1039</v>
      </c>
    </row>
    <row r="351" spans="1:3" x14ac:dyDescent="0.25">
      <c r="A351" s="36">
        <v>41188</v>
      </c>
      <c r="B351" s="122">
        <v>1.3194444444444444E-2</v>
      </c>
      <c r="C351" s="26" t="s">
        <v>1035</v>
      </c>
    </row>
    <row r="352" spans="1:3" x14ac:dyDescent="0.25">
      <c r="A352" s="36">
        <v>41188</v>
      </c>
      <c r="B352" s="122">
        <v>1.3217592592592593E-2</v>
      </c>
      <c r="C352" s="26" t="s">
        <v>1031</v>
      </c>
    </row>
    <row r="353" spans="1:3" x14ac:dyDescent="0.25">
      <c r="A353" s="36">
        <v>41188</v>
      </c>
      <c r="B353" s="122">
        <v>1.3217592592592593E-2</v>
      </c>
      <c r="C353" s="26" t="s">
        <v>1032</v>
      </c>
    </row>
    <row r="354" spans="1:3" x14ac:dyDescent="0.25">
      <c r="A354" s="36">
        <v>41188</v>
      </c>
      <c r="B354" s="122">
        <v>1.324074074074074E-2</v>
      </c>
      <c r="C354" s="26" t="s">
        <v>1006</v>
      </c>
    </row>
    <row r="355" spans="1:3" x14ac:dyDescent="0.25">
      <c r="A355" s="36">
        <v>41188</v>
      </c>
      <c r="B355" s="122">
        <v>1.3263888888888889E-2</v>
      </c>
      <c r="C355" s="26" t="s">
        <v>995</v>
      </c>
    </row>
    <row r="356" spans="1:3" x14ac:dyDescent="0.25">
      <c r="A356" s="36">
        <v>41188</v>
      </c>
      <c r="B356" s="122">
        <v>1.3275462962962963E-2</v>
      </c>
      <c r="C356" s="26" t="s">
        <v>995</v>
      </c>
    </row>
    <row r="357" spans="1:3" x14ac:dyDescent="0.25">
      <c r="A357" s="36">
        <v>41188</v>
      </c>
      <c r="B357" s="122">
        <v>1.3287037037037036E-2</v>
      </c>
      <c r="C357" s="26" t="s">
        <v>1040</v>
      </c>
    </row>
    <row r="358" spans="1:3" x14ac:dyDescent="0.25">
      <c r="A358" s="36">
        <v>41188</v>
      </c>
      <c r="B358" s="122">
        <v>1.3287037037037036E-2</v>
      </c>
      <c r="C358" s="26" t="s">
        <v>1041</v>
      </c>
    </row>
    <row r="359" spans="1:3" x14ac:dyDescent="0.25">
      <c r="A359" s="36">
        <v>41188</v>
      </c>
      <c r="B359" s="122">
        <v>1.3287037037037036E-2</v>
      </c>
      <c r="C359" s="26" t="s">
        <v>1035</v>
      </c>
    </row>
    <row r="360" spans="1:3" x14ac:dyDescent="0.25">
      <c r="A360" s="36">
        <v>41188</v>
      </c>
      <c r="B360" s="122">
        <v>1.329861111111111E-2</v>
      </c>
      <c r="C360" s="26" t="s">
        <v>1004</v>
      </c>
    </row>
    <row r="361" spans="1:3" x14ac:dyDescent="0.25">
      <c r="A361" s="36">
        <v>41188</v>
      </c>
      <c r="B361" s="122">
        <v>1.3356481481481483E-2</v>
      </c>
      <c r="C361" s="26" t="s">
        <v>1042</v>
      </c>
    </row>
    <row r="362" spans="1:3" x14ac:dyDescent="0.25">
      <c r="A362" s="36">
        <v>41188</v>
      </c>
      <c r="B362" s="122">
        <v>1.3356481481481483E-2</v>
      </c>
      <c r="C362" s="26" t="s">
        <v>1043</v>
      </c>
    </row>
    <row r="363" spans="1:3" x14ac:dyDescent="0.25">
      <c r="A363" s="36">
        <v>41188</v>
      </c>
      <c r="B363" s="122">
        <v>1.3356481481481483E-2</v>
      </c>
      <c r="C363" s="26" t="s">
        <v>1044</v>
      </c>
    </row>
    <row r="364" spans="1:3" x14ac:dyDescent="0.25">
      <c r="A364" s="36">
        <v>41188</v>
      </c>
      <c r="B364" s="122">
        <v>1.3402777777777777E-2</v>
      </c>
      <c r="C364" s="26" t="s">
        <v>995</v>
      </c>
    </row>
    <row r="365" spans="1:3" x14ac:dyDescent="0.25">
      <c r="A365" s="36">
        <v>41188</v>
      </c>
      <c r="B365" s="122">
        <v>1.3449074074074073E-2</v>
      </c>
      <c r="C365" s="26" t="s">
        <v>995</v>
      </c>
    </row>
    <row r="366" spans="1:3" x14ac:dyDescent="0.25">
      <c r="A366" s="36">
        <v>41188</v>
      </c>
      <c r="B366" s="122">
        <v>1.3495370370370371E-2</v>
      </c>
      <c r="C366" s="26" t="s">
        <v>990</v>
      </c>
    </row>
    <row r="367" spans="1:3" x14ac:dyDescent="0.25">
      <c r="A367" s="36">
        <v>41188</v>
      </c>
      <c r="B367" s="122">
        <v>1.3506944444444445E-2</v>
      </c>
      <c r="C367" s="26" t="s">
        <v>990</v>
      </c>
    </row>
    <row r="368" spans="1:3" x14ac:dyDescent="0.25">
      <c r="A368" s="36">
        <v>41188</v>
      </c>
      <c r="B368" s="122">
        <v>1.3506944444444445E-2</v>
      </c>
      <c r="C368" s="26" t="s">
        <v>995</v>
      </c>
    </row>
    <row r="369" spans="1:3" x14ac:dyDescent="0.25">
      <c r="A369" s="36">
        <v>41188</v>
      </c>
      <c r="B369" s="122">
        <v>1.4317129629629631E-2</v>
      </c>
      <c r="C369" s="26" t="s">
        <v>992</v>
      </c>
    </row>
    <row r="370" spans="1:3" x14ac:dyDescent="0.25">
      <c r="A370" s="36">
        <v>41188</v>
      </c>
      <c r="B370" s="122">
        <v>1.4328703703703703E-2</v>
      </c>
      <c r="C370" s="26" t="s">
        <v>1004</v>
      </c>
    </row>
    <row r="371" spans="1:3" x14ac:dyDescent="0.25">
      <c r="A371" s="36">
        <v>41188</v>
      </c>
      <c r="B371" s="122">
        <v>1.4363425925925925E-2</v>
      </c>
      <c r="C371" s="26" t="s">
        <v>1045</v>
      </c>
    </row>
    <row r="372" spans="1:3" x14ac:dyDescent="0.25">
      <c r="A372" s="36">
        <v>41188</v>
      </c>
      <c r="B372" s="122">
        <v>1.4710648148148148E-2</v>
      </c>
      <c r="C372" s="26" t="s">
        <v>1046</v>
      </c>
    </row>
    <row r="373" spans="1:3" x14ac:dyDescent="0.25">
      <c r="A373" s="36">
        <v>41188</v>
      </c>
      <c r="B373" s="122">
        <v>2.1331018518518517E-2</v>
      </c>
      <c r="C373" s="26" t="s">
        <v>906</v>
      </c>
    </row>
    <row r="374" spans="1:3" x14ac:dyDescent="0.25">
      <c r="A374" s="36">
        <v>41188</v>
      </c>
      <c r="B374" s="122">
        <v>2.1574074074074075E-2</v>
      </c>
      <c r="C374" s="26" t="s">
        <v>907</v>
      </c>
    </row>
    <row r="375" spans="1:3" x14ac:dyDescent="0.25">
      <c r="A375" s="36">
        <v>41188</v>
      </c>
      <c r="B375" s="122">
        <v>6.5787037037037033E-2</v>
      </c>
      <c r="C375" s="26" t="s">
        <v>906</v>
      </c>
    </row>
    <row r="376" spans="1:3" x14ac:dyDescent="0.25">
      <c r="A376" s="36">
        <v>41188</v>
      </c>
      <c r="B376" s="122">
        <v>6.5844907407407408E-2</v>
      </c>
      <c r="C376" s="26" t="s">
        <v>907</v>
      </c>
    </row>
    <row r="377" spans="1:3" x14ac:dyDescent="0.25">
      <c r="A377" s="36">
        <v>41188</v>
      </c>
      <c r="B377" s="122">
        <v>6.9155092592592601E-2</v>
      </c>
      <c r="C377" s="26" t="s">
        <v>907</v>
      </c>
    </row>
    <row r="378" spans="1:3" x14ac:dyDescent="0.25">
      <c r="A378" s="36">
        <v>41188</v>
      </c>
      <c r="B378" s="122">
        <v>7.1956018518518516E-2</v>
      </c>
      <c r="C378" s="26" t="s">
        <v>994</v>
      </c>
    </row>
    <row r="379" spans="1:3" x14ac:dyDescent="0.25">
      <c r="A379" s="36">
        <v>41188</v>
      </c>
      <c r="B379" s="122">
        <v>7.1979166666666664E-2</v>
      </c>
      <c r="C379" s="26" t="s">
        <v>995</v>
      </c>
    </row>
    <row r="380" spans="1:3" x14ac:dyDescent="0.25">
      <c r="A380" s="36">
        <v>41188</v>
      </c>
      <c r="B380" s="122">
        <v>7.1990740740740744E-2</v>
      </c>
      <c r="C380" s="26" t="s">
        <v>995</v>
      </c>
    </row>
    <row r="381" spans="1:3" x14ac:dyDescent="0.25">
      <c r="A381" s="36">
        <v>41188</v>
      </c>
      <c r="B381" s="122">
        <v>7.1990740740740744E-2</v>
      </c>
      <c r="C381" s="26" t="s">
        <v>995</v>
      </c>
    </row>
    <row r="382" spans="1:3" x14ac:dyDescent="0.25">
      <c r="A382" s="36">
        <v>41188</v>
      </c>
      <c r="B382" s="122">
        <v>7.2002314814814811E-2</v>
      </c>
      <c r="C382" s="26" t="s">
        <v>995</v>
      </c>
    </row>
    <row r="383" spans="1:3" x14ac:dyDescent="0.25">
      <c r="A383" s="36">
        <v>41188</v>
      </c>
      <c r="B383" s="122">
        <v>7.2013888888888891E-2</v>
      </c>
      <c r="C383" s="26" t="s">
        <v>995</v>
      </c>
    </row>
    <row r="384" spans="1:3" x14ac:dyDescent="0.25">
      <c r="A384" s="36">
        <v>41188</v>
      </c>
      <c r="B384" s="122">
        <v>7.2025462962962958E-2</v>
      </c>
      <c r="C384" s="26" t="s">
        <v>996</v>
      </c>
    </row>
    <row r="385" spans="1:3" x14ac:dyDescent="0.25">
      <c r="A385" s="36">
        <v>41188</v>
      </c>
      <c r="B385" s="122">
        <v>7.2025462962962958E-2</v>
      </c>
      <c r="C385" s="26" t="s">
        <v>995</v>
      </c>
    </row>
    <row r="386" spans="1:3" x14ac:dyDescent="0.25">
      <c r="A386" s="36">
        <v>41188</v>
      </c>
      <c r="B386" s="122">
        <v>7.2037037037037038E-2</v>
      </c>
      <c r="C386" s="26" t="s">
        <v>995</v>
      </c>
    </row>
    <row r="387" spans="1:3" x14ac:dyDescent="0.25">
      <c r="A387" s="36">
        <v>41188</v>
      </c>
      <c r="B387" s="122">
        <v>7.2048611111111105E-2</v>
      </c>
      <c r="C387" s="26" t="s">
        <v>997</v>
      </c>
    </row>
    <row r="388" spans="1:3" x14ac:dyDescent="0.25">
      <c r="A388" s="36">
        <v>41188</v>
      </c>
      <c r="B388" s="122">
        <v>7.2060185185185185E-2</v>
      </c>
      <c r="C388" s="26" t="s">
        <v>998</v>
      </c>
    </row>
    <row r="389" spans="1:3" x14ac:dyDescent="0.25">
      <c r="A389" s="36">
        <v>41188</v>
      </c>
      <c r="B389" s="122">
        <v>7.2060185185185185E-2</v>
      </c>
      <c r="C389" s="26" t="s">
        <v>999</v>
      </c>
    </row>
    <row r="390" spans="1:3" x14ac:dyDescent="0.25">
      <c r="A390" s="36">
        <v>41188</v>
      </c>
      <c r="B390" s="122">
        <v>7.2071759259259252E-2</v>
      </c>
      <c r="C390" s="26" t="s">
        <v>995</v>
      </c>
    </row>
    <row r="391" spans="1:3" x14ac:dyDescent="0.25">
      <c r="A391" s="36">
        <v>41188</v>
      </c>
      <c r="B391" s="122">
        <v>7.2071759259259252E-2</v>
      </c>
      <c r="C391" s="26" t="s">
        <v>995</v>
      </c>
    </row>
    <row r="392" spans="1:3" x14ac:dyDescent="0.25">
      <c r="A392" s="36">
        <v>41188</v>
      </c>
      <c r="B392" s="122">
        <v>7.2083333333333333E-2</v>
      </c>
      <c r="C392" s="26" t="s">
        <v>995</v>
      </c>
    </row>
    <row r="393" spans="1:3" x14ac:dyDescent="0.25">
      <c r="A393" s="36">
        <v>41188</v>
      </c>
      <c r="B393" s="122">
        <v>7.2094907407407413E-2</v>
      </c>
      <c r="C393" s="26" t="s">
        <v>1000</v>
      </c>
    </row>
    <row r="394" spans="1:3" x14ac:dyDescent="0.25">
      <c r="A394" s="36">
        <v>41188</v>
      </c>
      <c r="B394" s="122">
        <v>7.2094907407407413E-2</v>
      </c>
      <c r="C394" s="26" t="s">
        <v>995</v>
      </c>
    </row>
    <row r="395" spans="1:3" x14ac:dyDescent="0.25">
      <c r="A395" s="36">
        <v>41188</v>
      </c>
      <c r="B395" s="122">
        <v>7.210648148148148E-2</v>
      </c>
      <c r="C395" s="26" t="s">
        <v>995</v>
      </c>
    </row>
    <row r="396" spans="1:3" x14ac:dyDescent="0.25">
      <c r="A396" s="36">
        <v>41188</v>
      </c>
      <c r="B396" s="122">
        <v>7.211805555555556E-2</v>
      </c>
      <c r="C396" s="26" t="s">
        <v>1001</v>
      </c>
    </row>
    <row r="397" spans="1:3" x14ac:dyDescent="0.25">
      <c r="A397" s="36">
        <v>41188</v>
      </c>
      <c r="B397" s="122">
        <v>7.2129629629629641E-2</v>
      </c>
      <c r="C397" s="26" t="s">
        <v>1001</v>
      </c>
    </row>
    <row r="398" spans="1:3" x14ac:dyDescent="0.25">
      <c r="A398" s="36">
        <v>41188</v>
      </c>
      <c r="B398" s="122">
        <v>7.2129629629629641E-2</v>
      </c>
      <c r="C398" s="26" t="s">
        <v>995</v>
      </c>
    </row>
    <row r="399" spans="1:3" x14ac:dyDescent="0.25">
      <c r="A399" s="36">
        <v>41188</v>
      </c>
      <c r="B399" s="122">
        <v>7.2141203703703707E-2</v>
      </c>
      <c r="C399" s="26" t="s">
        <v>995</v>
      </c>
    </row>
    <row r="400" spans="1:3" x14ac:dyDescent="0.25">
      <c r="A400" s="36">
        <v>41188</v>
      </c>
      <c r="B400" s="122">
        <v>7.2141203703703707E-2</v>
      </c>
      <c r="C400" s="26" t="s">
        <v>995</v>
      </c>
    </row>
    <row r="401" spans="1:3" x14ac:dyDescent="0.25">
      <c r="A401" s="36">
        <v>41188</v>
      </c>
      <c r="B401" s="122">
        <v>7.2164351851851841E-2</v>
      </c>
      <c r="C401" s="26" t="s">
        <v>995</v>
      </c>
    </row>
    <row r="402" spans="1:3" x14ac:dyDescent="0.25">
      <c r="A402" s="36">
        <v>41188</v>
      </c>
      <c r="B402" s="122">
        <v>7.2164351851851841E-2</v>
      </c>
      <c r="C402" s="26" t="s">
        <v>1002</v>
      </c>
    </row>
    <row r="403" spans="1:3" x14ac:dyDescent="0.25">
      <c r="A403" s="36">
        <v>41188</v>
      </c>
      <c r="B403" s="122">
        <v>7.2175925925925921E-2</v>
      </c>
      <c r="C403" s="26" t="s">
        <v>995</v>
      </c>
    </row>
    <row r="404" spans="1:3" x14ac:dyDescent="0.25">
      <c r="A404" s="36">
        <v>41188</v>
      </c>
      <c r="B404" s="122">
        <v>7.2187500000000002E-2</v>
      </c>
      <c r="C404" s="26" t="s">
        <v>995</v>
      </c>
    </row>
    <row r="405" spans="1:3" x14ac:dyDescent="0.25">
      <c r="A405" s="36">
        <v>41188</v>
      </c>
      <c r="B405" s="122">
        <v>7.2187500000000002E-2</v>
      </c>
      <c r="C405" s="26" t="s">
        <v>995</v>
      </c>
    </row>
    <row r="406" spans="1:3" x14ac:dyDescent="0.25">
      <c r="A406" s="36">
        <v>41188</v>
      </c>
      <c r="B406" s="122">
        <v>7.2199074074074068E-2</v>
      </c>
      <c r="C406" s="26" t="s">
        <v>995</v>
      </c>
    </row>
    <row r="407" spans="1:3" x14ac:dyDescent="0.25">
      <c r="A407" s="36">
        <v>41188</v>
      </c>
      <c r="B407" s="122">
        <v>7.2210648148148149E-2</v>
      </c>
      <c r="C407" s="26" t="s">
        <v>995</v>
      </c>
    </row>
    <row r="408" spans="1:3" x14ac:dyDescent="0.25">
      <c r="A408" s="36">
        <v>41188</v>
      </c>
      <c r="B408" s="122">
        <v>7.2210648148148149E-2</v>
      </c>
      <c r="C408" s="26" t="s">
        <v>1003</v>
      </c>
    </row>
    <row r="409" spans="1:3" x14ac:dyDescent="0.25">
      <c r="A409" s="36">
        <v>41188</v>
      </c>
      <c r="B409" s="122">
        <v>7.2222222222222229E-2</v>
      </c>
      <c r="C409" s="26" t="s">
        <v>995</v>
      </c>
    </row>
    <row r="410" spans="1:3" x14ac:dyDescent="0.25">
      <c r="A410" s="36">
        <v>41188</v>
      </c>
      <c r="B410" s="122">
        <v>7.2233796296296296E-2</v>
      </c>
      <c r="C410" s="26" t="s">
        <v>995</v>
      </c>
    </row>
    <row r="411" spans="1:3" x14ac:dyDescent="0.25">
      <c r="A411" s="36">
        <v>41188</v>
      </c>
      <c r="B411" s="122">
        <v>7.2233796296296296E-2</v>
      </c>
      <c r="C411" s="26" t="s">
        <v>995</v>
      </c>
    </row>
    <row r="412" spans="1:3" x14ac:dyDescent="0.25">
      <c r="A412" s="36">
        <v>41188</v>
      </c>
      <c r="B412" s="122">
        <v>7.2245370370370363E-2</v>
      </c>
      <c r="C412" s="26" t="s">
        <v>995</v>
      </c>
    </row>
    <row r="413" spans="1:3" x14ac:dyDescent="0.25">
      <c r="A413" s="36">
        <v>41188</v>
      </c>
      <c r="B413" s="122">
        <v>7.2256944444444443E-2</v>
      </c>
      <c r="C413" s="26" t="s">
        <v>1004</v>
      </c>
    </row>
    <row r="414" spans="1:3" x14ac:dyDescent="0.25">
      <c r="A414" s="36">
        <v>41188</v>
      </c>
      <c r="B414" s="122">
        <v>7.2268518518518524E-2</v>
      </c>
      <c r="C414" s="26" t="s">
        <v>995</v>
      </c>
    </row>
    <row r="415" spans="1:3" x14ac:dyDescent="0.25">
      <c r="A415" s="36">
        <v>41188</v>
      </c>
      <c r="B415" s="122">
        <v>7.2268518518518524E-2</v>
      </c>
      <c r="C415" s="26" t="s">
        <v>1004</v>
      </c>
    </row>
    <row r="416" spans="1:3" x14ac:dyDescent="0.25">
      <c r="A416" s="36">
        <v>41188</v>
      </c>
      <c r="B416" s="122">
        <v>7.2291666666666657E-2</v>
      </c>
      <c r="C416" s="26" t="s">
        <v>1005</v>
      </c>
    </row>
    <row r="417" spans="1:3" x14ac:dyDescent="0.25">
      <c r="A417" s="36">
        <v>41188</v>
      </c>
      <c r="B417" s="122">
        <v>7.2291666666666657E-2</v>
      </c>
      <c r="C417" s="26" t="s">
        <v>1006</v>
      </c>
    </row>
    <row r="418" spans="1:3" x14ac:dyDescent="0.25">
      <c r="A418" s="36">
        <v>41188</v>
      </c>
      <c r="B418" s="122">
        <v>7.2303240740740737E-2</v>
      </c>
      <c r="C418" s="26" t="s">
        <v>995</v>
      </c>
    </row>
    <row r="419" spans="1:3" x14ac:dyDescent="0.25">
      <c r="A419" s="36">
        <v>41188</v>
      </c>
      <c r="B419" s="122">
        <v>7.2314814814814818E-2</v>
      </c>
      <c r="C419" s="26" t="s">
        <v>995</v>
      </c>
    </row>
    <row r="420" spans="1:3" x14ac:dyDescent="0.25">
      <c r="A420" s="36">
        <v>41188</v>
      </c>
      <c r="B420" s="122">
        <v>7.2326388888888885E-2</v>
      </c>
      <c r="C420" s="26" t="s">
        <v>995</v>
      </c>
    </row>
    <row r="421" spans="1:3" x14ac:dyDescent="0.25">
      <c r="A421" s="36">
        <v>41188</v>
      </c>
      <c r="B421" s="122">
        <v>7.2326388888888885E-2</v>
      </c>
      <c r="C421" s="26" t="s">
        <v>995</v>
      </c>
    </row>
    <row r="422" spans="1:3" x14ac:dyDescent="0.25">
      <c r="A422" s="36">
        <v>41188</v>
      </c>
      <c r="B422" s="122">
        <v>7.2337962962962965E-2</v>
      </c>
      <c r="C422" s="26" t="s">
        <v>995</v>
      </c>
    </row>
    <row r="423" spans="1:3" x14ac:dyDescent="0.25">
      <c r="A423" s="36">
        <v>41188</v>
      </c>
      <c r="B423" s="122">
        <v>7.2337962962962965E-2</v>
      </c>
      <c r="C423" s="26" t="s">
        <v>995</v>
      </c>
    </row>
    <row r="424" spans="1:3" x14ac:dyDescent="0.25">
      <c r="A424" s="36">
        <v>41188</v>
      </c>
      <c r="B424" s="122">
        <v>7.2337962962962965E-2</v>
      </c>
      <c r="C424" s="26" t="s">
        <v>995</v>
      </c>
    </row>
    <row r="425" spans="1:3" x14ac:dyDescent="0.25">
      <c r="A425" s="36">
        <v>41188</v>
      </c>
      <c r="B425" s="122">
        <v>7.2349537037037046E-2</v>
      </c>
      <c r="C425" s="26" t="s">
        <v>995</v>
      </c>
    </row>
    <row r="426" spans="1:3" x14ac:dyDescent="0.25">
      <c r="A426" s="36">
        <v>41188</v>
      </c>
      <c r="B426" s="122">
        <v>7.2349537037037046E-2</v>
      </c>
      <c r="C426" s="26" t="s">
        <v>995</v>
      </c>
    </row>
    <row r="427" spans="1:3" x14ac:dyDescent="0.25">
      <c r="A427" s="36">
        <v>41188</v>
      </c>
      <c r="B427" s="122">
        <v>7.2361111111111112E-2</v>
      </c>
      <c r="C427" s="26" t="s">
        <v>995</v>
      </c>
    </row>
    <row r="428" spans="1:3" x14ac:dyDescent="0.25">
      <c r="A428" s="36">
        <v>41188</v>
      </c>
      <c r="B428" s="122">
        <v>7.2361111111111112E-2</v>
      </c>
      <c r="C428" s="26" t="s">
        <v>1007</v>
      </c>
    </row>
    <row r="429" spans="1:3" x14ac:dyDescent="0.25">
      <c r="A429" s="36">
        <v>41188</v>
      </c>
      <c r="B429" s="122">
        <v>7.2372685185185193E-2</v>
      </c>
      <c r="C429" s="26" t="s">
        <v>995</v>
      </c>
    </row>
    <row r="430" spans="1:3" x14ac:dyDescent="0.25">
      <c r="A430" s="36">
        <v>41188</v>
      </c>
      <c r="B430" s="122">
        <v>7.2384259259259259E-2</v>
      </c>
      <c r="C430" s="26" t="s">
        <v>995</v>
      </c>
    </row>
    <row r="431" spans="1:3" x14ac:dyDescent="0.25">
      <c r="A431" s="36">
        <v>41188</v>
      </c>
      <c r="B431" s="122">
        <v>7.2384259259259259E-2</v>
      </c>
      <c r="C431" s="26" t="s">
        <v>1004</v>
      </c>
    </row>
    <row r="432" spans="1:3" x14ac:dyDescent="0.25">
      <c r="A432" s="36">
        <v>41188</v>
      </c>
      <c r="B432" s="122">
        <v>7.239583333333334E-2</v>
      </c>
      <c r="C432" s="26" t="s">
        <v>1008</v>
      </c>
    </row>
    <row r="433" spans="1:3" x14ac:dyDescent="0.25">
      <c r="A433" s="36">
        <v>41188</v>
      </c>
      <c r="B433" s="122">
        <v>7.2407407407407406E-2</v>
      </c>
      <c r="C433" s="26" t="s">
        <v>1006</v>
      </c>
    </row>
    <row r="434" spans="1:3" x14ac:dyDescent="0.25">
      <c r="A434" s="36">
        <v>41188</v>
      </c>
      <c r="B434" s="122">
        <v>7.2418981481481473E-2</v>
      </c>
      <c r="C434" s="26" t="s">
        <v>1009</v>
      </c>
    </row>
    <row r="435" spans="1:3" x14ac:dyDescent="0.25">
      <c r="A435" s="36">
        <v>41188</v>
      </c>
      <c r="B435" s="122">
        <v>7.2430555555555554E-2</v>
      </c>
      <c r="C435" s="26" t="s">
        <v>1009</v>
      </c>
    </row>
    <row r="436" spans="1:3" x14ac:dyDescent="0.25">
      <c r="A436" s="36">
        <v>41188</v>
      </c>
      <c r="B436" s="122">
        <v>7.2430555555555554E-2</v>
      </c>
      <c r="C436" s="26" t="s">
        <v>1010</v>
      </c>
    </row>
    <row r="437" spans="1:3" x14ac:dyDescent="0.25">
      <c r="A437" s="36">
        <v>41188</v>
      </c>
      <c r="B437" s="122">
        <v>7.2442129629629634E-2</v>
      </c>
      <c r="C437" s="26" t="s">
        <v>995</v>
      </c>
    </row>
    <row r="438" spans="1:3" x14ac:dyDescent="0.25">
      <c r="A438" s="36">
        <v>41188</v>
      </c>
      <c r="B438" s="122">
        <v>7.2442129629629634E-2</v>
      </c>
      <c r="C438" s="26" t="s">
        <v>995</v>
      </c>
    </row>
    <row r="439" spans="1:3" x14ac:dyDescent="0.25">
      <c r="A439" s="36">
        <v>41188</v>
      </c>
      <c r="B439" s="122">
        <v>7.2453703703703701E-2</v>
      </c>
      <c r="C439" s="26" t="s">
        <v>1004</v>
      </c>
    </row>
    <row r="440" spans="1:3" x14ac:dyDescent="0.25">
      <c r="A440" s="36">
        <v>41188</v>
      </c>
      <c r="B440" s="122">
        <v>7.2465277777777781E-2</v>
      </c>
      <c r="C440" s="26" t="s">
        <v>995</v>
      </c>
    </row>
    <row r="441" spans="1:3" x14ac:dyDescent="0.25">
      <c r="A441" s="36">
        <v>41188</v>
      </c>
      <c r="B441" s="122">
        <v>7.2476851851851862E-2</v>
      </c>
      <c r="C441" s="26" t="s">
        <v>995</v>
      </c>
    </row>
    <row r="442" spans="1:3" x14ac:dyDescent="0.25">
      <c r="A442" s="36">
        <v>41188</v>
      </c>
      <c r="B442" s="122">
        <v>7.2488425925925928E-2</v>
      </c>
      <c r="C442" s="26" t="s">
        <v>998</v>
      </c>
    </row>
    <row r="443" spans="1:3" x14ac:dyDescent="0.25">
      <c r="A443" s="36">
        <v>41188</v>
      </c>
      <c r="B443" s="122">
        <v>7.2499999999999995E-2</v>
      </c>
      <c r="C443" s="26" t="s">
        <v>998</v>
      </c>
    </row>
    <row r="444" spans="1:3" x14ac:dyDescent="0.25">
      <c r="A444" s="36">
        <v>41188</v>
      </c>
      <c r="B444" s="122">
        <v>7.2499999999999995E-2</v>
      </c>
      <c r="C444" s="26" t="s">
        <v>1011</v>
      </c>
    </row>
    <row r="445" spans="1:3" x14ac:dyDescent="0.25">
      <c r="A445" s="36">
        <v>41188</v>
      </c>
      <c r="B445" s="122">
        <v>7.2511574074074062E-2</v>
      </c>
      <c r="C445" s="26" t="s">
        <v>1012</v>
      </c>
    </row>
    <row r="446" spans="1:3" x14ac:dyDescent="0.25">
      <c r="A446" s="36">
        <v>41188</v>
      </c>
      <c r="B446" s="122">
        <v>7.2523148148148142E-2</v>
      </c>
      <c r="C446" s="26" t="s">
        <v>995</v>
      </c>
    </row>
    <row r="447" spans="1:3" x14ac:dyDescent="0.25">
      <c r="A447" s="36">
        <v>41188</v>
      </c>
      <c r="B447" s="122">
        <v>7.2534722222222223E-2</v>
      </c>
      <c r="C447" s="26" t="s">
        <v>995</v>
      </c>
    </row>
    <row r="448" spans="1:3" x14ac:dyDescent="0.25">
      <c r="A448" s="36">
        <v>41188</v>
      </c>
      <c r="B448" s="122">
        <v>7.2546296296296289E-2</v>
      </c>
      <c r="C448" s="26" t="s">
        <v>1013</v>
      </c>
    </row>
    <row r="449" spans="1:3" x14ac:dyDescent="0.25">
      <c r="A449" s="36">
        <v>41188</v>
      </c>
      <c r="B449" s="122">
        <v>7.255787037037037E-2</v>
      </c>
      <c r="C449" s="26" t="s">
        <v>995</v>
      </c>
    </row>
    <row r="450" spans="1:3" x14ac:dyDescent="0.25">
      <c r="A450" s="36">
        <v>41188</v>
      </c>
      <c r="B450" s="122">
        <v>7.2581018518518517E-2</v>
      </c>
      <c r="C450" s="26" t="s">
        <v>1014</v>
      </c>
    </row>
    <row r="451" spans="1:3" x14ac:dyDescent="0.25">
      <c r="A451" s="36">
        <v>41188</v>
      </c>
      <c r="B451" s="122">
        <v>7.2592592592592597E-2</v>
      </c>
      <c r="C451" s="26" t="s">
        <v>1015</v>
      </c>
    </row>
    <row r="452" spans="1:3" x14ac:dyDescent="0.25">
      <c r="A452" s="36">
        <v>41188</v>
      </c>
      <c r="B452" s="122">
        <v>7.2604166666666664E-2</v>
      </c>
      <c r="C452" s="26" t="s">
        <v>995</v>
      </c>
    </row>
    <row r="453" spans="1:3" x14ac:dyDescent="0.25">
      <c r="A453" s="36">
        <v>41188</v>
      </c>
      <c r="B453" s="122">
        <v>7.2604166666666664E-2</v>
      </c>
      <c r="C453" s="26" t="s">
        <v>995</v>
      </c>
    </row>
    <row r="454" spans="1:3" x14ac:dyDescent="0.25">
      <c r="A454" s="36">
        <v>41188</v>
      </c>
      <c r="B454" s="122">
        <v>7.2615740740740745E-2</v>
      </c>
      <c r="C454" s="26" t="s">
        <v>1016</v>
      </c>
    </row>
    <row r="455" spans="1:3" x14ac:dyDescent="0.25">
      <c r="A455" s="36">
        <v>41188</v>
      </c>
      <c r="B455" s="122">
        <v>7.2627314814814811E-2</v>
      </c>
      <c r="C455" s="26" t="s">
        <v>995</v>
      </c>
    </row>
    <row r="456" spans="1:3" x14ac:dyDescent="0.25">
      <c r="A456" s="36">
        <v>41188</v>
      </c>
      <c r="B456" s="122">
        <v>7.2627314814814811E-2</v>
      </c>
      <c r="C456" s="26" t="s">
        <v>995</v>
      </c>
    </row>
    <row r="457" spans="1:3" x14ac:dyDescent="0.25">
      <c r="A457" s="36">
        <v>41188</v>
      </c>
      <c r="B457" s="122">
        <v>7.2638888888888892E-2</v>
      </c>
      <c r="C457" s="26" t="s">
        <v>1015</v>
      </c>
    </row>
    <row r="458" spans="1:3" x14ac:dyDescent="0.25">
      <c r="A458" s="36">
        <v>41188</v>
      </c>
      <c r="B458" s="122">
        <v>7.2650462962962958E-2</v>
      </c>
      <c r="C458" s="26" t="s">
        <v>1016</v>
      </c>
    </row>
    <row r="459" spans="1:3" x14ac:dyDescent="0.25">
      <c r="A459" s="36">
        <v>41188</v>
      </c>
      <c r="B459" s="122">
        <v>7.2662037037037039E-2</v>
      </c>
      <c r="C459" s="26" t="s">
        <v>1017</v>
      </c>
    </row>
    <row r="460" spans="1:3" x14ac:dyDescent="0.25">
      <c r="A460" s="36">
        <v>41188</v>
      </c>
      <c r="B460" s="122">
        <v>7.2673611111111105E-2</v>
      </c>
      <c r="C460" s="26" t="s">
        <v>995</v>
      </c>
    </row>
    <row r="461" spans="1:3" x14ac:dyDescent="0.25">
      <c r="A461" s="36">
        <v>41188</v>
      </c>
      <c r="B461" s="122">
        <v>7.2673611111111105E-2</v>
      </c>
      <c r="C461" s="26" t="s">
        <v>995</v>
      </c>
    </row>
    <row r="462" spans="1:3" x14ac:dyDescent="0.25">
      <c r="A462" s="36">
        <v>41188</v>
      </c>
      <c r="B462" s="122">
        <v>7.2685185185185186E-2</v>
      </c>
      <c r="C462" s="26" t="s">
        <v>995</v>
      </c>
    </row>
    <row r="463" spans="1:3" x14ac:dyDescent="0.25">
      <c r="A463" s="36">
        <v>41188</v>
      </c>
      <c r="B463" s="122">
        <v>7.2708333333333333E-2</v>
      </c>
      <c r="C463" s="26" t="s">
        <v>995</v>
      </c>
    </row>
    <row r="464" spans="1:3" x14ac:dyDescent="0.25">
      <c r="A464" s="36">
        <v>41188</v>
      </c>
      <c r="B464" s="122">
        <v>7.2708333333333333E-2</v>
      </c>
      <c r="C464" s="26" t="s">
        <v>1014</v>
      </c>
    </row>
    <row r="465" spans="1:3" x14ac:dyDescent="0.25">
      <c r="A465" s="36">
        <v>41188</v>
      </c>
      <c r="B465" s="122">
        <v>7.2719907407407414E-2</v>
      </c>
      <c r="C465" s="26" t="s">
        <v>995</v>
      </c>
    </row>
    <row r="466" spans="1:3" x14ac:dyDescent="0.25">
      <c r="A466" s="36">
        <v>41188</v>
      </c>
      <c r="B466" s="122">
        <v>7.273148148148148E-2</v>
      </c>
      <c r="C466" s="26" t="s">
        <v>995</v>
      </c>
    </row>
    <row r="467" spans="1:3" x14ac:dyDescent="0.25">
      <c r="A467" s="36">
        <v>41188</v>
      </c>
      <c r="B467" s="122">
        <v>7.273148148148148E-2</v>
      </c>
      <c r="C467" s="26" t="s">
        <v>1004</v>
      </c>
    </row>
    <row r="468" spans="1:3" x14ac:dyDescent="0.25">
      <c r="A468" s="36">
        <v>41188</v>
      </c>
      <c r="B468" s="122">
        <v>7.2743055555555561E-2</v>
      </c>
      <c r="C468" s="26" t="s">
        <v>1018</v>
      </c>
    </row>
    <row r="469" spans="1:3" x14ac:dyDescent="0.25">
      <c r="A469" s="36">
        <v>41188</v>
      </c>
      <c r="B469" s="122">
        <v>7.2754629629629627E-2</v>
      </c>
      <c r="C469" s="26" t="s">
        <v>1016</v>
      </c>
    </row>
    <row r="470" spans="1:3" x14ac:dyDescent="0.25">
      <c r="A470" s="36">
        <v>41188</v>
      </c>
      <c r="B470" s="122">
        <v>7.2754629629629627E-2</v>
      </c>
      <c r="C470" s="26" t="s">
        <v>1015</v>
      </c>
    </row>
    <row r="471" spans="1:3" x14ac:dyDescent="0.25">
      <c r="A471" s="36">
        <v>41188</v>
      </c>
      <c r="B471" s="122">
        <v>7.2766203703703694E-2</v>
      </c>
      <c r="C471" s="26" t="s">
        <v>1016</v>
      </c>
    </row>
    <row r="472" spans="1:3" x14ac:dyDescent="0.25">
      <c r="A472" s="36">
        <v>41188</v>
      </c>
      <c r="B472" s="122">
        <v>7.2777777777777775E-2</v>
      </c>
      <c r="C472" s="26" t="s">
        <v>995</v>
      </c>
    </row>
    <row r="473" spans="1:3" x14ac:dyDescent="0.25">
      <c r="A473" s="36">
        <v>41188</v>
      </c>
      <c r="B473" s="122">
        <v>7.2777777777777775E-2</v>
      </c>
      <c r="C473" s="26" t="s">
        <v>995</v>
      </c>
    </row>
    <row r="474" spans="1:3" x14ac:dyDescent="0.25">
      <c r="A474" s="36">
        <v>41188</v>
      </c>
      <c r="B474" s="122">
        <v>7.2789351851851855E-2</v>
      </c>
      <c r="C474" s="26" t="s">
        <v>995</v>
      </c>
    </row>
    <row r="475" spans="1:3" x14ac:dyDescent="0.25">
      <c r="A475" s="36">
        <v>41188</v>
      </c>
      <c r="B475" s="122">
        <v>7.2800925925925922E-2</v>
      </c>
      <c r="C475" s="26" t="s">
        <v>995</v>
      </c>
    </row>
    <row r="476" spans="1:3" x14ac:dyDescent="0.25">
      <c r="A476" s="36">
        <v>41188</v>
      </c>
      <c r="B476" s="122">
        <v>7.2812500000000002E-2</v>
      </c>
      <c r="C476" s="26" t="s">
        <v>1004</v>
      </c>
    </row>
    <row r="477" spans="1:3" x14ac:dyDescent="0.25">
      <c r="A477" s="36">
        <v>41188</v>
      </c>
      <c r="B477" s="122">
        <v>7.2824074074074083E-2</v>
      </c>
      <c r="C477" s="26" t="s">
        <v>995</v>
      </c>
    </row>
    <row r="478" spans="1:3" x14ac:dyDescent="0.25">
      <c r="A478" s="36">
        <v>41188</v>
      </c>
      <c r="B478" s="122">
        <v>7.2835648148148149E-2</v>
      </c>
      <c r="C478" s="26" t="s">
        <v>1016</v>
      </c>
    </row>
    <row r="479" spans="1:3" ht="45" x14ac:dyDescent="0.25">
      <c r="A479" s="36">
        <v>41188</v>
      </c>
      <c r="B479" s="122">
        <v>7.2847222222222216E-2</v>
      </c>
      <c r="C479" s="585" t="s">
        <v>1019</v>
      </c>
    </row>
    <row r="480" spans="1:3" x14ac:dyDescent="0.25">
      <c r="A480" s="36">
        <v>41188</v>
      </c>
      <c r="B480" s="122">
        <v>7.2847222222222216E-2</v>
      </c>
      <c r="C480" s="26" t="s">
        <v>1020</v>
      </c>
    </row>
    <row r="481" spans="1:3" x14ac:dyDescent="0.25">
      <c r="A481" s="36">
        <v>41188</v>
      </c>
      <c r="B481" s="122">
        <v>7.2847222222222216E-2</v>
      </c>
      <c r="C481" s="26" t="s">
        <v>1021</v>
      </c>
    </row>
    <row r="482" spans="1:3" x14ac:dyDescent="0.25">
      <c r="A482" s="36">
        <v>41188</v>
      </c>
      <c r="B482" s="122">
        <v>7.2847222222222216E-2</v>
      </c>
      <c r="C482" s="26" t="s">
        <v>1022</v>
      </c>
    </row>
    <row r="483" spans="1:3" x14ac:dyDescent="0.25">
      <c r="A483" s="36">
        <v>41188</v>
      </c>
      <c r="B483" s="122">
        <v>7.2847222222222216E-2</v>
      </c>
      <c r="C483" s="26" t="s">
        <v>1023</v>
      </c>
    </row>
    <row r="484" spans="1:3" x14ac:dyDescent="0.25">
      <c r="A484" s="36">
        <v>41188</v>
      </c>
      <c r="B484" s="122">
        <v>7.2847222222222216E-2</v>
      </c>
      <c r="C484" s="26" t="s">
        <v>1024</v>
      </c>
    </row>
    <row r="485" spans="1:3" x14ac:dyDescent="0.25">
      <c r="A485" s="36">
        <v>41188</v>
      </c>
      <c r="B485" s="122">
        <v>7.2847222222222216E-2</v>
      </c>
      <c r="C485" s="26" t="s">
        <v>1025</v>
      </c>
    </row>
    <row r="486" spans="1:3" x14ac:dyDescent="0.25">
      <c r="A486" s="36">
        <v>41188</v>
      </c>
      <c r="B486" s="122">
        <v>7.2847222222222216E-2</v>
      </c>
      <c r="C486" s="26" t="s">
        <v>995</v>
      </c>
    </row>
    <row r="487" spans="1:3" x14ac:dyDescent="0.25">
      <c r="A487" s="36">
        <v>41188</v>
      </c>
      <c r="B487" s="122">
        <v>7.2858796296296297E-2</v>
      </c>
      <c r="C487" s="26" t="s">
        <v>1026</v>
      </c>
    </row>
    <row r="488" spans="1:3" x14ac:dyDescent="0.25">
      <c r="A488" s="36">
        <v>41188</v>
      </c>
      <c r="B488" s="122">
        <v>7.2870370370370363E-2</v>
      </c>
      <c r="C488" s="26" t="s">
        <v>1015</v>
      </c>
    </row>
    <row r="489" spans="1:3" x14ac:dyDescent="0.25">
      <c r="A489" s="36">
        <v>41188</v>
      </c>
      <c r="B489" s="122">
        <v>7.2870370370370363E-2</v>
      </c>
      <c r="C489" s="26" t="s">
        <v>1016</v>
      </c>
    </row>
    <row r="490" spans="1:3" x14ac:dyDescent="0.25">
      <c r="A490" s="36">
        <v>41188</v>
      </c>
      <c r="B490" s="122">
        <v>7.2881944444444444E-2</v>
      </c>
      <c r="C490" s="26" t="s">
        <v>1015</v>
      </c>
    </row>
    <row r="491" spans="1:3" x14ac:dyDescent="0.25">
      <c r="A491" s="36">
        <v>41188</v>
      </c>
      <c r="B491" s="122">
        <v>7.289351851851851E-2</v>
      </c>
      <c r="C491" s="26" t="s">
        <v>1027</v>
      </c>
    </row>
    <row r="492" spans="1:3" x14ac:dyDescent="0.25">
      <c r="A492" s="36">
        <v>41188</v>
      </c>
      <c r="B492" s="122">
        <v>7.289351851851851E-2</v>
      </c>
      <c r="C492" s="26" t="s">
        <v>995</v>
      </c>
    </row>
    <row r="493" spans="1:3" x14ac:dyDescent="0.25">
      <c r="A493" s="36">
        <v>41188</v>
      </c>
      <c r="B493" s="122">
        <v>7.2916666666666671E-2</v>
      </c>
      <c r="C493" s="26" t="s">
        <v>1004</v>
      </c>
    </row>
    <row r="494" spans="1:3" x14ac:dyDescent="0.25">
      <c r="A494" s="36">
        <v>41188</v>
      </c>
      <c r="B494" s="122">
        <v>7.2939814814814818E-2</v>
      </c>
      <c r="C494" s="26" t="s">
        <v>1028</v>
      </c>
    </row>
    <row r="495" spans="1:3" x14ac:dyDescent="0.25">
      <c r="A495" s="36">
        <v>41188</v>
      </c>
      <c r="B495" s="122">
        <v>7.2939814814814818E-2</v>
      </c>
      <c r="C495" s="26" t="s">
        <v>1029</v>
      </c>
    </row>
    <row r="496" spans="1:3" x14ac:dyDescent="0.25">
      <c r="A496" s="36">
        <v>41188</v>
      </c>
      <c r="B496" s="122">
        <v>7.2939814814814818E-2</v>
      </c>
      <c r="C496" s="26" t="s">
        <v>1030</v>
      </c>
    </row>
    <row r="497" spans="1:3" x14ac:dyDescent="0.25">
      <c r="A497" s="36">
        <v>41188</v>
      </c>
      <c r="B497" s="122">
        <v>7.2939814814814818E-2</v>
      </c>
      <c r="C497" s="26" t="s">
        <v>978</v>
      </c>
    </row>
    <row r="498" spans="1:3" x14ac:dyDescent="0.25">
      <c r="A498" s="36">
        <v>41188</v>
      </c>
      <c r="B498" s="122">
        <v>7.2939814814814818E-2</v>
      </c>
      <c r="C498" s="26" t="s">
        <v>1014</v>
      </c>
    </row>
    <row r="499" spans="1:3" x14ac:dyDescent="0.25">
      <c r="A499" s="36">
        <v>41188</v>
      </c>
      <c r="B499" s="122">
        <v>7.2939814814814818E-2</v>
      </c>
      <c r="C499" s="26" t="s">
        <v>1031</v>
      </c>
    </row>
    <row r="500" spans="1:3" x14ac:dyDescent="0.25">
      <c r="A500" s="36">
        <v>41188</v>
      </c>
      <c r="B500" s="122">
        <v>7.2939814814814818E-2</v>
      </c>
      <c r="C500" s="26" t="s">
        <v>1032</v>
      </c>
    </row>
    <row r="501" spans="1:3" x14ac:dyDescent="0.25">
      <c r="A501" s="36">
        <v>41188</v>
      </c>
      <c r="B501" s="122">
        <v>7.2951388888888885E-2</v>
      </c>
      <c r="C501" s="26" t="s">
        <v>1033</v>
      </c>
    </row>
    <row r="502" spans="1:3" x14ac:dyDescent="0.25">
      <c r="A502" s="36">
        <v>41188</v>
      </c>
      <c r="B502" s="122">
        <v>7.2951388888888885E-2</v>
      </c>
      <c r="C502" s="26" t="s">
        <v>1034</v>
      </c>
    </row>
    <row r="503" spans="1:3" x14ac:dyDescent="0.25">
      <c r="A503" s="36">
        <v>41188</v>
      </c>
      <c r="B503" s="122">
        <v>7.2951388888888885E-2</v>
      </c>
      <c r="C503" s="26" t="s">
        <v>1035</v>
      </c>
    </row>
    <row r="504" spans="1:3" x14ac:dyDescent="0.25">
      <c r="A504" s="36">
        <v>41188</v>
      </c>
      <c r="B504" s="122">
        <v>7.2951388888888885E-2</v>
      </c>
      <c r="C504" s="26" t="s">
        <v>1031</v>
      </c>
    </row>
    <row r="505" spans="1:3" x14ac:dyDescent="0.25">
      <c r="A505" s="36">
        <v>41188</v>
      </c>
      <c r="B505" s="122">
        <v>7.2951388888888885E-2</v>
      </c>
      <c r="C505" s="26" t="s">
        <v>1032</v>
      </c>
    </row>
    <row r="506" spans="1:3" x14ac:dyDescent="0.25">
      <c r="A506" s="36">
        <v>41188</v>
      </c>
      <c r="B506" s="122">
        <v>7.2962962962962966E-2</v>
      </c>
      <c r="C506" s="26" t="s">
        <v>995</v>
      </c>
    </row>
    <row r="507" spans="1:3" x14ac:dyDescent="0.25">
      <c r="A507" s="36">
        <v>41188</v>
      </c>
      <c r="B507" s="122">
        <v>7.2974537037037032E-2</v>
      </c>
      <c r="C507" s="26" t="s">
        <v>1031</v>
      </c>
    </row>
    <row r="508" spans="1:3" x14ac:dyDescent="0.25">
      <c r="A508" s="36">
        <v>41188</v>
      </c>
      <c r="B508" s="122">
        <v>7.2974537037037032E-2</v>
      </c>
      <c r="C508" s="26" t="s">
        <v>1032</v>
      </c>
    </row>
    <row r="509" spans="1:3" x14ac:dyDescent="0.25">
      <c r="A509" s="36">
        <v>41188</v>
      </c>
      <c r="B509" s="122">
        <v>7.2974537037037032E-2</v>
      </c>
      <c r="C509" s="26" t="s">
        <v>1036</v>
      </c>
    </row>
    <row r="510" spans="1:3" x14ac:dyDescent="0.25">
      <c r="A510" s="36">
        <v>41188</v>
      </c>
      <c r="B510" s="122">
        <v>7.2986111111111113E-2</v>
      </c>
      <c r="C510" s="26" t="s">
        <v>1037</v>
      </c>
    </row>
    <row r="511" spans="1:3" x14ac:dyDescent="0.25">
      <c r="A511" s="36">
        <v>41188</v>
      </c>
      <c r="B511" s="122">
        <v>7.2997685185185179E-2</v>
      </c>
      <c r="C511" s="26" t="s">
        <v>1038</v>
      </c>
    </row>
    <row r="512" spans="1:3" x14ac:dyDescent="0.25">
      <c r="A512" s="36">
        <v>41188</v>
      </c>
      <c r="B512" s="122">
        <v>7.2997685185185179E-2</v>
      </c>
      <c r="C512" s="26" t="s">
        <v>1039</v>
      </c>
    </row>
    <row r="513" spans="1:3" x14ac:dyDescent="0.25">
      <c r="A513" s="36">
        <v>41188</v>
      </c>
      <c r="B513" s="122">
        <v>7.2997685185185179E-2</v>
      </c>
      <c r="C513" s="26" t="s">
        <v>1035</v>
      </c>
    </row>
    <row r="514" spans="1:3" x14ac:dyDescent="0.25">
      <c r="A514" s="36">
        <v>41188</v>
      </c>
      <c r="B514" s="122">
        <v>7.2997685185185179E-2</v>
      </c>
      <c r="C514" s="26" t="s">
        <v>1031</v>
      </c>
    </row>
    <row r="515" spans="1:3" x14ac:dyDescent="0.25">
      <c r="A515" s="36">
        <v>41188</v>
      </c>
      <c r="B515" s="122">
        <v>7.2997685185185179E-2</v>
      </c>
      <c r="C515" s="26" t="s">
        <v>1032</v>
      </c>
    </row>
    <row r="516" spans="1:3" x14ac:dyDescent="0.25">
      <c r="A516" s="36">
        <v>41188</v>
      </c>
      <c r="B516" s="122">
        <v>7.300925925925926E-2</v>
      </c>
      <c r="C516" s="26" t="s">
        <v>1006</v>
      </c>
    </row>
    <row r="517" spans="1:3" x14ac:dyDescent="0.25">
      <c r="A517" s="36">
        <v>41188</v>
      </c>
      <c r="B517" s="122">
        <v>7.300925925925926E-2</v>
      </c>
      <c r="C517" s="26" t="s">
        <v>995</v>
      </c>
    </row>
    <row r="518" spans="1:3" x14ac:dyDescent="0.25">
      <c r="A518" s="36">
        <v>41188</v>
      </c>
      <c r="B518" s="122">
        <v>7.3020833333333326E-2</v>
      </c>
      <c r="C518" s="26" t="s">
        <v>995</v>
      </c>
    </row>
    <row r="519" spans="1:3" x14ac:dyDescent="0.25">
      <c r="A519" s="36">
        <v>41188</v>
      </c>
      <c r="B519" s="122">
        <v>7.3020833333333326E-2</v>
      </c>
      <c r="C519" s="26" t="s">
        <v>1040</v>
      </c>
    </row>
    <row r="520" spans="1:3" x14ac:dyDescent="0.25">
      <c r="A520" s="36">
        <v>41188</v>
      </c>
      <c r="B520" s="122">
        <v>7.3020833333333326E-2</v>
      </c>
      <c r="C520" s="26" t="s">
        <v>1041</v>
      </c>
    </row>
    <row r="521" spans="1:3" x14ac:dyDescent="0.25">
      <c r="A521" s="36">
        <v>41188</v>
      </c>
      <c r="B521" s="122">
        <v>7.3020833333333326E-2</v>
      </c>
      <c r="C521" s="26" t="s">
        <v>1035</v>
      </c>
    </row>
    <row r="522" spans="1:3" x14ac:dyDescent="0.25">
      <c r="A522" s="36">
        <v>41188</v>
      </c>
      <c r="B522" s="122">
        <v>7.3020833333333326E-2</v>
      </c>
      <c r="C522" s="26" t="s">
        <v>1004</v>
      </c>
    </row>
    <row r="523" spans="1:3" x14ac:dyDescent="0.25">
      <c r="A523" s="36">
        <v>41188</v>
      </c>
      <c r="B523" s="122">
        <v>7.3032407407407407E-2</v>
      </c>
      <c r="C523" s="26" t="s">
        <v>1042</v>
      </c>
    </row>
    <row r="524" spans="1:3" x14ac:dyDescent="0.25">
      <c r="A524" s="36">
        <v>41188</v>
      </c>
      <c r="B524" s="122">
        <v>7.3032407407407407E-2</v>
      </c>
      <c r="C524" s="26" t="s">
        <v>1043</v>
      </c>
    </row>
    <row r="525" spans="1:3" x14ac:dyDescent="0.25">
      <c r="A525" s="36">
        <v>41188</v>
      </c>
      <c r="B525" s="122">
        <v>7.3032407407407407E-2</v>
      </c>
      <c r="C525" s="26" t="s">
        <v>1044</v>
      </c>
    </row>
    <row r="526" spans="1:3" x14ac:dyDescent="0.25">
      <c r="A526" s="36">
        <v>41188</v>
      </c>
      <c r="B526" s="122">
        <v>7.3032407407407407E-2</v>
      </c>
      <c r="C526" s="26" t="s">
        <v>995</v>
      </c>
    </row>
    <row r="527" spans="1:3" x14ac:dyDescent="0.25">
      <c r="A527" s="36">
        <v>41188</v>
      </c>
      <c r="B527" s="122">
        <v>7.3043981481481488E-2</v>
      </c>
      <c r="C527" s="26" t="s">
        <v>995</v>
      </c>
    </row>
    <row r="528" spans="1:3" x14ac:dyDescent="0.25">
      <c r="A528" s="36">
        <v>41188</v>
      </c>
      <c r="B528" s="122">
        <v>7.3043981481481488E-2</v>
      </c>
      <c r="C528" s="26" t="s">
        <v>990</v>
      </c>
    </row>
    <row r="529" spans="1:3" x14ac:dyDescent="0.25">
      <c r="A529" s="36">
        <v>41188</v>
      </c>
      <c r="B529" s="122">
        <v>7.3043981481481488E-2</v>
      </c>
      <c r="C529" s="26" t="s">
        <v>990</v>
      </c>
    </row>
    <row r="530" spans="1:3" x14ac:dyDescent="0.25">
      <c r="A530" s="36">
        <v>41188</v>
      </c>
      <c r="B530" s="122">
        <v>7.3043981481481488E-2</v>
      </c>
      <c r="C530" s="26" t="s">
        <v>995</v>
      </c>
    </row>
    <row r="531" spans="1:3" x14ac:dyDescent="0.25">
      <c r="A531" s="36">
        <v>41188</v>
      </c>
      <c r="B531" s="122">
        <v>7.3055555555555554E-2</v>
      </c>
      <c r="C531" s="26" t="s">
        <v>992</v>
      </c>
    </row>
    <row r="532" spans="1:3" x14ac:dyDescent="0.25">
      <c r="A532" s="36">
        <v>41188</v>
      </c>
      <c r="B532" s="122">
        <v>7.3067129629629635E-2</v>
      </c>
      <c r="C532" s="26" t="s">
        <v>1004</v>
      </c>
    </row>
    <row r="533" spans="1:3" x14ac:dyDescent="0.25">
      <c r="A533" s="36">
        <v>41188</v>
      </c>
      <c r="B533" s="122">
        <v>7.3067129629629635E-2</v>
      </c>
      <c r="C533" s="26" t="s">
        <v>1045</v>
      </c>
    </row>
    <row r="534" spans="1:3" x14ac:dyDescent="0.25">
      <c r="A534" s="36">
        <v>41188</v>
      </c>
      <c r="B534" s="122">
        <v>7.4467592592592599E-2</v>
      </c>
      <c r="C534" s="26" t="s">
        <v>1049</v>
      </c>
    </row>
    <row r="535" spans="1:3" x14ac:dyDescent="0.25">
      <c r="A535" s="36">
        <v>41188</v>
      </c>
      <c r="B535" s="122">
        <v>0.59208333333333341</v>
      </c>
      <c r="C535" s="26" t="s">
        <v>1050</v>
      </c>
    </row>
    <row r="536" spans="1:3" x14ac:dyDescent="0.25">
      <c r="A536" s="36">
        <v>41188</v>
      </c>
      <c r="B536" s="122">
        <v>0.59401620370370367</v>
      </c>
      <c r="C536" s="26" t="s">
        <v>1051</v>
      </c>
    </row>
    <row r="537" spans="1:3" x14ac:dyDescent="0.25">
      <c r="A537" s="36">
        <v>41188</v>
      </c>
      <c r="B537" s="122">
        <v>0.59862268518518513</v>
      </c>
      <c r="C537" s="26" t="s">
        <v>1052</v>
      </c>
    </row>
    <row r="538" spans="1:3" x14ac:dyDescent="0.25">
      <c r="A538" s="36">
        <v>41188</v>
      </c>
      <c r="B538" s="122">
        <v>0.6015625</v>
      </c>
      <c r="C538" s="26" t="s">
        <v>1053</v>
      </c>
    </row>
    <row r="539" spans="1:3" x14ac:dyDescent="0.25">
      <c r="A539" s="36">
        <v>41188</v>
      </c>
      <c r="B539" s="122">
        <v>0.61732638888888891</v>
      </c>
      <c r="C539" s="26" t="s">
        <v>1054</v>
      </c>
    </row>
    <row r="540" spans="1:3" x14ac:dyDescent="0.25">
      <c r="A540" s="36">
        <v>41188</v>
      </c>
      <c r="B540" s="122">
        <v>0.63846064814814818</v>
      </c>
      <c r="C540" s="26" t="s">
        <v>1052</v>
      </c>
    </row>
    <row r="541" spans="1:3" x14ac:dyDescent="0.25">
      <c r="A541" s="36">
        <v>41188</v>
      </c>
      <c r="B541" s="122">
        <v>0.6425925925925926</v>
      </c>
      <c r="C541" s="26" t="s">
        <v>1055</v>
      </c>
    </row>
    <row r="542" spans="1:3" x14ac:dyDescent="0.25">
      <c r="A542" s="36">
        <v>41188</v>
      </c>
      <c r="B542" s="122">
        <v>0.64430555555555558</v>
      </c>
      <c r="C542" s="26" t="s">
        <v>1052</v>
      </c>
    </row>
    <row r="543" spans="1:3" x14ac:dyDescent="0.25">
      <c r="A543" s="36">
        <v>41188</v>
      </c>
      <c r="B543" s="122">
        <v>0.6482175925925926</v>
      </c>
      <c r="C543" s="26" t="s">
        <v>1056</v>
      </c>
    </row>
    <row r="544" spans="1:3" x14ac:dyDescent="0.25">
      <c r="A544" s="36">
        <v>41188</v>
      </c>
      <c r="B544" s="122">
        <v>0.64951388888888884</v>
      </c>
      <c r="C544" s="26" t="s">
        <v>1056</v>
      </c>
    </row>
    <row r="545" spans="1:3" x14ac:dyDescent="0.25">
      <c r="A545" s="36">
        <v>41188</v>
      </c>
      <c r="B545" s="122">
        <v>0.64962962962962967</v>
      </c>
      <c r="C545" s="26" t="s">
        <v>1057</v>
      </c>
    </row>
    <row r="546" spans="1:3" x14ac:dyDescent="0.25">
      <c r="A546" s="36">
        <v>41188</v>
      </c>
      <c r="B546" s="122">
        <v>0.65201388888888889</v>
      </c>
      <c r="C546" s="26" t="s">
        <v>1056</v>
      </c>
    </row>
    <row r="547" spans="1:3" x14ac:dyDescent="0.25">
      <c r="A547" s="36">
        <v>41188</v>
      </c>
      <c r="B547" s="122">
        <v>0.65201388888888889</v>
      </c>
      <c r="C547" s="26" t="s">
        <v>1058</v>
      </c>
    </row>
    <row r="548" spans="1:3" x14ac:dyDescent="0.25">
      <c r="A548" s="36">
        <v>41188</v>
      </c>
      <c r="B548" s="122">
        <v>0.65204861111111112</v>
      </c>
      <c r="C548" s="26" t="s">
        <v>1059</v>
      </c>
    </row>
    <row r="549" spans="1:3" x14ac:dyDescent="0.25">
      <c r="A549" s="36">
        <v>41188</v>
      </c>
      <c r="B549" s="122">
        <v>0.65615740740740736</v>
      </c>
      <c r="C549" s="26" t="s">
        <v>1060</v>
      </c>
    </row>
    <row r="550" spans="1:3" x14ac:dyDescent="0.25">
      <c r="A550" s="36">
        <v>41188</v>
      </c>
      <c r="B550" s="122">
        <v>0.65855324074074073</v>
      </c>
      <c r="C550" s="26" t="s">
        <v>1057</v>
      </c>
    </row>
    <row r="551" spans="1:3" x14ac:dyDescent="0.25">
      <c r="A551" s="36">
        <v>41188</v>
      </c>
      <c r="B551" s="122">
        <v>0.65863425925925922</v>
      </c>
      <c r="C551" s="26" t="s">
        <v>1063</v>
      </c>
    </row>
    <row r="552" spans="1:3" x14ac:dyDescent="0.25">
      <c r="A552" s="36">
        <v>41188</v>
      </c>
      <c r="B552" s="122">
        <v>0.65924768518518517</v>
      </c>
      <c r="C552" s="26" t="s">
        <v>1064</v>
      </c>
    </row>
    <row r="553" spans="1:3" x14ac:dyDescent="0.25">
      <c r="A553" s="36">
        <v>41188</v>
      </c>
      <c r="B553" s="122">
        <v>0.65939814814814812</v>
      </c>
      <c r="C553" s="26" t="s">
        <v>1065</v>
      </c>
    </row>
    <row r="554" spans="1:3" x14ac:dyDescent="0.25">
      <c r="A554" s="36">
        <v>41188</v>
      </c>
      <c r="B554" s="122">
        <v>0.66048611111111111</v>
      </c>
      <c r="C554" s="26" t="s">
        <v>1052</v>
      </c>
    </row>
    <row r="555" spans="1:3" x14ac:dyDescent="0.25">
      <c r="A555" s="36">
        <v>41188</v>
      </c>
      <c r="B555" s="122">
        <v>0.66054398148148141</v>
      </c>
      <c r="C555" s="26" t="s">
        <v>1057</v>
      </c>
    </row>
    <row r="556" spans="1:3" x14ac:dyDescent="0.25">
      <c r="A556" s="36">
        <v>41188</v>
      </c>
      <c r="B556" s="122">
        <v>0.66064814814814821</v>
      </c>
      <c r="C556" s="26" t="s">
        <v>1063</v>
      </c>
    </row>
    <row r="557" spans="1:3" x14ac:dyDescent="0.25">
      <c r="A557" s="36">
        <v>41188</v>
      </c>
      <c r="B557" s="122">
        <v>0.66074074074074074</v>
      </c>
      <c r="C557" s="26" t="s">
        <v>1064</v>
      </c>
    </row>
    <row r="558" spans="1:3" x14ac:dyDescent="0.25">
      <c r="A558" s="36">
        <v>41188</v>
      </c>
      <c r="B558" s="122">
        <v>0.66082175925925923</v>
      </c>
      <c r="C558" s="26" t="s">
        <v>1065</v>
      </c>
    </row>
    <row r="559" spans="1:3" x14ac:dyDescent="0.25">
      <c r="A559" s="36">
        <v>41189</v>
      </c>
      <c r="B559" s="122">
        <v>0.93638888888888883</v>
      </c>
      <c r="C559" s="26" t="s">
        <v>1066</v>
      </c>
    </row>
    <row r="560" spans="1:3" x14ac:dyDescent="0.25">
      <c r="A560" s="36">
        <v>41189</v>
      </c>
      <c r="B560" s="122">
        <v>0.94527777777777777</v>
      </c>
      <c r="C560" s="26" t="s">
        <v>1067</v>
      </c>
    </row>
    <row r="561" spans="1:3" x14ac:dyDescent="0.25">
      <c r="A561" s="36">
        <v>41190</v>
      </c>
      <c r="B561" s="122">
        <v>3.7604166666666668E-2</v>
      </c>
      <c r="C561" s="26" t="s">
        <v>1052</v>
      </c>
    </row>
    <row r="562" spans="1:3" x14ac:dyDescent="0.25">
      <c r="A562" s="36">
        <v>41190</v>
      </c>
      <c r="B562" s="122">
        <v>3.7638888888888895E-2</v>
      </c>
      <c r="C562" s="26" t="s">
        <v>1057</v>
      </c>
    </row>
    <row r="563" spans="1:3" x14ac:dyDescent="0.25">
      <c r="A563" s="36">
        <v>41190</v>
      </c>
      <c r="B563" s="122">
        <v>3.7800925925925925E-2</v>
      </c>
      <c r="C563" s="26" t="s">
        <v>1063</v>
      </c>
    </row>
    <row r="564" spans="1:3" x14ac:dyDescent="0.25">
      <c r="A564" s="36">
        <v>41190</v>
      </c>
      <c r="B564" s="122">
        <v>3.788194444444444E-2</v>
      </c>
      <c r="C564" s="26" t="s">
        <v>1064</v>
      </c>
    </row>
    <row r="565" spans="1:3" x14ac:dyDescent="0.25">
      <c r="A565" s="36">
        <v>41190</v>
      </c>
      <c r="B565" s="122">
        <v>3.7951388888888889E-2</v>
      </c>
      <c r="C565" s="26" t="s">
        <v>1065</v>
      </c>
    </row>
    <row r="566" spans="1:3" x14ac:dyDescent="0.25">
      <c r="A566" s="36">
        <v>41190</v>
      </c>
      <c r="B566" s="122">
        <v>0.04</v>
      </c>
      <c r="C566" s="26" t="s">
        <v>1066</v>
      </c>
    </row>
    <row r="567" spans="1:3" x14ac:dyDescent="0.25">
      <c r="A567" s="36">
        <v>41190</v>
      </c>
      <c r="B567" s="122">
        <v>0.04</v>
      </c>
      <c r="C567" s="26" t="s">
        <v>1069</v>
      </c>
    </row>
    <row r="568" spans="1:3" x14ac:dyDescent="0.25">
      <c r="A568" s="36">
        <v>41190</v>
      </c>
      <c r="B568" s="122">
        <v>4.0023148148148148E-2</v>
      </c>
      <c r="C568" s="26" t="s">
        <v>1070</v>
      </c>
    </row>
    <row r="569" spans="1:3" x14ac:dyDescent="0.25">
      <c r="A569" s="36">
        <v>41190</v>
      </c>
      <c r="B569" s="122">
        <v>4.0115740740740737E-2</v>
      </c>
      <c r="C569" s="26" t="s">
        <v>1071</v>
      </c>
    </row>
    <row r="570" spans="1:3" x14ac:dyDescent="0.25">
      <c r="A570" s="36">
        <v>41190</v>
      </c>
      <c r="B570" s="122">
        <v>4.0196759259259258E-2</v>
      </c>
      <c r="C570" s="26" t="s">
        <v>1072</v>
      </c>
    </row>
    <row r="571" spans="1:3" x14ac:dyDescent="0.25">
      <c r="A571" s="36">
        <v>41190</v>
      </c>
      <c r="B571" s="122">
        <v>4.0231481481481479E-2</v>
      </c>
      <c r="C571" s="26" t="s">
        <v>1073</v>
      </c>
    </row>
    <row r="572" spans="1:3" x14ac:dyDescent="0.25">
      <c r="A572" s="36">
        <v>41190</v>
      </c>
      <c r="B572" s="122">
        <v>4.0254629629629633E-2</v>
      </c>
      <c r="C572" s="26" t="s">
        <v>1074</v>
      </c>
    </row>
    <row r="573" spans="1:3" x14ac:dyDescent="0.25">
      <c r="A573" s="36">
        <v>41190</v>
      </c>
      <c r="B573" s="122">
        <v>4.0509259259259259E-2</v>
      </c>
      <c r="C573" s="26" t="s">
        <v>1075</v>
      </c>
    </row>
    <row r="574" spans="1:3" x14ac:dyDescent="0.25">
      <c r="A574" s="36">
        <v>41190</v>
      </c>
      <c r="B574" s="122">
        <v>4.099537037037037E-2</v>
      </c>
      <c r="C574" s="26" t="s">
        <v>1076</v>
      </c>
    </row>
    <row r="575" spans="1:3" x14ac:dyDescent="0.25">
      <c r="A575" s="36">
        <v>41190</v>
      </c>
      <c r="B575" s="122">
        <v>4.2187499999999996E-2</v>
      </c>
      <c r="C575" s="26" t="s">
        <v>1077</v>
      </c>
    </row>
    <row r="576" spans="1:3" x14ac:dyDescent="0.25">
      <c r="A576" s="36">
        <v>41190</v>
      </c>
      <c r="B576" s="122">
        <v>4.2615740740740739E-2</v>
      </c>
      <c r="C576" s="26" t="s">
        <v>1078</v>
      </c>
    </row>
    <row r="577" spans="1:3" x14ac:dyDescent="0.25">
      <c r="A577" s="36">
        <v>41190</v>
      </c>
      <c r="B577" s="122">
        <v>4.2812500000000003E-2</v>
      </c>
      <c r="C577" s="26" t="s">
        <v>1079</v>
      </c>
    </row>
    <row r="578" spans="1:3" x14ac:dyDescent="0.25">
      <c r="A578" s="36">
        <v>41190</v>
      </c>
      <c r="B578" s="122">
        <v>4.3009259259259254E-2</v>
      </c>
      <c r="C578" s="26" t="s">
        <v>1080</v>
      </c>
    </row>
    <row r="579" spans="1:3" x14ac:dyDescent="0.25">
      <c r="A579" s="36">
        <v>41190</v>
      </c>
      <c r="B579" s="122">
        <v>4.3009259259259254E-2</v>
      </c>
      <c r="C579" s="26" t="s">
        <v>1081</v>
      </c>
    </row>
    <row r="580" spans="1:3" x14ac:dyDescent="0.25">
      <c r="A580" s="36">
        <v>41190</v>
      </c>
      <c r="B580" s="122">
        <v>4.3009259259259254E-2</v>
      </c>
      <c r="C580" s="26" t="s">
        <v>1082</v>
      </c>
    </row>
    <row r="581" spans="1:3" x14ac:dyDescent="0.25">
      <c r="A581" s="36">
        <v>41190</v>
      </c>
      <c r="B581" s="122">
        <v>4.3009259259259254E-2</v>
      </c>
      <c r="C581" s="26" t="s">
        <v>1083</v>
      </c>
    </row>
    <row r="582" spans="1:3" x14ac:dyDescent="0.25">
      <c r="A582" s="36">
        <v>41190</v>
      </c>
      <c r="B582" s="122">
        <v>4.3009259259259254E-2</v>
      </c>
      <c r="C582" s="26" t="s">
        <v>992</v>
      </c>
    </row>
    <row r="583" spans="1:3" x14ac:dyDescent="0.25">
      <c r="A583" s="36">
        <v>41190</v>
      </c>
      <c r="B583" s="122">
        <v>4.3009259259259254E-2</v>
      </c>
      <c r="C583" s="26" t="s">
        <v>1084</v>
      </c>
    </row>
    <row r="584" spans="1:3" x14ac:dyDescent="0.25">
      <c r="A584" s="36">
        <v>41190</v>
      </c>
      <c r="B584" s="122">
        <v>4.3009259259259254E-2</v>
      </c>
      <c r="C584" s="26" t="s">
        <v>1085</v>
      </c>
    </row>
    <row r="585" spans="1:3" x14ac:dyDescent="0.25">
      <c r="A585" s="36">
        <v>41190</v>
      </c>
      <c r="B585" s="122">
        <v>4.3009259259259254E-2</v>
      </c>
      <c r="C585" s="26" t="s">
        <v>1086</v>
      </c>
    </row>
    <row r="586" spans="1:3" x14ac:dyDescent="0.25">
      <c r="A586" s="36">
        <v>41190</v>
      </c>
      <c r="B586" s="122">
        <v>4.3009259259259254E-2</v>
      </c>
      <c r="C586" s="26" t="s">
        <v>1085</v>
      </c>
    </row>
    <row r="587" spans="1:3" x14ac:dyDescent="0.25">
      <c r="A587" s="36">
        <v>41190</v>
      </c>
      <c r="B587" s="122">
        <v>4.3009259259259254E-2</v>
      </c>
      <c r="C587" s="26" t="s">
        <v>1087</v>
      </c>
    </row>
    <row r="588" spans="1:3" x14ac:dyDescent="0.25">
      <c r="A588" s="36">
        <v>41190</v>
      </c>
      <c r="B588" s="122">
        <v>4.3009259259259254E-2</v>
      </c>
      <c r="C588" s="26" t="s">
        <v>1088</v>
      </c>
    </row>
    <row r="589" spans="1:3" x14ac:dyDescent="0.25">
      <c r="A589" s="36">
        <v>41190</v>
      </c>
      <c r="B589" s="122">
        <v>4.3020833333333335E-2</v>
      </c>
      <c r="C589" s="26" t="s">
        <v>1089</v>
      </c>
    </row>
    <row r="590" spans="1:3" x14ac:dyDescent="0.25">
      <c r="A590" s="36">
        <v>41190</v>
      </c>
      <c r="B590" s="122">
        <v>4.3020833333333335E-2</v>
      </c>
      <c r="C590" s="26" t="s">
        <v>1088</v>
      </c>
    </row>
    <row r="591" spans="1:3" x14ac:dyDescent="0.25">
      <c r="A591" s="36">
        <v>41190</v>
      </c>
      <c r="B591" s="122">
        <v>4.3020833333333335E-2</v>
      </c>
      <c r="C591" s="26" t="s">
        <v>1090</v>
      </c>
    </row>
    <row r="592" spans="1:3" x14ac:dyDescent="0.25">
      <c r="A592" s="36">
        <v>41190</v>
      </c>
      <c r="B592" s="122">
        <v>4.3020833333333335E-2</v>
      </c>
      <c r="C592" s="26" t="s">
        <v>1091</v>
      </c>
    </row>
    <row r="593" spans="1:3" x14ac:dyDescent="0.25">
      <c r="A593" s="36">
        <v>41190</v>
      </c>
      <c r="B593" s="122">
        <v>4.3020833333333335E-2</v>
      </c>
      <c r="C593" s="26" t="s">
        <v>1092</v>
      </c>
    </row>
    <row r="594" spans="1:3" x14ac:dyDescent="0.25">
      <c r="A594" s="36">
        <v>41190</v>
      </c>
      <c r="B594" s="122">
        <v>4.3020833333333335E-2</v>
      </c>
      <c r="C594" s="26" t="s">
        <v>1091</v>
      </c>
    </row>
    <row r="595" spans="1:3" x14ac:dyDescent="0.25">
      <c r="A595" s="36">
        <v>41190</v>
      </c>
      <c r="B595" s="122">
        <v>4.3020833333333335E-2</v>
      </c>
      <c r="C595" s="26" t="s">
        <v>1092</v>
      </c>
    </row>
    <row r="596" spans="1:3" x14ac:dyDescent="0.25">
      <c r="A596" s="36">
        <v>41190</v>
      </c>
      <c r="B596" s="122">
        <v>4.3020833333333335E-2</v>
      </c>
      <c r="C596" s="26" t="s">
        <v>1093</v>
      </c>
    </row>
    <row r="597" spans="1:3" x14ac:dyDescent="0.25">
      <c r="A597" s="36">
        <v>41190</v>
      </c>
      <c r="B597" s="122">
        <v>4.3159722222222224E-2</v>
      </c>
      <c r="C597" s="26" t="s">
        <v>1094</v>
      </c>
    </row>
    <row r="598" spans="1:3" x14ac:dyDescent="0.25">
      <c r="A598" s="36">
        <v>41190</v>
      </c>
      <c r="B598" s="122">
        <v>4.3171296296296298E-2</v>
      </c>
      <c r="C598" s="26" t="s">
        <v>1095</v>
      </c>
    </row>
    <row r="599" spans="1:3" x14ac:dyDescent="0.25">
      <c r="A599" s="36">
        <v>41190</v>
      </c>
      <c r="B599" s="122">
        <v>4.3784722222222218E-2</v>
      </c>
      <c r="C599" s="26" t="s">
        <v>1096</v>
      </c>
    </row>
    <row r="600" spans="1:3" x14ac:dyDescent="0.25">
      <c r="A600" s="36">
        <v>41190</v>
      </c>
      <c r="B600" s="122">
        <v>4.6192129629629632E-2</v>
      </c>
      <c r="C600" s="26" t="s">
        <v>1097</v>
      </c>
    </row>
    <row r="601" spans="1:3" x14ac:dyDescent="0.25">
      <c r="A601" s="36">
        <v>41190</v>
      </c>
      <c r="B601" s="122">
        <v>4.628472222222222E-2</v>
      </c>
      <c r="C601" s="26" t="s">
        <v>1057</v>
      </c>
    </row>
    <row r="602" spans="1:3" x14ac:dyDescent="0.25">
      <c r="A602" s="36">
        <v>41190</v>
      </c>
      <c r="B602" s="122">
        <v>4.6354166666666669E-2</v>
      </c>
      <c r="C602" s="26" t="s">
        <v>1063</v>
      </c>
    </row>
    <row r="603" spans="1:3" x14ac:dyDescent="0.25">
      <c r="A603" s="36">
        <v>41190</v>
      </c>
      <c r="B603" s="122">
        <v>4.6400462962962963E-2</v>
      </c>
      <c r="C603" s="26" t="s">
        <v>1064</v>
      </c>
    </row>
    <row r="604" spans="1:3" x14ac:dyDescent="0.25">
      <c r="A604" s="36">
        <v>41190</v>
      </c>
      <c r="B604" s="122">
        <v>4.6435185185185184E-2</v>
      </c>
      <c r="C604" s="26" t="s">
        <v>1065</v>
      </c>
    </row>
    <row r="605" spans="1:3" x14ac:dyDescent="0.25">
      <c r="A605" s="36">
        <v>41190</v>
      </c>
      <c r="B605" s="122">
        <v>4.673611111111111E-2</v>
      </c>
      <c r="C605" s="26" t="s">
        <v>1095</v>
      </c>
    </row>
    <row r="606" spans="1:3" x14ac:dyDescent="0.25">
      <c r="A606" s="36">
        <v>41190</v>
      </c>
      <c r="B606" s="122">
        <v>4.704861111111111E-2</v>
      </c>
      <c r="C606" s="26" t="s">
        <v>1077</v>
      </c>
    </row>
    <row r="607" spans="1:3" x14ac:dyDescent="0.25">
      <c r="A607" s="36">
        <v>41190</v>
      </c>
      <c r="B607" s="122">
        <v>4.7152777777777773E-2</v>
      </c>
      <c r="C607" s="26" t="s">
        <v>1078</v>
      </c>
    </row>
    <row r="608" spans="1:3" x14ac:dyDescent="0.25">
      <c r="A608" s="36">
        <v>41190</v>
      </c>
      <c r="B608" s="122">
        <v>4.7210648148148147E-2</v>
      </c>
      <c r="C608" s="26" t="s">
        <v>1079</v>
      </c>
    </row>
    <row r="609" spans="1:3" x14ac:dyDescent="0.25">
      <c r="A609" s="36">
        <v>41190</v>
      </c>
      <c r="B609" s="122">
        <v>4.731481481481481E-2</v>
      </c>
      <c r="C609" s="26" t="s">
        <v>1080</v>
      </c>
    </row>
    <row r="610" spans="1:3" x14ac:dyDescent="0.25">
      <c r="A610" s="36">
        <v>41190</v>
      </c>
      <c r="B610" s="122">
        <v>4.731481481481481E-2</v>
      </c>
      <c r="C610" s="26" t="s">
        <v>1081</v>
      </c>
    </row>
    <row r="611" spans="1:3" x14ac:dyDescent="0.25">
      <c r="A611" s="36">
        <v>41190</v>
      </c>
      <c r="B611" s="122">
        <v>4.731481481481481E-2</v>
      </c>
      <c r="C611" s="26" t="s">
        <v>1082</v>
      </c>
    </row>
    <row r="612" spans="1:3" x14ac:dyDescent="0.25">
      <c r="A612" s="36">
        <v>41190</v>
      </c>
      <c r="B612" s="122">
        <v>4.731481481481481E-2</v>
      </c>
      <c r="C612" s="26" t="s">
        <v>1083</v>
      </c>
    </row>
    <row r="613" spans="1:3" x14ac:dyDescent="0.25">
      <c r="A613" s="36">
        <v>41190</v>
      </c>
      <c r="B613" s="122">
        <v>4.731481481481481E-2</v>
      </c>
      <c r="C613" s="26" t="s">
        <v>992</v>
      </c>
    </row>
    <row r="614" spans="1:3" x14ac:dyDescent="0.25">
      <c r="A614" s="36">
        <v>41190</v>
      </c>
      <c r="B614" s="122">
        <v>4.731481481481481E-2</v>
      </c>
      <c r="C614" s="26" t="s">
        <v>1084</v>
      </c>
    </row>
    <row r="615" spans="1:3" x14ac:dyDescent="0.25">
      <c r="A615" s="36">
        <v>41190</v>
      </c>
      <c r="B615" s="122">
        <v>4.731481481481481E-2</v>
      </c>
      <c r="C615" s="26" t="s">
        <v>1085</v>
      </c>
    </row>
    <row r="616" spans="1:3" x14ac:dyDescent="0.25">
      <c r="A616" s="36">
        <v>41190</v>
      </c>
      <c r="B616" s="122">
        <v>4.731481481481481E-2</v>
      </c>
      <c r="C616" s="26" t="s">
        <v>1086</v>
      </c>
    </row>
    <row r="617" spans="1:3" x14ac:dyDescent="0.25">
      <c r="A617" s="36">
        <v>41190</v>
      </c>
      <c r="B617" s="122">
        <v>4.731481481481481E-2</v>
      </c>
      <c r="C617" s="26" t="s">
        <v>1085</v>
      </c>
    </row>
    <row r="618" spans="1:3" x14ac:dyDescent="0.25">
      <c r="A618" s="36">
        <v>41190</v>
      </c>
      <c r="B618" s="122">
        <v>4.731481481481481E-2</v>
      </c>
      <c r="C618" s="26" t="s">
        <v>1087</v>
      </c>
    </row>
    <row r="619" spans="1:3" x14ac:dyDescent="0.25">
      <c r="A619" s="36">
        <v>41190</v>
      </c>
      <c r="B619" s="122">
        <v>4.731481481481481E-2</v>
      </c>
      <c r="C619" s="26" t="s">
        <v>1088</v>
      </c>
    </row>
    <row r="620" spans="1:3" x14ac:dyDescent="0.25">
      <c r="A620" s="36">
        <v>41190</v>
      </c>
      <c r="B620" s="122">
        <v>4.731481481481481E-2</v>
      </c>
      <c r="C620" s="26" t="s">
        <v>1089</v>
      </c>
    </row>
    <row r="621" spans="1:3" x14ac:dyDescent="0.25">
      <c r="A621" s="36">
        <v>41190</v>
      </c>
      <c r="B621" s="122">
        <v>4.731481481481481E-2</v>
      </c>
      <c r="C621" s="26" t="s">
        <v>1088</v>
      </c>
    </row>
    <row r="622" spans="1:3" x14ac:dyDescent="0.25">
      <c r="A622" s="36">
        <v>41190</v>
      </c>
      <c r="B622" s="122">
        <v>4.731481481481481E-2</v>
      </c>
      <c r="C622" s="26" t="s">
        <v>1090</v>
      </c>
    </row>
    <row r="623" spans="1:3" x14ac:dyDescent="0.25">
      <c r="A623" s="36">
        <v>41190</v>
      </c>
      <c r="B623" s="122">
        <v>4.731481481481481E-2</v>
      </c>
      <c r="C623" s="26" t="s">
        <v>1091</v>
      </c>
    </row>
    <row r="624" spans="1:3" x14ac:dyDescent="0.25">
      <c r="A624" s="36">
        <v>41190</v>
      </c>
      <c r="B624" s="122">
        <v>4.731481481481481E-2</v>
      </c>
      <c r="C624" s="26" t="s">
        <v>1092</v>
      </c>
    </row>
    <row r="625" spans="1:3" x14ac:dyDescent="0.25">
      <c r="A625" s="36">
        <v>41190</v>
      </c>
      <c r="B625" s="122">
        <v>4.731481481481481E-2</v>
      </c>
      <c r="C625" s="26" t="s">
        <v>1091</v>
      </c>
    </row>
    <row r="626" spans="1:3" x14ac:dyDescent="0.25">
      <c r="A626" s="36">
        <v>41190</v>
      </c>
      <c r="B626" s="122">
        <v>4.731481481481481E-2</v>
      </c>
      <c r="C626" s="26" t="s">
        <v>1092</v>
      </c>
    </row>
    <row r="627" spans="1:3" x14ac:dyDescent="0.25">
      <c r="A627" s="36">
        <v>41190</v>
      </c>
      <c r="B627" s="122">
        <v>4.731481481481481E-2</v>
      </c>
      <c r="C627" s="26" t="s">
        <v>1093</v>
      </c>
    </row>
    <row r="628" spans="1:3" x14ac:dyDescent="0.25">
      <c r="A628" s="36">
        <v>41190</v>
      </c>
      <c r="B628" s="122">
        <v>4.7592592592592596E-2</v>
      </c>
      <c r="C628" s="26" t="s">
        <v>1095</v>
      </c>
    </row>
    <row r="629" spans="1:3" x14ac:dyDescent="0.25">
      <c r="A629" s="36">
        <v>41190</v>
      </c>
      <c r="B629" s="122">
        <v>4.7789351851851847E-2</v>
      </c>
      <c r="C629" s="26" t="s">
        <v>1098</v>
      </c>
    </row>
    <row r="630" spans="1:3" x14ac:dyDescent="0.25">
      <c r="A630" s="36">
        <v>41190</v>
      </c>
      <c r="B630" s="122">
        <v>4.7939814814814817E-2</v>
      </c>
      <c r="C630" s="26" t="s">
        <v>905</v>
      </c>
    </row>
    <row r="631" spans="1:3" x14ac:dyDescent="0.25">
      <c r="A631" s="36">
        <v>41190</v>
      </c>
      <c r="B631" s="122">
        <v>5.0960648148148151E-2</v>
      </c>
      <c r="C631" s="26" t="s">
        <v>905</v>
      </c>
    </row>
    <row r="632" spans="1:3" x14ac:dyDescent="0.25">
      <c r="A632" s="36">
        <v>41190</v>
      </c>
      <c r="B632" s="122">
        <v>5.4953703703703706E-2</v>
      </c>
      <c r="C632" s="26" t="s">
        <v>905</v>
      </c>
    </row>
    <row r="633" spans="1:3" x14ac:dyDescent="0.25">
      <c r="A633" s="36">
        <v>41190</v>
      </c>
      <c r="B633" s="122">
        <v>5.65162037037037E-2</v>
      </c>
      <c r="C633" s="26" t="s">
        <v>905</v>
      </c>
    </row>
    <row r="634" spans="1:3" x14ac:dyDescent="0.25">
      <c r="A634" s="36">
        <v>41190</v>
      </c>
      <c r="B634" s="122">
        <v>6.7951388888888895E-2</v>
      </c>
      <c r="C634" s="26" t="s">
        <v>905</v>
      </c>
    </row>
    <row r="635" spans="1:3" x14ac:dyDescent="0.25">
      <c r="A635" s="36">
        <v>41190</v>
      </c>
      <c r="B635" s="122">
        <v>8.4965277777777778E-2</v>
      </c>
      <c r="C635" s="26" t="s">
        <v>1099</v>
      </c>
    </row>
    <row r="636" spans="1:3" x14ac:dyDescent="0.25">
      <c r="A636" s="36">
        <v>41190</v>
      </c>
      <c r="B636" s="122">
        <v>8.548611111111111E-2</v>
      </c>
      <c r="C636" s="26" t="s">
        <v>905</v>
      </c>
    </row>
    <row r="637" spans="1:3" x14ac:dyDescent="0.25">
      <c r="A637" s="36">
        <v>41190</v>
      </c>
      <c r="B637" s="122">
        <v>8.6990740740740743E-2</v>
      </c>
      <c r="C637" s="26" t="s">
        <v>905</v>
      </c>
    </row>
    <row r="638" spans="1:3" x14ac:dyDescent="0.25">
      <c r="A638" s="36">
        <v>41190</v>
      </c>
      <c r="B638" s="122">
        <v>9.224537037037038E-2</v>
      </c>
      <c r="C638" s="26" t="s">
        <v>1099</v>
      </c>
    </row>
    <row r="639" spans="1:3" x14ac:dyDescent="0.25">
      <c r="A639" s="36">
        <v>41190</v>
      </c>
      <c r="B639" s="122">
        <v>0.97729166666666656</v>
      </c>
      <c r="C639" s="26" t="s">
        <v>905</v>
      </c>
    </row>
    <row r="640" spans="1:3" x14ac:dyDescent="0.25">
      <c r="A640" s="36">
        <v>41190</v>
      </c>
      <c r="B640" s="122">
        <v>0.98313657407407407</v>
      </c>
      <c r="C640" s="26" t="s">
        <v>905</v>
      </c>
    </row>
    <row r="641" spans="1:3" x14ac:dyDescent="0.25">
      <c r="A641" s="36">
        <v>41190</v>
      </c>
      <c r="B641" s="122">
        <v>0.98755787037037035</v>
      </c>
      <c r="C641" s="26" t="s">
        <v>905</v>
      </c>
    </row>
    <row r="642" spans="1:3" x14ac:dyDescent="0.25">
      <c r="A642" s="36">
        <v>41190</v>
      </c>
      <c r="B642" s="122">
        <v>0.99408564814814815</v>
      </c>
      <c r="C642" s="26" t="s">
        <v>905</v>
      </c>
    </row>
    <row r="643" spans="1:3" x14ac:dyDescent="0.25">
      <c r="A643" s="36">
        <v>41191</v>
      </c>
      <c r="B643" s="122">
        <v>6.168981481481481E-3</v>
      </c>
      <c r="C643" s="26" t="s">
        <v>905</v>
      </c>
    </row>
    <row r="644" spans="1:3" x14ac:dyDescent="0.25">
      <c r="A644" s="36">
        <v>41191</v>
      </c>
      <c r="B644" s="122">
        <v>7.8125E-3</v>
      </c>
      <c r="C644" s="26" t="s">
        <v>905</v>
      </c>
    </row>
    <row r="645" spans="1:3" x14ac:dyDescent="0.25">
      <c r="A645" s="36">
        <v>41191</v>
      </c>
      <c r="B645" s="122">
        <v>8.2407407407407412E-3</v>
      </c>
      <c r="C645" s="26" t="s">
        <v>905</v>
      </c>
    </row>
    <row r="646" spans="1:3" x14ac:dyDescent="0.25">
      <c r="A646" s="36">
        <v>41191</v>
      </c>
      <c r="B646" s="122">
        <v>1.0578703703703703E-2</v>
      </c>
      <c r="C646" s="26" t="s">
        <v>905</v>
      </c>
    </row>
    <row r="647" spans="1:3" x14ac:dyDescent="0.25">
      <c r="A647" s="36">
        <v>41191</v>
      </c>
      <c r="B647" s="122">
        <v>1.252314814814815E-2</v>
      </c>
      <c r="C647" s="26" t="s">
        <v>905</v>
      </c>
    </row>
    <row r="648" spans="1:3" x14ac:dyDescent="0.25">
      <c r="A648" s="36">
        <v>41191</v>
      </c>
      <c r="B648" s="122">
        <v>1.4849537037037036E-2</v>
      </c>
      <c r="C648" s="26" t="s">
        <v>905</v>
      </c>
    </row>
    <row r="649" spans="1:3" x14ac:dyDescent="0.25">
      <c r="A649" s="36">
        <v>41191</v>
      </c>
      <c r="B649" s="122">
        <v>1.6631944444444446E-2</v>
      </c>
      <c r="C649" s="26" t="s">
        <v>905</v>
      </c>
    </row>
    <row r="650" spans="1:3" x14ac:dyDescent="0.25">
      <c r="A650" s="36">
        <v>41191</v>
      </c>
      <c r="B650" s="122">
        <v>1.7337962962962961E-2</v>
      </c>
      <c r="C650" s="26" t="s">
        <v>905</v>
      </c>
    </row>
    <row r="651" spans="1:3" x14ac:dyDescent="0.25">
      <c r="A651" s="36">
        <v>41191</v>
      </c>
      <c r="B651" s="122">
        <v>2.4525462962962968E-2</v>
      </c>
      <c r="C651" s="26" t="s">
        <v>905</v>
      </c>
    </row>
    <row r="652" spans="1:3" x14ac:dyDescent="0.25">
      <c r="A652" s="36">
        <v>41191</v>
      </c>
      <c r="B652" s="122">
        <v>2.9282407407407406E-2</v>
      </c>
      <c r="C652" s="26" t="s">
        <v>905</v>
      </c>
    </row>
    <row r="653" spans="1:3" x14ac:dyDescent="0.25">
      <c r="A653" s="36">
        <v>41191</v>
      </c>
      <c r="B653" s="122">
        <v>3.1006944444444445E-2</v>
      </c>
      <c r="C653" s="26" t="s">
        <v>905</v>
      </c>
    </row>
    <row r="654" spans="1:3" x14ac:dyDescent="0.25">
      <c r="A654" s="36">
        <v>41191</v>
      </c>
      <c r="B654" s="122">
        <v>3.4895833333333334E-2</v>
      </c>
      <c r="C654" s="26" t="s">
        <v>905</v>
      </c>
    </row>
    <row r="655" spans="1:3" x14ac:dyDescent="0.25">
      <c r="A655" s="36">
        <v>41191</v>
      </c>
      <c r="B655" s="122">
        <v>4.0474537037037038E-2</v>
      </c>
      <c r="C655" s="26" t="s">
        <v>905</v>
      </c>
    </row>
    <row r="656" spans="1:3" x14ac:dyDescent="0.25">
      <c r="A656" s="36">
        <v>41191</v>
      </c>
      <c r="B656" s="122">
        <v>4.3888888888888887E-2</v>
      </c>
      <c r="C656" s="26" t="s">
        <v>905</v>
      </c>
    </row>
    <row r="657" spans="1:3" x14ac:dyDescent="0.25">
      <c r="A657" s="36">
        <v>41191</v>
      </c>
      <c r="B657" s="122">
        <v>4.5648148148148153E-2</v>
      </c>
      <c r="C657" s="26" t="s">
        <v>905</v>
      </c>
    </row>
    <row r="658" spans="1:3" x14ac:dyDescent="0.25">
      <c r="A658" s="36">
        <v>41191</v>
      </c>
      <c r="B658" s="122">
        <v>4.7106481481481478E-2</v>
      </c>
      <c r="C658" s="26" t="s">
        <v>905</v>
      </c>
    </row>
    <row r="659" spans="1:3" x14ac:dyDescent="0.25">
      <c r="A659" s="36">
        <v>41191</v>
      </c>
      <c r="B659" s="122">
        <v>5.0185185185185187E-2</v>
      </c>
      <c r="C659" s="26" t="s">
        <v>905</v>
      </c>
    </row>
    <row r="660" spans="1:3" x14ac:dyDescent="0.25">
      <c r="A660" s="36">
        <v>41191</v>
      </c>
      <c r="B660" s="122">
        <v>5.168981481481482E-2</v>
      </c>
      <c r="C660" s="26" t="s">
        <v>905</v>
      </c>
    </row>
    <row r="661" spans="1:3" x14ac:dyDescent="0.25">
      <c r="A661" s="36">
        <v>41191</v>
      </c>
      <c r="B661" s="122">
        <v>5.7233796296296297E-2</v>
      </c>
      <c r="C661" s="26" t="s">
        <v>905</v>
      </c>
    </row>
    <row r="662" spans="1:3" x14ac:dyDescent="0.25">
      <c r="A662" s="36">
        <v>41191</v>
      </c>
      <c r="B662" s="122">
        <v>6.6180555555555562E-2</v>
      </c>
      <c r="C662" s="26" t="s">
        <v>905</v>
      </c>
    </row>
    <row r="663" spans="1:3" x14ac:dyDescent="0.25">
      <c r="A663" s="36">
        <v>41191</v>
      </c>
      <c r="B663" s="122">
        <v>8.0312499999999995E-2</v>
      </c>
      <c r="C663" s="26" t="s">
        <v>1106</v>
      </c>
    </row>
    <row r="664" spans="1:3" x14ac:dyDescent="0.25">
      <c r="A664" s="36">
        <v>41191</v>
      </c>
      <c r="B664" s="122">
        <v>8.0324074074074062E-2</v>
      </c>
      <c r="C664" s="26" t="s">
        <v>1106</v>
      </c>
    </row>
    <row r="665" spans="1:3" x14ac:dyDescent="0.25">
      <c r="A665" s="36">
        <v>41191</v>
      </c>
      <c r="B665" s="122">
        <v>8.0347222222222223E-2</v>
      </c>
      <c r="C665" s="26" t="s">
        <v>1106</v>
      </c>
    </row>
    <row r="666" spans="1:3" x14ac:dyDescent="0.25">
      <c r="A666" s="36">
        <v>41191</v>
      </c>
      <c r="B666" s="122">
        <v>8.0358796296296289E-2</v>
      </c>
      <c r="C666" s="26" t="s">
        <v>1106</v>
      </c>
    </row>
    <row r="667" spans="1:3" x14ac:dyDescent="0.25">
      <c r="A667" s="36">
        <v>41191</v>
      </c>
      <c r="B667" s="122">
        <v>8.037037037037037E-2</v>
      </c>
      <c r="C667" s="26" t="s">
        <v>1106</v>
      </c>
    </row>
    <row r="668" spans="1:3" x14ac:dyDescent="0.25">
      <c r="A668" s="36">
        <v>41191</v>
      </c>
      <c r="B668" s="122">
        <v>8.0532407407407414E-2</v>
      </c>
      <c r="C668" s="26" t="s">
        <v>905</v>
      </c>
    </row>
    <row r="669" spans="1:3" x14ac:dyDescent="0.25">
      <c r="A669" s="36">
        <v>41191</v>
      </c>
      <c r="B669" s="122">
        <v>9.1851851851851851E-2</v>
      </c>
      <c r="C669" s="26" t="s">
        <v>905</v>
      </c>
    </row>
    <row r="670" spans="1:3" x14ac:dyDescent="0.25">
      <c r="A670" s="36">
        <v>41192</v>
      </c>
      <c r="B670" s="122">
        <v>0.80462962962962958</v>
      </c>
      <c r="C670" s="26" t="s">
        <v>905</v>
      </c>
    </row>
    <row r="671" spans="1:3" x14ac:dyDescent="0.25">
      <c r="A671" s="36">
        <v>41192</v>
      </c>
      <c r="B671" s="122">
        <v>0.80837962962962961</v>
      </c>
      <c r="C671" s="26" t="s">
        <v>905</v>
      </c>
    </row>
    <row r="672" spans="1:3" x14ac:dyDescent="0.25">
      <c r="A672" s="36">
        <v>41192</v>
      </c>
      <c r="B672" s="122">
        <v>0.80893518518518526</v>
      </c>
      <c r="C672" s="26" t="s">
        <v>1110</v>
      </c>
    </row>
    <row r="673" spans="1:3" x14ac:dyDescent="0.25">
      <c r="A673" s="36">
        <v>41192</v>
      </c>
      <c r="B673" s="122">
        <v>0.80907407407407417</v>
      </c>
      <c r="C673" s="26" t="s">
        <v>1111</v>
      </c>
    </row>
    <row r="674" spans="1:3" x14ac:dyDescent="0.25">
      <c r="A674" s="36">
        <v>41192</v>
      </c>
      <c r="B674" s="122">
        <v>0.80910879629629628</v>
      </c>
      <c r="C674" s="26" t="s">
        <v>1111</v>
      </c>
    </row>
    <row r="675" spans="1:3" x14ac:dyDescent="0.25">
      <c r="A675" s="36">
        <v>41192</v>
      </c>
      <c r="B675" s="122">
        <v>0.80912037037037043</v>
      </c>
      <c r="C675" s="26" t="s">
        <v>1111</v>
      </c>
    </row>
    <row r="676" spans="1:3" x14ac:dyDescent="0.25">
      <c r="A676" s="36">
        <v>41192</v>
      </c>
      <c r="B676" s="122">
        <v>0.80962962962962959</v>
      </c>
      <c r="C676" s="26" t="s">
        <v>905</v>
      </c>
    </row>
    <row r="677" spans="1:3" x14ac:dyDescent="0.25">
      <c r="A677" s="36">
        <v>41192</v>
      </c>
      <c r="B677" s="122">
        <v>0.80972222222222223</v>
      </c>
      <c r="C677" s="26" t="s">
        <v>1110</v>
      </c>
    </row>
    <row r="678" spans="1:3" x14ac:dyDescent="0.25">
      <c r="A678" s="36">
        <v>41192</v>
      </c>
      <c r="B678" s="122">
        <v>0.80975694444444446</v>
      </c>
      <c r="C678" s="26" t="s">
        <v>1111</v>
      </c>
    </row>
    <row r="679" spans="1:3" x14ac:dyDescent="0.25">
      <c r="A679" s="36">
        <v>41192</v>
      </c>
      <c r="B679" s="122">
        <v>0.8097685185185185</v>
      </c>
      <c r="C679" s="26" t="s">
        <v>1111</v>
      </c>
    </row>
    <row r="680" spans="1:3" x14ac:dyDescent="0.25">
      <c r="A680" s="36">
        <v>41192</v>
      </c>
      <c r="B680" s="122">
        <v>0.81104166666666666</v>
      </c>
      <c r="C680" s="26" t="s">
        <v>905</v>
      </c>
    </row>
    <row r="681" spans="1:3" x14ac:dyDescent="0.25">
      <c r="A681" s="36">
        <v>41192</v>
      </c>
      <c r="B681" s="122">
        <v>0.81312499999999999</v>
      </c>
      <c r="C681" s="26" t="s">
        <v>905</v>
      </c>
    </row>
    <row r="682" spans="1:3" x14ac:dyDescent="0.25">
      <c r="A682" s="36">
        <v>41192</v>
      </c>
      <c r="B682" s="122">
        <v>0.81437500000000007</v>
      </c>
      <c r="C682" s="26" t="s">
        <v>905</v>
      </c>
    </row>
    <row r="683" spans="1:3" x14ac:dyDescent="0.25">
      <c r="A683" s="36">
        <v>41192</v>
      </c>
      <c r="B683" s="122">
        <v>0.82179398148148142</v>
      </c>
      <c r="C683" s="26" t="s">
        <v>905</v>
      </c>
    </row>
    <row r="684" spans="1:3" x14ac:dyDescent="0.25">
      <c r="A684" s="36">
        <v>41192</v>
      </c>
      <c r="B684" s="122">
        <v>0.83006944444444442</v>
      </c>
      <c r="C684" s="26" t="s">
        <v>905</v>
      </c>
    </row>
    <row r="685" spans="1:3" x14ac:dyDescent="0.25">
      <c r="A685" s="36">
        <v>41192</v>
      </c>
      <c r="B685" s="122">
        <v>0.83398148148148143</v>
      </c>
      <c r="C685" s="26" t="s">
        <v>905</v>
      </c>
    </row>
    <row r="686" spans="1:3" x14ac:dyDescent="0.25">
      <c r="A686" s="36">
        <v>41192</v>
      </c>
      <c r="B686" s="122">
        <v>0.84674768518518517</v>
      </c>
      <c r="C686" s="26" t="s">
        <v>905</v>
      </c>
    </row>
    <row r="687" spans="1:3" x14ac:dyDescent="0.25">
      <c r="A687" s="36">
        <v>41192</v>
      </c>
      <c r="B687" s="122">
        <v>0.84946759259259252</v>
      </c>
      <c r="C687" s="26" t="s">
        <v>905</v>
      </c>
    </row>
    <row r="688" spans="1:3" x14ac:dyDescent="0.25">
      <c r="A688" s="36">
        <v>41192</v>
      </c>
      <c r="B688" s="122">
        <v>0.8560416666666667</v>
      </c>
      <c r="C688" s="26" t="s">
        <v>905</v>
      </c>
    </row>
    <row r="689" spans="1:3" x14ac:dyDescent="0.25">
      <c r="A689" s="36">
        <v>41192</v>
      </c>
      <c r="B689" s="122">
        <v>0.95420138888888895</v>
      </c>
      <c r="C689" s="26" t="s">
        <v>905</v>
      </c>
    </row>
    <row r="690" spans="1:3" x14ac:dyDescent="0.25">
      <c r="A690" s="36">
        <v>41192</v>
      </c>
      <c r="B690" s="122">
        <v>0.97538194444444448</v>
      </c>
      <c r="C690" s="26" t="s">
        <v>905</v>
      </c>
    </row>
    <row r="691" spans="1:3" x14ac:dyDescent="0.25">
      <c r="A691" s="36">
        <v>41192</v>
      </c>
      <c r="B691" s="122">
        <v>0.97781250000000008</v>
      </c>
      <c r="C691" s="26" t="s">
        <v>905</v>
      </c>
    </row>
    <row r="692" spans="1:3" x14ac:dyDescent="0.25">
      <c r="A692" s="36">
        <v>41192</v>
      </c>
      <c r="B692" s="122">
        <v>0.97961805555555559</v>
      </c>
      <c r="C692" s="26" t="s">
        <v>905</v>
      </c>
    </row>
    <row r="693" spans="1:3" x14ac:dyDescent="0.25">
      <c r="A693" s="36">
        <v>41192</v>
      </c>
      <c r="B693" s="122">
        <v>0.98101851851851851</v>
      </c>
      <c r="C693" s="26" t="s">
        <v>905</v>
      </c>
    </row>
    <row r="694" spans="1:3" x14ac:dyDescent="0.25">
      <c r="A694" s="36">
        <v>41192</v>
      </c>
      <c r="B694" s="122">
        <v>0.98381944444444447</v>
      </c>
      <c r="C694" s="26" t="s">
        <v>905</v>
      </c>
    </row>
    <row r="695" spans="1:3" x14ac:dyDescent="0.25">
      <c r="A695" s="36">
        <v>41192</v>
      </c>
      <c r="B695" s="122">
        <v>0.98642361111111121</v>
      </c>
      <c r="C695" s="26" t="s">
        <v>905</v>
      </c>
    </row>
    <row r="696" spans="1:3" x14ac:dyDescent="0.25">
      <c r="A696" s="36">
        <v>41192</v>
      </c>
      <c r="B696" s="122">
        <v>0.99114583333333339</v>
      </c>
      <c r="C696" s="26" t="s">
        <v>905</v>
      </c>
    </row>
    <row r="697" spans="1:3" x14ac:dyDescent="0.25">
      <c r="A697" s="36">
        <v>41193</v>
      </c>
      <c r="B697" s="122">
        <v>1.1018518518518518E-2</v>
      </c>
      <c r="C697" s="26" t="s">
        <v>905</v>
      </c>
    </row>
    <row r="698" spans="1:3" x14ac:dyDescent="0.25">
      <c r="A698" s="36">
        <v>41193</v>
      </c>
      <c r="B698" s="122">
        <v>1.2488425925925925E-2</v>
      </c>
      <c r="C698" s="26" t="s">
        <v>905</v>
      </c>
    </row>
    <row r="699" spans="1:3" x14ac:dyDescent="0.25">
      <c r="A699" s="36">
        <v>41193</v>
      </c>
      <c r="B699" s="122">
        <v>1.3877314814814815E-2</v>
      </c>
      <c r="C699" s="26" t="s">
        <v>905</v>
      </c>
    </row>
    <row r="700" spans="1:3" x14ac:dyDescent="0.25">
      <c r="A700" s="36">
        <v>41193</v>
      </c>
      <c r="B700" s="122">
        <v>2.1886574074074072E-2</v>
      </c>
      <c r="C700" s="26" t="s">
        <v>905</v>
      </c>
    </row>
    <row r="701" spans="1:3" x14ac:dyDescent="0.25">
      <c r="A701" s="36">
        <v>41193</v>
      </c>
      <c r="B701" s="122">
        <v>2.3043981481481481E-2</v>
      </c>
      <c r="C701" s="26" t="s">
        <v>905</v>
      </c>
    </row>
    <row r="702" spans="1:3" x14ac:dyDescent="0.25">
      <c r="A702" s="36">
        <v>41193</v>
      </c>
      <c r="B702" s="122">
        <v>2.4247685185185181E-2</v>
      </c>
      <c r="C702" s="26" t="s">
        <v>905</v>
      </c>
    </row>
    <row r="703" spans="1:3" x14ac:dyDescent="0.25">
      <c r="A703" s="36">
        <v>41193</v>
      </c>
      <c r="B703" s="122">
        <v>2.5243055555555557E-2</v>
      </c>
      <c r="C703" s="26" t="s">
        <v>905</v>
      </c>
    </row>
    <row r="704" spans="1:3" x14ac:dyDescent="0.25">
      <c r="A704" s="36">
        <v>41193</v>
      </c>
      <c r="B704" s="122">
        <v>2.5949074074074072E-2</v>
      </c>
      <c r="C704" s="26" t="s">
        <v>905</v>
      </c>
    </row>
    <row r="705" spans="1:3" x14ac:dyDescent="0.25">
      <c r="A705" s="36">
        <v>41193</v>
      </c>
      <c r="B705" s="122">
        <v>2.7418981481481485E-2</v>
      </c>
      <c r="C705" s="26" t="s">
        <v>905</v>
      </c>
    </row>
    <row r="706" spans="1:3" x14ac:dyDescent="0.25">
      <c r="A706" s="36">
        <v>41193</v>
      </c>
      <c r="B706" s="122">
        <v>7.1539351851851854E-2</v>
      </c>
      <c r="C706" s="26" t="s">
        <v>905</v>
      </c>
    </row>
    <row r="707" spans="1:3" x14ac:dyDescent="0.25">
      <c r="A707" s="36">
        <v>41193</v>
      </c>
      <c r="B707" s="122">
        <v>8.0810185185185179E-2</v>
      </c>
      <c r="C707" s="26" t="s">
        <v>905</v>
      </c>
    </row>
    <row r="708" spans="1:3" x14ac:dyDescent="0.25">
      <c r="A708" s="36">
        <v>41193</v>
      </c>
      <c r="B708" s="122">
        <v>8.1076388888888892E-2</v>
      </c>
      <c r="C708" s="26" t="s">
        <v>1113</v>
      </c>
    </row>
    <row r="709" spans="1:3" x14ac:dyDescent="0.25">
      <c r="A709" s="36">
        <v>41193</v>
      </c>
      <c r="B709" s="122">
        <v>8.1863425925925923E-2</v>
      </c>
      <c r="C709" s="26" t="s">
        <v>905</v>
      </c>
    </row>
    <row r="710" spans="1:3" x14ac:dyDescent="0.25">
      <c r="A710" s="36">
        <v>41193</v>
      </c>
      <c r="B710" s="122">
        <v>8.2083333333333341E-2</v>
      </c>
      <c r="C710" s="26" t="s">
        <v>1113</v>
      </c>
    </row>
    <row r="711" spans="1:3" x14ac:dyDescent="0.25">
      <c r="A711" s="36">
        <v>41193</v>
      </c>
      <c r="B711" s="122">
        <v>8.2511574074074071E-2</v>
      </c>
      <c r="C711" s="26" t="s">
        <v>905</v>
      </c>
    </row>
    <row r="712" spans="1:3" x14ac:dyDescent="0.25">
      <c r="A712" s="36">
        <v>41193</v>
      </c>
      <c r="B712" s="122">
        <v>0.10461805555555555</v>
      </c>
      <c r="C712" s="26" t="s">
        <v>905</v>
      </c>
    </row>
    <row r="713" spans="1:3" x14ac:dyDescent="0.25">
      <c r="A713" s="36">
        <v>41193</v>
      </c>
      <c r="B713" s="122">
        <v>0.10510416666666667</v>
      </c>
      <c r="C713" s="26" t="s">
        <v>1114</v>
      </c>
    </row>
    <row r="714" spans="1:3" x14ac:dyDescent="0.25">
      <c r="A714" s="36">
        <v>41193</v>
      </c>
      <c r="B714" s="122">
        <v>0.10592592592592592</v>
      </c>
      <c r="C714" s="26" t="s">
        <v>1114</v>
      </c>
    </row>
    <row r="715" spans="1:3" x14ac:dyDescent="0.25">
      <c r="A715" s="36">
        <v>41193</v>
      </c>
      <c r="B715" s="122">
        <v>0.10718749999999999</v>
      </c>
      <c r="C715" s="26" t="s">
        <v>1114</v>
      </c>
    </row>
    <row r="716" spans="1:3" x14ac:dyDescent="0.25">
      <c r="A716" s="36">
        <v>41193</v>
      </c>
      <c r="B716" s="122">
        <v>0.88415509259259262</v>
      </c>
      <c r="C716" s="26" t="s">
        <v>905</v>
      </c>
    </row>
    <row r="717" spans="1:3" x14ac:dyDescent="0.25">
      <c r="A717" s="36">
        <v>41193</v>
      </c>
      <c r="B717" s="122">
        <v>0.91751157407407413</v>
      </c>
      <c r="C717" s="26" t="s">
        <v>905</v>
      </c>
    </row>
    <row r="718" spans="1:3" x14ac:dyDescent="0.25">
      <c r="A718" s="36">
        <v>41193</v>
      </c>
      <c r="B718" s="122">
        <v>0.92571759259259256</v>
      </c>
      <c r="C718" s="26" t="s">
        <v>905</v>
      </c>
    </row>
    <row r="719" spans="1:3" x14ac:dyDescent="0.25">
      <c r="A719" s="36">
        <v>41193</v>
      </c>
      <c r="B719" s="122">
        <v>0.93671296296296302</v>
      </c>
      <c r="C719" s="26" t="s">
        <v>905</v>
      </c>
    </row>
    <row r="720" spans="1:3" x14ac:dyDescent="0.25">
      <c r="A720" s="36">
        <v>41193</v>
      </c>
      <c r="B720" s="122">
        <v>0.93866898148148159</v>
      </c>
      <c r="C720" s="26" t="s">
        <v>905</v>
      </c>
    </row>
    <row r="721" spans="1:3" x14ac:dyDescent="0.25">
      <c r="A721" s="36">
        <v>41193</v>
      </c>
      <c r="B721" s="122">
        <v>0.9439467592592593</v>
      </c>
      <c r="C721" s="26" t="s">
        <v>905</v>
      </c>
    </row>
    <row r="722" spans="1:3" x14ac:dyDescent="0.25">
      <c r="A722" s="36">
        <v>41193</v>
      </c>
      <c r="B722" s="122">
        <v>0.95407407407407396</v>
      </c>
      <c r="C722" s="26" t="s">
        <v>905</v>
      </c>
    </row>
    <row r="723" spans="1:3" x14ac:dyDescent="0.25">
      <c r="A723" s="36">
        <v>41193</v>
      </c>
      <c r="B723" s="122">
        <v>0.95725694444444442</v>
      </c>
      <c r="C723" s="26" t="s">
        <v>905</v>
      </c>
    </row>
    <row r="724" spans="1:3" x14ac:dyDescent="0.25">
      <c r="A724" s="36">
        <v>41193</v>
      </c>
      <c r="B724" s="122">
        <v>0.95895833333333336</v>
      </c>
      <c r="C724" s="26" t="s">
        <v>905</v>
      </c>
    </row>
    <row r="725" spans="1:3" x14ac:dyDescent="0.25">
      <c r="A725" s="36">
        <v>41193</v>
      </c>
      <c r="B725" s="122">
        <v>0.96218750000000008</v>
      </c>
      <c r="C725" s="26" t="s">
        <v>905</v>
      </c>
    </row>
    <row r="726" spans="1:3" x14ac:dyDescent="0.25">
      <c r="A726" s="36">
        <v>41193</v>
      </c>
      <c r="B726" s="122">
        <v>0.96512731481481484</v>
      </c>
      <c r="C726" s="26" t="s">
        <v>905</v>
      </c>
    </row>
    <row r="727" spans="1:3" x14ac:dyDescent="0.25">
      <c r="A727" s="36">
        <v>41193</v>
      </c>
      <c r="B727" s="122">
        <v>0.9792939814814815</v>
      </c>
      <c r="C727" s="26" t="s">
        <v>905</v>
      </c>
    </row>
    <row r="728" spans="1:3" x14ac:dyDescent="0.25">
      <c r="A728" s="36">
        <v>41193</v>
      </c>
      <c r="B728" s="122">
        <v>0.97965277777777782</v>
      </c>
      <c r="C728" s="26" t="s">
        <v>1122</v>
      </c>
    </row>
    <row r="729" spans="1:3" x14ac:dyDescent="0.25">
      <c r="A729" s="36">
        <v>41193</v>
      </c>
      <c r="B729" s="122">
        <v>0.98386574074074085</v>
      </c>
      <c r="C729" s="26" t="s">
        <v>905</v>
      </c>
    </row>
    <row r="730" spans="1:3" x14ac:dyDescent="0.25">
      <c r="A730" s="36">
        <v>41193</v>
      </c>
      <c r="B730" s="122">
        <v>0.98405092592592591</v>
      </c>
      <c r="C730" s="26" t="s">
        <v>1122</v>
      </c>
    </row>
    <row r="731" spans="1:3" x14ac:dyDescent="0.25">
      <c r="A731" s="36">
        <v>41193</v>
      </c>
      <c r="B731" s="122">
        <v>0.98405092592592591</v>
      </c>
      <c r="C731" s="26" t="s">
        <v>1125</v>
      </c>
    </row>
    <row r="732" spans="1:3" x14ac:dyDescent="0.25">
      <c r="A732" s="36">
        <v>41193</v>
      </c>
      <c r="B732" s="122">
        <v>0.98662037037037031</v>
      </c>
      <c r="C732" s="26" t="s">
        <v>905</v>
      </c>
    </row>
    <row r="733" spans="1:3" x14ac:dyDescent="0.25">
      <c r="A733" s="36">
        <v>41193</v>
      </c>
      <c r="B733" s="122">
        <v>0.98679398148148145</v>
      </c>
      <c r="C733" s="26" t="s">
        <v>1122</v>
      </c>
    </row>
    <row r="734" spans="1:3" x14ac:dyDescent="0.25">
      <c r="A734" s="36">
        <v>41193</v>
      </c>
      <c r="B734" s="122">
        <v>0.98679398148148145</v>
      </c>
      <c r="C734" s="26" t="s">
        <v>1125</v>
      </c>
    </row>
    <row r="735" spans="1:3" x14ac:dyDescent="0.25">
      <c r="A735" s="36">
        <v>41193</v>
      </c>
      <c r="B735" s="122">
        <v>0.99167824074074085</v>
      </c>
      <c r="C735" s="26" t="s">
        <v>1126</v>
      </c>
    </row>
    <row r="736" spans="1:3" x14ac:dyDescent="0.25">
      <c r="A736" s="36">
        <v>41193</v>
      </c>
      <c r="B736" s="122">
        <v>0.99225694444444434</v>
      </c>
      <c r="C736" s="26" t="s">
        <v>1057</v>
      </c>
    </row>
    <row r="737" spans="1:3" x14ac:dyDescent="0.25">
      <c r="A737" s="36">
        <v>41193</v>
      </c>
      <c r="B737" s="122">
        <v>0.99231481481481476</v>
      </c>
      <c r="C737" s="26" t="s">
        <v>1127</v>
      </c>
    </row>
    <row r="738" spans="1:3" x14ac:dyDescent="0.25">
      <c r="A738" s="36">
        <v>41193</v>
      </c>
      <c r="B738" s="122">
        <v>0.99254629629629632</v>
      </c>
      <c r="C738" s="26" t="s">
        <v>1127</v>
      </c>
    </row>
    <row r="739" spans="1:3" x14ac:dyDescent="0.25">
      <c r="A739" s="36">
        <v>41193</v>
      </c>
      <c r="B739" s="122">
        <v>0.99255787037037047</v>
      </c>
      <c r="C739" s="26" t="s">
        <v>1127</v>
      </c>
    </row>
    <row r="740" spans="1:3" x14ac:dyDescent="0.25">
      <c r="A740" s="36">
        <v>41193</v>
      </c>
      <c r="B740" s="122">
        <v>0.99255787037037047</v>
      </c>
      <c r="C740" s="26" t="s">
        <v>1127</v>
      </c>
    </row>
    <row r="741" spans="1:3" x14ac:dyDescent="0.25">
      <c r="A741" s="36">
        <v>41193</v>
      </c>
      <c r="B741" s="122">
        <v>0.99256944444444439</v>
      </c>
      <c r="C741" s="26" t="s">
        <v>1127</v>
      </c>
    </row>
    <row r="742" spans="1:3" x14ac:dyDescent="0.25">
      <c r="A742" s="36">
        <v>41193</v>
      </c>
      <c r="B742" s="122">
        <v>0.99256944444444439</v>
      </c>
      <c r="C742" s="26" t="s">
        <v>1127</v>
      </c>
    </row>
    <row r="743" spans="1:3" x14ac:dyDescent="0.25">
      <c r="A743" s="36">
        <v>41193</v>
      </c>
      <c r="B743" s="122">
        <v>0.99258101851851854</v>
      </c>
      <c r="C743" s="26" t="s">
        <v>1127</v>
      </c>
    </row>
    <row r="744" spans="1:3" x14ac:dyDescent="0.25">
      <c r="A744" s="36">
        <v>41193</v>
      </c>
      <c r="B744" s="122">
        <v>0.99258101851851854</v>
      </c>
      <c r="C744" s="26" t="s">
        <v>1127</v>
      </c>
    </row>
    <row r="745" spans="1:3" x14ac:dyDescent="0.25">
      <c r="A745" s="36">
        <v>41193</v>
      </c>
      <c r="B745" s="122">
        <v>0.99259259259259258</v>
      </c>
      <c r="C745" s="26" t="s">
        <v>1127</v>
      </c>
    </row>
    <row r="746" spans="1:3" x14ac:dyDescent="0.25">
      <c r="A746" s="36">
        <v>41193</v>
      </c>
      <c r="B746" s="122">
        <v>0.99259259259259258</v>
      </c>
      <c r="C746" s="26" t="s">
        <v>1127</v>
      </c>
    </row>
    <row r="747" spans="1:3" x14ac:dyDescent="0.25">
      <c r="A747" s="36">
        <v>41193</v>
      </c>
      <c r="B747" s="122">
        <v>0.99260416666666673</v>
      </c>
      <c r="C747" s="26" t="s">
        <v>1127</v>
      </c>
    </row>
    <row r="748" spans="1:3" x14ac:dyDescent="0.25">
      <c r="A748" s="36">
        <v>41193</v>
      </c>
      <c r="B748" s="122">
        <v>0.99260416666666673</v>
      </c>
      <c r="C748" s="26" t="s">
        <v>1127</v>
      </c>
    </row>
    <row r="749" spans="1:3" x14ac:dyDescent="0.25">
      <c r="A749" s="36">
        <v>41193</v>
      </c>
      <c r="B749" s="122">
        <v>0.99261574074074066</v>
      </c>
      <c r="C749" s="26" t="s">
        <v>1127</v>
      </c>
    </row>
    <row r="750" spans="1:3" x14ac:dyDescent="0.25">
      <c r="A750" s="36">
        <v>41193</v>
      </c>
      <c r="B750" s="122">
        <v>0.99261574074074066</v>
      </c>
      <c r="C750" s="26" t="s">
        <v>1127</v>
      </c>
    </row>
    <row r="751" spans="1:3" x14ac:dyDescent="0.25">
      <c r="A751" s="36">
        <v>41193</v>
      </c>
      <c r="B751" s="122">
        <v>0.99261574074074066</v>
      </c>
      <c r="C751" s="26" t="s">
        <v>1127</v>
      </c>
    </row>
    <row r="752" spans="1:3" x14ac:dyDescent="0.25">
      <c r="A752" s="36">
        <v>41193</v>
      </c>
      <c r="B752" s="122">
        <v>0.99262731481481481</v>
      </c>
      <c r="C752" s="26" t="s">
        <v>1127</v>
      </c>
    </row>
    <row r="753" spans="1:3" x14ac:dyDescent="0.25">
      <c r="A753" s="36">
        <v>41193</v>
      </c>
      <c r="B753" s="122">
        <v>0.99262731481481481</v>
      </c>
      <c r="C753" s="26" t="s">
        <v>1127</v>
      </c>
    </row>
    <row r="754" spans="1:3" x14ac:dyDescent="0.25">
      <c r="A754" s="36">
        <v>41193</v>
      </c>
      <c r="B754" s="122">
        <v>0.99262731481481481</v>
      </c>
      <c r="C754" s="26" t="s">
        <v>1127</v>
      </c>
    </row>
    <row r="755" spans="1:3" x14ac:dyDescent="0.25">
      <c r="A755" s="36">
        <v>41193</v>
      </c>
      <c r="B755" s="122">
        <v>0.99262731481481481</v>
      </c>
      <c r="C755" s="26" t="s">
        <v>1127</v>
      </c>
    </row>
    <row r="756" spans="1:3" x14ac:dyDescent="0.25">
      <c r="A756" s="36">
        <v>41193</v>
      </c>
      <c r="B756" s="122">
        <v>0.99263888888888896</v>
      </c>
      <c r="C756" s="26" t="s">
        <v>1127</v>
      </c>
    </row>
    <row r="757" spans="1:3" x14ac:dyDescent="0.25">
      <c r="A757" s="36">
        <v>41193</v>
      </c>
      <c r="B757" s="122">
        <v>0.99387731481481489</v>
      </c>
      <c r="C757" s="26" t="s">
        <v>1057</v>
      </c>
    </row>
    <row r="758" spans="1:3" x14ac:dyDescent="0.25">
      <c r="A758" s="36">
        <v>41194</v>
      </c>
      <c r="B758" s="122">
        <v>5.6018518518518518E-3</v>
      </c>
      <c r="C758" s="26" t="s">
        <v>1057</v>
      </c>
    </row>
    <row r="759" spans="1:3" x14ac:dyDescent="0.25">
      <c r="A759" s="36">
        <v>41194</v>
      </c>
      <c r="B759" s="122">
        <v>5.6712962962962958E-3</v>
      </c>
      <c r="C759" s="26" t="s">
        <v>1063</v>
      </c>
    </row>
    <row r="760" spans="1:3" x14ac:dyDescent="0.25">
      <c r="A760" s="36">
        <v>41194</v>
      </c>
      <c r="B760" s="122">
        <v>5.7407407407407416E-3</v>
      </c>
      <c r="C760" s="26" t="s">
        <v>1064</v>
      </c>
    </row>
    <row r="761" spans="1:3" x14ac:dyDescent="0.25">
      <c r="A761" s="36">
        <v>41194</v>
      </c>
      <c r="B761" s="122">
        <v>5.7754629629629623E-3</v>
      </c>
      <c r="C761" s="26" t="s">
        <v>1065</v>
      </c>
    </row>
    <row r="762" spans="1:3" x14ac:dyDescent="0.25">
      <c r="A762" s="36">
        <v>41194</v>
      </c>
      <c r="B762" s="122">
        <v>6.0879629629629643E-3</v>
      </c>
      <c r="C762" s="26" t="s">
        <v>1128</v>
      </c>
    </row>
    <row r="763" spans="1:3" x14ac:dyDescent="0.25">
      <c r="A763" s="36">
        <v>41194</v>
      </c>
      <c r="B763" s="122">
        <v>7.0023148148148154E-3</v>
      </c>
      <c r="C763" s="26" t="s">
        <v>905</v>
      </c>
    </row>
    <row r="764" spans="1:3" x14ac:dyDescent="0.25">
      <c r="A764" s="36">
        <v>41194</v>
      </c>
      <c r="B764" s="122">
        <v>7.0486111111111105E-3</v>
      </c>
      <c r="C764" s="26" t="s">
        <v>1129</v>
      </c>
    </row>
    <row r="765" spans="1:3" x14ac:dyDescent="0.25">
      <c r="A765" s="36">
        <v>41194</v>
      </c>
      <c r="B765" s="122">
        <v>7.0486111111111105E-3</v>
      </c>
      <c r="C765" s="26" t="s">
        <v>1130</v>
      </c>
    </row>
    <row r="766" spans="1:3" x14ac:dyDescent="0.25">
      <c r="A766" s="36">
        <v>41194</v>
      </c>
      <c r="B766" s="122">
        <v>7.0486111111111105E-3</v>
      </c>
      <c r="C766" s="26" t="s">
        <v>1131</v>
      </c>
    </row>
    <row r="767" spans="1:3" x14ac:dyDescent="0.25">
      <c r="A767" s="36">
        <v>41194</v>
      </c>
      <c r="B767" s="122">
        <v>9.3287037037037036E-3</v>
      </c>
      <c r="C767" s="26" t="s">
        <v>905</v>
      </c>
    </row>
    <row r="768" spans="1:3" x14ac:dyDescent="0.25">
      <c r="A768" s="36">
        <v>41194</v>
      </c>
      <c r="B768" s="122">
        <v>2.4259259259259258E-2</v>
      </c>
      <c r="C768" s="26" t="s">
        <v>1132</v>
      </c>
    </row>
    <row r="769" spans="1:3" x14ac:dyDescent="0.25">
      <c r="A769" s="36">
        <v>41194</v>
      </c>
      <c r="B769" s="122">
        <v>2.5949074074074072E-2</v>
      </c>
      <c r="C769" s="26" t="s">
        <v>1133</v>
      </c>
    </row>
    <row r="770" spans="1:3" x14ac:dyDescent="0.25">
      <c r="A770" s="36">
        <v>41194</v>
      </c>
      <c r="B770" s="122">
        <v>2.7951388888888887E-2</v>
      </c>
      <c r="C770" s="26" t="s">
        <v>1134</v>
      </c>
    </row>
    <row r="771" spans="1:3" x14ac:dyDescent="0.25">
      <c r="A771" s="36">
        <v>41194</v>
      </c>
      <c r="B771" s="122">
        <v>3.0046296296296297E-2</v>
      </c>
      <c r="C771" s="26" t="s">
        <v>1135</v>
      </c>
    </row>
    <row r="772" spans="1:3" x14ac:dyDescent="0.25">
      <c r="A772" s="36">
        <v>41194</v>
      </c>
      <c r="B772" s="122">
        <v>3.2199074074074074E-2</v>
      </c>
      <c r="C772" s="26" t="s">
        <v>1136</v>
      </c>
    </row>
    <row r="773" spans="1:3" x14ac:dyDescent="0.25">
      <c r="A773" s="36">
        <v>41194</v>
      </c>
      <c r="B773" s="122">
        <v>3.4074074074074076E-2</v>
      </c>
      <c r="C773" s="26" t="s">
        <v>1137</v>
      </c>
    </row>
    <row r="774" spans="1:3" x14ac:dyDescent="0.25">
      <c r="A774" s="36">
        <v>41194</v>
      </c>
      <c r="B774" s="122">
        <v>3.6655092592592593E-2</v>
      </c>
      <c r="C774" s="26" t="s">
        <v>905</v>
      </c>
    </row>
    <row r="775" spans="1:3" x14ac:dyDescent="0.25">
      <c r="A775" s="36">
        <v>41194</v>
      </c>
      <c r="B775" s="122">
        <v>3.9907407407407412E-2</v>
      </c>
      <c r="C775" s="26" t="s">
        <v>1122</v>
      </c>
    </row>
    <row r="776" spans="1:3" x14ac:dyDescent="0.25">
      <c r="A776" s="36">
        <v>41194</v>
      </c>
      <c r="B776" s="122">
        <v>8.7974537037037046E-2</v>
      </c>
      <c r="C776" s="26" t="s">
        <v>905</v>
      </c>
    </row>
    <row r="777" spans="1:3" x14ac:dyDescent="0.25">
      <c r="A777" s="36">
        <v>41194</v>
      </c>
      <c r="B777" s="122">
        <v>8.8275462962962958E-2</v>
      </c>
      <c r="C777" s="26" t="s">
        <v>1122</v>
      </c>
    </row>
    <row r="778" spans="1:3" x14ac:dyDescent="0.25">
      <c r="A778" s="36">
        <v>41194</v>
      </c>
      <c r="B778" s="122">
        <v>0.10219907407407408</v>
      </c>
      <c r="C778" s="26" t="s">
        <v>905</v>
      </c>
    </row>
    <row r="779" spans="1:3" x14ac:dyDescent="0.25">
      <c r="A779" s="36">
        <v>41194</v>
      </c>
      <c r="B779" s="122">
        <v>0.10233796296296298</v>
      </c>
      <c r="C779" s="26" t="s">
        <v>1122</v>
      </c>
    </row>
    <row r="780" spans="1:3" x14ac:dyDescent="0.25">
      <c r="A780" s="36">
        <v>41194</v>
      </c>
      <c r="B780" s="122">
        <v>0.10237268518518518</v>
      </c>
      <c r="C780" s="26" t="s">
        <v>1140</v>
      </c>
    </row>
    <row r="781" spans="1:3" x14ac:dyDescent="0.25">
      <c r="A781" s="36">
        <v>41194</v>
      </c>
      <c r="B781" s="122">
        <v>0.10237268518518518</v>
      </c>
      <c r="C781" s="26" t="s">
        <v>1141</v>
      </c>
    </row>
    <row r="782" spans="1:3" x14ac:dyDescent="0.25">
      <c r="A782" s="36">
        <v>41194</v>
      </c>
      <c r="B782" s="122">
        <v>0.10364583333333333</v>
      </c>
      <c r="C782" s="26" t="s">
        <v>905</v>
      </c>
    </row>
    <row r="783" spans="1:3" x14ac:dyDescent="0.25">
      <c r="A783" s="36">
        <v>41194</v>
      </c>
      <c r="B783" s="122">
        <v>0.10378472222222222</v>
      </c>
      <c r="C783" s="26" t="s">
        <v>1122</v>
      </c>
    </row>
    <row r="784" spans="1:3" x14ac:dyDescent="0.25">
      <c r="A784" s="36">
        <v>41194</v>
      </c>
      <c r="B784" s="122">
        <v>0.13422453703703704</v>
      </c>
      <c r="C784" s="26" t="s">
        <v>905</v>
      </c>
    </row>
    <row r="785" spans="1:3" x14ac:dyDescent="0.25">
      <c r="A785" s="36">
        <v>41194</v>
      </c>
      <c r="B785" s="122">
        <v>0.1350925925925926</v>
      </c>
      <c r="C785" s="26" t="s">
        <v>1122</v>
      </c>
    </row>
    <row r="786" spans="1:3" x14ac:dyDescent="0.25">
      <c r="A786" s="36">
        <v>41194</v>
      </c>
      <c r="B786" s="122">
        <v>0.92803240740740733</v>
      </c>
      <c r="C786" s="26" t="s">
        <v>905</v>
      </c>
    </row>
    <row r="787" spans="1:3" x14ac:dyDescent="0.25">
      <c r="A787" s="36">
        <v>41194</v>
      </c>
      <c r="B787" s="122">
        <v>0.92834490740740738</v>
      </c>
      <c r="C787" s="26" t="s">
        <v>1122</v>
      </c>
    </row>
    <row r="788" spans="1:3" x14ac:dyDescent="0.25">
      <c r="A788" s="36">
        <v>41194</v>
      </c>
      <c r="B788" s="122">
        <v>0.92834490740740738</v>
      </c>
      <c r="C788" s="26" t="s">
        <v>1140</v>
      </c>
    </row>
    <row r="789" spans="1:3" x14ac:dyDescent="0.25">
      <c r="A789" s="36">
        <v>41194</v>
      </c>
      <c r="B789" s="122">
        <v>0.92834490740740738</v>
      </c>
      <c r="C789" s="26" t="s">
        <v>1141</v>
      </c>
    </row>
    <row r="790" spans="1:3" x14ac:dyDescent="0.25">
      <c r="A790" s="36">
        <v>41194</v>
      </c>
      <c r="B790" s="122">
        <v>0.94839120370370367</v>
      </c>
      <c r="C790" s="26" t="s">
        <v>905</v>
      </c>
    </row>
    <row r="791" spans="1:3" x14ac:dyDescent="0.25">
      <c r="A791" s="36">
        <v>41194</v>
      </c>
      <c r="B791" s="122">
        <v>0.94855324074074077</v>
      </c>
      <c r="C791" s="26" t="s">
        <v>1122</v>
      </c>
    </row>
    <row r="792" spans="1:3" x14ac:dyDescent="0.25">
      <c r="A792" s="36">
        <v>41194</v>
      </c>
      <c r="B792" s="122">
        <v>0.94855324074074077</v>
      </c>
      <c r="C792" s="26" t="s">
        <v>1140</v>
      </c>
    </row>
    <row r="793" spans="1:3" x14ac:dyDescent="0.25">
      <c r="A793" s="36">
        <v>41194</v>
      </c>
      <c r="B793" s="122">
        <v>0.94855324074074077</v>
      </c>
      <c r="C793" s="26" t="s">
        <v>1141</v>
      </c>
    </row>
    <row r="794" spans="1:3" x14ac:dyDescent="0.25">
      <c r="A794" s="36">
        <v>41195</v>
      </c>
      <c r="B794" s="122">
        <v>0.1102662037037037</v>
      </c>
      <c r="C794" s="26" t="s">
        <v>905</v>
      </c>
    </row>
    <row r="795" spans="1:3" x14ac:dyDescent="0.25">
      <c r="A795" s="36">
        <v>41195</v>
      </c>
      <c r="B795" s="122">
        <v>0.11312499999999999</v>
      </c>
      <c r="C795" s="26" t="s">
        <v>905</v>
      </c>
    </row>
    <row r="796" spans="1:3" x14ac:dyDescent="0.25">
      <c r="A796" s="36">
        <v>41195</v>
      </c>
      <c r="B796" s="122">
        <v>0.1162962962962963</v>
      </c>
      <c r="C796" s="26" t="s">
        <v>1122</v>
      </c>
    </row>
    <row r="797" spans="1:3" x14ac:dyDescent="0.25">
      <c r="A797" s="36">
        <v>41195</v>
      </c>
      <c r="B797" s="122">
        <v>0.12047453703703703</v>
      </c>
      <c r="C797" s="26" t="s">
        <v>905</v>
      </c>
    </row>
    <row r="798" spans="1:3" x14ac:dyDescent="0.25">
      <c r="A798" s="36">
        <v>41195</v>
      </c>
      <c r="B798" s="122">
        <v>0.12087962962962963</v>
      </c>
      <c r="C798" s="26" t="s">
        <v>1122</v>
      </c>
    </row>
    <row r="799" spans="1:3" x14ac:dyDescent="0.25">
      <c r="A799" s="36">
        <v>41195</v>
      </c>
      <c r="B799" s="122">
        <v>0.12266203703703704</v>
      </c>
      <c r="C799" s="26" t="s">
        <v>905</v>
      </c>
    </row>
    <row r="800" spans="1:3" x14ac:dyDescent="0.25">
      <c r="A800" s="36">
        <v>41195</v>
      </c>
      <c r="B800" s="122">
        <v>0.15209490740740741</v>
      </c>
      <c r="C800" s="26" t="s">
        <v>905</v>
      </c>
    </row>
    <row r="801" spans="1:3" x14ac:dyDescent="0.25">
      <c r="A801" s="36">
        <v>41195</v>
      </c>
      <c r="B801" s="122">
        <v>0.15215277777777778</v>
      </c>
      <c r="C801" s="26" t="s">
        <v>1122</v>
      </c>
    </row>
    <row r="802" spans="1:3" x14ac:dyDescent="0.25">
      <c r="A802" s="36">
        <v>41195</v>
      </c>
      <c r="B802" s="122">
        <v>0.15653935185185186</v>
      </c>
      <c r="C802" s="26" t="s">
        <v>905</v>
      </c>
    </row>
    <row r="803" spans="1:3" x14ac:dyDescent="0.25">
      <c r="A803" s="36">
        <v>41195</v>
      </c>
      <c r="B803" s="122">
        <v>0.15658564814814815</v>
      </c>
      <c r="C803" s="26" t="s">
        <v>1122</v>
      </c>
    </row>
    <row r="804" spans="1:3" x14ac:dyDescent="0.25">
      <c r="A804" s="36">
        <v>41195</v>
      </c>
      <c r="B804" s="122">
        <v>0.16371527777777778</v>
      </c>
      <c r="C804" s="26" t="s">
        <v>905</v>
      </c>
    </row>
    <row r="805" spans="1:3" x14ac:dyDescent="0.25">
      <c r="A805" s="36">
        <v>41195</v>
      </c>
      <c r="B805" s="122">
        <v>0.16374999999999998</v>
      </c>
      <c r="C805" s="26" t="s">
        <v>1122</v>
      </c>
    </row>
    <row r="806" spans="1:3" x14ac:dyDescent="0.25">
      <c r="A806" s="36">
        <v>41195</v>
      </c>
      <c r="B806" s="122">
        <v>0.16513888888888889</v>
      </c>
      <c r="C806" s="26" t="s">
        <v>905</v>
      </c>
    </row>
    <row r="807" spans="1:3" x14ac:dyDescent="0.25">
      <c r="A807" s="36">
        <v>41195</v>
      </c>
      <c r="B807" s="122">
        <v>0.16517361111111112</v>
      </c>
      <c r="C807" s="26" t="s">
        <v>1122</v>
      </c>
    </row>
    <row r="808" spans="1:3" x14ac:dyDescent="0.25">
      <c r="A808" s="36">
        <v>41195</v>
      </c>
      <c r="B808" s="122">
        <v>0.16651620370370371</v>
      </c>
      <c r="C808" s="26" t="s">
        <v>905</v>
      </c>
    </row>
    <row r="809" spans="1:3" x14ac:dyDescent="0.25">
      <c r="A809" s="36">
        <v>41195</v>
      </c>
      <c r="B809" s="122">
        <v>0.16655092592592594</v>
      </c>
      <c r="C809" s="26" t="s">
        <v>1122</v>
      </c>
    </row>
    <row r="810" spans="1:3" x14ac:dyDescent="0.25">
      <c r="A810" s="36">
        <v>41196</v>
      </c>
      <c r="B810" s="122">
        <v>5.5833333333333325E-2</v>
      </c>
      <c r="C810" s="26" t="s">
        <v>905</v>
      </c>
    </row>
    <row r="811" spans="1:3" x14ac:dyDescent="0.25">
      <c r="A811" s="36">
        <v>41196</v>
      </c>
      <c r="B811" s="122">
        <v>5.590277777777778E-2</v>
      </c>
      <c r="C811" s="26" t="s">
        <v>1122</v>
      </c>
    </row>
    <row r="812" spans="1:3" x14ac:dyDescent="0.25">
      <c r="A812" s="36">
        <v>41196</v>
      </c>
      <c r="B812" s="122">
        <v>6.4942129629629627E-2</v>
      </c>
      <c r="C812" s="26" t="s">
        <v>905</v>
      </c>
    </row>
    <row r="813" spans="1:3" x14ac:dyDescent="0.25">
      <c r="A813" s="36">
        <v>41196</v>
      </c>
      <c r="B813" s="122">
        <v>6.4976851851851855E-2</v>
      </c>
      <c r="C813" s="26" t="s">
        <v>1122</v>
      </c>
    </row>
    <row r="814" spans="1:3" x14ac:dyDescent="0.25">
      <c r="A814" s="36">
        <v>41196</v>
      </c>
      <c r="B814" s="122">
        <v>6.9652777777777772E-2</v>
      </c>
      <c r="C814" s="26" t="s">
        <v>905</v>
      </c>
    </row>
    <row r="815" spans="1:3" x14ac:dyDescent="0.25">
      <c r="A815" s="36">
        <v>41196</v>
      </c>
      <c r="B815" s="122">
        <v>6.9756944444444455E-2</v>
      </c>
      <c r="C815" s="26" t="s">
        <v>1122</v>
      </c>
    </row>
    <row r="816" spans="1:3" x14ac:dyDescent="0.25">
      <c r="A816" s="36">
        <v>41196</v>
      </c>
      <c r="B816" s="122">
        <v>7.1180555555555566E-2</v>
      </c>
      <c r="C816" s="26" t="s">
        <v>905</v>
      </c>
    </row>
    <row r="817" spans="1:3" x14ac:dyDescent="0.25">
      <c r="A817" s="36">
        <v>41196</v>
      </c>
      <c r="B817" s="122">
        <v>7.1226851851851861E-2</v>
      </c>
      <c r="C817" s="26" t="s">
        <v>1122</v>
      </c>
    </row>
    <row r="818" spans="1:3" x14ac:dyDescent="0.25">
      <c r="A818" s="36">
        <v>41196</v>
      </c>
      <c r="B818" s="122">
        <v>8.217592592592593E-2</v>
      </c>
      <c r="C818" s="26" t="s">
        <v>905</v>
      </c>
    </row>
    <row r="819" spans="1:3" x14ac:dyDescent="0.25">
      <c r="A819" s="36">
        <v>41196</v>
      </c>
      <c r="B819" s="122">
        <v>8.222222222222221E-2</v>
      </c>
      <c r="C819" s="26" t="s">
        <v>1122</v>
      </c>
    </row>
    <row r="820" spans="1:3" x14ac:dyDescent="0.25">
      <c r="A820" s="36">
        <v>41196</v>
      </c>
      <c r="B820" s="122">
        <v>0.95098379629629637</v>
      </c>
      <c r="C820" s="26" t="s">
        <v>905</v>
      </c>
    </row>
    <row r="821" spans="1:3" x14ac:dyDescent="0.25">
      <c r="A821" s="36">
        <v>41196</v>
      </c>
      <c r="B821" s="122">
        <v>0.95130787037037035</v>
      </c>
      <c r="C821" s="26" t="s">
        <v>1122</v>
      </c>
    </row>
    <row r="822" spans="1:3" x14ac:dyDescent="0.25">
      <c r="A822" s="36">
        <v>41196</v>
      </c>
      <c r="B822" s="122">
        <v>0.96494212962962955</v>
      </c>
      <c r="C822" s="26" t="s">
        <v>905</v>
      </c>
    </row>
    <row r="823" spans="1:3" x14ac:dyDescent="0.25">
      <c r="A823" s="36">
        <v>41196</v>
      </c>
      <c r="B823" s="122">
        <v>0.96497685185185178</v>
      </c>
      <c r="C823" s="26" t="s">
        <v>1122</v>
      </c>
    </row>
    <row r="824" spans="1:3" x14ac:dyDescent="0.25">
      <c r="A824" s="36">
        <v>41196</v>
      </c>
      <c r="B824" s="122">
        <v>0.96767361111111105</v>
      </c>
      <c r="C824" s="26" t="s">
        <v>905</v>
      </c>
    </row>
    <row r="825" spans="1:3" x14ac:dyDescent="0.25">
      <c r="A825" s="36">
        <v>41196</v>
      </c>
      <c r="B825" s="122">
        <v>0.96773148148148147</v>
      </c>
      <c r="C825" s="26" t="s">
        <v>1122</v>
      </c>
    </row>
    <row r="826" spans="1:3" x14ac:dyDescent="0.25">
      <c r="A826" s="36">
        <v>41196</v>
      </c>
      <c r="B826" s="122">
        <v>0.9694328703703704</v>
      </c>
      <c r="C826" s="26" t="s">
        <v>905</v>
      </c>
    </row>
    <row r="827" spans="1:3" x14ac:dyDescent="0.25">
      <c r="A827" s="36">
        <v>41196</v>
      </c>
      <c r="B827" s="122">
        <v>0.96953703703703698</v>
      </c>
      <c r="C827" s="26" t="s">
        <v>1122</v>
      </c>
    </row>
    <row r="828" spans="1:3" x14ac:dyDescent="0.25">
      <c r="A828" s="36">
        <v>41197</v>
      </c>
      <c r="B828" s="122">
        <v>4.9849537037037039E-2</v>
      </c>
      <c r="C828" s="26" t="s">
        <v>905</v>
      </c>
    </row>
    <row r="829" spans="1:3" x14ac:dyDescent="0.25">
      <c r="A829" s="36">
        <v>41197</v>
      </c>
      <c r="B829" s="122">
        <v>5.5509259259259258E-2</v>
      </c>
      <c r="C829" s="26" t="s">
        <v>1122</v>
      </c>
    </row>
    <row r="830" spans="1:3" x14ac:dyDescent="0.25">
      <c r="A830" s="36">
        <v>41197</v>
      </c>
      <c r="B830" s="122">
        <v>6.0196759259259262E-2</v>
      </c>
      <c r="C830" s="26" t="s">
        <v>905</v>
      </c>
    </row>
    <row r="831" spans="1:3" x14ac:dyDescent="0.25">
      <c r="A831" s="36">
        <v>41197</v>
      </c>
      <c r="B831" s="122">
        <v>6.5706018518518525E-2</v>
      </c>
      <c r="C831" s="26" t="s">
        <v>1122</v>
      </c>
    </row>
    <row r="832" spans="1:3" x14ac:dyDescent="0.25">
      <c r="A832" s="36">
        <v>41197</v>
      </c>
      <c r="B832" s="122">
        <v>6.9548611111111117E-2</v>
      </c>
      <c r="C832" s="26" t="s">
        <v>905</v>
      </c>
    </row>
    <row r="833" spans="1:3" x14ac:dyDescent="0.25">
      <c r="A833" s="36">
        <v>41197</v>
      </c>
      <c r="B833" s="122">
        <v>6.958333333333333E-2</v>
      </c>
      <c r="C833" s="26" t="s">
        <v>1122</v>
      </c>
    </row>
    <row r="834" spans="1:3" x14ac:dyDescent="0.25">
      <c r="A834" s="36">
        <v>41197</v>
      </c>
      <c r="B834" s="122">
        <v>7.1145833333333339E-2</v>
      </c>
      <c r="C834" s="26" t="s">
        <v>905</v>
      </c>
    </row>
    <row r="835" spans="1:3" x14ac:dyDescent="0.25">
      <c r="A835" s="36">
        <v>41197</v>
      </c>
      <c r="B835" s="122">
        <v>7.1180555555555566E-2</v>
      </c>
      <c r="C835" s="26" t="s">
        <v>1122</v>
      </c>
    </row>
    <row r="836" spans="1:3" x14ac:dyDescent="0.25">
      <c r="A836" s="36">
        <v>41197</v>
      </c>
      <c r="B836" s="122">
        <v>7.2789351851851855E-2</v>
      </c>
      <c r="C836" s="26" t="s">
        <v>905</v>
      </c>
    </row>
    <row r="837" spans="1:3" x14ac:dyDescent="0.25">
      <c r="A837" s="36">
        <v>41197</v>
      </c>
      <c r="B837" s="122">
        <v>7.2835648148148149E-2</v>
      </c>
      <c r="C837" s="26" t="s">
        <v>1122</v>
      </c>
    </row>
    <row r="838" spans="1:3" x14ac:dyDescent="0.25">
      <c r="A838" s="36">
        <v>41197</v>
      </c>
      <c r="B838" s="122">
        <v>7.4456018518518519E-2</v>
      </c>
      <c r="C838" s="26" t="s">
        <v>905</v>
      </c>
    </row>
    <row r="839" spans="1:3" x14ac:dyDescent="0.25">
      <c r="A839" s="36">
        <v>41197</v>
      </c>
      <c r="B839" s="122">
        <v>7.4513888888888893E-2</v>
      </c>
      <c r="C839" s="26" t="s">
        <v>1122</v>
      </c>
    </row>
    <row r="840" spans="1:3" x14ac:dyDescent="0.25">
      <c r="A840" s="36">
        <v>41197</v>
      </c>
      <c r="B840" s="122">
        <v>7.6423611111111109E-2</v>
      </c>
      <c r="C840" s="26" t="s">
        <v>905</v>
      </c>
    </row>
    <row r="841" spans="1:3" x14ac:dyDescent="0.25">
      <c r="A841" s="36">
        <v>41197</v>
      </c>
      <c r="B841" s="122">
        <v>7.6458333333333336E-2</v>
      </c>
      <c r="C841" s="26" t="s">
        <v>1122</v>
      </c>
    </row>
    <row r="842" spans="1:3" x14ac:dyDescent="0.25">
      <c r="A842" s="36">
        <v>41197</v>
      </c>
      <c r="B842" s="122">
        <v>7.9282407407407399E-2</v>
      </c>
      <c r="C842" s="26" t="s">
        <v>905</v>
      </c>
    </row>
    <row r="843" spans="1:3" x14ac:dyDescent="0.25">
      <c r="A843" s="36">
        <v>41197</v>
      </c>
      <c r="B843" s="122">
        <v>7.9328703703703707E-2</v>
      </c>
      <c r="C843" s="26" t="s">
        <v>1122</v>
      </c>
    </row>
    <row r="844" spans="1:3" x14ac:dyDescent="0.25">
      <c r="A844" s="36">
        <v>41197</v>
      </c>
      <c r="B844" s="122">
        <v>8.2743055555555556E-2</v>
      </c>
      <c r="C844" s="26" t="s">
        <v>1122</v>
      </c>
    </row>
    <row r="845" spans="1:3" x14ac:dyDescent="0.25">
      <c r="A845" s="36">
        <v>41197</v>
      </c>
      <c r="B845" s="122">
        <v>0.95136574074074076</v>
      </c>
      <c r="C845" s="26" t="s">
        <v>1144</v>
      </c>
    </row>
    <row r="846" spans="1:3" x14ac:dyDescent="0.25">
      <c r="A846" s="36">
        <v>41197</v>
      </c>
      <c r="B846" s="122">
        <v>0.95427083333333329</v>
      </c>
      <c r="C846" s="26" t="s">
        <v>1145</v>
      </c>
    </row>
    <row r="847" spans="1:3" x14ac:dyDescent="0.25">
      <c r="A847" s="36">
        <v>41197</v>
      </c>
      <c r="B847" s="122">
        <v>0.95571759259259259</v>
      </c>
      <c r="C847" s="26" t="s">
        <v>1146</v>
      </c>
    </row>
    <row r="848" spans="1:3" x14ac:dyDescent="0.25">
      <c r="A848" s="36">
        <v>41197</v>
      </c>
      <c r="B848" s="122">
        <v>0.95821759259259265</v>
      </c>
      <c r="C848" s="26" t="s">
        <v>1122</v>
      </c>
    </row>
    <row r="849" spans="1:3" x14ac:dyDescent="0.25">
      <c r="A849" s="36">
        <v>41197</v>
      </c>
      <c r="B849" s="122">
        <v>0.96332175925925922</v>
      </c>
      <c r="C849" s="26" t="s">
        <v>1122</v>
      </c>
    </row>
    <row r="850" spans="1:3" x14ac:dyDescent="0.25">
      <c r="A850" s="36">
        <v>41197</v>
      </c>
      <c r="B850" s="122">
        <v>0.98664351851851861</v>
      </c>
      <c r="C850" s="26" t="s">
        <v>1122</v>
      </c>
    </row>
    <row r="851" spans="1:3" x14ac:dyDescent="0.25">
      <c r="A851" s="36">
        <v>41197</v>
      </c>
      <c r="B851" s="122">
        <v>0.98797453703703697</v>
      </c>
      <c r="C851" s="26" t="s">
        <v>1122</v>
      </c>
    </row>
    <row r="852" spans="1:3" x14ac:dyDescent="0.25">
      <c r="A852" s="36">
        <v>41197</v>
      </c>
      <c r="B852" s="122">
        <v>0.99157407407407405</v>
      </c>
      <c r="C852" s="26" t="s">
        <v>1122</v>
      </c>
    </row>
    <row r="853" spans="1:3" x14ac:dyDescent="0.25">
      <c r="A853" s="36">
        <v>41197</v>
      </c>
      <c r="B853" s="122">
        <v>0.99313657407407396</v>
      </c>
      <c r="C853" s="26" t="s">
        <v>1122</v>
      </c>
    </row>
    <row r="854" spans="1:3" x14ac:dyDescent="0.25">
      <c r="A854" s="36">
        <v>41197</v>
      </c>
      <c r="B854" s="122">
        <v>0.99486111111111108</v>
      </c>
      <c r="C854" s="26" t="s">
        <v>1122</v>
      </c>
    </row>
    <row r="855" spans="1:3" x14ac:dyDescent="0.25">
      <c r="A855" s="36">
        <v>41197</v>
      </c>
      <c r="B855" s="122">
        <v>0.99575231481481474</v>
      </c>
      <c r="C855" s="26" t="s">
        <v>1122</v>
      </c>
    </row>
    <row r="856" spans="1:3" x14ac:dyDescent="0.25">
      <c r="A856" s="36">
        <v>41197</v>
      </c>
      <c r="B856" s="122">
        <v>0.99857638888888889</v>
      </c>
      <c r="C856" s="26" t="s">
        <v>1122</v>
      </c>
    </row>
    <row r="857" spans="1:3" x14ac:dyDescent="0.25">
      <c r="A857" s="36">
        <v>41198</v>
      </c>
      <c r="B857" s="122">
        <v>1.261574074074074E-3</v>
      </c>
      <c r="C857" s="26" t="s">
        <v>1122</v>
      </c>
    </row>
    <row r="858" spans="1:3" x14ac:dyDescent="0.25">
      <c r="A858" s="36">
        <v>41198</v>
      </c>
      <c r="B858" s="122">
        <v>1.0046296296296296E-2</v>
      </c>
      <c r="C858" s="26" t="s">
        <v>1122</v>
      </c>
    </row>
    <row r="859" spans="1:3" x14ac:dyDescent="0.25">
      <c r="A859" s="36">
        <v>41198</v>
      </c>
      <c r="B859" s="122">
        <v>1.1828703703703704E-2</v>
      </c>
      <c r="C859" s="26" t="s">
        <v>1122</v>
      </c>
    </row>
    <row r="860" spans="1:3" x14ac:dyDescent="0.25">
      <c r="A860" s="36">
        <v>41198</v>
      </c>
      <c r="B860" s="122">
        <v>1.2939814814814814E-2</v>
      </c>
      <c r="C860" s="26" t="s">
        <v>1122</v>
      </c>
    </row>
    <row r="861" spans="1:3" x14ac:dyDescent="0.25">
      <c r="A861" s="36">
        <v>41198</v>
      </c>
      <c r="B861" s="122">
        <v>1.4513888888888889E-2</v>
      </c>
      <c r="C861" s="26" t="s">
        <v>1122</v>
      </c>
    </row>
    <row r="862" spans="1:3" x14ac:dyDescent="0.25">
      <c r="A862" s="36">
        <v>41198</v>
      </c>
      <c r="B862" s="122">
        <v>2.431712962962963E-2</v>
      </c>
      <c r="C862" s="26" t="s">
        <v>1122</v>
      </c>
    </row>
    <row r="863" spans="1:3" x14ac:dyDescent="0.25">
      <c r="A863" s="36">
        <v>41198</v>
      </c>
      <c r="B863" s="122">
        <v>2.6516203703703698E-2</v>
      </c>
      <c r="C863" s="26" t="s">
        <v>1122</v>
      </c>
    </row>
    <row r="864" spans="1:3" x14ac:dyDescent="0.25">
      <c r="A864" s="36">
        <v>41198</v>
      </c>
      <c r="B864" s="122">
        <v>4.162037037037037E-2</v>
      </c>
      <c r="C864" s="26" t="s">
        <v>1122</v>
      </c>
    </row>
    <row r="865" spans="1:3" x14ac:dyDescent="0.25">
      <c r="A865" s="36">
        <v>41198</v>
      </c>
      <c r="B865" s="122">
        <v>4.8460648148148149E-2</v>
      </c>
      <c r="C865" s="26" t="s">
        <v>1122</v>
      </c>
    </row>
    <row r="866" spans="1:3" x14ac:dyDescent="0.25">
      <c r="A866" s="36">
        <v>41198</v>
      </c>
      <c r="B866" s="122">
        <v>5.1666666666666666E-2</v>
      </c>
      <c r="C866" s="26" t="s">
        <v>1122</v>
      </c>
    </row>
    <row r="867" spans="1:3" x14ac:dyDescent="0.25">
      <c r="A867" s="36">
        <v>41198</v>
      </c>
      <c r="B867" s="122">
        <v>5.7175925925925929E-2</v>
      </c>
      <c r="C867" s="26" t="s">
        <v>1122</v>
      </c>
    </row>
    <row r="868" spans="1:3" x14ac:dyDescent="0.25">
      <c r="A868" s="36">
        <v>41198</v>
      </c>
      <c r="B868" s="122">
        <v>5.8368055555555555E-2</v>
      </c>
      <c r="C868" s="26" t="s">
        <v>1122</v>
      </c>
    </row>
    <row r="869" spans="1:3" x14ac:dyDescent="0.25">
      <c r="A869" s="36">
        <v>41198</v>
      </c>
      <c r="B869" s="122">
        <v>6.0856481481481484E-2</v>
      </c>
      <c r="C869" s="26" t="s">
        <v>1122</v>
      </c>
    </row>
    <row r="870" spans="1:3" x14ac:dyDescent="0.25">
      <c r="A870" s="36">
        <v>41198</v>
      </c>
      <c r="B870" s="122">
        <v>6.2511574074074081E-2</v>
      </c>
      <c r="C870" s="26" t="s">
        <v>1122</v>
      </c>
    </row>
    <row r="871" spans="1:3" x14ac:dyDescent="0.25">
      <c r="A871" s="36">
        <v>41199</v>
      </c>
      <c r="B871" s="122">
        <v>0.75214120370370363</v>
      </c>
      <c r="C871" s="26" t="s">
        <v>1122</v>
      </c>
    </row>
    <row r="872" spans="1:3" x14ac:dyDescent="0.25">
      <c r="A872" s="36">
        <v>41199</v>
      </c>
      <c r="B872" s="122">
        <v>0.89569444444444446</v>
      </c>
      <c r="C872" s="26" t="s">
        <v>1122</v>
      </c>
    </row>
    <row r="873" spans="1:3" x14ac:dyDescent="0.25">
      <c r="A873" s="36">
        <v>41199</v>
      </c>
      <c r="B873" s="122">
        <v>0.89932870370370377</v>
      </c>
      <c r="C873" s="26" t="s">
        <v>1122</v>
      </c>
    </row>
    <row r="874" spans="1:3" x14ac:dyDescent="0.25">
      <c r="A874" s="36">
        <v>41199</v>
      </c>
      <c r="B874" s="122">
        <v>0.90744212962962967</v>
      </c>
      <c r="C874" s="26" t="s">
        <v>1122</v>
      </c>
    </row>
    <row r="875" spans="1:3" x14ac:dyDescent="0.25">
      <c r="A875" s="36">
        <v>41199</v>
      </c>
      <c r="B875" s="122">
        <v>0.92278935185185185</v>
      </c>
      <c r="C875" s="26" t="s">
        <v>1151</v>
      </c>
    </row>
    <row r="876" spans="1:3" x14ac:dyDescent="0.25">
      <c r="A876" s="36">
        <v>41199</v>
      </c>
      <c r="B876" s="122">
        <v>0.92280092592592589</v>
      </c>
      <c r="C876" s="26" t="s">
        <v>1152</v>
      </c>
    </row>
    <row r="877" spans="1:3" x14ac:dyDescent="0.25">
      <c r="A877" s="36">
        <v>41199</v>
      </c>
      <c r="B877" s="122">
        <v>0.92280092592592589</v>
      </c>
      <c r="C877" s="26" t="s">
        <v>1153</v>
      </c>
    </row>
    <row r="878" spans="1:3" x14ac:dyDescent="0.25">
      <c r="A878" s="36">
        <v>41199</v>
      </c>
      <c r="B878" s="122">
        <v>0.92280092592592589</v>
      </c>
      <c r="C878" s="26" t="s">
        <v>1154</v>
      </c>
    </row>
    <row r="879" spans="1:3" x14ac:dyDescent="0.25">
      <c r="A879" s="36">
        <v>41199</v>
      </c>
      <c r="B879" s="122">
        <v>0.92280092592592589</v>
      </c>
      <c r="C879" s="26" t="s">
        <v>1155</v>
      </c>
    </row>
    <row r="880" spans="1:3" x14ac:dyDescent="0.25">
      <c r="A880" s="36">
        <v>41199</v>
      </c>
      <c r="B880" s="122">
        <v>0.92280092592592589</v>
      </c>
      <c r="C880" s="26" t="s">
        <v>1156</v>
      </c>
    </row>
    <row r="881" spans="1:3" x14ac:dyDescent="0.25">
      <c r="A881" s="36">
        <v>41199</v>
      </c>
      <c r="B881" s="122">
        <v>0.92280092592592589</v>
      </c>
      <c r="C881" s="26" t="s">
        <v>1157</v>
      </c>
    </row>
    <row r="882" spans="1:3" x14ac:dyDescent="0.25">
      <c r="A882" s="36">
        <v>41199</v>
      </c>
      <c r="B882" s="122">
        <v>0.92280092592592589</v>
      </c>
      <c r="C882" s="26" t="s">
        <v>1158</v>
      </c>
    </row>
    <row r="883" spans="1:3" x14ac:dyDescent="0.25">
      <c r="A883" s="36">
        <v>41199</v>
      </c>
      <c r="B883" s="122">
        <v>0.92280092592592589</v>
      </c>
      <c r="C883" s="26" t="s">
        <v>1159</v>
      </c>
    </row>
    <row r="884" spans="1:3" x14ac:dyDescent="0.25">
      <c r="A884" s="36">
        <v>41199</v>
      </c>
      <c r="B884" s="122">
        <v>0.92353009259259267</v>
      </c>
      <c r="C884" s="26" t="s">
        <v>1151</v>
      </c>
    </row>
    <row r="885" spans="1:3" x14ac:dyDescent="0.25">
      <c r="A885" s="36">
        <v>41199</v>
      </c>
      <c r="B885" s="122">
        <v>0.92353009259259267</v>
      </c>
      <c r="C885" s="26" t="s">
        <v>1152</v>
      </c>
    </row>
    <row r="886" spans="1:3" x14ac:dyDescent="0.25">
      <c r="A886" s="36">
        <v>41199</v>
      </c>
      <c r="B886" s="122">
        <v>0.92353009259259267</v>
      </c>
      <c r="C886" s="26" t="s">
        <v>1153</v>
      </c>
    </row>
    <row r="887" spans="1:3" x14ac:dyDescent="0.25">
      <c r="A887" s="36">
        <v>41199</v>
      </c>
      <c r="B887" s="122">
        <v>0.92353009259259267</v>
      </c>
      <c r="C887" s="26" t="s">
        <v>1154</v>
      </c>
    </row>
    <row r="888" spans="1:3" x14ac:dyDescent="0.25">
      <c r="A888" s="36">
        <v>41199</v>
      </c>
      <c r="B888" s="122">
        <v>0.92353009259259267</v>
      </c>
      <c r="C888" s="26" t="s">
        <v>1155</v>
      </c>
    </row>
    <row r="889" spans="1:3" x14ac:dyDescent="0.25">
      <c r="A889" s="36">
        <v>41199</v>
      </c>
      <c r="B889" s="122">
        <v>0.92353009259259267</v>
      </c>
      <c r="C889" s="26" t="s">
        <v>1156</v>
      </c>
    </row>
    <row r="890" spans="1:3" x14ac:dyDescent="0.25">
      <c r="A890" s="36">
        <v>41199</v>
      </c>
      <c r="B890" s="122">
        <v>0.92353009259259267</v>
      </c>
      <c r="C890" s="26" t="s">
        <v>1157</v>
      </c>
    </row>
    <row r="891" spans="1:3" x14ac:dyDescent="0.25">
      <c r="A891" s="36">
        <v>41199</v>
      </c>
      <c r="B891" s="122">
        <v>0.92353009259259267</v>
      </c>
      <c r="C891" s="26" t="s">
        <v>1158</v>
      </c>
    </row>
    <row r="892" spans="1:3" x14ac:dyDescent="0.25">
      <c r="A892" s="36">
        <v>41199</v>
      </c>
      <c r="B892" s="122">
        <v>0.92353009259259267</v>
      </c>
      <c r="C892" s="26" t="s">
        <v>1159</v>
      </c>
    </row>
    <row r="893" spans="1:3" x14ac:dyDescent="0.25">
      <c r="A893" s="36">
        <v>41199</v>
      </c>
      <c r="B893" s="122">
        <v>0.92413194444444446</v>
      </c>
      <c r="C893" s="26" t="s">
        <v>1151</v>
      </c>
    </row>
    <row r="894" spans="1:3" x14ac:dyDescent="0.25">
      <c r="A894" s="36">
        <v>41199</v>
      </c>
      <c r="B894" s="122">
        <v>0.92413194444444446</v>
      </c>
      <c r="C894" s="26" t="s">
        <v>1152</v>
      </c>
    </row>
    <row r="895" spans="1:3" x14ac:dyDescent="0.25">
      <c r="A895" s="36">
        <v>41199</v>
      </c>
      <c r="B895" s="122">
        <v>0.92413194444444446</v>
      </c>
      <c r="C895" s="26" t="s">
        <v>1153</v>
      </c>
    </row>
    <row r="896" spans="1:3" x14ac:dyDescent="0.25">
      <c r="A896" s="36">
        <v>41199</v>
      </c>
      <c r="B896" s="122">
        <v>0.92413194444444446</v>
      </c>
      <c r="C896" s="26" t="s">
        <v>1154</v>
      </c>
    </row>
    <row r="897" spans="1:3" x14ac:dyDescent="0.25">
      <c r="A897" s="36">
        <v>41199</v>
      </c>
      <c r="B897" s="122">
        <v>0.92413194444444446</v>
      </c>
      <c r="C897" s="26" t="s">
        <v>1155</v>
      </c>
    </row>
    <row r="898" spans="1:3" x14ac:dyDescent="0.25">
      <c r="A898" s="36">
        <v>41199</v>
      </c>
      <c r="B898" s="122">
        <v>0.92413194444444446</v>
      </c>
      <c r="C898" s="26" t="s">
        <v>1156</v>
      </c>
    </row>
    <row r="899" spans="1:3" x14ac:dyDescent="0.25">
      <c r="A899" s="36">
        <v>41199</v>
      </c>
      <c r="B899" s="122">
        <v>0.92413194444444446</v>
      </c>
      <c r="C899" s="26" t="s">
        <v>1157</v>
      </c>
    </row>
    <row r="900" spans="1:3" x14ac:dyDescent="0.25">
      <c r="A900" s="36">
        <v>41199</v>
      </c>
      <c r="B900" s="122">
        <v>0.92413194444444446</v>
      </c>
      <c r="C900" s="26" t="s">
        <v>1158</v>
      </c>
    </row>
    <row r="901" spans="1:3" x14ac:dyDescent="0.25">
      <c r="A901" s="36">
        <v>41199</v>
      </c>
      <c r="B901" s="122">
        <v>0.92413194444444446</v>
      </c>
      <c r="C901" s="26" t="s">
        <v>1159</v>
      </c>
    </row>
    <row r="902" spans="1:3" x14ac:dyDescent="0.25">
      <c r="A902" s="36">
        <v>41199</v>
      </c>
      <c r="B902" s="122">
        <v>0.92532407407407413</v>
      </c>
      <c r="C902" s="26" t="s">
        <v>1151</v>
      </c>
    </row>
    <row r="903" spans="1:3" x14ac:dyDescent="0.25">
      <c r="A903" s="36">
        <v>41199</v>
      </c>
      <c r="B903" s="122">
        <v>0.92532407407407413</v>
      </c>
      <c r="C903" s="26" t="s">
        <v>1152</v>
      </c>
    </row>
    <row r="904" spans="1:3" x14ac:dyDescent="0.25">
      <c r="A904" s="36">
        <v>41199</v>
      </c>
      <c r="B904" s="122">
        <v>0.92532407407407413</v>
      </c>
      <c r="C904" s="26" t="s">
        <v>1153</v>
      </c>
    </row>
    <row r="905" spans="1:3" x14ac:dyDescent="0.25">
      <c r="A905" s="36">
        <v>41199</v>
      </c>
      <c r="B905" s="122">
        <v>0.92532407407407413</v>
      </c>
      <c r="C905" s="26" t="s">
        <v>1154</v>
      </c>
    </row>
    <row r="906" spans="1:3" x14ac:dyDescent="0.25">
      <c r="A906" s="36">
        <v>41199</v>
      </c>
      <c r="B906" s="122">
        <v>0.92532407407407413</v>
      </c>
      <c r="C906" s="26" t="s">
        <v>1155</v>
      </c>
    </row>
    <row r="907" spans="1:3" x14ac:dyDescent="0.25">
      <c r="A907" s="36">
        <v>41199</v>
      </c>
      <c r="B907" s="122">
        <v>0.92532407407407413</v>
      </c>
      <c r="C907" s="26" t="s">
        <v>1156</v>
      </c>
    </row>
    <row r="908" spans="1:3" x14ac:dyDescent="0.25">
      <c r="A908" s="36">
        <v>41199</v>
      </c>
      <c r="B908" s="122">
        <v>0.92532407407407413</v>
      </c>
      <c r="C908" s="26" t="s">
        <v>1157</v>
      </c>
    </row>
    <row r="909" spans="1:3" x14ac:dyDescent="0.25">
      <c r="A909" s="36">
        <v>41199</v>
      </c>
      <c r="B909" s="122">
        <v>0.92532407407407413</v>
      </c>
      <c r="C909" s="26" t="s">
        <v>1158</v>
      </c>
    </row>
    <row r="910" spans="1:3" x14ac:dyDescent="0.25">
      <c r="A910" s="36">
        <v>41199</v>
      </c>
      <c r="B910" s="122">
        <v>0.92532407407407413</v>
      </c>
      <c r="C910" s="26" t="s">
        <v>1159</v>
      </c>
    </row>
    <row r="911" spans="1:3" x14ac:dyDescent="0.25">
      <c r="A911" s="36">
        <v>41199</v>
      </c>
      <c r="B911" s="122">
        <v>0.9278587962962962</v>
      </c>
      <c r="C911" s="26" t="s">
        <v>1151</v>
      </c>
    </row>
    <row r="912" spans="1:3" x14ac:dyDescent="0.25">
      <c r="A912" s="36">
        <v>41199</v>
      </c>
      <c r="B912" s="122">
        <v>0.9278587962962962</v>
      </c>
      <c r="C912" s="26" t="s">
        <v>1152</v>
      </c>
    </row>
    <row r="913" spans="1:3" x14ac:dyDescent="0.25">
      <c r="A913" s="36">
        <v>41199</v>
      </c>
      <c r="B913" s="122">
        <v>0.9278587962962962</v>
      </c>
      <c r="C913" s="26" t="s">
        <v>1153</v>
      </c>
    </row>
    <row r="914" spans="1:3" x14ac:dyDescent="0.25">
      <c r="A914" s="36">
        <v>41199</v>
      </c>
      <c r="B914" s="122">
        <v>0.9278587962962962</v>
      </c>
      <c r="C914" s="26" t="s">
        <v>1154</v>
      </c>
    </row>
    <row r="915" spans="1:3" x14ac:dyDescent="0.25">
      <c r="A915" s="36">
        <v>41199</v>
      </c>
      <c r="B915" s="122">
        <v>0.9278587962962962</v>
      </c>
      <c r="C915" s="26" t="s">
        <v>1155</v>
      </c>
    </row>
    <row r="916" spans="1:3" x14ac:dyDescent="0.25">
      <c r="A916" s="36">
        <v>41199</v>
      </c>
      <c r="B916" s="122">
        <v>0.9278587962962962</v>
      </c>
      <c r="C916" s="26" t="s">
        <v>1156</v>
      </c>
    </row>
    <row r="917" spans="1:3" x14ac:dyDescent="0.25">
      <c r="A917" s="36">
        <v>41199</v>
      </c>
      <c r="B917" s="122">
        <v>0.9278587962962962</v>
      </c>
      <c r="C917" s="26" t="s">
        <v>1157</v>
      </c>
    </row>
    <row r="918" spans="1:3" x14ac:dyDescent="0.25">
      <c r="A918" s="36">
        <v>41199</v>
      </c>
      <c r="B918" s="122">
        <v>0.9278587962962962</v>
      </c>
      <c r="C918" s="26" t="s">
        <v>1158</v>
      </c>
    </row>
    <row r="919" spans="1:3" x14ac:dyDescent="0.25">
      <c r="A919" s="36">
        <v>41199</v>
      </c>
      <c r="B919" s="122">
        <v>0.9278587962962962</v>
      </c>
      <c r="C919" s="26" t="s">
        <v>1159</v>
      </c>
    </row>
    <row r="920" spans="1:3" x14ac:dyDescent="0.25">
      <c r="A920" s="36">
        <v>41200</v>
      </c>
      <c r="B920" s="122">
        <v>5.0925925925925921E-4</v>
      </c>
      <c r="C920" s="26" t="s">
        <v>1151</v>
      </c>
    </row>
    <row r="921" spans="1:3" x14ac:dyDescent="0.25">
      <c r="A921" s="36">
        <v>41200</v>
      </c>
      <c r="B921" s="122">
        <v>5.0925925925925921E-4</v>
      </c>
      <c r="C921" s="26" t="s">
        <v>1152</v>
      </c>
    </row>
    <row r="922" spans="1:3" x14ac:dyDescent="0.25">
      <c r="A922" s="36">
        <v>41200</v>
      </c>
      <c r="B922" s="122">
        <v>5.0925925925925921E-4</v>
      </c>
      <c r="C922" s="26" t="s">
        <v>1153</v>
      </c>
    </row>
    <row r="923" spans="1:3" x14ac:dyDescent="0.25">
      <c r="A923" s="36">
        <v>41200</v>
      </c>
      <c r="B923" s="122">
        <v>5.0925925925925921E-4</v>
      </c>
      <c r="C923" s="26" t="s">
        <v>1154</v>
      </c>
    </row>
    <row r="924" spans="1:3" x14ac:dyDescent="0.25">
      <c r="A924" s="36">
        <v>41200</v>
      </c>
      <c r="B924" s="122">
        <v>5.0925925925925921E-4</v>
      </c>
      <c r="C924" s="26" t="s">
        <v>1155</v>
      </c>
    </row>
    <row r="925" spans="1:3" x14ac:dyDescent="0.25">
      <c r="A925" s="36">
        <v>41200</v>
      </c>
      <c r="B925" s="122">
        <v>5.0925925925925921E-4</v>
      </c>
      <c r="C925" s="26" t="s">
        <v>1156</v>
      </c>
    </row>
    <row r="926" spans="1:3" x14ac:dyDescent="0.25">
      <c r="A926" s="36">
        <v>41200</v>
      </c>
      <c r="B926" s="122">
        <v>5.0925925925925921E-4</v>
      </c>
      <c r="C926" s="26" t="s">
        <v>1157</v>
      </c>
    </row>
    <row r="927" spans="1:3" x14ac:dyDescent="0.25">
      <c r="A927" s="36">
        <v>41200</v>
      </c>
      <c r="B927" s="122">
        <v>5.0925925925925921E-4</v>
      </c>
      <c r="C927" s="26" t="s">
        <v>1158</v>
      </c>
    </row>
    <row r="928" spans="1:3" x14ac:dyDescent="0.25">
      <c r="A928" s="36">
        <v>41200</v>
      </c>
      <c r="B928" s="122">
        <v>5.0925925925925921E-4</v>
      </c>
      <c r="C928" s="26" t="s">
        <v>1159</v>
      </c>
    </row>
    <row r="929" spans="1:3" x14ac:dyDescent="0.25">
      <c r="A929" s="36">
        <v>41200</v>
      </c>
      <c r="B929" s="122">
        <v>5.9143518518518521E-3</v>
      </c>
      <c r="C929" s="26" t="s">
        <v>1160</v>
      </c>
    </row>
    <row r="930" spans="1:3" x14ac:dyDescent="0.25">
      <c r="A930" s="36">
        <v>41200</v>
      </c>
      <c r="B930" s="122">
        <v>5.9143518518518521E-3</v>
      </c>
      <c r="C930" s="26" t="s">
        <v>1161</v>
      </c>
    </row>
    <row r="931" spans="1:3" x14ac:dyDescent="0.25">
      <c r="A931" s="36">
        <v>41200</v>
      </c>
      <c r="B931" s="122">
        <v>5.9143518518518521E-3</v>
      </c>
      <c r="C931" s="26" t="s">
        <v>1162</v>
      </c>
    </row>
    <row r="932" spans="1:3" x14ac:dyDescent="0.25">
      <c r="A932" s="36">
        <v>41200</v>
      </c>
      <c r="B932" s="122">
        <v>5.9143518518518521E-3</v>
      </c>
      <c r="C932" s="26" t="s">
        <v>1163</v>
      </c>
    </row>
    <row r="933" spans="1:3" x14ac:dyDescent="0.25">
      <c r="A933" s="36">
        <v>41200</v>
      </c>
      <c r="B933" s="122">
        <v>5.9143518518518521E-3</v>
      </c>
      <c r="C933" s="26" t="s">
        <v>1164</v>
      </c>
    </row>
    <row r="934" spans="1:3" x14ac:dyDescent="0.25">
      <c r="A934" s="36">
        <v>41200</v>
      </c>
      <c r="B934" s="122">
        <v>5.9143518518518521E-3</v>
      </c>
      <c r="C934" s="26" t="s">
        <v>1165</v>
      </c>
    </row>
    <row r="935" spans="1:3" x14ac:dyDescent="0.25">
      <c r="A935" s="36">
        <v>41200</v>
      </c>
      <c r="B935" s="122">
        <v>5.9143518518518521E-3</v>
      </c>
      <c r="C935" s="26" t="s">
        <v>1166</v>
      </c>
    </row>
    <row r="936" spans="1:3" x14ac:dyDescent="0.25">
      <c r="A936" s="36">
        <v>41200</v>
      </c>
      <c r="B936" s="122">
        <v>5.9143518518518521E-3</v>
      </c>
      <c r="C936" s="26" t="s">
        <v>1167</v>
      </c>
    </row>
    <row r="937" spans="1:3" x14ac:dyDescent="0.25">
      <c r="A937" s="36">
        <v>41200</v>
      </c>
      <c r="B937" s="122">
        <v>5.9143518518518521E-3</v>
      </c>
      <c r="C937" s="26" t="s">
        <v>1168</v>
      </c>
    </row>
    <row r="938" spans="1:3" x14ac:dyDescent="0.25">
      <c r="A938" s="36">
        <v>41200</v>
      </c>
      <c r="B938" s="122">
        <v>5.9143518518518521E-3</v>
      </c>
      <c r="C938" s="26" t="s">
        <v>1169</v>
      </c>
    </row>
    <row r="939" spans="1:3" x14ac:dyDescent="0.25">
      <c r="A939" s="36">
        <v>41200</v>
      </c>
      <c r="B939" s="122">
        <v>8.9699074074074073E-3</v>
      </c>
      <c r="C939" s="26" t="s">
        <v>1122</v>
      </c>
    </row>
    <row r="940" spans="1:3" x14ac:dyDescent="0.25">
      <c r="A940" s="36">
        <v>41200</v>
      </c>
      <c r="B940" s="122">
        <v>1.8067129629629631E-2</v>
      </c>
      <c r="C940" s="26" t="s">
        <v>1122</v>
      </c>
    </row>
    <row r="941" spans="1:3" x14ac:dyDescent="0.25">
      <c r="A941" s="36">
        <v>41200</v>
      </c>
      <c r="B941" s="122">
        <v>2.5266203703703704E-2</v>
      </c>
      <c r="C941" s="26" t="s">
        <v>1122</v>
      </c>
    </row>
    <row r="942" spans="1:3" x14ac:dyDescent="0.25">
      <c r="A942" s="36">
        <v>41200</v>
      </c>
      <c r="B942" s="122">
        <v>8.5462962962962963E-2</v>
      </c>
      <c r="C942" s="26" t="s">
        <v>905</v>
      </c>
    </row>
    <row r="943" spans="1:3" x14ac:dyDescent="0.25">
      <c r="A943" s="36">
        <v>41200</v>
      </c>
      <c r="B943" s="122">
        <v>9.4756944444444449E-2</v>
      </c>
      <c r="C943" s="26" t="s">
        <v>1122</v>
      </c>
    </row>
    <row r="944" spans="1:3" x14ac:dyDescent="0.25">
      <c r="A944" s="36">
        <v>41200</v>
      </c>
      <c r="B944" s="122">
        <v>0.10942129629629631</v>
      </c>
      <c r="C944" s="26" t="s">
        <v>905</v>
      </c>
    </row>
    <row r="945" spans="1:3" x14ac:dyDescent="0.25">
      <c r="A945" s="36">
        <v>41200</v>
      </c>
      <c r="B945" s="122">
        <v>0.10961805555555555</v>
      </c>
      <c r="C945" s="26" t="s">
        <v>1122</v>
      </c>
    </row>
    <row r="946" spans="1:3" x14ac:dyDescent="0.25">
      <c r="A946" s="36">
        <v>41200</v>
      </c>
      <c r="B946" s="122">
        <v>0.11057870370370371</v>
      </c>
      <c r="C946" s="26" t="s">
        <v>905</v>
      </c>
    </row>
    <row r="947" spans="1:3" x14ac:dyDescent="0.25">
      <c r="A947" s="36">
        <v>41200</v>
      </c>
      <c r="B947" s="122">
        <v>0.1106712962962963</v>
      </c>
      <c r="C947" s="26" t="s">
        <v>1122</v>
      </c>
    </row>
    <row r="948" spans="1:3" x14ac:dyDescent="0.25">
      <c r="A948" s="36">
        <v>41200</v>
      </c>
      <c r="B948" s="122">
        <v>0.91350694444444447</v>
      </c>
      <c r="C948" s="26" t="s">
        <v>905</v>
      </c>
    </row>
    <row r="949" spans="1:3" x14ac:dyDescent="0.25">
      <c r="A949" s="36">
        <v>41200</v>
      </c>
      <c r="B949" s="122">
        <v>0.91377314814814825</v>
      </c>
      <c r="C949" s="26" t="s">
        <v>1170</v>
      </c>
    </row>
    <row r="950" spans="1:3" x14ac:dyDescent="0.25">
      <c r="A950" s="36">
        <v>41200</v>
      </c>
      <c r="B950" s="122">
        <v>0.94241898148148151</v>
      </c>
      <c r="C950" s="26" t="s">
        <v>1171</v>
      </c>
    </row>
    <row r="951" spans="1:3" x14ac:dyDescent="0.25">
      <c r="A951" s="36">
        <v>41200</v>
      </c>
      <c r="B951" s="122">
        <v>0.94643518518518521</v>
      </c>
      <c r="C951" s="26" t="s">
        <v>1136</v>
      </c>
    </row>
    <row r="952" spans="1:3" x14ac:dyDescent="0.25">
      <c r="A952" s="36">
        <v>41200</v>
      </c>
      <c r="B952" s="122">
        <v>0.94762731481481488</v>
      </c>
      <c r="C952" s="26" t="s">
        <v>1172</v>
      </c>
    </row>
    <row r="953" spans="1:3" x14ac:dyDescent="0.25">
      <c r="A953" s="36">
        <v>41200</v>
      </c>
      <c r="B953" s="122">
        <v>0.94879629629629625</v>
      </c>
      <c r="C953" s="26" t="s">
        <v>905</v>
      </c>
    </row>
    <row r="954" spans="1:3" x14ac:dyDescent="0.25">
      <c r="A954" s="36">
        <v>41200</v>
      </c>
      <c r="B954" s="122">
        <v>0.94918981481481479</v>
      </c>
      <c r="C954" s="26" t="s">
        <v>905</v>
      </c>
    </row>
    <row r="955" spans="1:3" x14ac:dyDescent="0.25">
      <c r="A955" s="36">
        <v>41200</v>
      </c>
      <c r="B955" s="122">
        <v>0.94924768518518521</v>
      </c>
      <c r="C955" s="26" t="s">
        <v>1173</v>
      </c>
    </row>
    <row r="956" spans="1:3" x14ac:dyDescent="0.25">
      <c r="A956" s="36">
        <v>41200</v>
      </c>
      <c r="B956" s="122">
        <v>0.96483796296296298</v>
      </c>
      <c r="C956" s="26" t="s">
        <v>1174</v>
      </c>
    </row>
    <row r="957" spans="1:3" x14ac:dyDescent="0.25">
      <c r="A957" s="36">
        <v>41200</v>
      </c>
      <c r="B957" s="122">
        <v>0.96592592592592597</v>
      </c>
      <c r="C957" s="26" t="s">
        <v>1136</v>
      </c>
    </row>
    <row r="958" spans="1:3" x14ac:dyDescent="0.25">
      <c r="A958" s="36">
        <v>41200</v>
      </c>
      <c r="B958" s="122">
        <v>0.9671412037037036</v>
      </c>
      <c r="C958" s="26" t="s">
        <v>1175</v>
      </c>
    </row>
    <row r="959" spans="1:3" x14ac:dyDescent="0.25">
      <c r="A959" s="36">
        <v>41200</v>
      </c>
      <c r="B959" s="122">
        <v>0.99938657407407405</v>
      </c>
      <c r="C959" s="26" t="s">
        <v>1098</v>
      </c>
    </row>
    <row r="960" spans="1:3" x14ac:dyDescent="0.25">
      <c r="A960" s="36">
        <v>41201</v>
      </c>
      <c r="B960" s="122">
        <v>6.5740740740740733E-3</v>
      </c>
      <c r="C960" s="26" t="s">
        <v>1098</v>
      </c>
    </row>
    <row r="961" spans="1:3" x14ac:dyDescent="0.25">
      <c r="A961" s="36">
        <v>41201</v>
      </c>
      <c r="B961" s="122">
        <v>8.4259259259259253E-3</v>
      </c>
      <c r="C961" s="26" t="s">
        <v>1098</v>
      </c>
    </row>
    <row r="962" spans="1:3" x14ac:dyDescent="0.25">
      <c r="A962" s="36">
        <v>41201</v>
      </c>
      <c r="B962" s="122">
        <v>1.0011574074074074E-2</v>
      </c>
      <c r="C962" s="26" t="s">
        <v>1098</v>
      </c>
    </row>
    <row r="963" spans="1:3" x14ac:dyDescent="0.25">
      <c r="A963" s="36">
        <v>41201</v>
      </c>
      <c r="B963" s="122">
        <v>1.019675925925926E-2</v>
      </c>
      <c r="C963" s="26" t="s">
        <v>1098</v>
      </c>
    </row>
    <row r="964" spans="1:3" x14ac:dyDescent="0.25">
      <c r="A964" s="36">
        <v>41201</v>
      </c>
      <c r="B964" s="122">
        <v>1.0844907407407407E-2</v>
      </c>
      <c r="C964" s="26" t="s">
        <v>1098</v>
      </c>
    </row>
    <row r="965" spans="1:3" x14ac:dyDescent="0.25">
      <c r="A965" s="36">
        <v>41201</v>
      </c>
      <c r="B965" s="122">
        <v>1.0960648148148148E-2</v>
      </c>
      <c r="C965" s="26" t="s">
        <v>1176</v>
      </c>
    </row>
    <row r="966" spans="1:3" x14ac:dyDescent="0.25">
      <c r="A966" s="36">
        <v>41201</v>
      </c>
      <c r="B966" s="122">
        <v>1.1446759259259261E-2</v>
      </c>
      <c r="C966" s="26" t="s">
        <v>1098</v>
      </c>
    </row>
    <row r="967" spans="1:3" x14ac:dyDescent="0.25">
      <c r="A967" s="36">
        <v>41201</v>
      </c>
      <c r="B967" s="122">
        <v>1.1516203703703702E-2</v>
      </c>
      <c r="C967" s="26" t="s">
        <v>1098</v>
      </c>
    </row>
    <row r="968" spans="1:3" x14ac:dyDescent="0.25">
      <c r="A968" s="36">
        <v>41201</v>
      </c>
      <c r="B968" s="122">
        <v>1.3796296296296298E-2</v>
      </c>
      <c r="C968" s="26" t="s">
        <v>1098</v>
      </c>
    </row>
    <row r="969" spans="1:3" x14ac:dyDescent="0.25">
      <c r="A969" s="36">
        <v>41201</v>
      </c>
      <c r="B969" s="122">
        <v>1.4143518518518519E-2</v>
      </c>
      <c r="C969" s="26" t="s">
        <v>1098</v>
      </c>
    </row>
    <row r="970" spans="1:3" x14ac:dyDescent="0.25">
      <c r="A970" s="36">
        <v>41201</v>
      </c>
      <c r="B970" s="122">
        <v>3.3460648148148149E-2</v>
      </c>
      <c r="C970" s="26" t="s">
        <v>1177</v>
      </c>
    </row>
    <row r="971" spans="1:3" x14ac:dyDescent="0.25">
      <c r="A971" s="36">
        <v>41201</v>
      </c>
      <c r="B971" s="122">
        <v>3.6342592592592593E-2</v>
      </c>
      <c r="C971" s="26" t="s">
        <v>1178</v>
      </c>
    </row>
    <row r="972" spans="1:3" x14ac:dyDescent="0.25">
      <c r="A972" s="36">
        <v>41201</v>
      </c>
      <c r="B972" s="122">
        <v>3.6921296296296292E-2</v>
      </c>
      <c r="C972" s="26" t="s">
        <v>1177</v>
      </c>
    </row>
    <row r="973" spans="1:3" x14ac:dyDescent="0.25">
      <c r="A973" s="36">
        <v>41201</v>
      </c>
      <c r="B973" s="122">
        <v>3.7928240740740742E-2</v>
      </c>
      <c r="C973" s="26" t="s">
        <v>1179</v>
      </c>
    </row>
    <row r="974" spans="1:3" x14ac:dyDescent="0.25">
      <c r="A974" s="36">
        <v>41201</v>
      </c>
      <c r="B974" s="122">
        <v>3.7928240740740742E-2</v>
      </c>
      <c r="C974" s="26" t="s">
        <v>1180</v>
      </c>
    </row>
    <row r="975" spans="1:3" x14ac:dyDescent="0.25">
      <c r="A975" s="36">
        <v>41201</v>
      </c>
      <c r="B975" s="122">
        <v>3.8275462962962963E-2</v>
      </c>
      <c r="C975" s="26" t="s">
        <v>1179</v>
      </c>
    </row>
    <row r="976" spans="1:3" x14ac:dyDescent="0.25">
      <c r="A976" s="36">
        <v>41201</v>
      </c>
      <c r="B976" s="122">
        <v>3.8275462962962963E-2</v>
      </c>
      <c r="C976" s="26" t="s">
        <v>1180</v>
      </c>
    </row>
    <row r="977" spans="1:3" x14ac:dyDescent="0.25">
      <c r="A977" s="36">
        <v>41201</v>
      </c>
      <c r="B977" s="122">
        <v>3.9074074074074074E-2</v>
      </c>
      <c r="C977" s="26" t="s">
        <v>1181</v>
      </c>
    </row>
    <row r="978" spans="1:3" x14ac:dyDescent="0.25">
      <c r="A978" s="36">
        <v>41201</v>
      </c>
      <c r="B978" s="122">
        <v>3.920138888888889E-2</v>
      </c>
      <c r="C978" s="26" t="s">
        <v>1182</v>
      </c>
    </row>
    <row r="979" spans="1:3" x14ac:dyDescent="0.25">
      <c r="A979" s="36">
        <v>41201</v>
      </c>
      <c r="B979" s="122">
        <v>3.9606481481481479E-2</v>
      </c>
      <c r="C979" s="26" t="s">
        <v>1183</v>
      </c>
    </row>
    <row r="980" spans="1:3" x14ac:dyDescent="0.25">
      <c r="A980" s="36">
        <v>41201</v>
      </c>
      <c r="B980" s="122">
        <v>4.1354166666666664E-2</v>
      </c>
      <c r="C980" s="26" t="s">
        <v>1183</v>
      </c>
    </row>
    <row r="981" spans="1:3" x14ac:dyDescent="0.25">
      <c r="A981" s="36">
        <v>41201</v>
      </c>
      <c r="B981" s="122">
        <v>4.1608796296296297E-2</v>
      </c>
      <c r="C981" s="26" t="s">
        <v>1184</v>
      </c>
    </row>
    <row r="982" spans="1:3" x14ac:dyDescent="0.25">
      <c r="A982" s="36">
        <v>41201</v>
      </c>
      <c r="B982" s="122">
        <v>4.2986111111111114E-2</v>
      </c>
      <c r="C982" s="26" t="s">
        <v>1185</v>
      </c>
    </row>
    <row r="983" spans="1:3" x14ac:dyDescent="0.25">
      <c r="A983" s="36">
        <v>41201</v>
      </c>
      <c r="B983" s="122">
        <v>4.3356481481481475E-2</v>
      </c>
      <c r="C983" s="26" t="s">
        <v>1186</v>
      </c>
    </row>
    <row r="984" spans="1:3" x14ac:dyDescent="0.25">
      <c r="A984" s="36">
        <v>41201</v>
      </c>
      <c r="B984" s="122">
        <v>4.3356481481481475E-2</v>
      </c>
      <c r="C984" s="26" t="s">
        <v>1187</v>
      </c>
    </row>
    <row r="985" spans="1:3" x14ac:dyDescent="0.25">
      <c r="A985" s="36">
        <v>41201</v>
      </c>
      <c r="B985" s="122">
        <v>4.3356481481481475E-2</v>
      </c>
      <c r="C985" s="26" t="s">
        <v>1188</v>
      </c>
    </row>
    <row r="986" spans="1:3" x14ac:dyDescent="0.25">
      <c r="A986" s="36">
        <v>41201</v>
      </c>
      <c r="B986" s="122">
        <v>4.341435185185185E-2</v>
      </c>
      <c r="C986" s="26" t="s">
        <v>1170</v>
      </c>
    </row>
    <row r="987" spans="1:3" x14ac:dyDescent="0.25">
      <c r="A987" s="36">
        <v>41201</v>
      </c>
      <c r="B987" s="122">
        <v>4.3495370370370372E-2</v>
      </c>
      <c r="C987" s="26" t="s">
        <v>1189</v>
      </c>
    </row>
    <row r="988" spans="1:3" x14ac:dyDescent="0.25">
      <c r="A988" s="36">
        <v>41201</v>
      </c>
      <c r="B988" s="122">
        <v>4.5081018518518513E-2</v>
      </c>
      <c r="C988" s="26" t="s">
        <v>1190</v>
      </c>
    </row>
    <row r="989" spans="1:3" x14ac:dyDescent="0.25">
      <c r="A989" s="36">
        <v>41201</v>
      </c>
      <c r="B989" s="122">
        <v>4.5081018518518513E-2</v>
      </c>
      <c r="C989" s="26" t="s">
        <v>1191</v>
      </c>
    </row>
    <row r="990" spans="1:3" x14ac:dyDescent="0.25">
      <c r="A990" s="36">
        <v>41201</v>
      </c>
      <c r="B990" s="122">
        <v>4.5277777777777778E-2</v>
      </c>
      <c r="C990" s="26" t="s">
        <v>1192</v>
      </c>
    </row>
    <row r="991" spans="1:3" x14ac:dyDescent="0.25">
      <c r="A991" s="36">
        <v>41201</v>
      </c>
      <c r="B991" s="122">
        <v>4.6793981481481478E-2</v>
      </c>
      <c r="C991" s="26" t="s">
        <v>1193</v>
      </c>
    </row>
    <row r="992" spans="1:3" x14ac:dyDescent="0.25">
      <c r="A992" s="36">
        <v>41201</v>
      </c>
      <c r="B992" s="122">
        <v>5.167824074074074E-2</v>
      </c>
      <c r="C992" s="26" t="s">
        <v>1177</v>
      </c>
    </row>
    <row r="993" spans="1:3" x14ac:dyDescent="0.25">
      <c r="A993" s="36">
        <v>41201</v>
      </c>
      <c r="B993" s="122">
        <v>5.185185185185185E-2</v>
      </c>
      <c r="C993" s="26" t="s">
        <v>1179</v>
      </c>
    </row>
    <row r="994" spans="1:3" x14ac:dyDescent="0.25">
      <c r="A994" s="36">
        <v>41201</v>
      </c>
      <c r="B994" s="122">
        <v>5.185185185185185E-2</v>
      </c>
      <c r="C994" s="26" t="s">
        <v>1180</v>
      </c>
    </row>
    <row r="995" spans="1:3" x14ac:dyDescent="0.25">
      <c r="A995" s="36">
        <v>41201</v>
      </c>
      <c r="B995" s="122">
        <v>5.3831018518518514E-2</v>
      </c>
      <c r="C995" s="26" t="s">
        <v>1177</v>
      </c>
    </row>
    <row r="996" spans="1:3" x14ac:dyDescent="0.25">
      <c r="A996" s="36">
        <v>41201</v>
      </c>
      <c r="B996" s="122">
        <v>5.3900462962962963E-2</v>
      </c>
      <c r="C996" s="26" t="s">
        <v>1179</v>
      </c>
    </row>
    <row r="997" spans="1:3" x14ac:dyDescent="0.25">
      <c r="A997" s="36">
        <v>41201</v>
      </c>
      <c r="B997" s="122">
        <v>5.3900462962962963E-2</v>
      </c>
      <c r="C997" s="26" t="s">
        <v>1180</v>
      </c>
    </row>
    <row r="998" spans="1:3" x14ac:dyDescent="0.25">
      <c r="A998" s="36">
        <v>41201</v>
      </c>
      <c r="B998" s="122">
        <v>5.6840277777777781E-2</v>
      </c>
      <c r="C998" s="26" t="s">
        <v>1177</v>
      </c>
    </row>
    <row r="999" spans="1:3" x14ac:dyDescent="0.25">
      <c r="A999" s="36">
        <v>41201</v>
      </c>
      <c r="B999" s="122">
        <v>5.6886574074074076E-2</v>
      </c>
      <c r="C999" s="26" t="s">
        <v>1179</v>
      </c>
    </row>
    <row r="1000" spans="1:3" x14ac:dyDescent="0.25">
      <c r="A1000" s="36">
        <v>41201</v>
      </c>
      <c r="B1000" s="122">
        <v>5.6886574074074076E-2</v>
      </c>
      <c r="C1000" s="26" t="s">
        <v>1180</v>
      </c>
    </row>
    <row r="1001" spans="1:3" x14ac:dyDescent="0.25">
      <c r="A1001" s="36">
        <v>41201</v>
      </c>
      <c r="B1001" s="122">
        <v>5.7581018518518517E-2</v>
      </c>
      <c r="C1001" s="26" t="s">
        <v>1177</v>
      </c>
    </row>
    <row r="1002" spans="1:3" x14ac:dyDescent="0.25">
      <c r="A1002" s="36">
        <v>41201</v>
      </c>
      <c r="B1002" s="122">
        <v>6.3067129629629626E-2</v>
      </c>
      <c r="C1002" s="26" t="s">
        <v>1177</v>
      </c>
    </row>
    <row r="1003" spans="1:3" x14ac:dyDescent="0.25">
      <c r="A1003" s="36">
        <v>41201</v>
      </c>
      <c r="B1003" s="122">
        <v>6.4201388888888891E-2</v>
      </c>
      <c r="C1003" s="26" t="s">
        <v>1177</v>
      </c>
    </row>
    <row r="1004" spans="1:3" x14ac:dyDescent="0.25">
      <c r="A1004" s="36">
        <v>41201</v>
      </c>
      <c r="B1004" s="122">
        <v>7.2291666666666657E-2</v>
      </c>
      <c r="C1004" s="26" t="s">
        <v>1177</v>
      </c>
    </row>
    <row r="1005" spans="1:3" x14ac:dyDescent="0.25">
      <c r="A1005" s="36">
        <v>41201</v>
      </c>
      <c r="B1005" s="122">
        <v>7.2326388888888885E-2</v>
      </c>
      <c r="C1005" s="26" t="s">
        <v>1179</v>
      </c>
    </row>
    <row r="1006" spans="1:3" x14ac:dyDescent="0.25">
      <c r="A1006" s="36">
        <v>41201</v>
      </c>
      <c r="B1006" s="122">
        <v>7.2326388888888885E-2</v>
      </c>
      <c r="C1006" s="26" t="s">
        <v>1180</v>
      </c>
    </row>
    <row r="1007" spans="1:3" x14ac:dyDescent="0.25">
      <c r="A1007" s="36">
        <v>41201</v>
      </c>
      <c r="B1007" s="122">
        <v>7.4305555555555555E-2</v>
      </c>
      <c r="C1007" s="26" t="s">
        <v>1177</v>
      </c>
    </row>
    <row r="1008" spans="1:3" x14ac:dyDescent="0.25">
      <c r="A1008" s="36">
        <v>41201</v>
      </c>
      <c r="B1008" s="122">
        <v>7.7129629629629631E-2</v>
      </c>
      <c r="C1008" s="26" t="s">
        <v>1177</v>
      </c>
    </row>
    <row r="1009" spans="1:3" x14ac:dyDescent="0.25">
      <c r="A1009" s="36">
        <v>41201</v>
      </c>
      <c r="B1009" s="122">
        <v>7.7175925925925926E-2</v>
      </c>
      <c r="C1009" s="26" t="s">
        <v>1179</v>
      </c>
    </row>
    <row r="1010" spans="1:3" x14ac:dyDescent="0.25">
      <c r="A1010" s="36">
        <v>41201</v>
      </c>
      <c r="B1010" s="122">
        <v>7.7175925925925926E-2</v>
      </c>
      <c r="C1010" s="26" t="s">
        <v>1180</v>
      </c>
    </row>
    <row r="1011" spans="1:3" x14ac:dyDescent="0.25">
      <c r="A1011" s="36">
        <v>41202</v>
      </c>
      <c r="B1011" s="122">
        <v>4.8460648148148149E-2</v>
      </c>
      <c r="C1011" s="26" t="s">
        <v>1178</v>
      </c>
    </row>
    <row r="1012" spans="1:3" x14ac:dyDescent="0.25">
      <c r="A1012" s="36">
        <v>41202</v>
      </c>
      <c r="B1012" s="122">
        <v>0.13693287037037036</v>
      </c>
      <c r="C1012" s="26" t="s">
        <v>1177</v>
      </c>
    </row>
    <row r="1013" spans="1:3" x14ac:dyDescent="0.25">
      <c r="A1013" s="36">
        <v>41204</v>
      </c>
      <c r="B1013" s="122">
        <v>0.99892361111111105</v>
      </c>
      <c r="C1013" s="26" t="s">
        <v>1202</v>
      </c>
    </row>
    <row r="1014" spans="1:3" x14ac:dyDescent="0.25">
      <c r="A1014" s="36">
        <v>41205</v>
      </c>
      <c r="B1014" s="122">
        <v>0.96807870370370364</v>
      </c>
      <c r="C1014" s="26" t="s">
        <v>1178</v>
      </c>
    </row>
    <row r="1015" spans="1:3" x14ac:dyDescent="0.25">
      <c r="A1015" s="36">
        <v>41205</v>
      </c>
      <c r="B1015" s="122">
        <v>0.9778472222222222</v>
      </c>
      <c r="C1015" s="26" t="s">
        <v>1111</v>
      </c>
    </row>
    <row r="1016" spans="1:3" x14ac:dyDescent="0.25">
      <c r="A1016" s="36">
        <v>41206</v>
      </c>
      <c r="B1016" s="122">
        <v>2.0370370370370369E-2</v>
      </c>
      <c r="C1016" s="26" t="s">
        <v>1207</v>
      </c>
    </row>
    <row r="1017" spans="1:3" x14ac:dyDescent="0.25">
      <c r="A1017" s="36">
        <v>41206</v>
      </c>
      <c r="B1017" s="122">
        <v>2.0370370370370369E-2</v>
      </c>
      <c r="C1017" s="26" t="s">
        <v>1177</v>
      </c>
    </row>
    <row r="1018" spans="1:3" x14ac:dyDescent="0.25">
      <c r="A1018" s="36">
        <v>41206</v>
      </c>
      <c r="B1018" s="122">
        <v>2.4884259259259259E-2</v>
      </c>
      <c r="C1018" s="26" t="s">
        <v>1208</v>
      </c>
    </row>
    <row r="1019" spans="1:3" x14ac:dyDescent="0.25">
      <c r="A1019" s="36">
        <v>41206</v>
      </c>
      <c r="B1019" s="122">
        <v>2.4884259259259259E-2</v>
      </c>
      <c r="C1019" s="26" t="s">
        <v>1179</v>
      </c>
    </row>
    <row r="1020" spans="1:3" x14ac:dyDescent="0.25">
      <c r="A1020" s="36">
        <v>41206</v>
      </c>
      <c r="B1020" s="122">
        <v>2.4884259259259259E-2</v>
      </c>
      <c r="C1020" s="26" t="s">
        <v>1180</v>
      </c>
    </row>
    <row r="1021" spans="1:3" x14ac:dyDescent="0.25">
      <c r="A1021" s="36">
        <v>41206</v>
      </c>
      <c r="B1021" s="122">
        <v>2.5011574074074075E-2</v>
      </c>
      <c r="C1021" s="26" t="s">
        <v>1179</v>
      </c>
    </row>
    <row r="1022" spans="1:3" x14ac:dyDescent="0.25">
      <c r="A1022" s="36">
        <v>41206</v>
      </c>
      <c r="B1022" s="122">
        <v>2.5011574074074075E-2</v>
      </c>
      <c r="C1022" s="26" t="s">
        <v>1180</v>
      </c>
    </row>
    <row r="1023" spans="1:3" x14ac:dyDescent="0.25">
      <c r="A1023" s="36">
        <v>41206</v>
      </c>
      <c r="B1023" s="122">
        <v>2.5104166666666664E-2</v>
      </c>
      <c r="C1023" s="26" t="s">
        <v>1181</v>
      </c>
    </row>
    <row r="1024" spans="1:3" x14ac:dyDescent="0.25">
      <c r="A1024" s="36">
        <v>41206</v>
      </c>
      <c r="B1024" s="122">
        <v>2.6238425925925925E-2</v>
      </c>
      <c r="C1024" s="26" t="s">
        <v>1207</v>
      </c>
    </row>
    <row r="1025" spans="1:3" x14ac:dyDescent="0.25">
      <c r="A1025" s="36">
        <v>41206</v>
      </c>
      <c r="B1025" s="122">
        <v>2.6249999999999999E-2</v>
      </c>
      <c r="C1025" s="26" t="s">
        <v>1177</v>
      </c>
    </row>
    <row r="1026" spans="1:3" x14ac:dyDescent="0.25">
      <c r="A1026" s="36">
        <v>41206</v>
      </c>
      <c r="B1026" s="122">
        <v>2.6354166666666668E-2</v>
      </c>
      <c r="C1026" s="26" t="s">
        <v>1208</v>
      </c>
    </row>
    <row r="1027" spans="1:3" x14ac:dyDescent="0.25">
      <c r="A1027" s="36">
        <v>41206</v>
      </c>
      <c r="B1027" s="122">
        <v>2.6354166666666668E-2</v>
      </c>
      <c r="C1027" s="26" t="s">
        <v>1179</v>
      </c>
    </row>
    <row r="1028" spans="1:3" x14ac:dyDescent="0.25">
      <c r="A1028" s="36">
        <v>41206</v>
      </c>
      <c r="B1028" s="122">
        <v>2.6354166666666668E-2</v>
      </c>
      <c r="C1028" s="26" t="s">
        <v>1180</v>
      </c>
    </row>
    <row r="1029" spans="1:3" x14ac:dyDescent="0.25">
      <c r="A1029" s="36">
        <v>41206</v>
      </c>
      <c r="B1029" s="122">
        <v>2.642361111111111E-2</v>
      </c>
      <c r="C1029" s="26" t="s">
        <v>1179</v>
      </c>
    </row>
    <row r="1030" spans="1:3" x14ac:dyDescent="0.25">
      <c r="A1030" s="36">
        <v>41206</v>
      </c>
      <c r="B1030" s="122">
        <v>2.642361111111111E-2</v>
      </c>
      <c r="C1030" s="26" t="s">
        <v>1180</v>
      </c>
    </row>
    <row r="1031" spans="1:3" x14ac:dyDescent="0.25">
      <c r="A1031" s="36">
        <v>41206</v>
      </c>
      <c r="B1031" s="122">
        <v>2.6493055555555558E-2</v>
      </c>
      <c r="C1031" s="26" t="s">
        <v>1181</v>
      </c>
    </row>
    <row r="1032" spans="1:3" x14ac:dyDescent="0.25">
      <c r="A1032" s="36">
        <v>41206</v>
      </c>
      <c r="B1032" s="122">
        <v>3.9247685185185184E-2</v>
      </c>
      <c r="C1032" s="26" t="s">
        <v>1207</v>
      </c>
    </row>
    <row r="1033" spans="1:3" x14ac:dyDescent="0.25">
      <c r="A1033" s="36">
        <v>41206</v>
      </c>
      <c r="B1033" s="122">
        <v>3.9247685185185184E-2</v>
      </c>
      <c r="C1033" s="26" t="s">
        <v>1177</v>
      </c>
    </row>
    <row r="1034" spans="1:3" x14ac:dyDescent="0.25">
      <c r="A1034" s="36">
        <v>41206</v>
      </c>
      <c r="B1034" s="122">
        <v>4.1365740740740745E-2</v>
      </c>
      <c r="C1034" s="26" t="s">
        <v>1208</v>
      </c>
    </row>
    <row r="1035" spans="1:3" x14ac:dyDescent="0.25">
      <c r="A1035" s="36">
        <v>41206</v>
      </c>
      <c r="B1035" s="122">
        <v>4.1365740740740745E-2</v>
      </c>
      <c r="C1035" s="26" t="s">
        <v>1179</v>
      </c>
    </row>
    <row r="1036" spans="1:3" x14ac:dyDescent="0.25">
      <c r="A1036" s="36">
        <v>41206</v>
      </c>
      <c r="B1036" s="122">
        <v>4.1365740740740745E-2</v>
      </c>
      <c r="C1036" s="26" t="s">
        <v>1180</v>
      </c>
    </row>
    <row r="1037" spans="1:3" x14ac:dyDescent="0.25">
      <c r="A1037" s="36">
        <v>41206</v>
      </c>
      <c r="B1037" s="122">
        <v>4.1435185185185179E-2</v>
      </c>
      <c r="C1037" s="26" t="s">
        <v>1179</v>
      </c>
    </row>
    <row r="1038" spans="1:3" x14ac:dyDescent="0.25">
      <c r="A1038" s="36">
        <v>41206</v>
      </c>
      <c r="B1038" s="122">
        <v>4.1435185185185179E-2</v>
      </c>
      <c r="C1038" s="26" t="s">
        <v>1180</v>
      </c>
    </row>
    <row r="1039" spans="1:3" x14ac:dyDescent="0.25">
      <c r="A1039" s="36">
        <v>41206</v>
      </c>
      <c r="B1039" s="122">
        <v>4.1493055555555554E-2</v>
      </c>
      <c r="C1039" s="26" t="s">
        <v>1181</v>
      </c>
    </row>
    <row r="1040" spans="1:3" x14ac:dyDescent="0.25">
      <c r="A1040" s="36">
        <v>41206</v>
      </c>
      <c r="B1040" s="122">
        <v>5.0081018518518518E-2</v>
      </c>
      <c r="C1040" s="26" t="s">
        <v>1207</v>
      </c>
    </row>
    <row r="1041" spans="1:3" x14ac:dyDescent="0.25">
      <c r="A1041" s="36">
        <v>41206</v>
      </c>
      <c r="B1041" s="122">
        <v>5.0081018518518518E-2</v>
      </c>
      <c r="C1041" s="26" t="s">
        <v>1177</v>
      </c>
    </row>
    <row r="1042" spans="1:3" x14ac:dyDescent="0.25">
      <c r="A1042" s="36">
        <v>41206</v>
      </c>
      <c r="B1042" s="122">
        <v>5.0127314814814812E-2</v>
      </c>
      <c r="C1042" s="26" t="s">
        <v>1208</v>
      </c>
    </row>
    <row r="1043" spans="1:3" x14ac:dyDescent="0.25">
      <c r="A1043" s="36">
        <v>41206</v>
      </c>
      <c r="B1043" s="122">
        <v>5.0127314814814812E-2</v>
      </c>
      <c r="C1043" s="26" t="s">
        <v>1179</v>
      </c>
    </row>
    <row r="1044" spans="1:3" x14ac:dyDescent="0.25">
      <c r="A1044" s="36">
        <v>41206</v>
      </c>
      <c r="B1044" s="122">
        <v>5.0127314814814812E-2</v>
      </c>
      <c r="C1044" s="26" t="s">
        <v>1180</v>
      </c>
    </row>
    <row r="1045" spans="1:3" x14ac:dyDescent="0.25">
      <c r="A1045" s="36">
        <v>41206</v>
      </c>
      <c r="B1045" s="122">
        <v>5.0173611111111106E-2</v>
      </c>
      <c r="C1045" s="26" t="s">
        <v>1179</v>
      </c>
    </row>
    <row r="1046" spans="1:3" x14ac:dyDescent="0.25">
      <c r="A1046" s="36">
        <v>41206</v>
      </c>
      <c r="B1046" s="122">
        <v>5.0173611111111106E-2</v>
      </c>
      <c r="C1046" s="26" t="s">
        <v>1180</v>
      </c>
    </row>
    <row r="1047" spans="1:3" x14ac:dyDescent="0.25">
      <c r="A1047" s="36">
        <v>41206</v>
      </c>
      <c r="B1047" s="122">
        <v>5.0208333333333334E-2</v>
      </c>
      <c r="C1047" s="26" t="s">
        <v>1181</v>
      </c>
    </row>
    <row r="1048" spans="1:3" x14ac:dyDescent="0.25">
      <c r="A1048" s="36">
        <v>41206</v>
      </c>
      <c r="B1048" s="122">
        <v>8.3043981481481483E-2</v>
      </c>
      <c r="C1048" s="26" t="s">
        <v>1207</v>
      </c>
    </row>
    <row r="1049" spans="1:3" x14ac:dyDescent="0.25">
      <c r="A1049" s="36">
        <v>41206</v>
      </c>
      <c r="B1049" s="122">
        <v>8.3043981481481483E-2</v>
      </c>
      <c r="C1049" s="26" t="s">
        <v>1177</v>
      </c>
    </row>
    <row r="1050" spans="1:3" x14ac:dyDescent="0.25">
      <c r="A1050" s="36">
        <v>41206</v>
      </c>
      <c r="B1050" s="122">
        <v>8.3101851851851857E-2</v>
      </c>
      <c r="C1050" s="26" t="s">
        <v>1208</v>
      </c>
    </row>
    <row r="1051" spans="1:3" x14ac:dyDescent="0.25">
      <c r="A1051" s="36">
        <v>41206</v>
      </c>
      <c r="B1051" s="122">
        <v>8.3101851851851857E-2</v>
      </c>
      <c r="C1051" s="26" t="s">
        <v>1179</v>
      </c>
    </row>
    <row r="1052" spans="1:3" x14ac:dyDescent="0.25">
      <c r="A1052" s="36">
        <v>41206</v>
      </c>
      <c r="B1052" s="122">
        <v>8.3101851851851857E-2</v>
      </c>
      <c r="C1052" s="26" t="s">
        <v>1180</v>
      </c>
    </row>
    <row r="1053" spans="1:3" x14ac:dyDescent="0.25">
      <c r="A1053" s="36">
        <v>41206</v>
      </c>
      <c r="B1053" s="122">
        <v>8.3159722222222218E-2</v>
      </c>
      <c r="C1053" s="26" t="s">
        <v>1179</v>
      </c>
    </row>
    <row r="1054" spans="1:3" x14ac:dyDescent="0.25">
      <c r="A1054" s="36">
        <v>41206</v>
      </c>
      <c r="B1054" s="122">
        <v>8.3159722222222218E-2</v>
      </c>
      <c r="C1054" s="26" t="s">
        <v>1180</v>
      </c>
    </row>
    <row r="1055" spans="1:3" x14ac:dyDescent="0.25">
      <c r="A1055" s="36">
        <v>41206</v>
      </c>
      <c r="B1055" s="122">
        <v>8.3206018518518512E-2</v>
      </c>
      <c r="C1055" s="26" t="s">
        <v>1181</v>
      </c>
    </row>
    <row r="1056" spans="1:3" x14ac:dyDescent="0.25">
      <c r="A1056" s="36">
        <v>41206</v>
      </c>
      <c r="B1056" s="122">
        <v>8.3252314814814821E-2</v>
      </c>
      <c r="C1056" s="26" t="s">
        <v>1182</v>
      </c>
    </row>
    <row r="1057" spans="1:3" x14ac:dyDescent="0.25">
      <c r="A1057" s="36">
        <v>41206</v>
      </c>
      <c r="B1057" s="122">
        <v>8.3310185185185182E-2</v>
      </c>
      <c r="C1057" s="26" t="s">
        <v>1183</v>
      </c>
    </row>
    <row r="1058" spans="1:3" x14ac:dyDescent="0.25">
      <c r="A1058" s="36">
        <v>41206</v>
      </c>
      <c r="B1058" s="122">
        <v>8.3368055555555556E-2</v>
      </c>
      <c r="C1058" s="26" t="s">
        <v>1183</v>
      </c>
    </row>
    <row r="1059" spans="1:3" x14ac:dyDescent="0.25">
      <c r="A1059" s="36">
        <v>41206</v>
      </c>
      <c r="B1059" s="122">
        <v>8.3414351851851851E-2</v>
      </c>
      <c r="C1059" s="26" t="s">
        <v>1184</v>
      </c>
    </row>
    <row r="1060" spans="1:3" x14ac:dyDescent="0.25">
      <c r="A1060" s="36">
        <v>41206</v>
      </c>
      <c r="B1060" s="122">
        <v>8.3460648148148145E-2</v>
      </c>
      <c r="C1060" s="26" t="s">
        <v>1209</v>
      </c>
    </row>
    <row r="1061" spans="1:3" x14ac:dyDescent="0.25">
      <c r="A1061" s="36">
        <v>41206</v>
      </c>
      <c r="B1061" s="122">
        <v>8.3460648148148145E-2</v>
      </c>
      <c r="C1061" s="26" t="s">
        <v>1185</v>
      </c>
    </row>
    <row r="1062" spans="1:3" x14ac:dyDescent="0.25">
      <c r="A1062" s="36">
        <v>41206</v>
      </c>
      <c r="B1062" s="122">
        <v>8.3622685185185189E-2</v>
      </c>
      <c r="C1062" s="26" t="s">
        <v>1210</v>
      </c>
    </row>
    <row r="1063" spans="1:3" x14ac:dyDescent="0.25">
      <c r="A1063" s="36">
        <v>41206</v>
      </c>
      <c r="B1063" s="122">
        <v>8.3622685185185189E-2</v>
      </c>
      <c r="C1063" s="26" t="s">
        <v>1186</v>
      </c>
    </row>
    <row r="1064" spans="1:3" x14ac:dyDescent="0.25">
      <c r="A1064" s="36">
        <v>41206</v>
      </c>
      <c r="B1064" s="122">
        <v>8.3622685185185189E-2</v>
      </c>
      <c r="C1064" s="26" t="s">
        <v>1187</v>
      </c>
    </row>
    <row r="1065" spans="1:3" x14ac:dyDescent="0.25">
      <c r="A1065" s="36">
        <v>41206</v>
      </c>
      <c r="B1065" s="122">
        <v>8.3622685185185189E-2</v>
      </c>
      <c r="C1065" s="26" t="s">
        <v>1188</v>
      </c>
    </row>
    <row r="1066" spans="1:3" x14ac:dyDescent="0.25">
      <c r="A1066" s="36">
        <v>41206</v>
      </c>
      <c r="B1066" s="122">
        <v>8.368055555555555E-2</v>
      </c>
      <c r="C1066" s="26" t="s">
        <v>1170</v>
      </c>
    </row>
    <row r="1067" spans="1:3" x14ac:dyDescent="0.25">
      <c r="A1067" s="36">
        <v>41206</v>
      </c>
      <c r="B1067" s="122">
        <v>8.3912037037037035E-2</v>
      </c>
      <c r="C1067" s="26" t="s">
        <v>1207</v>
      </c>
    </row>
    <row r="1068" spans="1:3" x14ac:dyDescent="0.25">
      <c r="A1068" s="36">
        <v>41206</v>
      </c>
      <c r="B1068" s="122">
        <v>8.3912037037037035E-2</v>
      </c>
      <c r="C1068" s="26" t="s">
        <v>1177</v>
      </c>
    </row>
    <row r="1069" spans="1:3" x14ac:dyDescent="0.25">
      <c r="A1069" s="36">
        <v>41206</v>
      </c>
      <c r="B1069" s="122">
        <v>8.4062499999999998E-2</v>
      </c>
      <c r="C1069" s="26" t="s">
        <v>1208</v>
      </c>
    </row>
    <row r="1070" spans="1:3" x14ac:dyDescent="0.25">
      <c r="A1070" s="36">
        <v>41206</v>
      </c>
      <c r="B1070" s="122">
        <v>8.4062499999999998E-2</v>
      </c>
      <c r="C1070" s="26" t="s">
        <v>1179</v>
      </c>
    </row>
    <row r="1071" spans="1:3" x14ac:dyDescent="0.25">
      <c r="A1071" s="36">
        <v>41206</v>
      </c>
      <c r="B1071" s="122">
        <v>8.4062499999999998E-2</v>
      </c>
      <c r="C1071" s="26" t="s">
        <v>1180</v>
      </c>
    </row>
    <row r="1072" spans="1:3" x14ac:dyDescent="0.25">
      <c r="A1072" s="36">
        <v>41206</v>
      </c>
      <c r="B1072" s="122">
        <v>8.4212962962962976E-2</v>
      </c>
      <c r="C1072" s="26" t="s">
        <v>1179</v>
      </c>
    </row>
    <row r="1073" spans="1:3" x14ac:dyDescent="0.25">
      <c r="A1073" s="36">
        <v>41206</v>
      </c>
      <c r="B1073" s="122">
        <v>8.4212962962962976E-2</v>
      </c>
      <c r="C1073" s="26" t="s">
        <v>1180</v>
      </c>
    </row>
    <row r="1074" spans="1:3" x14ac:dyDescent="0.25">
      <c r="A1074" s="36">
        <v>41206</v>
      </c>
      <c r="B1074" s="122">
        <v>8.443287037037038E-2</v>
      </c>
      <c r="C1074" s="26" t="s">
        <v>1181</v>
      </c>
    </row>
    <row r="1075" spans="1:3" x14ac:dyDescent="0.25">
      <c r="A1075" s="36">
        <v>41206</v>
      </c>
      <c r="B1075" s="122">
        <v>8.4502314814814808E-2</v>
      </c>
      <c r="C1075" s="26" t="s">
        <v>1182</v>
      </c>
    </row>
    <row r="1076" spans="1:3" x14ac:dyDescent="0.25">
      <c r="A1076" s="36">
        <v>41206</v>
      </c>
      <c r="B1076" s="122">
        <v>8.4571759259259263E-2</v>
      </c>
      <c r="C1076" s="26" t="s">
        <v>1183</v>
      </c>
    </row>
    <row r="1077" spans="1:3" x14ac:dyDescent="0.25">
      <c r="A1077" s="36">
        <v>41206</v>
      </c>
      <c r="B1077" s="122">
        <v>8.4641203703703705E-2</v>
      </c>
      <c r="C1077" s="26" t="s">
        <v>1183</v>
      </c>
    </row>
    <row r="1078" spans="1:3" x14ac:dyDescent="0.25">
      <c r="A1078" s="36">
        <v>41206</v>
      </c>
      <c r="B1078" s="122">
        <v>8.6932870370370383E-2</v>
      </c>
      <c r="C1078" s="26" t="s">
        <v>1207</v>
      </c>
    </row>
    <row r="1079" spans="1:3" x14ac:dyDescent="0.25">
      <c r="A1079" s="36">
        <v>41206</v>
      </c>
      <c r="B1079" s="122">
        <v>8.6932870370370383E-2</v>
      </c>
      <c r="C1079" s="26" t="s">
        <v>1177</v>
      </c>
    </row>
    <row r="1080" spans="1:3" x14ac:dyDescent="0.25">
      <c r="A1080" s="36">
        <v>41206</v>
      </c>
      <c r="B1080" s="122">
        <v>8.8773148148148143E-2</v>
      </c>
      <c r="C1080" s="26" t="s">
        <v>1208</v>
      </c>
    </row>
    <row r="1081" spans="1:3" x14ac:dyDescent="0.25">
      <c r="A1081" s="36">
        <v>41206</v>
      </c>
      <c r="B1081" s="122">
        <v>8.8784722222222223E-2</v>
      </c>
      <c r="C1081" s="26" t="s">
        <v>1179</v>
      </c>
    </row>
    <row r="1082" spans="1:3" x14ac:dyDescent="0.25">
      <c r="A1082" s="36">
        <v>41206</v>
      </c>
      <c r="B1082" s="122">
        <v>8.8784722222222223E-2</v>
      </c>
      <c r="C1082" s="26" t="s">
        <v>1180</v>
      </c>
    </row>
    <row r="1083" spans="1:3" x14ac:dyDescent="0.25">
      <c r="A1083" s="36">
        <v>41206</v>
      </c>
      <c r="B1083" s="122">
        <v>9.0983796296296285E-2</v>
      </c>
      <c r="C1083" s="26" t="s">
        <v>1179</v>
      </c>
    </row>
    <row r="1084" spans="1:3" x14ac:dyDescent="0.25">
      <c r="A1084" s="36">
        <v>41206</v>
      </c>
      <c r="B1084" s="122">
        <v>9.0983796296296285E-2</v>
      </c>
      <c r="C1084" s="26" t="s">
        <v>1180</v>
      </c>
    </row>
    <row r="1085" spans="1:3" x14ac:dyDescent="0.25">
      <c r="A1085" s="36">
        <v>41206</v>
      </c>
      <c r="B1085" s="122">
        <v>9.1747685185185182E-2</v>
      </c>
      <c r="C1085" s="26" t="s">
        <v>1207</v>
      </c>
    </row>
    <row r="1086" spans="1:3" x14ac:dyDescent="0.25">
      <c r="A1086" s="36">
        <v>41206</v>
      </c>
      <c r="B1086" s="122">
        <v>9.1747685185185182E-2</v>
      </c>
      <c r="C1086" s="26" t="s">
        <v>1177</v>
      </c>
    </row>
    <row r="1087" spans="1:3" x14ac:dyDescent="0.25">
      <c r="A1087" s="36">
        <v>41206</v>
      </c>
      <c r="B1087" s="122">
        <v>9.1817129629629624E-2</v>
      </c>
      <c r="C1087" s="26" t="s">
        <v>1208</v>
      </c>
    </row>
    <row r="1088" spans="1:3" x14ac:dyDescent="0.25">
      <c r="A1088" s="36">
        <v>41206</v>
      </c>
      <c r="B1088" s="122">
        <v>9.1828703703703704E-2</v>
      </c>
      <c r="C1088" s="26" t="s">
        <v>1179</v>
      </c>
    </row>
    <row r="1089" spans="1:3" x14ac:dyDescent="0.25">
      <c r="A1089" s="36">
        <v>41206</v>
      </c>
      <c r="B1089" s="122">
        <v>9.1828703703703704E-2</v>
      </c>
      <c r="C1089" s="26" t="s">
        <v>1180</v>
      </c>
    </row>
    <row r="1090" spans="1:3" x14ac:dyDescent="0.25">
      <c r="A1090" s="36">
        <v>41206</v>
      </c>
      <c r="B1090" s="122">
        <v>9.1932870370370359E-2</v>
      </c>
      <c r="C1090" s="26" t="s">
        <v>1179</v>
      </c>
    </row>
    <row r="1091" spans="1:3" x14ac:dyDescent="0.25">
      <c r="A1091" s="36">
        <v>41206</v>
      </c>
      <c r="B1091" s="122">
        <v>9.1932870370370359E-2</v>
      </c>
      <c r="C1091" s="26" t="s">
        <v>1180</v>
      </c>
    </row>
    <row r="1092" spans="1:3" x14ac:dyDescent="0.25">
      <c r="A1092" s="36">
        <v>41206</v>
      </c>
      <c r="B1092" s="122">
        <v>9.2013888888888895E-2</v>
      </c>
      <c r="C1092" s="26" t="s">
        <v>1181</v>
      </c>
    </row>
    <row r="1093" spans="1:3" x14ac:dyDescent="0.25">
      <c r="A1093" s="36">
        <v>41206</v>
      </c>
      <c r="B1093" s="122">
        <v>9.2071759259259256E-2</v>
      </c>
      <c r="C1093" s="26" t="s">
        <v>1182</v>
      </c>
    </row>
    <row r="1094" spans="1:3" x14ac:dyDescent="0.25">
      <c r="A1094" s="36">
        <v>41206</v>
      </c>
      <c r="B1094" s="122">
        <v>9.22337962962963E-2</v>
      </c>
      <c r="C1094" s="26" t="s">
        <v>1183</v>
      </c>
    </row>
    <row r="1095" spans="1:3" x14ac:dyDescent="0.25">
      <c r="A1095" s="36">
        <v>41206</v>
      </c>
      <c r="B1095" s="122">
        <v>9.2303240740740741E-2</v>
      </c>
      <c r="C1095" s="26" t="s">
        <v>1183</v>
      </c>
    </row>
    <row r="1096" spans="1:3" x14ac:dyDescent="0.25">
      <c r="A1096" s="36">
        <v>41206</v>
      </c>
      <c r="B1096" s="122">
        <v>9.2372685185185197E-2</v>
      </c>
      <c r="C1096" s="26" t="s">
        <v>1184</v>
      </c>
    </row>
    <row r="1097" spans="1:3" x14ac:dyDescent="0.25">
      <c r="A1097" s="36">
        <v>41206</v>
      </c>
      <c r="B1097" s="122">
        <v>9.2465277777777785E-2</v>
      </c>
      <c r="C1097" s="26" t="s">
        <v>1209</v>
      </c>
    </row>
    <row r="1098" spans="1:3" x14ac:dyDescent="0.25">
      <c r="A1098" s="36">
        <v>41206</v>
      </c>
      <c r="B1098" s="122">
        <v>9.2465277777777785E-2</v>
      </c>
      <c r="C1098" s="26" t="s">
        <v>1185</v>
      </c>
    </row>
    <row r="1099" spans="1:3" x14ac:dyDescent="0.25">
      <c r="A1099" s="36">
        <v>41206</v>
      </c>
      <c r="B1099" s="122">
        <v>9.2534722222222213E-2</v>
      </c>
      <c r="C1099" s="26" t="s">
        <v>1210</v>
      </c>
    </row>
    <row r="1100" spans="1:3" x14ac:dyDescent="0.25">
      <c r="A1100" s="36">
        <v>41206</v>
      </c>
      <c r="B1100" s="122">
        <v>9.2546296296296293E-2</v>
      </c>
      <c r="C1100" s="26" t="s">
        <v>1186</v>
      </c>
    </row>
    <row r="1101" spans="1:3" x14ac:dyDescent="0.25">
      <c r="A1101" s="36">
        <v>41206</v>
      </c>
      <c r="B1101" s="122">
        <v>9.2546296296296293E-2</v>
      </c>
      <c r="C1101" s="26" t="s">
        <v>1187</v>
      </c>
    </row>
    <row r="1102" spans="1:3" x14ac:dyDescent="0.25">
      <c r="A1102" s="36">
        <v>41206</v>
      </c>
      <c r="B1102" s="122">
        <v>9.2546296296296293E-2</v>
      </c>
      <c r="C1102" s="26" t="s">
        <v>1188</v>
      </c>
    </row>
    <row r="1103" spans="1:3" x14ac:dyDescent="0.25">
      <c r="A1103" s="36">
        <v>41206</v>
      </c>
      <c r="B1103" s="122">
        <v>9.2592592592592601E-2</v>
      </c>
      <c r="C1103" s="26" t="s">
        <v>1170</v>
      </c>
    </row>
    <row r="1104" spans="1:3" x14ac:dyDescent="0.25">
      <c r="A1104" s="36">
        <v>41206</v>
      </c>
      <c r="B1104" s="122">
        <v>9.2673611111111109E-2</v>
      </c>
      <c r="C1104" s="26" t="s">
        <v>1189</v>
      </c>
    </row>
    <row r="1105" spans="1:3" x14ac:dyDescent="0.25">
      <c r="A1105" s="36">
        <v>41206</v>
      </c>
      <c r="B1105" s="122">
        <v>9.302083333333333E-2</v>
      </c>
      <c r="C1105" s="26" t="s">
        <v>1190</v>
      </c>
    </row>
    <row r="1106" spans="1:3" x14ac:dyDescent="0.25">
      <c r="A1106" s="36">
        <v>41206</v>
      </c>
      <c r="B1106" s="122">
        <v>9.302083333333333E-2</v>
      </c>
      <c r="C1106" s="26" t="s">
        <v>1191</v>
      </c>
    </row>
    <row r="1107" spans="1:3" x14ac:dyDescent="0.25">
      <c r="A1107" s="36">
        <v>41207</v>
      </c>
      <c r="B1107" s="122">
        <v>2.4039351851851853E-2</v>
      </c>
      <c r="C1107" s="26" t="s">
        <v>1207</v>
      </c>
    </row>
    <row r="1108" spans="1:3" x14ac:dyDescent="0.25">
      <c r="A1108" s="36">
        <v>41207</v>
      </c>
      <c r="B1108" s="122">
        <v>2.4039351851851853E-2</v>
      </c>
      <c r="C1108" s="26" t="s">
        <v>1177</v>
      </c>
    </row>
    <row r="1109" spans="1:3" x14ac:dyDescent="0.25">
      <c r="A1109" s="36">
        <v>41207</v>
      </c>
      <c r="B1109" s="122">
        <v>2.4085648148148148E-2</v>
      </c>
      <c r="C1109" s="26" t="s">
        <v>1208</v>
      </c>
    </row>
    <row r="1110" spans="1:3" x14ac:dyDescent="0.25">
      <c r="A1110" s="36">
        <v>41207</v>
      </c>
      <c r="B1110" s="122">
        <v>2.4097222222222225E-2</v>
      </c>
      <c r="C1110" s="26" t="s">
        <v>1179</v>
      </c>
    </row>
    <row r="1111" spans="1:3" x14ac:dyDescent="0.25">
      <c r="A1111" s="36">
        <v>41207</v>
      </c>
      <c r="B1111" s="122">
        <v>2.4097222222222225E-2</v>
      </c>
      <c r="C1111" s="26" t="s">
        <v>1180</v>
      </c>
    </row>
    <row r="1112" spans="1:3" x14ac:dyDescent="0.25">
      <c r="A1112" s="36">
        <v>41207</v>
      </c>
      <c r="B1112" s="122">
        <v>2.4143518518518519E-2</v>
      </c>
      <c r="C1112" s="26" t="s">
        <v>1179</v>
      </c>
    </row>
    <row r="1113" spans="1:3" x14ac:dyDescent="0.25">
      <c r="A1113" s="36">
        <v>41207</v>
      </c>
      <c r="B1113" s="122">
        <v>2.4143518518518519E-2</v>
      </c>
      <c r="C1113" s="26" t="s">
        <v>1180</v>
      </c>
    </row>
    <row r="1114" spans="1:3" x14ac:dyDescent="0.25">
      <c r="A1114" s="36">
        <v>41207</v>
      </c>
      <c r="B1114" s="122">
        <v>2.4201388888888887E-2</v>
      </c>
      <c r="C1114" s="26" t="s">
        <v>1181</v>
      </c>
    </row>
    <row r="1115" spans="1:3" x14ac:dyDescent="0.25">
      <c r="A1115" s="36">
        <v>41207</v>
      </c>
      <c r="B1115" s="122">
        <v>2.8506944444444442E-2</v>
      </c>
      <c r="C1115" s="26" t="s">
        <v>1207</v>
      </c>
    </row>
    <row r="1116" spans="1:3" x14ac:dyDescent="0.25">
      <c r="A1116" s="36">
        <v>41207</v>
      </c>
      <c r="B1116" s="122">
        <v>2.8506944444444442E-2</v>
      </c>
      <c r="C1116" s="26" t="s">
        <v>1177</v>
      </c>
    </row>
    <row r="1117" spans="1:3" x14ac:dyDescent="0.25">
      <c r="A1117" s="36">
        <v>41207</v>
      </c>
      <c r="B1117" s="122">
        <v>2.855324074074074E-2</v>
      </c>
      <c r="C1117" s="26" t="s">
        <v>1208</v>
      </c>
    </row>
    <row r="1118" spans="1:3" x14ac:dyDescent="0.25">
      <c r="A1118" s="36">
        <v>41207</v>
      </c>
      <c r="B1118" s="122">
        <v>2.855324074074074E-2</v>
      </c>
      <c r="C1118" s="26" t="s">
        <v>1179</v>
      </c>
    </row>
    <row r="1119" spans="1:3" x14ac:dyDescent="0.25">
      <c r="A1119" s="36">
        <v>41207</v>
      </c>
      <c r="B1119" s="122">
        <v>2.855324074074074E-2</v>
      </c>
      <c r="C1119" s="26" t="s">
        <v>1180</v>
      </c>
    </row>
    <row r="1120" spans="1:3" x14ac:dyDescent="0.25">
      <c r="A1120" s="36">
        <v>41207</v>
      </c>
      <c r="B1120" s="122">
        <v>2.8622685185185185E-2</v>
      </c>
      <c r="C1120" s="26" t="s">
        <v>1179</v>
      </c>
    </row>
    <row r="1121" spans="1:3" x14ac:dyDescent="0.25">
      <c r="A1121" s="36">
        <v>41207</v>
      </c>
      <c r="B1121" s="122">
        <v>2.8622685185185185E-2</v>
      </c>
      <c r="C1121" s="26" t="s">
        <v>1180</v>
      </c>
    </row>
    <row r="1122" spans="1:3" x14ac:dyDescent="0.25">
      <c r="A1122" s="36">
        <v>41207</v>
      </c>
      <c r="B1122" s="122">
        <v>2.8680555555555553E-2</v>
      </c>
      <c r="C1122" s="26" t="s">
        <v>1181</v>
      </c>
    </row>
    <row r="1123" spans="1:3" x14ac:dyDescent="0.25">
      <c r="A1123" s="36">
        <v>41207</v>
      </c>
      <c r="B1123" s="122">
        <v>4.445601851851852E-2</v>
      </c>
      <c r="C1123" s="26" t="s">
        <v>1207</v>
      </c>
    </row>
    <row r="1124" spans="1:3" x14ac:dyDescent="0.25">
      <c r="A1124" s="36">
        <v>41207</v>
      </c>
      <c r="B1124" s="122">
        <v>4.445601851851852E-2</v>
      </c>
      <c r="C1124" s="26" t="s">
        <v>1177</v>
      </c>
    </row>
    <row r="1125" spans="1:3" x14ac:dyDescent="0.25">
      <c r="A1125" s="36">
        <v>41207</v>
      </c>
      <c r="B1125" s="122">
        <v>4.4502314814814814E-2</v>
      </c>
      <c r="C1125" s="26" t="s">
        <v>1208</v>
      </c>
    </row>
    <row r="1126" spans="1:3" x14ac:dyDescent="0.25">
      <c r="A1126" s="36">
        <v>41207</v>
      </c>
      <c r="B1126" s="122">
        <v>4.4502314814814814E-2</v>
      </c>
      <c r="C1126" s="26" t="s">
        <v>1179</v>
      </c>
    </row>
    <row r="1127" spans="1:3" x14ac:dyDescent="0.25">
      <c r="A1127" s="36">
        <v>41207</v>
      </c>
      <c r="B1127" s="122">
        <v>4.4502314814814814E-2</v>
      </c>
      <c r="C1127" s="26" t="s">
        <v>1180</v>
      </c>
    </row>
    <row r="1128" spans="1:3" x14ac:dyDescent="0.25">
      <c r="A1128" s="36">
        <v>41207</v>
      </c>
      <c r="B1128" s="122">
        <v>4.4548611111111108E-2</v>
      </c>
      <c r="C1128" s="26" t="s">
        <v>1179</v>
      </c>
    </row>
    <row r="1129" spans="1:3" x14ac:dyDescent="0.25">
      <c r="A1129" s="36">
        <v>41207</v>
      </c>
      <c r="B1129" s="122">
        <v>4.4548611111111108E-2</v>
      </c>
      <c r="C1129" s="26" t="s">
        <v>1180</v>
      </c>
    </row>
    <row r="1130" spans="1:3" x14ac:dyDescent="0.25">
      <c r="A1130" s="36">
        <v>41207</v>
      </c>
      <c r="B1130" s="122">
        <v>4.4594907407407409E-2</v>
      </c>
      <c r="C1130" s="26" t="s">
        <v>1181</v>
      </c>
    </row>
    <row r="1131" spans="1:3" x14ac:dyDescent="0.25">
      <c r="A1131" s="36">
        <v>41207</v>
      </c>
      <c r="B1131" s="122">
        <v>0.71572916666666664</v>
      </c>
      <c r="C1131" s="26" t="s">
        <v>1212</v>
      </c>
    </row>
    <row r="1132" spans="1:3" x14ac:dyDescent="0.25">
      <c r="A1132" s="36">
        <v>41207</v>
      </c>
      <c r="B1132" s="122">
        <v>0.72103009259259254</v>
      </c>
      <c r="C1132" s="26" t="s">
        <v>1213</v>
      </c>
    </row>
    <row r="1133" spans="1:3" x14ac:dyDescent="0.25">
      <c r="A1133" s="36">
        <v>41207</v>
      </c>
      <c r="B1133" s="122">
        <v>0.72288194444444442</v>
      </c>
      <c r="C1133" s="26" t="s">
        <v>1080</v>
      </c>
    </row>
    <row r="1134" spans="1:3" x14ac:dyDescent="0.25">
      <c r="A1134" s="36">
        <v>41207</v>
      </c>
      <c r="B1134" s="122">
        <v>0.72288194444444442</v>
      </c>
      <c r="C1134" s="26" t="s">
        <v>1081</v>
      </c>
    </row>
    <row r="1135" spans="1:3" x14ac:dyDescent="0.25">
      <c r="A1135" s="36">
        <v>41207</v>
      </c>
      <c r="B1135" s="122">
        <v>0.72288194444444442</v>
      </c>
      <c r="C1135" s="26" t="s">
        <v>1082</v>
      </c>
    </row>
    <row r="1136" spans="1:3" x14ac:dyDescent="0.25">
      <c r="A1136" s="36">
        <v>41207</v>
      </c>
      <c r="B1136" s="122">
        <v>0.72288194444444442</v>
      </c>
      <c r="C1136" s="26" t="s">
        <v>1083</v>
      </c>
    </row>
    <row r="1137" spans="1:3" x14ac:dyDescent="0.25">
      <c r="A1137" s="36">
        <v>41207</v>
      </c>
      <c r="B1137" s="122">
        <v>0.72288194444444442</v>
      </c>
      <c r="C1137" s="26" t="s">
        <v>992</v>
      </c>
    </row>
    <row r="1138" spans="1:3" x14ac:dyDescent="0.25">
      <c r="A1138" s="36">
        <v>41207</v>
      </c>
      <c r="B1138" s="122">
        <v>0.72288194444444442</v>
      </c>
      <c r="C1138" s="26" t="s">
        <v>1084</v>
      </c>
    </row>
    <row r="1139" spans="1:3" x14ac:dyDescent="0.25">
      <c r="A1139" s="36">
        <v>41207</v>
      </c>
      <c r="B1139" s="122">
        <v>0.72288194444444442</v>
      </c>
      <c r="C1139" s="26" t="s">
        <v>1085</v>
      </c>
    </row>
    <row r="1140" spans="1:3" x14ac:dyDescent="0.25">
      <c r="A1140" s="36">
        <v>41207</v>
      </c>
      <c r="B1140" s="122">
        <v>0.72288194444444442</v>
      </c>
      <c r="C1140" s="26" t="s">
        <v>1086</v>
      </c>
    </row>
    <row r="1141" spans="1:3" x14ac:dyDescent="0.25">
      <c r="A1141" s="36">
        <v>41207</v>
      </c>
      <c r="B1141" s="122">
        <v>0.72288194444444442</v>
      </c>
      <c r="C1141" s="26" t="s">
        <v>1085</v>
      </c>
    </row>
    <row r="1142" spans="1:3" x14ac:dyDescent="0.25">
      <c r="A1142" s="36">
        <v>41207</v>
      </c>
      <c r="B1142" s="122">
        <v>0.72288194444444442</v>
      </c>
      <c r="C1142" s="26" t="s">
        <v>1087</v>
      </c>
    </row>
    <row r="1143" spans="1:3" x14ac:dyDescent="0.25">
      <c r="A1143" s="36">
        <v>41207</v>
      </c>
      <c r="B1143" s="122">
        <v>0.72288194444444442</v>
      </c>
      <c r="C1143" s="26" t="s">
        <v>1088</v>
      </c>
    </row>
    <row r="1144" spans="1:3" x14ac:dyDescent="0.25">
      <c r="A1144" s="36">
        <v>41207</v>
      </c>
      <c r="B1144" s="122">
        <v>0.72288194444444442</v>
      </c>
      <c r="C1144" s="26" t="s">
        <v>1089</v>
      </c>
    </row>
    <row r="1145" spans="1:3" x14ac:dyDescent="0.25">
      <c r="A1145" s="36">
        <v>41207</v>
      </c>
      <c r="B1145" s="122">
        <v>0.72288194444444442</v>
      </c>
      <c r="C1145" s="26" t="s">
        <v>1088</v>
      </c>
    </row>
    <row r="1146" spans="1:3" x14ac:dyDescent="0.25">
      <c r="A1146" s="36">
        <v>41207</v>
      </c>
      <c r="B1146" s="122">
        <v>0.72288194444444442</v>
      </c>
      <c r="C1146" s="26" t="s">
        <v>1090</v>
      </c>
    </row>
    <row r="1147" spans="1:3" x14ac:dyDescent="0.25">
      <c r="A1147" s="36">
        <v>41207</v>
      </c>
      <c r="B1147" s="122">
        <v>0.72288194444444442</v>
      </c>
      <c r="C1147" s="26" t="s">
        <v>1091</v>
      </c>
    </row>
    <row r="1148" spans="1:3" x14ac:dyDescent="0.25">
      <c r="A1148" s="36">
        <v>41207</v>
      </c>
      <c r="B1148" s="122">
        <v>0.72288194444444442</v>
      </c>
      <c r="C1148" s="26" t="s">
        <v>1092</v>
      </c>
    </row>
    <row r="1149" spans="1:3" x14ac:dyDescent="0.25">
      <c r="A1149" s="36">
        <v>41207</v>
      </c>
      <c r="B1149" s="122">
        <v>0.72288194444444442</v>
      </c>
      <c r="C1149" s="26" t="s">
        <v>1091</v>
      </c>
    </row>
    <row r="1150" spans="1:3" x14ac:dyDescent="0.25">
      <c r="A1150" s="36">
        <v>41207</v>
      </c>
      <c r="B1150" s="122">
        <v>0.72288194444444442</v>
      </c>
      <c r="C1150" s="26" t="s">
        <v>1214</v>
      </c>
    </row>
    <row r="1151" spans="1:3" x14ac:dyDescent="0.25">
      <c r="A1151" s="36">
        <v>41207</v>
      </c>
      <c r="B1151" s="122">
        <v>0.72289351851851846</v>
      </c>
      <c r="C1151" s="26" t="s">
        <v>1091</v>
      </c>
    </row>
    <row r="1152" spans="1:3" x14ac:dyDescent="0.25">
      <c r="A1152" s="36">
        <v>41207</v>
      </c>
      <c r="B1152" s="122">
        <v>0.72289351851851846</v>
      </c>
      <c r="C1152" s="26" t="s">
        <v>1215</v>
      </c>
    </row>
    <row r="1153" spans="1:3" x14ac:dyDescent="0.25">
      <c r="A1153" s="36">
        <v>41207</v>
      </c>
      <c r="B1153" s="122">
        <v>0.72289351851851846</v>
      </c>
      <c r="C1153" s="26" t="s">
        <v>1216</v>
      </c>
    </row>
    <row r="1154" spans="1:3" x14ac:dyDescent="0.25">
      <c r="A1154" s="36">
        <v>41207</v>
      </c>
      <c r="B1154" s="122">
        <v>0.72429398148148139</v>
      </c>
      <c r="C1154" s="26" t="s">
        <v>1136</v>
      </c>
    </row>
    <row r="1155" spans="1:3" x14ac:dyDescent="0.25">
      <c r="A1155" s="36">
        <v>41207</v>
      </c>
      <c r="B1155" s="122">
        <v>0.72599537037037043</v>
      </c>
      <c r="C1155" s="26" t="s">
        <v>1080</v>
      </c>
    </row>
    <row r="1156" spans="1:3" x14ac:dyDescent="0.25">
      <c r="A1156" s="36">
        <v>41207</v>
      </c>
      <c r="B1156" s="122">
        <v>0.72599537037037043</v>
      </c>
      <c r="C1156" s="26" t="s">
        <v>1081</v>
      </c>
    </row>
    <row r="1157" spans="1:3" x14ac:dyDescent="0.25">
      <c r="A1157" s="36">
        <v>41207</v>
      </c>
      <c r="B1157" s="122">
        <v>0.72599537037037043</v>
      </c>
      <c r="C1157" s="26" t="s">
        <v>1082</v>
      </c>
    </row>
    <row r="1158" spans="1:3" x14ac:dyDescent="0.25">
      <c r="A1158" s="36">
        <v>41207</v>
      </c>
      <c r="B1158" s="122">
        <v>0.72599537037037043</v>
      </c>
      <c r="C1158" s="26" t="s">
        <v>1083</v>
      </c>
    </row>
    <row r="1159" spans="1:3" x14ac:dyDescent="0.25">
      <c r="A1159" s="36">
        <v>41207</v>
      </c>
      <c r="B1159" s="122">
        <v>0.72599537037037043</v>
      </c>
      <c r="C1159" s="26" t="s">
        <v>992</v>
      </c>
    </row>
    <row r="1160" spans="1:3" x14ac:dyDescent="0.25">
      <c r="A1160" s="36">
        <v>41207</v>
      </c>
      <c r="B1160" s="122">
        <v>0.72599537037037043</v>
      </c>
      <c r="C1160" s="26" t="s">
        <v>1084</v>
      </c>
    </row>
    <row r="1161" spans="1:3" x14ac:dyDescent="0.25">
      <c r="A1161" s="36">
        <v>41207</v>
      </c>
      <c r="B1161" s="122">
        <v>0.72599537037037043</v>
      </c>
      <c r="C1161" s="26" t="s">
        <v>1085</v>
      </c>
    </row>
    <row r="1162" spans="1:3" x14ac:dyDescent="0.25">
      <c r="A1162" s="36">
        <v>41207</v>
      </c>
      <c r="B1162" s="122">
        <v>0.72599537037037043</v>
      </c>
      <c r="C1162" s="26" t="s">
        <v>1086</v>
      </c>
    </row>
    <row r="1163" spans="1:3" x14ac:dyDescent="0.25">
      <c r="A1163" s="36">
        <v>41207</v>
      </c>
      <c r="B1163" s="122">
        <v>0.72599537037037043</v>
      </c>
      <c r="C1163" s="26" t="s">
        <v>1085</v>
      </c>
    </row>
    <row r="1164" spans="1:3" x14ac:dyDescent="0.25">
      <c r="A1164" s="36">
        <v>41207</v>
      </c>
      <c r="B1164" s="122">
        <v>0.72599537037037043</v>
      </c>
      <c r="C1164" s="26" t="s">
        <v>1087</v>
      </c>
    </row>
    <row r="1165" spans="1:3" x14ac:dyDescent="0.25">
      <c r="A1165" s="36">
        <v>41207</v>
      </c>
      <c r="B1165" s="122">
        <v>0.72599537037037043</v>
      </c>
      <c r="C1165" s="26" t="s">
        <v>1088</v>
      </c>
    </row>
    <row r="1166" spans="1:3" x14ac:dyDescent="0.25">
      <c r="A1166" s="36">
        <v>41207</v>
      </c>
      <c r="B1166" s="122">
        <v>0.72599537037037043</v>
      </c>
      <c r="C1166" s="26" t="s">
        <v>1089</v>
      </c>
    </row>
    <row r="1167" spans="1:3" x14ac:dyDescent="0.25">
      <c r="A1167" s="36">
        <v>41207</v>
      </c>
      <c r="B1167" s="122">
        <v>0.72599537037037043</v>
      </c>
      <c r="C1167" s="26" t="s">
        <v>1088</v>
      </c>
    </row>
    <row r="1168" spans="1:3" x14ac:dyDescent="0.25">
      <c r="A1168" s="36">
        <v>41207</v>
      </c>
      <c r="B1168" s="122">
        <v>0.72599537037037043</v>
      </c>
      <c r="C1168" s="26" t="s">
        <v>1090</v>
      </c>
    </row>
    <row r="1169" spans="1:3" x14ac:dyDescent="0.25">
      <c r="A1169" s="36">
        <v>41207</v>
      </c>
      <c r="B1169" s="122">
        <v>0.72599537037037043</v>
      </c>
      <c r="C1169" s="26" t="s">
        <v>1091</v>
      </c>
    </row>
    <row r="1170" spans="1:3" x14ac:dyDescent="0.25">
      <c r="A1170" s="36">
        <v>41207</v>
      </c>
      <c r="B1170" s="122">
        <v>0.72599537037037043</v>
      </c>
      <c r="C1170" s="26" t="s">
        <v>1092</v>
      </c>
    </row>
    <row r="1171" spans="1:3" x14ac:dyDescent="0.25">
      <c r="A1171" s="36">
        <v>41207</v>
      </c>
      <c r="B1171" s="122">
        <v>0.72599537037037043</v>
      </c>
      <c r="C1171" s="26" t="s">
        <v>1091</v>
      </c>
    </row>
    <row r="1172" spans="1:3" x14ac:dyDescent="0.25">
      <c r="A1172" s="36">
        <v>41207</v>
      </c>
      <c r="B1172" s="122">
        <v>0.72599537037037043</v>
      </c>
      <c r="C1172" s="26" t="s">
        <v>1214</v>
      </c>
    </row>
    <row r="1173" spans="1:3" x14ac:dyDescent="0.25">
      <c r="A1173" s="36">
        <v>41207</v>
      </c>
      <c r="B1173" s="122">
        <v>0.72600694444444447</v>
      </c>
      <c r="C1173" s="26" t="s">
        <v>1091</v>
      </c>
    </row>
    <row r="1174" spans="1:3" x14ac:dyDescent="0.25">
      <c r="A1174" s="36">
        <v>41207</v>
      </c>
      <c r="B1174" s="122">
        <v>0.72600694444444447</v>
      </c>
      <c r="C1174" s="26" t="s">
        <v>1215</v>
      </c>
    </row>
    <row r="1175" spans="1:3" x14ac:dyDescent="0.25">
      <c r="A1175" s="36">
        <v>41207</v>
      </c>
      <c r="B1175" s="122">
        <v>0.72600694444444447</v>
      </c>
      <c r="C1175" s="26" t="s">
        <v>1216</v>
      </c>
    </row>
    <row r="1176" spans="1:3" x14ac:dyDescent="0.25">
      <c r="A1176" s="36">
        <v>41207</v>
      </c>
      <c r="B1176" s="122">
        <v>0.72853009259259249</v>
      </c>
      <c r="C1176" s="26" t="s">
        <v>1217</v>
      </c>
    </row>
    <row r="1177" spans="1:3" x14ac:dyDescent="0.25">
      <c r="A1177" s="36">
        <v>41208</v>
      </c>
      <c r="B1177" s="122">
        <v>0.82184027777777768</v>
      </c>
      <c r="C1177" s="26" t="s">
        <v>1080</v>
      </c>
    </row>
    <row r="1178" spans="1:3" x14ac:dyDescent="0.25">
      <c r="A1178" s="36">
        <v>41208</v>
      </c>
      <c r="B1178" s="122">
        <v>0.82184027777777768</v>
      </c>
      <c r="C1178" s="26" t="s">
        <v>1081</v>
      </c>
    </row>
    <row r="1179" spans="1:3" x14ac:dyDescent="0.25">
      <c r="A1179" s="36">
        <v>41208</v>
      </c>
      <c r="B1179" s="122">
        <v>0.82184027777777768</v>
      </c>
      <c r="C1179" s="26" t="s">
        <v>1082</v>
      </c>
    </row>
    <row r="1180" spans="1:3" x14ac:dyDescent="0.25">
      <c r="A1180" s="36">
        <v>41208</v>
      </c>
      <c r="B1180" s="122">
        <v>0.82184027777777768</v>
      </c>
      <c r="C1180" s="26" t="s">
        <v>1083</v>
      </c>
    </row>
    <row r="1181" spans="1:3" x14ac:dyDescent="0.25">
      <c r="A1181" s="36">
        <v>41208</v>
      </c>
      <c r="B1181" s="122">
        <v>0.82184027777777768</v>
      </c>
      <c r="C1181" s="26" t="s">
        <v>992</v>
      </c>
    </row>
    <row r="1182" spans="1:3" x14ac:dyDescent="0.25">
      <c r="A1182" s="36">
        <v>41208</v>
      </c>
      <c r="B1182" s="122">
        <v>0.82184027777777768</v>
      </c>
      <c r="C1182" s="26" t="s">
        <v>1084</v>
      </c>
    </row>
    <row r="1183" spans="1:3" x14ac:dyDescent="0.25">
      <c r="A1183" s="36">
        <v>41208</v>
      </c>
      <c r="B1183" s="122">
        <v>0.82184027777777768</v>
      </c>
      <c r="C1183" s="26" t="s">
        <v>1085</v>
      </c>
    </row>
    <row r="1184" spans="1:3" x14ac:dyDescent="0.25">
      <c r="A1184" s="36">
        <v>41208</v>
      </c>
      <c r="B1184" s="122">
        <v>0.82184027777777768</v>
      </c>
      <c r="C1184" s="26" t="s">
        <v>1086</v>
      </c>
    </row>
    <row r="1185" spans="1:3" x14ac:dyDescent="0.25">
      <c r="A1185" s="36">
        <v>41208</v>
      </c>
      <c r="B1185" s="122">
        <v>0.82184027777777768</v>
      </c>
      <c r="C1185" s="26" t="s">
        <v>1085</v>
      </c>
    </row>
    <row r="1186" spans="1:3" x14ac:dyDescent="0.25">
      <c r="A1186" s="36">
        <v>41208</v>
      </c>
      <c r="B1186" s="122">
        <v>0.82184027777777768</v>
      </c>
      <c r="C1186" s="26" t="s">
        <v>1087</v>
      </c>
    </row>
    <row r="1187" spans="1:3" x14ac:dyDescent="0.25">
      <c r="A1187" s="36">
        <v>41208</v>
      </c>
      <c r="B1187" s="122">
        <v>0.82184027777777768</v>
      </c>
      <c r="C1187" s="26" t="s">
        <v>1088</v>
      </c>
    </row>
    <row r="1188" spans="1:3" x14ac:dyDescent="0.25">
      <c r="A1188" s="36">
        <v>41208</v>
      </c>
      <c r="B1188" s="122">
        <v>0.82184027777777768</v>
      </c>
      <c r="C1188" s="26" t="s">
        <v>1089</v>
      </c>
    </row>
    <row r="1189" spans="1:3" x14ac:dyDescent="0.25">
      <c r="A1189" s="36">
        <v>41208</v>
      </c>
      <c r="B1189" s="122">
        <v>0.82184027777777768</v>
      </c>
      <c r="C1189" s="26" t="s">
        <v>1088</v>
      </c>
    </row>
    <row r="1190" spans="1:3" x14ac:dyDescent="0.25">
      <c r="A1190" s="36">
        <v>41208</v>
      </c>
      <c r="B1190" s="122">
        <v>0.82184027777777768</v>
      </c>
      <c r="C1190" s="26" t="s">
        <v>1090</v>
      </c>
    </row>
    <row r="1191" spans="1:3" x14ac:dyDescent="0.25">
      <c r="A1191" s="36">
        <v>41208</v>
      </c>
      <c r="B1191" s="122">
        <v>0.82184027777777768</v>
      </c>
      <c r="C1191" s="26" t="s">
        <v>1091</v>
      </c>
    </row>
    <row r="1192" spans="1:3" x14ac:dyDescent="0.25">
      <c r="A1192" s="36">
        <v>41208</v>
      </c>
      <c r="B1192" s="122">
        <v>0.82184027777777768</v>
      </c>
      <c r="C1192" s="26" t="s">
        <v>1092</v>
      </c>
    </row>
    <row r="1193" spans="1:3" x14ac:dyDescent="0.25">
      <c r="A1193" s="36">
        <v>41208</v>
      </c>
      <c r="B1193" s="122">
        <v>0.82184027777777768</v>
      </c>
      <c r="C1193" s="26" t="s">
        <v>1091</v>
      </c>
    </row>
    <row r="1194" spans="1:3" x14ac:dyDescent="0.25">
      <c r="A1194" s="36">
        <v>41208</v>
      </c>
      <c r="B1194" s="122">
        <v>0.82184027777777768</v>
      </c>
      <c r="C1194" s="26" t="s">
        <v>1214</v>
      </c>
    </row>
    <row r="1195" spans="1:3" x14ac:dyDescent="0.25">
      <c r="A1195" s="36">
        <v>41208</v>
      </c>
      <c r="B1195" s="122">
        <v>0.82184027777777768</v>
      </c>
      <c r="C1195" s="26" t="s">
        <v>1091</v>
      </c>
    </row>
    <row r="1196" spans="1:3" x14ac:dyDescent="0.25">
      <c r="A1196" s="36">
        <v>41208</v>
      </c>
      <c r="B1196" s="122">
        <v>0.82184027777777768</v>
      </c>
      <c r="C1196" s="26" t="s">
        <v>1215</v>
      </c>
    </row>
    <row r="1197" spans="1:3" x14ac:dyDescent="0.25">
      <c r="A1197" s="36">
        <v>41208</v>
      </c>
      <c r="B1197" s="122">
        <v>0.82276620370370368</v>
      </c>
      <c r="C1197" s="26" t="s">
        <v>1078</v>
      </c>
    </row>
    <row r="1198" spans="1:3" x14ac:dyDescent="0.25">
      <c r="A1198" s="36">
        <v>41208</v>
      </c>
      <c r="B1198" s="122">
        <v>0.82289351851851855</v>
      </c>
      <c r="C1198" s="26" t="s">
        <v>1079</v>
      </c>
    </row>
    <row r="1199" spans="1:3" x14ac:dyDescent="0.25">
      <c r="A1199" s="36">
        <v>41208</v>
      </c>
      <c r="B1199" s="122">
        <v>0.85282407407407401</v>
      </c>
      <c r="C1199" s="26" t="s">
        <v>1080</v>
      </c>
    </row>
    <row r="1200" spans="1:3" x14ac:dyDescent="0.25">
      <c r="A1200" s="36">
        <v>41208</v>
      </c>
      <c r="B1200" s="122">
        <v>0.87796296296296295</v>
      </c>
      <c r="C1200" s="26" t="s">
        <v>1081</v>
      </c>
    </row>
    <row r="1201" spans="1:3" x14ac:dyDescent="0.25">
      <c r="A1201" s="36">
        <v>41208</v>
      </c>
      <c r="B1201" s="122">
        <v>0.87959490740740742</v>
      </c>
      <c r="C1201" s="26" t="s">
        <v>1082</v>
      </c>
    </row>
    <row r="1202" spans="1:3" x14ac:dyDescent="0.25">
      <c r="A1202" s="36">
        <v>41208</v>
      </c>
      <c r="B1202" s="122">
        <v>0.88049768518518512</v>
      </c>
      <c r="C1202" s="26" t="s">
        <v>1083</v>
      </c>
    </row>
    <row r="1203" spans="1:3" x14ac:dyDescent="0.25">
      <c r="A1203" s="36">
        <v>41208</v>
      </c>
      <c r="B1203" s="122">
        <v>0.88167824074074075</v>
      </c>
      <c r="C1203" s="26" t="s">
        <v>992</v>
      </c>
    </row>
    <row r="1204" spans="1:3" x14ac:dyDescent="0.25">
      <c r="A1204" s="36">
        <v>41208</v>
      </c>
      <c r="B1204" s="122">
        <v>0.88210648148148152</v>
      </c>
      <c r="C1204" s="26" t="s">
        <v>1084</v>
      </c>
    </row>
    <row r="1205" spans="1:3" x14ac:dyDescent="0.25">
      <c r="A1205" s="36">
        <v>41208</v>
      </c>
      <c r="B1205" s="122">
        <v>0.88488425925925929</v>
      </c>
      <c r="C1205" s="26" t="s">
        <v>1085</v>
      </c>
    </row>
    <row r="1206" spans="1:3" x14ac:dyDescent="0.25">
      <c r="A1206" s="36">
        <v>41208</v>
      </c>
      <c r="B1206" s="122">
        <v>0.88511574074074073</v>
      </c>
      <c r="C1206" s="26" t="s">
        <v>1086</v>
      </c>
    </row>
    <row r="1207" spans="1:3" x14ac:dyDescent="0.25">
      <c r="A1207" s="36">
        <v>41208</v>
      </c>
      <c r="B1207" s="122">
        <v>0.88546296296296301</v>
      </c>
      <c r="C1207" s="26" t="s">
        <v>1085</v>
      </c>
    </row>
    <row r="1208" spans="1:3" x14ac:dyDescent="0.25">
      <c r="A1208" s="36">
        <v>41208</v>
      </c>
      <c r="B1208" s="122">
        <v>0.88585648148148144</v>
      </c>
      <c r="C1208" s="26" t="s">
        <v>1087</v>
      </c>
    </row>
    <row r="1209" spans="1:3" x14ac:dyDescent="0.25">
      <c r="A1209" s="36">
        <v>41208</v>
      </c>
      <c r="B1209" s="122">
        <v>0.88912037037037039</v>
      </c>
      <c r="C1209" s="26" t="s">
        <v>1088</v>
      </c>
    </row>
    <row r="1210" spans="1:3" x14ac:dyDescent="0.25">
      <c r="A1210" s="36">
        <v>41208</v>
      </c>
      <c r="B1210" s="122">
        <v>0.88973379629629623</v>
      </c>
      <c r="C1210" s="26" t="s">
        <v>1089</v>
      </c>
    </row>
    <row r="1211" spans="1:3" x14ac:dyDescent="0.25">
      <c r="A1211" s="36">
        <v>41208</v>
      </c>
      <c r="B1211" s="122">
        <v>0.89023148148148146</v>
      </c>
      <c r="C1211" s="26" t="s">
        <v>1088</v>
      </c>
    </row>
    <row r="1212" spans="1:3" x14ac:dyDescent="0.25">
      <c r="A1212" s="36">
        <v>41208</v>
      </c>
      <c r="B1212" s="122">
        <v>0.89559027777777767</v>
      </c>
      <c r="C1212" s="26" t="s">
        <v>1090</v>
      </c>
    </row>
    <row r="1213" spans="1:3" x14ac:dyDescent="0.25">
      <c r="A1213" s="36">
        <v>41208</v>
      </c>
      <c r="B1213" s="122">
        <v>0.90828703703703706</v>
      </c>
      <c r="C1213" s="26" t="s">
        <v>1218</v>
      </c>
    </row>
    <row r="1214" spans="1:3" x14ac:dyDescent="0.25">
      <c r="A1214" s="36">
        <v>41208</v>
      </c>
      <c r="B1214" s="122">
        <v>0.9092824074074074</v>
      </c>
      <c r="C1214" s="26" t="s">
        <v>1078</v>
      </c>
    </row>
    <row r="1215" spans="1:3" x14ac:dyDescent="0.25">
      <c r="A1215" s="36">
        <v>41208</v>
      </c>
      <c r="B1215" s="122">
        <v>0.90934027777777782</v>
      </c>
      <c r="C1215" s="26" t="s">
        <v>1079</v>
      </c>
    </row>
    <row r="1216" spans="1:3" x14ac:dyDescent="0.25">
      <c r="A1216" s="36">
        <v>41208</v>
      </c>
      <c r="B1216" s="122">
        <v>0.90947916666666673</v>
      </c>
      <c r="C1216" s="26" t="s">
        <v>1080</v>
      </c>
    </row>
    <row r="1217" spans="1:3" x14ac:dyDescent="0.25">
      <c r="A1217" s="36">
        <v>41208</v>
      </c>
      <c r="B1217" s="122">
        <v>0.90949074074074077</v>
      </c>
      <c r="C1217" s="26" t="s">
        <v>1081</v>
      </c>
    </row>
    <row r="1218" spans="1:3" x14ac:dyDescent="0.25">
      <c r="A1218" s="36">
        <v>41208</v>
      </c>
      <c r="B1218" s="122">
        <v>0.90951388888888884</v>
      </c>
      <c r="C1218" s="26" t="s">
        <v>1082</v>
      </c>
    </row>
    <row r="1219" spans="1:3" x14ac:dyDescent="0.25">
      <c r="A1219" s="36">
        <v>41208</v>
      </c>
      <c r="B1219" s="122">
        <v>0.90953703703703714</v>
      </c>
      <c r="C1219" s="26" t="s">
        <v>1083</v>
      </c>
    </row>
    <row r="1220" spans="1:3" x14ac:dyDescent="0.25">
      <c r="A1220" s="36">
        <v>41208</v>
      </c>
      <c r="B1220" s="122">
        <v>0.90954861111111107</v>
      </c>
      <c r="C1220" s="26" t="s">
        <v>992</v>
      </c>
    </row>
    <row r="1221" spans="1:3" x14ac:dyDescent="0.25">
      <c r="A1221" s="36">
        <v>41208</v>
      </c>
      <c r="B1221" s="122">
        <v>0.90956018518518522</v>
      </c>
      <c r="C1221" s="26" t="s">
        <v>1084</v>
      </c>
    </row>
    <row r="1222" spans="1:3" x14ac:dyDescent="0.25">
      <c r="A1222" s="36">
        <v>41208</v>
      </c>
      <c r="B1222" s="122">
        <v>0.90957175925925926</v>
      </c>
      <c r="C1222" s="26" t="s">
        <v>1085</v>
      </c>
    </row>
    <row r="1223" spans="1:3" x14ac:dyDescent="0.25">
      <c r="A1223" s="36">
        <v>41208</v>
      </c>
      <c r="B1223" s="122">
        <v>0.90957175925925926</v>
      </c>
      <c r="C1223" s="26" t="s">
        <v>1086</v>
      </c>
    </row>
    <row r="1224" spans="1:3" x14ac:dyDescent="0.25">
      <c r="A1224" s="36">
        <v>41208</v>
      </c>
      <c r="B1224" s="122">
        <v>0.9095833333333333</v>
      </c>
      <c r="C1224" s="26" t="s">
        <v>1085</v>
      </c>
    </row>
    <row r="1225" spans="1:3" x14ac:dyDescent="0.25">
      <c r="A1225" s="36">
        <v>41208</v>
      </c>
      <c r="B1225" s="122">
        <v>0.9095833333333333</v>
      </c>
      <c r="C1225" s="26" t="s">
        <v>1087</v>
      </c>
    </row>
    <row r="1226" spans="1:3" x14ac:dyDescent="0.25">
      <c r="A1226" s="36">
        <v>41208</v>
      </c>
      <c r="B1226" s="122">
        <v>0.90959490740740734</v>
      </c>
      <c r="C1226" s="26" t="s">
        <v>1088</v>
      </c>
    </row>
    <row r="1227" spans="1:3" x14ac:dyDescent="0.25">
      <c r="A1227" s="36">
        <v>41208</v>
      </c>
      <c r="B1227" s="122">
        <v>0.90960648148148149</v>
      </c>
      <c r="C1227" s="26" t="s">
        <v>1089</v>
      </c>
    </row>
    <row r="1228" spans="1:3" x14ac:dyDescent="0.25">
      <c r="A1228" s="36">
        <v>41208</v>
      </c>
      <c r="B1228" s="122">
        <v>0.91083333333333327</v>
      </c>
      <c r="C1228" s="26" t="s">
        <v>1088</v>
      </c>
    </row>
    <row r="1229" spans="1:3" x14ac:dyDescent="0.25">
      <c r="A1229" s="36">
        <v>41208</v>
      </c>
      <c r="B1229" s="122">
        <v>0.91371527777777783</v>
      </c>
      <c r="C1229" s="26" t="s">
        <v>1091</v>
      </c>
    </row>
    <row r="1230" spans="1:3" x14ac:dyDescent="0.25">
      <c r="A1230" s="36">
        <v>41208</v>
      </c>
      <c r="B1230" s="122">
        <v>0.9137615740740741</v>
      </c>
      <c r="C1230" s="26" t="s">
        <v>1092</v>
      </c>
    </row>
    <row r="1231" spans="1:3" x14ac:dyDescent="0.25">
      <c r="A1231" s="36">
        <v>41208</v>
      </c>
      <c r="B1231" s="122">
        <v>0.91378472222222218</v>
      </c>
      <c r="C1231" s="26" t="s">
        <v>1091</v>
      </c>
    </row>
    <row r="1232" spans="1:3" x14ac:dyDescent="0.25">
      <c r="A1232" s="36">
        <v>41208</v>
      </c>
      <c r="B1232" s="122">
        <v>0.91380787037037037</v>
      </c>
      <c r="C1232" s="26" t="s">
        <v>1214</v>
      </c>
    </row>
    <row r="1233" spans="1:3" x14ac:dyDescent="0.25">
      <c r="A1233" s="36">
        <v>41208</v>
      </c>
      <c r="B1233" s="122">
        <v>0.91383101851851845</v>
      </c>
      <c r="C1233" s="26" t="s">
        <v>1091</v>
      </c>
    </row>
    <row r="1234" spans="1:3" x14ac:dyDescent="0.25">
      <c r="A1234" s="36">
        <v>41208</v>
      </c>
      <c r="B1234" s="122">
        <v>0.9138425925925926</v>
      </c>
      <c r="C1234" s="26" t="s">
        <v>1215</v>
      </c>
    </row>
    <row r="1235" spans="1:3" x14ac:dyDescent="0.25">
      <c r="A1235" s="36">
        <v>41208</v>
      </c>
      <c r="B1235" s="122">
        <v>0.9138425925925926</v>
      </c>
      <c r="C1235" s="26" t="s">
        <v>1093</v>
      </c>
    </row>
    <row r="1236" spans="1:3" x14ac:dyDescent="0.25">
      <c r="A1236" s="36">
        <v>41208</v>
      </c>
      <c r="B1236" s="122">
        <v>0.91442129629629632</v>
      </c>
      <c r="C1236" s="26" t="s">
        <v>1078</v>
      </c>
    </row>
    <row r="1237" spans="1:3" x14ac:dyDescent="0.25">
      <c r="A1237" s="36">
        <v>41208</v>
      </c>
      <c r="B1237" s="122">
        <v>0.91457175925925915</v>
      </c>
      <c r="C1237" s="26" t="s">
        <v>1079</v>
      </c>
    </row>
    <row r="1238" spans="1:3" x14ac:dyDescent="0.25">
      <c r="A1238" s="36">
        <v>41208</v>
      </c>
      <c r="B1238" s="122">
        <v>0.91467592592592595</v>
      </c>
      <c r="C1238" s="26" t="s">
        <v>1080</v>
      </c>
    </row>
    <row r="1239" spans="1:3" x14ac:dyDescent="0.25">
      <c r="A1239" s="36">
        <v>41208</v>
      </c>
      <c r="B1239" s="122">
        <v>0.9153472222222222</v>
      </c>
      <c r="C1239" s="26" t="s">
        <v>1081</v>
      </c>
    </row>
    <row r="1240" spans="1:3" x14ac:dyDescent="0.25">
      <c r="A1240" s="36">
        <v>41208</v>
      </c>
      <c r="B1240" s="122">
        <v>0.91538194444444443</v>
      </c>
      <c r="C1240" s="26" t="s">
        <v>1082</v>
      </c>
    </row>
    <row r="1241" spans="1:3" x14ac:dyDescent="0.25">
      <c r="A1241" s="36">
        <v>41208</v>
      </c>
      <c r="B1241" s="122">
        <v>0.91541666666666666</v>
      </c>
      <c r="C1241" s="26" t="s">
        <v>1083</v>
      </c>
    </row>
    <row r="1242" spans="1:3" x14ac:dyDescent="0.25">
      <c r="A1242" s="36">
        <v>41208</v>
      </c>
      <c r="B1242" s="122">
        <v>0.91546296296296292</v>
      </c>
      <c r="C1242" s="26" t="s">
        <v>992</v>
      </c>
    </row>
    <row r="1243" spans="1:3" x14ac:dyDescent="0.25">
      <c r="A1243" s="36">
        <v>41208</v>
      </c>
      <c r="B1243" s="122">
        <v>0.91548611111111111</v>
      </c>
      <c r="C1243" s="26" t="s">
        <v>1084</v>
      </c>
    </row>
    <row r="1244" spans="1:3" x14ac:dyDescent="0.25">
      <c r="A1244" s="36">
        <v>41208</v>
      </c>
      <c r="B1244" s="122">
        <v>0.91549768518518526</v>
      </c>
      <c r="C1244" s="26" t="s">
        <v>1085</v>
      </c>
    </row>
    <row r="1245" spans="1:3" x14ac:dyDescent="0.25">
      <c r="A1245" s="36">
        <v>41208</v>
      </c>
      <c r="B1245" s="122">
        <v>0.91550925925925919</v>
      </c>
      <c r="C1245" s="26" t="s">
        <v>1086</v>
      </c>
    </row>
    <row r="1246" spans="1:3" x14ac:dyDescent="0.25">
      <c r="A1246" s="36">
        <v>41208</v>
      </c>
      <c r="B1246" s="122">
        <v>0.91552083333333334</v>
      </c>
      <c r="C1246" s="26" t="s">
        <v>1085</v>
      </c>
    </row>
    <row r="1247" spans="1:3" x14ac:dyDescent="0.25">
      <c r="A1247" s="36">
        <v>41208</v>
      </c>
      <c r="B1247" s="122">
        <v>0.91553240740740749</v>
      </c>
      <c r="C1247" s="26" t="s">
        <v>1087</v>
      </c>
    </row>
    <row r="1248" spans="1:3" x14ac:dyDescent="0.25">
      <c r="A1248" s="36">
        <v>41208</v>
      </c>
      <c r="B1248" s="122">
        <v>0.91553240740740749</v>
      </c>
      <c r="C1248" s="26" t="s">
        <v>1088</v>
      </c>
    </row>
    <row r="1249" spans="1:3" x14ac:dyDescent="0.25">
      <c r="A1249" s="36">
        <v>41208</v>
      </c>
      <c r="B1249" s="122">
        <v>0.91556712962962961</v>
      </c>
      <c r="C1249" s="26" t="s">
        <v>1089</v>
      </c>
    </row>
    <row r="1250" spans="1:3" x14ac:dyDescent="0.25">
      <c r="A1250" s="36">
        <v>41208</v>
      </c>
      <c r="B1250" s="122">
        <v>0.9156481481481481</v>
      </c>
      <c r="C1250" s="26" t="s">
        <v>1088</v>
      </c>
    </row>
    <row r="1251" spans="1:3" x14ac:dyDescent="0.25">
      <c r="A1251" s="36">
        <v>41208</v>
      </c>
      <c r="B1251" s="122">
        <v>0.91592592592592592</v>
      </c>
      <c r="C1251" s="26" t="s">
        <v>1091</v>
      </c>
    </row>
    <row r="1252" spans="1:3" x14ac:dyDescent="0.25">
      <c r="A1252" s="36">
        <v>41208</v>
      </c>
      <c r="B1252" s="122">
        <v>0.93355324074074064</v>
      </c>
      <c r="C1252" s="26" t="s">
        <v>1092</v>
      </c>
    </row>
    <row r="1253" spans="1:3" x14ac:dyDescent="0.25">
      <c r="A1253" s="36">
        <v>41208</v>
      </c>
      <c r="B1253" s="122">
        <v>0.93379629629629635</v>
      </c>
      <c r="C1253" s="26" t="s">
        <v>1091</v>
      </c>
    </row>
    <row r="1254" spans="1:3" x14ac:dyDescent="0.25">
      <c r="A1254" s="36">
        <v>41208</v>
      </c>
      <c r="B1254" s="122">
        <v>0.93685185185185194</v>
      </c>
      <c r="C1254" s="26" t="s">
        <v>1214</v>
      </c>
    </row>
    <row r="1255" spans="1:3" x14ac:dyDescent="0.25">
      <c r="A1255" s="36">
        <v>41208</v>
      </c>
      <c r="B1255" s="122">
        <v>0.93695601851851851</v>
      </c>
      <c r="C1255" s="26" t="s">
        <v>1091</v>
      </c>
    </row>
    <row r="1256" spans="1:3" x14ac:dyDescent="0.25">
      <c r="A1256" s="36">
        <v>41208</v>
      </c>
      <c r="B1256" s="122">
        <v>0.9381828703703704</v>
      </c>
      <c r="C1256" s="26" t="s">
        <v>1215</v>
      </c>
    </row>
    <row r="1257" spans="1:3" x14ac:dyDescent="0.25">
      <c r="A1257" s="36">
        <v>41208</v>
      </c>
      <c r="B1257" s="122">
        <v>0.93836805555555547</v>
      </c>
      <c r="C1257" s="26" t="s">
        <v>1093</v>
      </c>
    </row>
    <row r="1258" spans="1:3" x14ac:dyDescent="0.25">
      <c r="A1258" s="36">
        <v>41208</v>
      </c>
      <c r="B1258" s="122">
        <v>0.93964120370370363</v>
      </c>
      <c r="C1258" s="26" t="s">
        <v>1219</v>
      </c>
    </row>
    <row r="1259" spans="1:3" x14ac:dyDescent="0.25">
      <c r="A1259" s="36">
        <v>41208</v>
      </c>
      <c r="B1259" s="122">
        <v>0.94145833333333329</v>
      </c>
      <c r="C1259" s="26" t="s">
        <v>1078</v>
      </c>
    </row>
    <row r="1260" spans="1:3" x14ac:dyDescent="0.25">
      <c r="A1260" s="36">
        <v>41208</v>
      </c>
      <c r="B1260" s="122">
        <v>0.94155092592592593</v>
      </c>
      <c r="C1260" s="26" t="s">
        <v>1079</v>
      </c>
    </row>
    <row r="1261" spans="1:3" x14ac:dyDescent="0.25">
      <c r="A1261" s="36">
        <v>41208</v>
      </c>
      <c r="B1261" s="122">
        <v>0.94163194444444442</v>
      </c>
      <c r="C1261" s="26" t="s">
        <v>1080</v>
      </c>
    </row>
    <row r="1262" spans="1:3" x14ac:dyDescent="0.25">
      <c r="A1262" s="36">
        <v>41208</v>
      </c>
      <c r="B1262" s="122">
        <v>0.94164351851851846</v>
      </c>
      <c r="C1262" s="26" t="s">
        <v>1081</v>
      </c>
    </row>
    <row r="1263" spans="1:3" x14ac:dyDescent="0.25">
      <c r="A1263" s="36">
        <v>41208</v>
      </c>
      <c r="B1263" s="122">
        <v>0.94165509259259261</v>
      </c>
      <c r="C1263" s="26" t="s">
        <v>1082</v>
      </c>
    </row>
    <row r="1264" spans="1:3" x14ac:dyDescent="0.25">
      <c r="A1264" s="36">
        <v>41208</v>
      </c>
      <c r="B1264" s="122">
        <v>0.94166666666666676</v>
      </c>
      <c r="C1264" s="26" t="s">
        <v>1083</v>
      </c>
    </row>
    <row r="1265" spans="1:3" x14ac:dyDescent="0.25">
      <c r="A1265" s="36">
        <v>41208</v>
      </c>
      <c r="B1265" s="122">
        <v>0.94166666666666676</v>
      </c>
      <c r="C1265" s="26" t="s">
        <v>992</v>
      </c>
    </row>
    <row r="1266" spans="1:3" x14ac:dyDescent="0.25">
      <c r="A1266" s="36">
        <v>41208</v>
      </c>
      <c r="B1266" s="122">
        <v>0.94167824074074069</v>
      </c>
      <c r="C1266" s="26" t="s">
        <v>1084</v>
      </c>
    </row>
    <row r="1267" spans="1:3" x14ac:dyDescent="0.25">
      <c r="A1267" s="36">
        <v>41208</v>
      </c>
      <c r="B1267" s="122">
        <v>0.94167824074074069</v>
      </c>
      <c r="C1267" s="26" t="s">
        <v>1085</v>
      </c>
    </row>
    <row r="1268" spans="1:3" x14ac:dyDescent="0.25">
      <c r="A1268" s="36">
        <v>41208</v>
      </c>
      <c r="B1268" s="122">
        <v>0.94168981481481484</v>
      </c>
      <c r="C1268" s="26" t="s">
        <v>1086</v>
      </c>
    </row>
    <row r="1269" spans="1:3" x14ac:dyDescent="0.25">
      <c r="A1269" s="36">
        <v>41208</v>
      </c>
      <c r="B1269" s="122">
        <v>0.94168981481481484</v>
      </c>
      <c r="C1269" s="26" t="s">
        <v>1085</v>
      </c>
    </row>
    <row r="1270" spans="1:3" x14ac:dyDescent="0.25">
      <c r="A1270" s="36">
        <v>41208</v>
      </c>
      <c r="B1270" s="122">
        <v>0.94170138888888888</v>
      </c>
      <c r="C1270" s="26" t="s">
        <v>1087</v>
      </c>
    </row>
    <row r="1271" spans="1:3" x14ac:dyDescent="0.25">
      <c r="A1271" s="36">
        <v>41208</v>
      </c>
      <c r="B1271" s="122">
        <v>0.94171296296296303</v>
      </c>
      <c r="C1271" s="26" t="s">
        <v>1088</v>
      </c>
    </row>
    <row r="1272" spans="1:3" x14ac:dyDescent="0.25">
      <c r="A1272" s="36">
        <v>41208</v>
      </c>
      <c r="B1272" s="122">
        <v>0.94172453703703696</v>
      </c>
      <c r="C1272" s="26" t="s">
        <v>1089</v>
      </c>
    </row>
    <row r="1273" spans="1:3" x14ac:dyDescent="0.25">
      <c r="A1273" s="36">
        <v>41208</v>
      </c>
      <c r="B1273" s="122">
        <v>0.94173611111111111</v>
      </c>
      <c r="C1273" s="26" t="s">
        <v>1088</v>
      </c>
    </row>
    <row r="1274" spans="1:3" x14ac:dyDescent="0.25">
      <c r="A1274" s="36">
        <v>41208</v>
      </c>
      <c r="B1274" s="122">
        <v>0.94180555555555545</v>
      </c>
      <c r="C1274" s="26" t="s">
        <v>1091</v>
      </c>
    </row>
    <row r="1275" spans="1:3" x14ac:dyDescent="0.25">
      <c r="A1275" s="36">
        <v>41208</v>
      </c>
      <c r="B1275" s="122">
        <v>0.9418171296296296</v>
      </c>
      <c r="C1275" s="26" t="s">
        <v>1092</v>
      </c>
    </row>
    <row r="1276" spans="1:3" x14ac:dyDescent="0.25">
      <c r="A1276" s="36">
        <v>41208</v>
      </c>
      <c r="B1276" s="122">
        <v>0.94182870370370375</v>
      </c>
      <c r="C1276" s="26" t="s">
        <v>1091</v>
      </c>
    </row>
    <row r="1277" spans="1:3" x14ac:dyDescent="0.25">
      <c r="A1277" s="36">
        <v>41208</v>
      </c>
      <c r="B1277" s="122">
        <v>0.94184027777777779</v>
      </c>
      <c r="C1277" s="26" t="s">
        <v>1091</v>
      </c>
    </row>
    <row r="1278" spans="1:3" x14ac:dyDescent="0.25">
      <c r="A1278" s="36">
        <v>41208</v>
      </c>
      <c r="B1278" s="122">
        <v>0.94186342592592587</v>
      </c>
      <c r="C1278" s="26" t="s">
        <v>1093</v>
      </c>
    </row>
    <row r="1279" spans="1:3" x14ac:dyDescent="0.25">
      <c r="A1279" s="36">
        <v>41208</v>
      </c>
      <c r="B1279" s="122">
        <v>0.94196759259259266</v>
      </c>
      <c r="C1279" s="26" t="s">
        <v>1220</v>
      </c>
    </row>
    <row r="1280" spans="1:3" x14ac:dyDescent="0.25">
      <c r="A1280" s="36">
        <v>41208</v>
      </c>
      <c r="B1280" s="122">
        <v>0.94409722222222225</v>
      </c>
      <c r="C1280" s="26" t="s">
        <v>1221</v>
      </c>
    </row>
    <row r="1281" spans="1:3" x14ac:dyDescent="0.25">
      <c r="A1281" s="36">
        <v>41208</v>
      </c>
      <c r="B1281" s="122">
        <v>0.94409722222222225</v>
      </c>
      <c r="C1281" s="26" t="s">
        <v>1222</v>
      </c>
    </row>
    <row r="1282" spans="1:3" x14ac:dyDescent="0.25">
      <c r="A1282" s="36">
        <v>41208</v>
      </c>
      <c r="B1282" s="122">
        <v>0.94413194444444448</v>
      </c>
      <c r="C1282" s="26" t="s">
        <v>1223</v>
      </c>
    </row>
    <row r="1283" spans="1:3" x14ac:dyDescent="0.25">
      <c r="A1283" s="36">
        <v>41208</v>
      </c>
      <c r="B1283" s="122">
        <v>0.94421296296296298</v>
      </c>
      <c r="C1283" s="26" t="s">
        <v>1224</v>
      </c>
    </row>
    <row r="1284" spans="1:3" x14ac:dyDescent="0.25">
      <c r="A1284" s="36">
        <v>41208</v>
      </c>
      <c r="B1284" s="122">
        <v>0.94429398148148147</v>
      </c>
      <c r="C1284" s="26" t="s">
        <v>1225</v>
      </c>
    </row>
    <row r="1285" spans="1:3" x14ac:dyDescent="0.25">
      <c r="A1285" s="36">
        <v>41208</v>
      </c>
      <c r="B1285" s="122">
        <v>0.94436342592592604</v>
      </c>
      <c r="C1285" s="26" t="s">
        <v>1226</v>
      </c>
    </row>
    <row r="1286" spans="1:3" x14ac:dyDescent="0.25">
      <c r="A1286" s="36">
        <v>41208</v>
      </c>
      <c r="B1286" s="122">
        <v>0.94442129629629623</v>
      </c>
      <c r="C1286" s="26" t="s">
        <v>1057</v>
      </c>
    </row>
    <row r="1287" spans="1:3" x14ac:dyDescent="0.25">
      <c r="A1287" s="36">
        <v>41208</v>
      </c>
      <c r="B1287" s="122">
        <v>0.94450231481481473</v>
      </c>
      <c r="C1287" s="26" t="s">
        <v>1063</v>
      </c>
    </row>
    <row r="1288" spans="1:3" x14ac:dyDescent="0.25">
      <c r="A1288" s="36">
        <v>41208</v>
      </c>
      <c r="B1288" s="122">
        <v>0.9445486111111111</v>
      </c>
      <c r="C1288" s="26" t="s">
        <v>1064</v>
      </c>
    </row>
    <row r="1289" spans="1:3" x14ac:dyDescent="0.25">
      <c r="A1289" s="36">
        <v>41208</v>
      </c>
      <c r="B1289" s="122">
        <v>0.94460648148148152</v>
      </c>
      <c r="C1289" s="26" t="s">
        <v>1065</v>
      </c>
    </row>
    <row r="1290" spans="1:3" x14ac:dyDescent="0.25">
      <c r="A1290" s="36">
        <v>41208</v>
      </c>
      <c r="B1290" s="122">
        <v>0.9459953703703704</v>
      </c>
      <c r="C1290" s="26" t="s">
        <v>1078</v>
      </c>
    </row>
    <row r="1291" spans="1:3" x14ac:dyDescent="0.25">
      <c r="A1291" s="36">
        <v>41208</v>
      </c>
      <c r="B1291" s="122">
        <v>0.94611111111111112</v>
      </c>
      <c r="C1291" s="26" t="s">
        <v>1079</v>
      </c>
    </row>
    <row r="1292" spans="1:3" x14ac:dyDescent="0.25">
      <c r="A1292" s="36">
        <v>41208</v>
      </c>
      <c r="B1292" s="122">
        <v>0.94622685185185185</v>
      </c>
      <c r="C1292" s="26" t="s">
        <v>1080</v>
      </c>
    </row>
    <row r="1293" spans="1:3" x14ac:dyDescent="0.25">
      <c r="A1293" s="36">
        <v>41208</v>
      </c>
      <c r="B1293" s="122">
        <v>0.94625000000000004</v>
      </c>
      <c r="C1293" s="26" t="s">
        <v>1081</v>
      </c>
    </row>
    <row r="1294" spans="1:3" x14ac:dyDescent="0.25">
      <c r="A1294" s="36">
        <v>41208</v>
      </c>
      <c r="B1294" s="122">
        <v>0.94626157407407396</v>
      </c>
      <c r="C1294" s="26" t="s">
        <v>1082</v>
      </c>
    </row>
    <row r="1295" spans="1:3" x14ac:dyDescent="0.25">
      <c r="A1295" s="36">
        <v>41208</v>
      </c>
      <c r="B1295" s="122">
        <v>0.94627314814814811</v>
      </c>
      <c r="C1295" s="26" t="s">
        <v>1083</v>
      </c>
    </row>
    <row r="1296" spans="1:3" x14ac:dyDescent="0.25">
      <c r="A1296" s="36">
        <v>41208</v>
      </c>
      <c r="B1296" s="122">
        <v>0.94628472222222226</v>
      </c>
      <c r="C1296" s="26" t="s">
        <v>992</v>
      </c>
    </row>
    <row r="1297" spans="1:3" x14ac:dyDescent="0.25">
      <c r="A1297" s="36">
        <v>41208</v>
      </c>
      <c r="B1297" s="122">
        <v>0.9462962962962963</v>
      </c>
      <c r="C1297" s="26" t="s">
        <v>1084</v>
      </c>
    </row>
    <row r="1298" spans="1:3" x14ac:dyDescent="0.25">
      <c r="A1298" s="36">
        <v>41208</v>
      </c>
      <c r="B1298" s="122">
        <v>0.94630787037037034</v>
      </c>
      <c r="C1298" s="26" t="s">
        <v>1085</v>
      </c>
    </row>
    <row r="1299" spans="1:3" x14ac:dyDescent="0.25">
      <c r="A1299" s="36">
        <v>41208</v>
      </c>
      <c r="B1299" s="122">
        <v>0.94633101851851853</v>
      </c>
      <c r="C1299" s="26" t="s">
        <v>1086</v>
      </c>
    </row>
    <row r="1300" spans="1:3" x14ac:dyDescent="0.25">
      <c r="A1300" s="36">
        <v>41208</v>
      </c>
      <c r="B1300" s="122">
        <v>0.94634259259259268</v>
      </c>
      <c r="C1300" s="26" t="s">
        <v>1085</v>
      </c>
    </row>
    <row r="1301" spans="1:3" x14ac:dyDescent="0.25">
      <c r="A1301" s="36">
        <v>41208</v>
      </c>
      <c r="B1301" s="122">
        <v>0.94638888888888895</v>
      </c>
      <c r="C1301" s="26" t="s">
        <v>1087</v>
      </c>
    </row>
    <row r="1302" spans="1:3" x14ac:dyDescent="0.25">
      <c r="A1302" s="36">
        <v>41208</v>
      </c>
      <c r="B1302" s="122">
        <v>0.94641203703703702</v>
      </c>
      <c r="C1302" s="26" t="s">
        <v>1088</v>
      </c>
    </row>
    <row r="1303" spans="1:3" x14ac:dyDescent="0.25">
      <c r="A1303" s="36">
        <v>41208</v>
      </c>
      <c r="B1303" s="122">
        <v>0.94642361111111117</v>
      </c>
      <c r="C1303" s="26" t="s">
        <v>1089</v>
      </c>
    </row>
    <row r="1304" spans="1:3" x14ac:dyDescent="0.25">
      <c r="A1304" s="36">
        <v>41208</v>
      </c>
      <c r="B1304" s="122">
        <v>0.94644675925925925</v>
      </c>
      <c r="C1304" s="26" t="s">
        <v>1088</v>
      </c>
    </row>
    <row r="1305" spans="1:3" x14ac:dyDescent="0.25">
      <c r="A1305" s="36">
        <v>41208</v>
      </c>
      <c r="B1305" s="122">
        <v>0.94686342592592598</v>
      </c>
      <c r="C1305" s="26" t="s">
        <v>1092</v>
      </c>
    </row>
    <row r="1306" spans="1:3" x14ac:dyDescent="0.25">
      <c r="A1306" s="36">
        <v>41208</v>
      </c>
      <c r="B1306" s="122">
        <v>0.9468981481481481</v>
      </c>
      <c r="C1306" s="26" t="s">
        <v>1093</v>
      </c>
    </row>
    <row r="1307" spans="1:3" x14ac:dyDescent="0.25">
      <c r="A1307" s="36">
        <v>41208</v>
      </c>
      <c r="B1307" s="122">
        <v>0.94729166666666664</v>
      </c>
      <c r="C1307" s="26" t="s">
        <v>1220</v>
      </c>
    </row>
    <row r="1308" spans="1:3" x14ac:dyDescent="0.25">
      <c r="A1308" s="36">
        <v>41208</v>
      </c>
      <c r="B1308" s="122">
        <v>0.94846064814814823</v>
      </c>
      <c r="C1308" s="26" t="s">
        <v>1219</v>
      </c>
    </row>
    <row r="1309" spans="1:3" x14ac:dyDescent="0.25">
      <c r="A1309" s="36">
        <v>41208</v>
      </c>
      <c r="B1309" s="122">
        <v>0.94846064814814823</v>
      </c>
      <c r="C1309" s="26" t="s">
        <v>1227</v>
      </c>
    </row>
    <row r="1310" spans="1:3" x14ac:dyDescent="0.25">
      <c r="A1310" s="36">
        <v>41208</v>
      </c>
      <c r="B1310" s="122">
        <v>0.9485069444444445</v>
      </c>
      <c r="C1310" s="26" t="s">
        <v>1074</v>
      </c>
    </row>
    <row r="1311" spans="1:3" x14ac:dyDescent="0.25">
      <c r="A1311" s="36">
        <v>41208</v>
      </c>
      <c r="B1311" s="122">
        <v>0.94914351851851853</v>
      </c>
      <c r="C1311" s="26" t="s">
        <v>1075</v>
      </c>
    </row>
    <row r="1312" spans="1:3" x14ac:dyDescent="0.25">
      <c r="A1312" s="36">
        <v>41208</v>
      </c>
      <c r="B1312" s="122">
        <v>0.9496296296296296</v>
      </c>
      <c r="C1312" s="26" t="s">
        <v>1076</v>
      </c>
    </row>
    <row r="1313" spans="1:3" x14ac:dyDescent="0.25">
      <c r="A1313" s="36">
        <v>41208</v>
      </c>
      <c r="B1313" s="122">
        <v>0.94997685185185177</v>
      </c>
      <c r="C1313" s="26" t="s">
        <v>1227</v>
      </c>
    </row>
    <row r="1314" spans="1:3" x14ac:dyDescent="0.25">
      <c r="A1314" s="36">
        <v>41208</v>
      </c>
      <c r="B1314" s="122">
        <v>0.95005787037037026</v>
      </c>
      <c r="C1314" s="26" t="s">
        <v>1057</v>
      </c>
    </row>
    <row r="1315" spans="1:3" x14ac:dyDescent="0.25">
      <c r="A1315" s="36">
        <v>41208</v>
      </c>
      <c r="B1315" s="122">
        <v>0.95017361111111109</v>
      </c>
      <c r="C1315" s="26" t="s">
        <v>1063</v>
      </c>
    </row>
    <row r="1316" spans="1:3" x14ac:dyDescent="0.25">
      <c r="A1316" s="36">
        <v>41208</v>
      </c>
      <c r="B1316" s="122">
        <v>0.95021990740740747</v>
      </c>
      <c r="C1316" s="26" t="s">
        <v>1064</v>
      </c>
    </row>
    <row r="1317" spans="1:3" x14ac:dyDescent="0.25">
      <c r="A1317" s="36">
        <v>41208</v>
      </c>
      <c r="B1317" s="122">
        <v>0.95025462962962959</v>
      </c>
      <c r="C1317" s="26" t="s">
        <v>1065</v>
      </c>
    </row>
    <row r="1318" spans="1:3" x14ac:dyDescent="0.25">
      <c r="A1318" s="36">
        <v>41208</v>
      </c>
      <c r="B1318" s="122">
        <v>0.95027777777777767</v>
      </c>
      <c r="C1318" s="26" t="s">
        <v>1227</v>
      </c>
    </row>
    <row r="1319" spans="1:3" x14ac:dyDescent="0.25">
      <c r="A1319" s="36">
        <v>41208</v>
      </c>
      <c r="B1319" s="122">
        <v>0.9503125</v>
      </c>
      <c r="C1319" s="26" t="s">
        <v>1128</v>
      </c>
    </row>
    <row r="1320" spans="1:3" x14ac:dyDescent="0.25">
      <c r="A1320" s="36">
        <v>41208</v>
      </c>
      <c r="B1320" s="122">
        <v>0.95084490740740746</v>
      </c>
      <c r="C1320" s="26" t="s">
        <v>1078</v>
      </c>
    </row>
    <row r="1321" spans="1:3" x14ac:dyDescent="0.25">
      <c r="A1321" s="36">
        <v>41208</v>
      </c>
      <c r="B1321" s="122">
        <v>0.95103009259259252</v>
      </c>
      <c r="C1321" s="26" t="s">
        <v>1079</v>
      </c>
    </row>
    <row r="1322" spans="1:3" x14ac:dyDescent="0.25">
      <c r="A1322" s="36">
        <v>41208</v>
      </c>
      <c r="B1322" s="122">
        <v>0.95112268518518517</v>
      </c>
      <c r="C1322" s="26" t="s">
        <v>1080</v>
      </c>
    </row>
    <row r="1323" spans="1:3" x14ac:dyDescent="0.25">
      <c r="A1323" s="36">
        <v>41208</v>
      </c>
      <c r="B1323" s="122">
        <v>0.95113425925925921</v>
      </c>
      <c r="C1323" s="26" t="s">
        <v>1081</v>
      </c>
    </row>
    <row r="1324" spans="1:3" x14ac:dyDescent="0.25">
      <c r="A1324" s="36">
        <v>41208</v>
      </c>
      <c r="B1324" s="122">
        <v>0.95114583333333336</v>
      </c>
      <c r="C1324" s="26" t="s">
        <v>1082</v>
      </c>
    </row>
    <row r="1325" spans="1:3" x14ac:dyDescent="0.25">
      <c r="A1325" s="36">
        <v>41208</v>
      </c>
      <c r="B1325" s="122">
        <v>0.95114583333333336</v>
      </c>
      <c r="C1325" s="26" t="s">
        <v>1083</v>
      </c>
    </row>
    <row r="1326" spans="1:3" x14ac:dyDescent="0.25">
      <c r="A1326" s="36">
        <v>41208</v>
      </c>
      <c r="B1326" s="122">
        <v>0.95115740740740751</v>
      </c>
      <c r="C1326" s="26" t="s">
        <v>992</v>
      </c>
    </row>
    <row r="1327" spans="1:3" x14ac:dyDescent="0.25">
      <c r="A1327" s="36">
        <v>41208</v>
      </c>
      <c r="B1327" s="122">
        <v>0.95115740740740751</v>
      </c>
      <c r="C1327" s="26" t="s">
        <v>1084</v>
      </c>
    </row>
    <row r="1328" spans="1:3" x14ac:dyDescent="0.25">
      <c r="A1328" s="36">
        <v>41208</v>
      </c>
      <c r="B1328" s="122">
        <v>0.95116898148148143</v>
      </c>
      <c r="C1328" s="26" t="s">
        <v>1085</v>
      </c>
    </row>
    <row r="1329" spans="1:3" x14ac:dyDescent="0.25">
      <c r="A1329" s="36">
        <v>41208</v>
      </c>
      <c r="B1329" s="122">
        <v>0.95116898148148143</v>
      </c>
      <c r="C1329" s="26" t="s">
        <v>1086</v>
      </c>
    </row>
    <row r="1330" spans="1:3" x14ac:dyDescent="0.25">
      <c r="A1330" s="36">
        <v>41208</v>
      </c>
      <c r="B1330" s="122">
        <v>0.95118055555555558</v>
      </c>
      <c r="C1330" s="26" t="s">
        <v>1085</v>
      </c>
    </row>
    <row r="1331" spans="1:3" x14ac:dyDescent="0.25">
      <c r="A1331" s="36">
        <v>41208</v>
      </c>
      <c r="B1331" s="122">
        <v>0.95119212962962962</v>
      </c>
      <c r="C1331" s="26" t="s">
        <v>1087</v>
      </c>
    </row>
    <row r="1332" spans="1:3" x14ac:dyDescent="0.25">
      <c r="A1332" s="36">
        <v>41208</v>
      </c>
      <c r="B1332" s="122">
        <v>0.95120370370370377</v>
      </c>
      <c r="C1332" s="26" t="s">
        <v>1088</v>
      </c>
    </row>
    <row r="1333" spans="1:3" x14ac:dyDescent="0.25">
      <c r="A1333" s="36">
        <v>41208</v>
      </c>
      <c r="B1333" s="122">
        <v>0.95120370370370377</v>
      </c>
      <c r="C1333" s="26" t="s">
        <v>1089</v>
      </c>
    </row>
    <row r="1334" spans="1:3" x14ac:dyDescent="0.25">
      <c r="A1334" s="36">
        <v>41208</v>
      </c>
      <c r="B1334" s="122">
        <v>0.9512152777777777</v>
      </c>
      <c r="C1334" s="26" t="s">
        <v>1088</v>
      </c>
    </row>
    <row r="1335" spans="1:3" x14ac:dyDescent="0.25">
      <c r="A1335" s="36">
        <v>41208</v>
      </c>
      <c r="B1335" s="122">
        <v>0.95190972222222225</v>
      </c>
      <c r="C1335" s="26" t="s">
        <v>1092</v>
      </c>
    </row>
    <row r="1336" spans="1:3" x14ac:dyDescent="0.25">
      <c r="A1336" s="36">
        <v>41208</v>
      </c>
      <c r="B1336" s="122">
        <v>0.95229166666666665</v>
      </c>
      <c r="C1336" s="26" t="s">
        <v>1093</v>
      </c>
    </row>
    <row r="1337" spans="1:3" x14ac:dyDescent="0.25">
      <c r="A1337" s="36">
        <v>41208</v>
      </c>
      <c r="B1337" s="122">
        <v>0.95246527777777779</v>
      </c>
      <c r="C1337" s="26" t="s">
        <v>1220</v>
      </c>
    </row>
    <row r="1338" spans="1:3" x14ac:dyDescent="0.25">
      <c r="A1338" s="36">
        <v>41208</v>
      </c>
      <c r="B1338" s="122">
        <v>0.96456018518518516</v>
      </c>
      <c r="C1338" s="26" t="s">
        <v>1207</v>
      </c>
    </row>
    <row r="1339" spans="1:3" x14ac:dyDescent="0.25">
      <c r="A1339" s="36">
        <v>41208</v>
      </c>
      <c r="B1339" s="122">
        <v>0.96456018518518516</v>
      </c>
      <c r="C1339" s="26" t="s">
        <v>1177</v>
      </c>
    </row>
    <row r="1340" spans="1:3" x14ac:dyDescent="0.25">
      <c r="A1340" s="36">
        <v>41208</v>
      </c>
      <c r="B1340" s="122">
        <v>0.9646527777777778</v>
      </c>
      <c r="C1340" s="26" t="s">
        <v>1208</v>
      </c>
    </row>
    <row r="1341" spans="1:3" x14ac:dyDescent="0.25">
      <c r="A1341" s="36">
        <v>41208</v>
      </c>
      <c r="B1341" s="122">
        <v>0.9646527777777778</v>
      </c>
      <c r="C1341" s="26" t="s">
        <v>1179</v>
      </c>
    </row>
    <row r="1342" spans="1:3" x14ac:dyDescent="0.25">
      <c r="A1342" s="36">
        <v>41208</v>
      </c>
      <c r="B1342" s="122">
        <v>0.9646527777777778</v>
      </c>
      <c r="C1342" s="26" t="s">
        <v>1180</v>
      </c>
    </row>
    <row r="1343" spans="1:3" x14ac:dyDescent="0.25">
      <c r="A1343" s="36">
        <v>41208</v>
      </c>
      <c r="B1343" s="122">
        <v>0.96471064814814822</v>
      </c>
      <c r="C1343" s="26" t="s">
        <v>1179</v>
      </c>
    </row>
    <row r="1344" spans="1:3" x14ac:dyDescent="0.25">
      <c r="A1344" s="36">
        <v>41208</v>
      </c>
      <c r="B1344" s="122">
        <v>0.96471064814814822</v>
      </c>
      <c r="C1344" s="26" t="s">
        <v>1180</v>
      </c>
    </row>
    <row r="1345" spans="1:3" x14ac:dyDescent="0.25">
      <c r="A1345" s="36">
        <v>41208</v>
      </c>
      <c r="B1345" s="122">
        <v>0.96475694444444438</v>
      </c>
      <c r="C1345" s="26" t="s">
        <v>1181</v>
      </c>
    </row>
    <row r="1346" spans="1:3" x14ac:dyDescent="0.25">
      <c r="A1346" s="36">
        <v>41208</v>
      </c>
      <c r="B1346" s="122">
        <v>0.96885416666666668</v>
      </c>
      <c r="C1346" s="26" t="s">
        <v>1207</v>
      </c>
    </row>
    <row r="1347" spans="1:3" x14ac:dyDescent="0.25">
      <c r="A1347" s="36">
        <v>41208</v>
      </c>
      <c r="B1347" s="122">
        <v>0.96885416666666668</v>
      </c>
      <c r="C1347" s="26" t="s">
        <v>1177</v>
      </c>
    </row>
    <row r="1348" spans="1:3" x14ac:dyDescent="0.25">
      <c r="A1348" s="36">
        <v>41208</v>
      </c>
      <c r="B1348" s="122">
        <v>0.96890046296296306</v>
      </c>
      <c r="C1348" s="26" t="s">
        <v>1208</v>
      </c>
    </row>
    <row r="1349" spans="1:3" x14ac:dyDescent="0.25">
      <c r="A1349" s="36">
        <v>41208</v>
      </c>
      <c r="B1349" s="122">
        <v>0.96890046296296306</v>
      </c>
      <c r="C1349" s="26" t="s">
        <v>1179</v>
      </c>
    </row>
    <row r="1350" spans="1:3" x14ac:dyDescent="0.25">
      <c r="A1350" s="36">
        <v>41208</v>
      </c>
      <c r="B1350" s="122">
        <v>0.96890046296296306</v>
      </c>
      <c r="C1350" s="26" t="s">
        <v>1180</v>
      </c>
    </row>
    <row r="1351" spans="1:3" x14ac:dyDescent="0.25">
      <c r="A1351" s="36">
        <v>41208</v>
      </c>
      <c r="B1351" s="122">
        <v>0.96894675925925933</v>
      </c>
      <c r="C1351" s="26" t="s">
        <v>1179</v>
      </c>
    </row>
    <row r="1352" spans="1:3" x14ac:dyDescent="0.25">
      <c r="A1352" s="36">
        <v>41208</v>
      </c>
      <c r="B1352" s="122">
        <v>0.96894675925925933</v>
      </c>
      <c r="C1352" s="26" t="s">
        <v>1180</v>
      </c>
    </row>
    <row r="1353" spans="1:3" x14ac:dyDescent="0.25">
      <c r="A1353" s="36">
        <v>41208</v>
      </c>
      <c r="B1353" s="122">
        <v>0.96900462962962963</v>
      </c>
      <c r="C1353" s="26" t="s">
        <v>1181</v>
      </c>
    </row>
    <row r="1354" spans="1:3" x14ac:dyDescent="0.25">
      <c r="A1354" s="36">
        <v>41209</v>
      </c>
      <c r="B1354" s="122">
        <v>1.4490740740740742E-2</v>
      </c>
      <c r="C1354" s="26" t="s">
        <v>1207</v>
      </c>
    </row>
    <row r="1355" spans="1:3" x14ac:dyDescent="0.25">
      <c r="A1355" s="36">
        <v>41209</v>
      </c>
      <c r="B1355" s="122">
        <v>1.4490740740740742E-2</v>
      </c>
      <c r="C1355" s="26" t="s">
        <v>1177</v>
      </c>
    </row>
    <row r="1356" spans="1:3" x14ac:dyDescent="0.25">
      <c r="A1356" s="36">
        <v>41209</v>
      </c>
      <c r="B1356" s="122">
        <v>1.4537037037037038E-2</v>
      </c>
      <c r="C1356" s="26" t="s">
        <v>1208</v>
      </c>
    </row>
    <row r="1357" spans="1:3" x14ac:dyDescent="0.25">
      <c r="A1357" s="36">
        <v>41209</v>
      </c>
      <c r="B1357" s="122">
        <v>1.4537037037037038E-2</v>
      </c>
      <c r="C1357" s="26" t="s">
        <v>1179</v>
      </c>
    </row>
    <row r="1358" spans="1:3" x14ac:dyDescent="0.25">
      <c r="A1358" s="36">
        <v>41209</v>
      </c>
      <c r="B1358" s="122">
        <v>1.4537037037037038E-2</v>
      </c>
      <c r="C1358" s="26" t="s">
        <v>1180</v>
      </c>
    </row>
    <row r="1359" spans="1:3" x14ac:dyDescent="0.25">
      <c r="A1359" s="36">
        <v>41209</v>
      </c>
      <c r="B1359" s="122">
        <v>1.4583333333333332E-2</v>
      </c>
      <c r="C1359" s="26" t="s">
        <v>1179</v>
      </c>
    </row>
    <row r="1360" spans="1:3" x14ac:dyDescent="0.25">
      <c r="A1360" s="36">
        <v>41209</v>
      </c>
      <c r="B1360" s="122">
        <v>1.4583333333333332E-2</v>
      </c>
      <c r="C1360" s="26" t="s">
        <v>1180</v>
      </c>
    </row>
    <row r="1361" spans="1:3" x14ac:dyDescent="0.25">
      <c r="A1361" s="36">
        <v>41209</v>
      </c>
      <c r="B1361" s="122">
        <v>1.462962962962963E-2</v>
      </c>
      <c r="C1361" s="26" t="s">
        <v>1181</v>
      </c>
    </row>
    <row r="1362" spans="1:3" x14ac:dyDescent="0.25">
      <c r="A1362" s="36">
        <v>41209</v>
      </c>
      <c r="B1362" s="122">
        <v>0.93081018518518521</v>
      </c>
      <c r="C1362" s="26" t="s">
        <v>1098</v>
      </c>
    </row>
    <row r="1363" spans="1:3" x14ac:dyDescent="0.25">
      <c r="A1363" s="36">
        <v>41209</v>
      </c>
      <c r="B1363" s="122">
        <v>0.93247685185185192</v>
      </c>
      <c r="C1363" s="26" t="s">
        <v>1237</v>
      </c>
    </row>
    <row r="1364" spans="1:3" x14ac:dyDescent="0.25">
      <c r="A1364" s="36">
        <v>41209</v>
      </c>
      <c r="B1364" s="122">
        <v>0.93369212962962955</v>
      </c>
      <c r="C1364" s="26" t="s">
        <v>1098</v>
      </c>
    </row>
    <row r="1365" spans="1:3" x14ac:dyDescent="0.25">
      <c r="A1365" s="36">
        <v>41209</v>
      </c>
      <c r="B1365" s="122">
        <v>0.93401620370370375</v>
      </c>
      <c r="C1365" s="26" t="s">
        <v>1237</v>
      </c>
    </row>
    <row r="1366" spans="1:3" x14ac:dyDescent="0.25">
      <c r="A1366" s="36">
        <v>41209</v>
      </c>
      <c r="B1366" s="122">
        <v>0.93432870370370369</v>
      </c>
      <c r="C1366" s="26" t="s">
        <v>1098</v>
      </c>
    </row>
    <row r="1367" spans="1:3" x14ac:dyDescent="0.25">
      <c r="A1367" s="36">
        <v>41209</v>
      </c>
      <c r="B1367" s="122">
        <v>0.93782407407407409</v>
      </c>
      <c r="C1367" s="26" t="s">
        <v>1098</v>
      </c>
    </row>
    <row r="1368" spans="1:3" x14ac:dyDescent="0.25">
      <c r="A1368" s="36">
        <v>41209</v>
      </c>
      <c r="B1368" s="122">
        <v>0.93907407407407406</v>
      </c>
      <c r="C1368" s="26" t="s">
        <v>1098</v>
      </c>
    </row>
    <row r="1369" spans="1:3" x14ac:dyDescent="0.25">
      <c r="A1369" s="36">
        <v>41209</v>
      </c>
      <c r="B1369" s="122">
        <v>0.94170138888888888</v>
      </c>
      <c r="C1369" s="26" t="s">
        <v>1098</v>
      </c>
    </row>
    <row r="1370" spans="1:3" x14ac:dyDescent="0.25">
      <c r="A1370" s="36">
        <v>41209</v>
      </c>
      <c r="B1370" s="122">
        <v>0.9512152777777777</v>
      </c>
      <c r="C1370" s="26" t="s">
        <v>1098</v>
      </c>
    </row>
    <row r="1371" spans="1:3" x14ac:dyDescent="0.25">
      <c r="A1371" s="36">
        <v>41209</v>
      </c>
      <c r="B1371" s="122">
        <v>0.95141203703703703</v>
      </c>
      <c r="C1371" s="26" t="s">
        <v>1239</v>
      </c>
    </row>
    <row r="1372" spans="1:3" x14ac:dyDescent="0.25">
      <c r="A1372" s="36">
        <v>41209</v>
      </c>
      <c r="B1372" s="122">
        <v>0.98093750000000002</v>
      </c>
      <c r="C1372" s="26" t="s">
        <v>1098</v>
      </c>
    </row>
    <row r="1373" spans="1:3" x14ac:dyDescent="0.25">
      <c r="A1373" s="36">
        <v>41209</v>
      </c>
      <c r="B1373" s="122">
        <v>0.9865624999999999</v>
      </c>
      <c r="C1373" s="26" t="s">
        <v>1098</v>
      </c>
    </row>
    <row r="1374" spans="1:3" x14ac:dyDescent="0.25">
      <c r="A1374" s="36">
        <v>41209</v>
      </c>
      <c r="B1374" s="122">
        <v>0.99275462962962957</v>
      </c>
      <c r="C1374" s="26" t="s">
        <v>905</v>
      </c>
    </row>
    <row r="1375" spans="1:3" x14ac:dyDescent="0.25">
      <c r="A1375" s="36">
        <v>41209</v>
      </c>
      <c r="B1375" s="122">
        <v>0.99363425925925919</v>
      </c>
      <c r="C1375" s="26" t="s">
        <v>1098</v>
      </c>
    </row>
    <row r="1376" spans="1:3" x14ac:dyDescent="0.25">
      <c r="A1376" s="36">
        <v>41209</v>
      </c>
      <c r="B1376" s="122">
        <v>0.99693287037037026</v>
      </c>
      <c r="C1376" s="26" t="s">
        <v>1098</v>
      </c>
    </row>
    <row r="1377" spans="1:3" x14ac:dyDescent="0.25">
      <c r="A1377" s="36">
        <v>41209</v>
      </c>
      <c r="B1377" s="122">
        <v>0.99774305555555554</v>
      </c>
      <c r="C1377" s="26" t="s">
        <v>1098</v>
      </c>
    </row>
    <row r="1378" spans="1:3" x14ac:dyDescent="0.25">
      <c r="A1378" s="36">
        <v>41209</v>
      </c>
      <c r="B1378" s="122">
        <v>0.99857638888888889</v>
      </c>
      <c r="C1378" s="26" t="s">
        <v>1098</v>
      </c>
    </row>
    <row r="1379" spans="1:3" x14ac:dyDescent="0.25">
      <c r="A1379" s="36">
        <v>41210</v>
      </c>
      <c r="B1379" s="122">
        <v>5.7754629629629623E-3</v>
      </c>
      <c r="C1379" s="26" t="s">
        <v>1098</v>
      </c>
    </row>
    <row r="1380" spans="1:3" x14ac:dyDescent="0.25">
      <c r="A1380" s="36">
        <v>41210</v>
      </c>
      <c r="B1380" s="122">
        <v>7.743055555555556E-3</v>
      </c>
      <c r="C1380" s="26" t="s">
        <v>1098</v>
      </c>
    </row>
    <row r="1381" spans="1:3" x14ac:dyDescent="0.25">
      <c r="A1381" s="36">
        <v>41210</v>
      </c>
      <c r="B1381" s="122">
        <v>9.9652777777777778E-3</v>
      </c>
      <c r="C1381" s="26" t="s">
        <v>1098</v>
      </c>
    </row>
    <row r="1382" spans="1:3" x14ac:dyDescent="0.25">
      <c r="A1382" s="36">
        <v>41210</v>
      </c>
      <c r="B1382" s="122">
        <v>1.3217592592592593E-2</v>
      </c>
      <c r="C1382" s="26" t="s">
        <v>1098</v>
      </c>
    </row>
    <row r="1383" spans="1:3" x14ac:dyDescent="0.25">
      <c r="A1383" s="36">
        <v>41210</v>
      </c>
      <c r="B1383" s="122">
        <v>1.3530092592592594E-2</v>
      </c>
      <c r="C1383" s="26" t="s">
        <v>1098</v>
      </c>
    </row>
    <row r="1384" spans="1:3" x14ac:dyDescent="0.25">
      <c r="A1384" s="36">
        <v>41210</v>
      </c>
      <c r="B1384" s="122">
        <v>1.7488425925925925E-2</v>
      </c>
      <c r="C1384" s="26" t="s">
        <v>1098</v>
      </c>
    </row>
    <row r="1385" spans="1:3" x14ac:dyDescent="0.25">
      <c r="A1385" s="36">
        <v>41210</v>
      </c>
      <c r="B1385" s="122">
        <v>2.0520833333333332E-2</v>
      </c>
      <c r="C1385" s="26" t="s">
        <v>1178</v>
      </c>
    </row>
    <row r="1386" spans="1:3" x14ac:dyDescent="0.25">
      <c r="A1386" s="36">
        <v>41210</v>
      </c>
      <c r="B1386" s="122">
        <v>2.0682870370370372E-2</v>
      </c>
      <c r="C1386" s="26" t="s">
        <v>1098</v>
      </c>
    </row>
    <row r="1387" spans="1:3" x14ac:dyDescent="0.25">
      <c r="A1387" s="36">
        <v>41210</v>
      </c>
      <c r="B1387" s="122">
        <v>2.1250000000000002E-2</v>
      </c>
      <c r="C1387" s="26" t="s">
        <v>1098</v>
      </c>
    </row>
    <row r="1388" spans="1:3" x14ac:dyDescent="0.25">
      <c r="A1388" s="36">
        <v>41210</v>
      </c>
      <c r="B1388" s="122">
        <v>2.2094907407407407E-2</v>
      </c>
      <c r="C1388" s="26" t="s">
        <v>1098</v>
      </c>
    </row>
    <row r="1389" spans="1:3" x14ac:dyDescent="0.25">
      <c r="A1389" s="36">
        <v>41210</v>
      </c>
      <c r="B1389" s="122">
        <v>0.38613425925925932</v>
      </c>
      <c r="C1389" s="26" t="s">
        <v>905</v>
      </c>
    </row>
    <row r="1390" spans="1:3" x14ac:dyDescent="0.25">
      <c r="A1390" s="36">
        <v>41210</v>
      </c>
      <c r="B1390" s="122">
        <v>0.42598379629629629</v>
      </c>
      <c r="C1390" s="26" t="s">
        <v>905</v>
      </c>
    </row>
    <row r="1391" spans="1:3" x14ac:dyDescent="0.25">
      <c r="A1391" s="36">
        <v>41210</v>
      </c>
      <c r="B1391" s="122">
        <v>0.52811342592592592</v>
      </c>
      <c r="C1391" s="26" t="s">
        <v>1252</v>
      </c>
    </row>
    <row r="1392" spans="1:3" x14ac:dyDescent="0.25">
      <c r="A1392" s="36">
        <v>41210</v>
      </c>
      <c r="B1392" s="122">
        <v>0.81782407407407398</v>
      </c>
      <c r="C1392" s="26" t="s">
        <v>1254</v>
      </c>
    </row>
    <row r="1393" spans="1:3" x14ac:dyDescent="0.25">
      <c r="A1393" s="36">
        <v>41210</v>
      </c>
      <c r="B1393" s="122">
        <v>0.82156250000000008</v>
      </c>
      <c r="C1393" s="26" t="s">
        <v>1254</v>
      </c>
    </row>
    <row r="1394" spans="1:3" x14ac:dyDescent="0.25">
      <c r="A1394" s="36">
        <v>41210</v>
      </c>
      <c r="B1394" s="122">
        <v>0.82243055555555555</v>
      </c>
      <c r="C1394" s="26" t="s">
        <v>1254</v>
      </c>
    </row>
    <row r="1395" spans="1:3" x14ac:dyDescent="0.25">
      <c r="A1395" s="36">
        <v>41210</v>
      </c>
      <c r="B1395" s="122">
        <v>0.82254629629629628</v>
      </c>
      <c r="C1395" s="26" t="s">
        <v>1254</v>
      </c>
    </row>
    <row r="1396" spans="1:3" x14ac:dyDescent="0.25">
      <c r="A1396" s="36">
        <v>41210</v>
      </c>
      <c r="B1396" s="122">
        <v>0.82265046296296296</v>
      </c>
      <c r="C1396" s="26" t="s">
        <v>1254</v>
      </c>
    </row>
    <row r="1397" spans="1:3" x14ac:dyDescent="0.25">
      <c r="A1397" s="36">
        <v>41210</v>
      </c>
      <c r="B1397" s="122">
        <v>0.82710648148148147</v>
      </c>
      <c r="C1397" s="26" t="s">
        <v>1254</v>
      </c>
    </row>
    <row r="1398" spans="1:3" x14ac:dyDescent="0.25">
      <c r="A1398" s="36">
        <v>41210</v>
      </c>
      <c r="B1398" s="122">
        <v>0.9287037037037037</v>
      </c>
      <c r="C1398" s="26" t="s">
        <v>1258</v>
      </c>
    </row>
    <row r="1399" spans="1:3" x14ac:dyDescent="0.25">
      <c r="A1399" s="36">
        <v>41210</v>
      </c>
      <c r="B1399" s="122">
        <v>0.92885416666666665</v>
      </c>
      <c r="C1399" s="26" t="s">
        <v>1259</v>
      </c>
    </row>
    <row r="1400" spans="1:3" x14ac:dyDescent="0.25">
      <c r="A1400" s="36">
        <v>41211</v>
      </c>
      <c r="B1400" s="122">
        <v>0.84578703703703706</v>
      </c>
      <c r="C1400" s="26" t="s">
        <v>1269</v>
      </c>
    </row>
    <row r="1401" spans="1:3" x14ac:dyDescent="0.25">
      <c r="A1401" s="36">
        <v>41211</v>
      </c>
      <c r="B1401" s="122">
        <v>0.84747685185185195</v>
      </c>
      <c r="C1401" s="26" t="s">
        <v>1270</v>
      </c>
    </row>
    <row r="1402" spans="1:3" x14ac:dyDescent="0.25">
      <c r="A1402" s="36">
        <v>41211</v>
      </c>
      <c r="B1402" s="122">
        <v>0.8507986111111111</v>
      </c>
      <c r="C1402" s="26" t="s">
        <v>1271</v>
      </c>
    </row>
    <row r="1403" spans="1:3" x14ac:dyDescent="0.25">
      <c r="A1403" s="36">
        <v>41211</v>
      </c>
      <c r="B1403" s="122">
        <v>0.85240740740740739</v>
      </c>
      <c r="C1403" s="26" t="s">
        <v>1272</v>
      </c>
    </row>
    <row r="1404" spans="1:3" x14ac:dyDescent="0.25">
      <c r="A1404" s="36">
        <v>41211</v>
      </c>
      <c r="B1404" s="122">
        <v>0.85445601851851849</v>
      </c>
      <c r="C1404" s="26" t="s">
        <v>1273</v>
      </c>
    </row>
    <row r="1405" spans="1:3" x14ac:dyDescent="0.25">
      <c r="A1405" s="36">
        <v>41211</v>
      </c>
      <c r="B1405" s="122">
        <v>0.85666666666666658</v>
      </c>
      <c r="C1405" s="26" t="s">
        <v>1274</v>
      </c>
    </row>
    <row r="1406" spans="1:3" x14ac:dyDescent="0.25">
      <c r="A1406" s="36">
        <v>41211</v>
      </c>
      <c r="B1406" s="122">
        <v>0.85736111111111113</v>
      </c>
      <c r="C1406" s="26" t="s">
        <v>1275</v>
      </c>
    </row>
    <row r="1407" spans="1:3" x14ac:dyDescent="0.25">
      <c r="A1407" s="36">
        <v>41211</v>
      </c>
      <c r="B1407" s="122">
        <v>0.8580092592592593</v>
      </c>
      <c r="C1407" s="26" t="s">
        <v>1276</v>
      </c>
    </row>
    <row r="1408" spans="1:3" x14ac:dyDescent="0.25">
      <c r="A1408" s="36">
        <v>41211</v>
      </c>
      <c r="B1408" s="122">
        <v>0.85912037037037037</v>
      </c>
      <c r="C1408" s="26" t="s">
        <v>1277</v>
      </c>
    </row>
    <row r="1409" spans="1:3" x14ac:dyDescent="0.25">
      <c r="A1409" s="36">
        <v>41211</v>
      </c>
      <c r="B1409" s="122">
        <v>0.85969907407407409</v>
      </c>
      <c r="C1409" s="26" t="s">
        <v>1278</v>
      </c>
    </row>
    <row r="1410" spans="1:3" x14ac:dyDescent="0.25">
      <c r="A1410" s="36">
        <v>41211</v>
      </c>
      <c r="B1410" s="122">
        <v>0.86215277777777777</v>
      </c>
      <c r="C1410" s="26" t="s">
        <v>1279</v>
      </c>
    </row>
    <row r="1411" spans="1:3" x14ac:dyDescent="0.25">
      <c r="A1411" s="36">
        <v>41211</v>
      </c>
      <c r="B1411" s="122">
        <v>0.86215277777777777</v>
      </c>
      <c r="C1411" s="26" t="s">
        <v>1280</v>
      </c>
    </row>
    <row r="1412" spans="1:3" x14ac:dyDescent="0.25">
      <c r="A1412" s="36">
        <v>41211</v>
      </c>
      <c r="B1412" s="122">
        <v>0.8621875</v>
      </c>
      <c r="C1412" s="26" t="s">
        <v>1281</v>
      </c>
    </row>
    <row r="1413" spans="1:3" x14ac:dyDescent="0.25">
      <c r="A1413" s="36">
        <v>41211</v>
      </c>
      <c r="B1413" s="122">
        <v>0.86223379629629626</v>
      </c>
      <c r="C1413" s="26" t="s">
        <v>1282</v>
      </c>
    </row>
    <row r="1414" spans="1:3" x14ac:dyDescent="0.25">
      <c r="A1414" s="36">
        <v>41211</v>
      </c>
      <c r="B1414" s="122">
        <v>0.86260416666666673</v>
      </c>
      <c r="C1414" s="26" t="s">
        <v>1283</v>
      </c>
    </row>
    <row r="1415" spans="1:3" x14ac:dyDescent="0.25">
      <c r="A1415" s="36">
        <v>41211</v>
      </c>
      <c r="B1415" s="122">
        <v>0.8637731481481481</v>
      </c>
      <c r="C1415" s="26" t="s">
        <v>1284</v>
      </c>
    </row>
    <row r="1416" spans="1:3" x14ac:dyDescent="0.25">
      <c r="A1416" s="36">
        <v>41211</v>
      </c>
      <c r="B1416" s="122">
        <v>0.86392361111111116</v>
      </c>
      <c r="C1416" s="26" t="s">
        <v>1285</v>
      </c>
    </row>
    <row r="1417" spans="1:3" x14ac:dyDescent="0.25">
      <c r="A1417" s="36">
        <v>41211</v>
      </c>
      <c r="B1417" s="122">
        <v>0.86393518518518519</v>
      </c>
      <c r="C1417" s="26" t="s">
        <v>1286</v>
      </c>
    </row>
    <row r="1418" spans="1:3" x14ac:dyDescent="0.25">
      <c r="A1418" s="36">
        <v>41211</v>
      </c>
      <c r="B1418" s="122">
        <v>0.86393518518518519</v>
      </c>
      <c r="C1418" s="26" t="s">
        <v>1286</v>
      </c>
    </row>
    <row r="1419" spans="1:3" x14ac:dyDescent="0.25">
      <c r="A1419" s="36">
        <v>41211</v>
      </c>
      <c r="B1419" s="122">
        <v>0.86393518518518519</v>
      </c>
      <c r="C1419" s="26" t="s">
        <v>1287</v>
      </c>
    </row>
    <row r="1420" spans="1:3" x14ac:dyDescent="0.25">
      <c r="A1420" s="36">
        <v>41211</v>
      </c>
      <c r="B1420" s="122">
        <v>0.86393518518518519</v>
      </c>
      <c r="C1420" s="26" t="s">
        <v>1287</v>
      </c>
    </row>
    <row r="1421" spans="1:3" x14ac:dyDescent="0.25">
      <c r="A1421" s="36">
        <v>41211</v>
      </c>
      <c r="B1421" s="122">
        <v>0.86393518518518519</v>
      </c>
      <c r="C1421" s="26" t="s">
        <v>1288</v>
      </c>
    </row>
    <row r="1422" spans="1:3" x14ac:dyDescent="0.25">
      <c r="A1422" s="36">
        <v>41211</v>
      </c>
      <c r="B1422" s="122">
        <v>0.86393518518518519</v>
      </c>
      <c r="C1422" s="26" t="s">
        <v>1289</v>
      </c>
    </row>
    <row r="1423" spans="1:3" x14ac:dyDescent="0.25">
      <c r="A1423" s="36">
        <v>41211</v>
      </c>
      <c r="B1423" s="122">
        <v>0.86393518518518519</v>
      </c>
      <c r="C1423" s="26" t="s">
        <v>1290</v>
      </c>
    </row>
    <row r="1424" spans="1:3" x14ac:dyDescent="0.25">
      <c r="A1424" s="36">
        <v>41211</v>
      </c>
      <c r="B1424" s="122">
        <v>0.86393518518518519</v>
      </c>
      <c r="C1424" s="26" t="s">
        <v>1290</v>
      </c>
    </row>
    <row r="1425" spans="1:3" x14ac:dyDescent="0.25">
      <c r="A1425" s="36">
        <v>41211</v>
      </c>
      <c r="B1425" s="122">
        <v>0.86393518518518519</v>
      </c>
      <c r="C1425" s="26" t="s">
        <v>1291</v>
      </c>
    </row>
    <row r="1426" spans="1:3" x14ac:dyDescent="0.25">
      <c r="A1426" s="36">
        <v>41211</v>
      </c>
      <c r="B1426" s="122">
        <v>0.86393518518518519</v>
      </c>
      <c r="C1426" s="26" t="s">
        <v>1292</v>
      </c>
    </row>
    <row r="1427" spans="1:3" x14ac:dyDescent="0.25">
      <c r="A1427" s="36">
        <v>41211</v>
      </c>
      <c r="B1427" s="122">
        <v>0.86393518518518519</v>
      </c>
      <c r="C1427" s="26" t="s">
        <v>1293</v>
      </c>
    </row>
    <row r="1428" spans="1:3" x14ac:dyDescent="0.25">
      <c r="A1428" s="36">
        <v>41211</v>
      </c>
      <c r="B1428" s="122">
        <v>0.86393518518518519</v>
      </c>
      <c r="C1428" s="26" t="s">
        <v>1294</v>
      </c>
    </row>
    <row r="1429" spans="1:3" x14ac:dyDescent="0.25">
      <c r="A1429" s="36">
        <v>41211</v>
      </c>
      <c r="B1429" s="122">
        <v>0.86393518518518519</v>
      </c>
      <c r="C1429" s="26" t="s">
        <v>1294</v>
      </c>
    </row>
    <row r="1430" spans="1:3" x14ac:dyDescent="0.25">
      <c r="A1430" s="36">
        <v>41211</v>
      </c>
      <c r="B1430" s="122">
        <v>0.86394675925925923</v>
      </c>
      <c r="C1430" s="26" t="s">
        <v>1295</v>
      </c>
    </row>
    <row r="1431" spans="1:3" x14ac:dyDescent="0.25">
      <c r="A1431" s="36">
        <v>41211</v>
      </c>
      <c r="B1431" s="122">
        <v>0.86394675925925923</v>
      </c>
      <c r="C1431" s="26" t="s">
        <v>1296</v>
      </c>
    </row>
    <row r="1432" spans="1:3" x14ac:dyDescent="0.25">
      <c r="A1432" s="36">
        <v>41211</v>
      </c>
      <c r="B1432" s="122">
        <v>0.86394675925925923</v>
      </c>
      <c r="C1432" s="26" t="s">
        <v>1296</v>
      </c>
    </row>
    <row r="1433" spans="1:3" x14ac:dyDescent="0.25">
      <c r="A1433" s="36">
        <v>41211</v>
      </c>
      <c r="B1433" s="122">
        <v>0.86394675925925923</v>
      </c>
      <c r="C1433" s="26" t="s">
        <v>1296</v>
      </c>
    </row>
    <row r="1434" spans="1:3" x14ac:dyDescent="0.25">
      <c r="A1434" s="36">
        <v>41211</v>
      </c>
      <c r="B1434" s="122">
        <v>0.86394675925925923</v>
      </c>
      <c r="C1434" s="26" t="s">
        <v>1296</v>
      </c>
    </row>
    <row r="1435" spans="1:3" x14ac:dyDescent="0.25">
      <c r="A1435" s="36">
        <v>41211</v>
      </c>
      <c r="B1435" s="122">
        <v>0.86394675925925923</v>
      </c>
      <c r="C1435" s="26" t="s">
        <v>1296</v>
      </c>
    </row>
    <row r="1436" spans="1:3" x14ac:dyDescent="0.25">
      <c r="A1436" s="36">
        <v>41211</v>
      </c>
      <c r="B1436" s="122">
        <v>0.86394675925925923</v>
      </c>
      <c r="C1436" s="26" t="s">
        <v>1296</v>
      </c>
    </row>
    <row r="1437" spans="1:3" x14ac:dyDescent="0.25">
      <c r="A1437" s="36">
        <v>41211</v>
      </c>
      <c r="B1437" s="122">
        <v>0.86394675925925923</v>
      </c>
      <c r="C1437" s="26" t="s">
        <v>1296</v>
      </c>
    </row>
    <row r="1438" spans="1:3" x14ac:dyDescent="0.25">
      <c r="A1438" s="36">
        <v>41211</v>
      </c>
      <c r="B1438" s="122">
        <v>0.86394675925925923</v>
      </c>
      <c r="C1438" s="26" t="s">
        <v>1296</v>
      </c>
    </row>
    <row r="1439" spans="1:3" x14ac:dyDescent="0.25">
      <c r="A1439" s="36">
        <v>41211</v>
      </c>
      <c r="B1439" s="122">
        <v>0.86394675925925923</v>
      </c>
      <c r="C1439" s="26" t="s">
        <v>1296</v>
      </c>
    </row>
    <row r="1440" spans="1:3" x14ac:dyDescent="0.25">
      <c r="A1440" s="36">
        <v>41211</v>
      </c>
      <c r="B1440" s="122">
        <v>0.86394675925925923</v>
      </c>
      <c r="C1440" s="26" t="s">
        <v>1297</v>
      </c>
    </row>
    <row r="1441" spans="1:3" x14ac:dyDescent="0.25">
      <c r="A1441" s="36">
        <v>41211</v>
      </c>
      <c r="B1441" s="122">
        <v>0.86394675925925923</v>
      </c>
      <c r="C1441" s="26" t="s">
        <v>1297</v>
      </c>
    </row>
    <row r="1442" spans="1:3" x14ac:dyDescent="0.25">
      <c r="A1442" s="36">
        <v>41211</v>
      </c>
      <c r="B1442" s="122">
        <v>0.86394675925925923</v>
      </c>
      <c r="C1442" s="26" t="s">
        <v>1297</v>
      </c>
    </row>
    <row r="1443" spans="1:3" x14ac:dyDescent="0.25">
      <c r="A1443" s="36">
        <v>41211</v>
      </c>
      <c r="B1443" s="122">
        <v>0.86394675925925923</v>
      </c>
      <c r="C1443" s="26" t="s">
        <v>1297</v>
      </c>
    </row>
    <row r="1444" spans="1:3" x14ac:dyDescent="0.25">
      <c r="A1444" s="36">
        <v>41211</v>
      </c>
      <c r="B1444" s="122">
        <v>0.86394675925925923</v>
      </c>
      <c r="C1444" s="26" t="s">
        <v>1297</v>
      </c>
    </row>
    <row r="1445" spans="1:3" x14ac:dyDescent="0.25">
      <c r="A1445" s="36">
        <v>41211</v>
      </c>
      <c r="B1445" s="122">
        <v>0.86394675925925923</v>
      </c>
      <c r="C1445" s="26" t="s">
        <v>1297</v>
      </c>
    </row>
    <row r="1446" spans="1:3" x14ac:dyDescent="0.25">
      <c r="A1446" s="36">
        <v>41211</v>
      </c>
      <c r="B1446" s="122">
        <v>0.86394675925925923</v>
      </c>
      <c r="C1446" s="26" t="s">
        <v>1297</v>
      </c>
    </row>
    <row r="1447" spans="1:3" x14ac:dyDescent="0.25">
      <c r="A1447" s="36">
        <v>41211</v>
      </c>
      <c r="B1447" s="122">
        <v>0.86394675925925923</v>
      </c>
      <c r="C1447" s="26" t="s">
        <v>1297</v>
      </c>
    </row>
    <row r="1448" spans="1:3" x14ac:dyDescent="0.25">
      <c r="A1448" s="36">
        <v>41211</v>
      </c>
      <c r="B1448" s="122">
        <v>0.86394675925925923</v>
      </c>
      <c r="C1448" s="26" t="s">
        <v>1297</v>
      </c>
    </row>
    <row r="1449" spans="1:3" x14ac:dyDescent="0.25">
      <c r="A1449" s="36">
        <v>41211</v>
      </c>
      <c r="B1449" s="122">
        <v>0.86394675925925923</v>
      </c>
      <c r="C1449" s="26" t="s">
        <v>1297</v>
      </c>
    </row>
    <row r="1450" spans="1:3" x14ac:dyDescent="0.25">
      <c r="A1450" s="36">
        <v>41211</v>
      </c>
      <c r="B1450" s="122">
        <v>0.86394675925925923</v>
      </c>
      <c r="C1450" s="26" t="s">
        <v>1297</v>
      </c>
    </row>
    <row r="1451" spans="1:3" x14ac:dyDescent="0.25">
      <c r="A1451" s="36">
        <v>41211</v>
      </c>
      <c r="B1451" s="122">
        <v>0.86394675925925923</v>
      </c>
      <c r="C1451" s="26" t="s">
        <v>1297</v>
      </c>
    </row>
    <row r="1452" spans="1:3" x14ac:dyDescent="0.25">
      <c r="A1452" s="36">
        <v>41211</v>
      </c>
      <c r="B1452" s="122">
        <v>0.86394675925925923</v>
      </c>
      <c r="C1452" s="26" t="s">
        <v>1297</v>
      </c>
    </row>
    <row r="1453" spans="1:3" x14ac:dyDescent="0.25">
      <c r="A1453" s="36">
        <v>41211</v>
      </c>
      <c r="B1453" s="122">
        <v>0.86394675925925923</v>
      </c>
      <c r="C1453" s="26" t="s">
        <v>1297</v>
      </c>
    </row>
    <row r="1454" spans="1:3" x14ac:dyDescent="0.25">
      <c r="A1454" s="36">
        <v>41211</v>
      </c>
      <c r="B1454" s="122">
        <v>0.86394675925925923</v>
      </c>
      <c r="C1454" s="26" t="s">
        <v>1297</v>
      </c>
    </row>
    <row r="1455" spans="1:3" x14ac:dyDescent="0.25">
      <c r="A1455" s="36">
        <v>41211</v>
      </c>
      <c r="B1455" s="122">
        <v>0.86394675925925923</v>
      </c>
      <c r="C1455" s="26" t="s">
        <v>1297</v>
      </c>
    </row>
    <row r="1456" spans="1:3" x14ac:dyDescent="0.25">
      <c r="A1456" s="36">
        <v>41211</v>
      </c>
      <c r="B1456" s="122">
        <v>0.86394675925925923</v>
      </c>
      <c r="C1456" s="26" t="s">
        <v>1297</v>
      </c>
    </row>
    <row r="1457" spans="1:3" x14ac:dyDescent="0.25">
      <c r="A1457" s="36">
        <v>41211</v>
      </c>
      <c r="B1457" s="122">
        <v>0.86394675925925923</v>
      </c>
      <c r="C1457" s="26" t="s">
        <v>1297</v>
      </c>
    </row>
    <row r="1458" spans="1:3" x14ac:dyDescent="0.25">
      <c r="A1458" s="36">
        <v>41211</v>
      </c>
      <c r="B1458" s="122">
        <v>0.86394675925925923</v>
      </c>
      <c r="C1458" s="26" t="s">
        <v>1297</v>
      </c>
    </row>
    <row r="1459" spans="1:3" x14ac:dyDescent="0.25">
      <c r="A1459" s="36">
        <v>41211</v>
      </c>
      <c r="B1459" s="122">
        <v>0.86394675925925923</v>
      </c>
      <c r="C1459" s="26" t="s">
        <v>1297</v>
      </c>
    </row>
    <row r="1460" spans="1:3" x14ac:dyDescent="0.25">
      <c r="A1460" s="36">
        <v>41211</v>
      </c>
      <c r="B1460" s="122">
        <v>0.86394675925925923</v>
      </c>
      <c r="C1460" s="26" t="s">
        <v>1297</v>
      </c>
    </row>
    <row r="1461" spans="1:3" x14ac:dyDescent="0.25">
      <c r="A1461" s="36">
        <v>41211</v>
      </c>
      <c r="B1461" s="122">
        <v>0.86394675925925923</v>
      </c>
      <c r="C1461" s="26" t="s">
        <v>1297</v>
      </c>
    </row>
    <row r="1462" spans="1:3" x14ac:dyDescent="0.25">
      <c r="A1462" s="36">
        <v>41211</v>
      </c>
      <c r="B1462" s="122">
        <v>0.86394675925925923</v>
      </c>
      <c r="C1462" s="26" t="s">
        <v>1297</v>
      </c>
    </row>
    <row r="1463" spans="1:3" x14ac:dyDescent="0.25">
      <c r="A1463" s="36">
        <v>41211</v>
      </c>
      <c r="B1463" s="122">
        <v>0.86394675925925923</v>
      </c>
      <c r="C1463" s="26" t="s">
        <v>1297</v>
      </c>
    </row>
    <row r="1464" spans="1:3" x14ac:dyDescent="0.25">
      <c r="A1464" s="36">
        <v>41211</v>
      </c>
      <c r="B1464" s="122">
        <v>0.86394675925925923</v>
      </c>
      <c r="C1464" s="26" t="s">
        <v>1297</v>
      </c>
    </row>
    <row r="1465" spans="1:3" x14ac:dyDescent="0.25">
      <c r="A1465" s="36">
        <v>41211</v>
      </c>
      <c r="B1465" s="122">
        <v>0.86394675925925923</v>
      </c>
      <c r="C1465" s="26" t="s">
        <v>1297</v>
      </c>
    </row>
    <row r="1466" spans="1:3" x14ac:dyDescent="0.25">
      <c r="A1466" s="36">
        <v>41211</v>
      </c>
      <c r="B1466" s="122">
        <v>0.86394675925925923</v>
      </c>
      <c r="C1466" s="26" t="s">
        <v>1297</v>
      </c>
    </row>
    <row r="1467" spans="1:3" x14ac:dyDescent="0.25">
      <c r="A1467" s="36">
        <v>41211</v>
      </c>
      <c r="B1467" s="122">
        <v>0.86394675925925923</v>
      </c>
      <c r="C1467" s="26" t="s">
        <v>1297</v>
      </c>
    </row>
    <row r="1468" spans="1:3" x14ac:dyDescent="0.25">
      <c r="A1468" s="36">
        <v>41211</v>
      </c>
      <c r="B1468" s="122">
        <v>0.86394675925925923</v>
      </c>
      <c r="C1468" s="26" t="s">
        <v>1297</v>
      </c>
    </row>
    <row r="1469" spans="1:3" x14ac:dyDescent="0.25">
      <c r="A1469" s="36">
        <v>41211</v>
      </c>
      <c r="B1469" s="122">
        <v>0.86394675925925923</v>
      </c>
      <c r="C1469" s="26" t="s">
        <v>1298</v>
      </c>
    </row>
    <row r="1470" spans="1:3" x14ac:dyDescent="0.25">
      <c r="A1470" s="36">
        <v>41211</v>
      </c>
      <c r="B1470" s="122">
        <v>0.86394675925925923</v>
      </c>
      <c r="C1470" s="26" t="s">
        <v>1297</v>
      </c>
    </row>
    <row r="1471" spans="1:3" x14ac:dyDescent="0.25">
      <c r="A1471" s="36">
        <v>41211</v>
      </c>
      <c r="B1471" s="122">
        <v>0.86394675925925923</v>
      </c>
      <c r="C1471" s="26" t="s">
        <v>1298</v>
      </c>
    </row>
    <row r="1472" spans="1:3" x14ac:dyDescent="0.25">
      <c r="A1472" s="36">
        <v>41211</v>
      </c>
      <c r="B1472" s="122">
        <v>0.86394675925925923</v>
      </c>
      <c r="C1472" s="26" t="s">
        <v>1297</v>
      </c>
    </row>
    <row r="1473" spans="1:3" x14ac:dyDescent="0.25">
      <c r="A1473" s="36">
        <v>41211</v>
      </c>
      <c r="B1473" s="122">
        <v>0.86394675925925923</v>
      </c>
      <c r="C1473" s="26" t="s">
        <v>1297</v>
      </c>
    </row>
    <row r="1474" spans="1:3" x14ac:dyDescent="0.25">
      <c r="A1474" s="36">
        <v>41211</v>
      </c>
      <c r="B1474" s="122">
        <v>0.86394675925925923</v>
      </c>
      <c r="C1474" s="26" t="s">
        <v>1299</v>
      </c>
    </row>
    <row r="1475" spans="1:3" x14ac:dyDescent="0.25">
      <c r="A1475" s="36">
        <v>41211</v>
      </c>
      <c r="B1475" s="122">
        <v>0.86394675925925923</v>
      </c>
      <c r="C1475" s="26" t="s">
        <v>1299</v>
      </c>
    </row>
    <row r="1476" spans="1:3" x14ac:dyDescent="0.25">
      <c r="A1476" s="36">
        <v>41211</v>
      </c>
      <c r="B1476" s="122">
        <v>0.86394675925925923</v>
      </c>
      <c r="C1476" s="26" t="s">
        <v>1300</v>
      </c>
    </row>
    <row r="1477" spans="1:3" x14ac:dyDescent="0.25">
      <c r="A1477" s="36">
        <v>41211</v>
      </c>
      <c r="B1477" s="122">
        <v>0.86394675925925923</v>
      </c>
      <c r="C1477" s="26" t="s">
        <v>1301</v>
      </c>
    </row>
    <row r="1478" spans="1:3" x14ac:dyDescent="0.25">
      <c r="A1478" s="36">
        <v>41211</v>
      </c>
      <c r="B1478" s="122">
        <v>0.86394675925925923</v>
      </c>
      <c r="C1478" s="26" t="s">
        <v>1301</v>
      </c>
    </row>
    <row r="1479" spans="1:3" x14ac:dyDescent="0.25">
      <c r="A1479" s="36">
        <v>41211</v>
      </c>
      <c r="B1479" s="122">
        <v>0.86394675925925923</v>
      </c>
      <c r="C1479" s="26" t="s">
        <v>1301</v>
      </c>
    </row>
    <row r="1480" spans="1:3" x14ac:dyDescent="0.25">
      <c r="A1480" s="36">
        <v>41211</v>
      </c>
      <c r="B1480" s="122">
        <v>0.86394675925925923</v>
      </c>
      <c r="C1480" s="26" t="s">
        <v>1301</v>
      </c>
    </row>
    <row r="1481" spans="1:3" x14ac:dyDescent="0.25">
      <c r="A1481" s="36">
        <v>41211</v>
      </c>
      <c r="B1481" s="122">
        <v>0.86394675925925923</v>
      </c>
      <c r="C1481" s="26" t="s">
        <v>1301</v>
      </c>
    </row>
    <row r="1482" spans="1:3" x14ac:dyDescent="0.25">
      <c r="A1482" s="36">
        <v>41211</v>
      </c>
      <c r="B1482" s="122">
        <v>0.86394675925925923</v>
      </c>
      <c r="C1482" s="26" t="s">
        <v>1301</v>
      </c>
    </row>
    <row r="1483" spans="1:3" x14ac:dyDescent="0.25">
      <c r="A1483" s="36">
        <v>41211</v>
      </c>
      <c r="B1483" s="122">
        <v>0.86394675925925923</v>
      </c>
      <c r="C1483" s="26" t="s">
        <v>1301</v>
      </c>
    </row>
    <row r="1484" spans="1:3" x14ac:dyDescent="0.25">
      <c r="A1484" s="36">
        <v>41211</v>
      </c>
      <c r="B1484" s="122">
        <v>0.86394675925925923</v>
      </c>
      <c r="C1484" s="26" t="s">
        <v>1301</v>
      </c>
    </row>
    <row r="1485" spans="1:3" x14ac:dyDescent="0.25">
      <c r="A1485" s="36">
        <v>41211</v>
      </c>
      <c r="B1485" s="122">
        <v>0.86394675925925923</v>
      </c>
      <c r="C1485" s="26" t="s">
        <v>1301</v>
      </c>
    </row>
    <row r="1486" spans="1:3" x14ac:dyDescent="0.25">
      <c r="A1486" s="36">
        <v>41211</v>
      </c>
      <c r="B1486" s="122">
        <v>0.86394675925925923</v>
      </c>
      <c r="C1486" s="26" t="s">
        <v>1301</v>
      </c>
    </row>
    <row r="1487" spans="1:3" x14ac:dyDescent="0.25">
      <c r="A1487" s="36">
        <v>41211</v>
      </c>
      <c r="B1487" s="122">
        <v>0.86394675925925923</v>
      </c>
      <c r="C1487" s="26" t="s">
        <v>1301</v>
      </c>
    </row>
    <row r="1488" spans="1:3" x14ac:dyDescent="0.25">
      <c r="A1488" s="36">
        <v>41211</v>
      </c>
      <c r="B1488" s="122">
        <v>0.86394675925925923</v>
      </c>
      <c r="C1488" s="26" t="s">
        <v>1301</v>
      </c>
    </row>
    <row r="1489" spans="1:3" x14ac:dyDescent="0.25">
      <c r="A1489" s="36">
        <v>41211</v>
      </c>
      <c r="B1489" s="122">
        <v>0.86394675925925923</v>
      </c>
      <c r="C1489" s="26" t="s">
        <v>1301</v>
      </c>
    </row>
    <row r="1490" spans="1:3" x14ac:dyDescent="0.25">
      <c r="A1490" s="36">
        <v>41211</v>
      </c>
      <c r="B1490" s="122">
        <v>0.86394675925925923</v>
      </c>
      <c r="C1490" s="26" t="s">
        <v>1301</v>
      </c>
    </row>
    <row r="1491" spans="1:3" x14ac:dyDescent="0.25">
      <c r="A1491" s="36">
        <v>41211</v>
      </c>
      <c r="B1491" s="122">
        <v>0.86394675925925923</v>
      </c>
      <c r="C1491" s="26" t="s">
        <v>1301</v>
      </c>
    </row>
    <row r="1492" spans="1:3" x14ac:dyDescent="0.25">
      <c r="A1492" s="36">
        <v>41211</v>
      </c>
      <c r="B1492" s="122">
        <v>0.86394675925925923</v>
      </c>
      <c r="C1492" s="26" t="s">
        <v>1301</v>
      </c>
    </row>
    <row r="1493" spans="1:3" x14ac:dyDescent="0.25">
      <c r="A1493" s="36">
        <v>41211</v>
      </c>
      <c r="B1493" s="122">
        <v>0.86394675925925923</v>
      </c>
      <c r="C1493" s="26" t="s">
        <v>1301</v>
      </c>
    </row>
    <row r="1494" spans="1:3" x14ac:dyDescent="0.25">
      <c r="A1494" s="36">
        <v>41211</v>
      </c>
      <c r="B1494" s="122">
        <v>0.86394675925925923</v>
      </c>
      <c r="C1494" s="26" t="s">
        <v>1301</v>
      </c>
    </row>
    <row r="1495" spans="1:3" x14ac:dyDescent="0.25">
      <c r="A1495" s="36">
        <v>41211</v>
      </c>
      <c r="B1495" s="122">
        <v>0.86394675925925923</v>
      </c>
      <c r="C1495" s="26" t="s">
        <v>1301</v>
      </c>
    </row>
    <row r="1496" spans="1:3" x14ac:dyDescent="0.25">
      <c r="A1496" s="36">
        <v>41211</v>
      </c>
      <c r="B1496" s="122">
        <v>0.86394675925925923</v>
      </c>
      <c r="C1496" s="26" t="s">
        <v>1301</v>
      </c>
    </row>
    <row r="1497" spans="1:3" x14ac:dyDescent="0.25">
      <c r="A1497" s="36">
        <v>41211</v>
      </c>
      <c r="B1497" s="122">
        <v>0.86394675925925923</v>
      </c>
      <c r="C1497" s="26" t="s">
        <v>1301</v>
      </c>
    </row>
    <row r="1498" spans="1:3" x14ac:dyDescent="0.25">
      <c r="A1498" s="36">
        <v>41211</v>
      </c>
      <c r="B1498" s="122">
        <v>0.86394675925925923</v>
      </c>
      <c r="C1498" s="26" t="s">
        <v>1302</v>
      </c>
    </row>
    <row r="1499" spans="1:3" x14ac:dyDescent="0.25">
      <c r="A1499" s="36">
        <v>41211</v>
      </c>
      <c r="B1499" s="122">
        <v>0.86394675925925923</v>
      </c>
      <c r="C1499" s="26" t="s">
        <v>1303</v>
      </c>
    </row>
    <row r="1500" spans="1:3" x14ac:dyDescent="0.25">
      <c r="A1500" s="36">
        <v>41211</v>
      </c>
      <c r="B1500" s="122">
        <v>0.86394675925925923</v>
      </c>
      <c r="C1500" s="26" t="s">
        <v>1303</v>
      </c>
    </row>
    <row r="1501" spans="1:3" x14ac:dyDescent="0.25">
      <c r="A1501" s="36">
        <v>41211</v>
      </c>
      <c r="B1501" s="122">
        <v>0.86394675925925923</v>
      </c>
      <c r="C1501" s="26" t="s">
        <v>1303</v>
      </c>
    </row>
    <row r="1502" spans="1:3" x14ac:dyDescent="0.25">
      <c r="A1502" s="36">
        <v>41211</v>
      </c>
      <c r="B1502" s="122">
        <v>0.86394675925925923</v>
      </c>
      <c r="C1502" s="26" t="s">
        <v>1303</v>
      </c>
    </row>
    <row r="1503" spans="1:3" x14ac:dyDescent="0.25">
      <c r="A1503" s="36">
        <v>41211</v>
      </c>
      <c r="B1503" s="122">
        <v>0.86394675925925923</v>
      </c>
      <c r="C1503" s="26" t="s">
        <v>1303</v>
      </c>
    </row>
    <row r="1504" spans="1:3" x14ac:dyDescent="0.25">
      <c r="A1504" s="36">
        <v>41211</v>
      </c>
      <c r="B1504" s="122">
        <v>0.86394675925925923</v>
      </c>
      <c r="C1504" s="26" t="s">
        <v>1303</v>
      </c>
    </row>
    <row r="1505" spans="1:3" x14ac:dyDescent="0.25">
      <c r="A1505" s="36">
        <v>41211</v>
      </c>
      <c r="B1505" s="122">
        <v>0.86394675925925923</v>
      </c>
      <c r="C1505" s="26" t="s">
        <v>1303</v>
      </c>
    </row>
    <row r="1506" spans="1:3" x14ac:dyDescent="0.25">
      <c r="A1506" s="36">
        <v>41211</v>
      </c>
      <c r="B1506" s="122">
        <v>0.86394675925925923</v>
      </c>
      <c r="C1506" s="26" t="s">
        <v>1303</v>
      </c>
    </row>
    <row r="1507" spans="1:3" x14ac:dyDescent="0.25">
      <c r="A1507" s="36">
        <v>41211</v>
      </c>
      <c r="B1507" s="122">
        <v>0.86394675925925923</v>
      </c>
      <c r="C1507" s="26" t="s">
        <v>1303</v>
      </c>
    </row>
    <row r="1508" spans="1:3" x14ac:dyDescent="0.25">
      <c r="A1508" s="36">
        <v>41211</v>
      </c>
      <c r="B1508" s="122">
        <v>0.86394675925925923</v>
      </c>
      <c r="C1508" s="26" t="s">
        <v>1303</v>
      </c>
    </row>
    <row r="1509" spans="1:3" x14ac:dyDescent="0.25">
      <c r="A1509" s="36">
        <v>41211</v>
      </c>
      <c r="B1509" s="122">
        <v>0.86394675925925923</v>
      </c>
      <c r="C1509" s="26" t="s">
        <v>1304</v>
      </c>
    </row>
    <row r="1510" spans="1:3" x14ac:dyDescent="0.25">
      <c r="A1510" s="36">
        <v>41211</v>
      </c>
      <c r="B1510" s="122">
        <v>0.86394675925925923</v>
      </c>
      <c r="C1510" s="26" t="s">
        <v>1305</v>
      </c>
    </row>
    <row r="1511" spans="1:3" x14ac:dyDescent="0.25">
      <c r="A1511" s="36">
        <v>41211</v>
      </c>
      <c r="B1511" s="122">
        <v>0.86394675925925923</v>
      </c>
      <c r="C1511" s="26" t="s">
        <v>1305</v>
      </c>
    </row>
    <row r="1512" spans="1:3" x14ac:dyDescent="0.25">
      <c r="A1512" s="36">
        <v>41211</v>
      </c>
      <c r="B1512" s="122">
        <v>0.86394675925925923</v>
      </c>
      <c r="C1512" s="26" t="s">
        <v>1305</v>
      </c>
    </row>
    <row r="1513" spans="1:3" x14ac:dyDescent="0.25">
      <c r="A1513" s="36">
        <v>41211</v>
      </c>
      <c r="B1513" s="122">
        <v>0.86394675925925923</v>
      </c>
      <c r="C1513" s="26" t="s">
        <v>1285</v>
      </c>
    </row>
    <row r="1514" spans="1:3" x14ac:dyDescent="0.25">
      <c r="A1514" s="36">
        <v>41211</v>
      </c>
      <c r="B1514" s="122">
        <v>0.86394675925925923</v>
      </c>
      <c r="C1514" s="26" t="s">
        <v>1285</v>
      </c>
    </row>
    <row r="1515" spans="1:3" x14ac:dyDescent="0.25">
      <c r="A1515" s="36">
        <v>41211</v>
      </c>
      <c r="B1515" s="122">
        <v>0.86395833333333327</v>
      </c>
      <c r="C1515" s="26" t="s">
        <v>1306</v>
      </c>
    </row>
    <row r="1516" spans="1:3" x14ac:dyDescent="0.25">
      <c r="A1516" s="36">
        <v>41211</v>
      </c>
      <c r="B1516" s="122">
        <v>0.86395833333333327</v>
      </c>
      <c r="C1516" s="26" t="s">
        <v>1307</v>
      </c>
    </row>
    <row r="1517" spans="1:3" x14ac:dyDescent="0.25">
      <c r="A1517" s="36">
        <v>41211</v>
      </c>
      <c r="B1517" s="122">
        <v>0.86395833333333327</v>
      </c>
      <c r="C1517" s="26" t="s">
        <v>1308</v>
      </c>
    </row>
    <row r="1518" spans="1:3" x14ac:dyDescent="0.25">
      <c r="A1518" s="36">
        <v>41211</v>
      </c>
      <c r="B1518" s="122">
        <v>0.86395833333333327</v>
      </c>
      <c r="C1518" s="26" t="s">
        <v>1309</v>
      </c>
    </row>
    <row r="1519" spans="1:3" x14ac:dyDescent="0.25">
      <c r="A1519" s="36">
        <v>41211</v>
      </c>
      <c r="B1519" s="122">
        <v>0.86395833333333327</v>
      </c>
      <c r="C1519" s="26" t="s">
        <v>1310</v>
      </c>
    </row>
    <row r="1520" spans="1:3" x14ac:dyDescent="0.25">
      <c r="A1520" s="36">
        <v>41211</v>
      </c>
      <c r="B1520" s="122">
        <v>0.86395833333333327</v>
      </c>
      <c r="C1520" s="26" t="s">
        <v>1311</v>
      </c>
    </row>
    <row r="1521" spans="1:3" x14ac:dyDescent="0.25">
      <c r="A1521" s="36">
        <v>41211</v>
      </c>
      <c r="B1521" s="122">
        <v>0.86395833333333327</v>
      </c>
      <c r="C1521" s="26" t="s">
        <v>1312</v>
      </c>
    </row>
    <row r="1522" spans="1:3" x14ac:dyDescent="0.25">
      <c r="A1522" s="36">
        <v>41211</v>
      </c>
      <c r="B1522" s="122">
        <v>0.86395833333333327</v>
      </c>
      <c r="C1522" s="26" t="s">
        <v>1312</v>
      </c>
    </row>
    <row r="1523" spans="1:3" x14ac:dyDescent="0.25">
      <c r="A1523" s="36">
        <v>41211</v>
      </c>
      <c r="B1523" s="122">
        <v>0.86395833333333327</v>
      </c>
      <c r="C1523" s="26" t="s">
        <v>1313</v>
      </c>
    </row>
    <row r="1524" spans="1:3" x14ac:dyDescent="0.25">
      <c r="A1524" s="36">
        <v>41211</v>
      </c>
      <c r="B1524" s="122">
        <v>0.86395833333333327</v>
      </c>
      <c r="C1524" s="26" t="s">
        <v>1313</v>
      </c>
    </row>
    <row r="1525" spans="1:3" x14ac:dyDescent="0.25">
      <c r="A1525" s="36">
        <v>41211</v>
      </c>
      <c r="B1525" s="122">
        <v>0.86395833333333327</v>
      </c>
      <c r="C1525" s="26" t="s">
        <v>1314</v>
      </c>
    </row>
    <row r="1526" spans="1:3" x14ac:dyDescent="0.25">
      <c r="A1526" s="36">
        <v>41211</v>
      </c>
      <c r="B1526" s="122">
        <v>0.86395833333333327</v>
      </c>
      <c r="C1526" s="26" t="s">
        <v>1314</v>
      </c>
    </row>
    <row r="1527" spans="1:3" x14ac:dyDescent="0.25">
      <c r="A1527" s="36">
        <v>41211</v>
      </c>
      <c r="B1527" s="122">
        <v>0.86396990740740742</v>
      </c>
      <c r="C1527" s="26" t="s">
        <v>1315</v>
      </c>
    </row>
    <row r="1528" spans="1:3" x14ac:dyDescent="0.25">
      <c r="A1528" s="36">
        <v>41211</v>
      </c>
      <c r="B1528" s="122">
        <v>0.86396990740740742</v>
      </c>
      <c r="C1528" s="26" t="s">
        <v>1316</v>
      </c>
    </row>
    <row r="1529" spans="1:3" x14ac:dyDescent="0.25">
      <c r="A1529" s="36">
        <v>41211</v>
      </c>
      <c r="B1529" s="122">
        <v>0.86396990740740742</v>
      </c>
      <c r="C1529" s="26" t="s">
        <v>1317</v>
      </c>
    </row>
    <row r="1530" spans="1:3" x14ac:dyDescent="0.25">
      <c r="A1530" s="36">
        <v>41211</v>
      </c>
      <c r="B1530" s="122">
        <v>0.86398148148148157</v>
      </c>
      <c r="C1530" s="26" t="s">
        <v>1318</v>
      </c>
    </row>
    <row r="1531" spans="1:3" x14ac:dyDescent="0.25">
      <c r="A1531" s="36">
        <v>41211</v>
      </c>
      <c r="B1531" s="122">
        <v>0.86398148148148157</v>
      </c>
      <c r="C1531" s="26" t="s">
        <v>1319</v>
      </c>
    </row>
    <row r="1532" spans="1:3" x14ac:dyDescent="0.25">
      <c r="A1532" s="36">
        <v>41211</v>
      </c>
      <c r="B1532" s="122">
        <v>0.86398148148148157</v>
      </c>
      <c r="C1532" s="26" t="s">
        <v>1320</v>
      </c>
    </row>
    <row r="1533" spans="1:3" x14ac:dyDescent="0.25">
      <c r="A1533" s="36">
        <v>41211</v>
      </c>
      <c r="B1533" s="122">
        <v>0.86398148148148157</v>
      </c>
      <c r="C1533" s="26" t="s">
        <v>1321</v>
      </c>
    </row>
    <row r="1534" spans="1:3" x14ac:dyDescent="0.25">
      <c r="A1534" s="36">
        <v>41211</v>
      </c>
      <c r="B1534" s="122">
        <v>0.86398148148148157</v>
      </c>
      <c r="C1534" s="26" t="s">
        <v>1321</v>
      </c>
    </row>
    <row r="1535" spans="1:3" x14ac:dyDescent="0.25">
      <c r="A1535" s="36">
        <v>41211</v>
      </c>
      <c r="B1535" s="122">
        <v>0.86398148148148157</v>
      </c>
      <c r="C1535" s="26" t="s">
        <v>1321</v>
      </c>
    </row>
    <row r="1536" spans="1:3" x14ac:dyDescent="0.25">
      <c r="A1536" s="36">
        <v>41211</v>
      </c>
      <c r="B1536" s="122">
        <v>0.86398148148148157</v>
      </c>
      <c r="C1536" s="26" t="s">
        <v>1321</v>
      </c>
    </row>
    <row r="1537" spans="1:3" x14ac:dyDescent="0.25">
      <c r="A1537" s="36">
        <v>41211</v>
      </c>
      <c r="B1537" s="122">
        <v>0.86398148148148157</v>
      </c>
      <c r="C1537" s="26" t="s">
        <v>1321</v>
      </c>
    </row>
    <row r="1538" spans="1:3" x14ac:dyDescent="0.25">
      <c r="A1538" s="36">
        <v>41211</v>
      </c>
      <c r="B1538" s="122">
        <v>0.86398148148148157</v>
      </c>
      <c r="C1538" s="26" t="s">
        <v>1321</v>
      </c>
    </row>
    <row r="1539" spans="1:3" x14ac:dyDescent="0.25">
      <c r="A1539" s="36">
        <v>41211</v>
      </c>
      <c r="B1539" s="122">
        <v>0.86398148148148157</v>
      </c>
      <c r="C1539" s="26" t="s">
        <v>1321</v>
      </c>
    </row>
    <row r="1540" spans="1:3" x14ac:dyDescent="0.25">
      <c r="A1540" s="36">
        <v>41211</v>
      </c>
      <c r="B1540" s="122">
        <v>0.86398148148148157</v>
      </c>
      <c r="C1540" s="26" t="s">
        <v>1321</v>
      </c>
    </row>
    <row r="1541" spans="1:3" x14ac:dyDescent="0.25">
      <c r="A1541" s="36">
        <v>41211</v>
      </c>
      <c r="B1541" s="122">
        <v>0.86398148148148157</v>
      </c>
      <c r="C1541" s="26" t="s">
        <v>1321</v>
      </c>
    </row>
    <row r="1542" spans="1:3" x14ac:dyDescent="0.25">
      <c r="A1542" s="36">
        <v>41211</v>
      </c>
      <c r="B1542" s="122">
        <v>0.86398148148148157</v>
      </c>
      <c r="C1542" s="26" t="s">
        <v>1321</v>
      </c>
    </row>
    <row r="1543" spans="1:3" x14ac:dyDescent="0.25">
      <c r="A1543" s="36">
        <v>41211</v>
      </c>
      <c r="B1543" s="122">
        <v>0.86398148148148157</v>
      </c>
      <c r="C1543" s="26" t="s">
        <v>1321</v>
      </c>
    </row>
    <row r="1544" spans="1:3" x14ac:dyDescent="0.25">
      <c r="A1544" s="36">
        <v>41211</v>
      </c>
      <c r="B1544" s="122">
        <v>0.86398148148148157</v>
      </c>
      <c r="C1544" s="26" t="s">
        <v>1321</v>
      </c>
    </row>
    <row r="1545" spans="1:3" x14ac:dyDescent="0.25">
      <c r="A1545" s="36">
        <v>41211</v>
      </c>
      <c r="B1545" s="122">
        <v>0.86398148148148157</v>
      </c>
      <c r="C1545" s="26" t="s">
        <v>1321</v>
      </c>
    </row>
    <row r="1546" spans="1:3" x14ac:dyDescent="0.25">
      <c r="A1546" s="36">
        <v>41211</v>
      </c>
      <c r="B1546" s="122">
        <v>0.86398148148148157</v>
      </c>
      <c r="C1546" s="26" t="s">
        <v>1321</v>
      </c>
    </row>
    <row r="1547" spans="1:3" x14ac:dyDescent="0.25">
      <c r="A1547" s="36">
        <v>41211</v>
      </c>
      <c r="B1547" s="122">
        <v>0.86398148148148157</v>
      </c>
      <c r="C1547" s="26" t="s">
        <v>1321</v>
      </c>
    </row>
    <row r="1548" spans="1:3" x14ac:dyDescent="0.25">
      <c r="A1548" s="36">
        <v>41211</v>
      </c>
      <c r="B1548" s="122">
        <v>0.86398148148148157</v>
      </c>
      <c r="C1548" s="26" t="s">
        <v>1321</v>
      </c>
    </row>
    <row r="1549" spans="1:3" x14ac:dyDescent="0.25">
      <c r="A1549" s="36">
        <v>41211</v>
      </c>
      <c r="B1549" s="122">
        <v>0.86398148148148157</v>
      </c>
      <c r="C1549" s="26" t="s">
        <v>1321</v>
      </c>
    </row>
    <row r="1550" spans="1:3" x14ac:dyDescent="0.25">
      <c r="A1550" s="36">
        <v>41211</v>
      </c>
      <c r="B1550" s="122">
        <v>0.86398148148148157</v>
      </c>
      <c r="C1550" s="26" t="s">
        <v>1321</v>
      </c>
    </row>
    <row r="1551" spans="1:3" x14ac:dyDescent="0.25">
      <c r="A1551" s="36">
        <v>41211</v>
      </c>
      <c r="B1551" s="122">
        <v>0.86398148148148157</v>
      </c>
      <c r="C1551" s="26" t="s">
        <v>1321</v>
      </c>
    </row>
    <row r="1552" spans="1:3" x14ac:dyDescent="0.25">
      <c r="A1552" s="36">
        <v>41211</v>
      </c>
      <c r="B1552" s="122">
        <v>0.86398148148148157</v>
      </c>
      <c r="C1552" s="26" t="s">
        <v>1321</v>
      </c>
    </row>
    <row r="1553" spans="1:3" x14ac:dyDescent="0.25">
      <c r="A1553" s="36">
        <v>41211</v>
      </c>
      <c r="B1553" s="122">
        <v>0.86398148148148157</v>
      </c>
      <c r="C1553" s="26" t="s">
        <v>1321</v>
      </c>
    </row>
    <row r="1554" spans="1:3" x14ac:dyDescent="0.25">
      <c r="A1554" s="36">
        <v>41211</v>
      </c>
      <c r="B1554" s="122">
        <v>0.86398148148148157</v>
      </c>
      <c r="C1554" s="26" t="s">
        <v>1321</v>
      </c>
    </row>
    <row r="1555" spans="1:3" x14ac:dyDescent="0.25">
      <c r="A1555" s="36">
        <v>41211</v>
      </c>
      <c r="B1555" s="122">
        <v>0.86398148148148157</v>
      </c>
      <c r="C1555" s="26" t="s">
        <v>1321</v>
      </c>
    </row>
    <row r="1556" spans="1:3" x14ac:dyDescent="0.25">
      <c r="A1556" s="36">
        <v>41211</v>
      </c>
      <c r="B1556" s="122">
        <v>0.86398148148148157</v>
      </c>
      <c r="C1556" s="26" t="s">
        <v>1321</v>
      </c>
    </row>
    <row r="1557" spans="1:3" x14ac:dyDescent="0.25">
      <c r="A1557" s="36">
        <v>41211</v>
      </c>
      <c r="B1557" s="122">
        <v>0.86398148148148157</v>
      </c>
      <c r="C1557" s="26" t="s">
        <v>1321</v>
      </c>
    </row>
    <row r="1558" spans="1:3" x14ac:dyDescent="0.25">
      <c r="A1558" s="36">
        <v>41211</v>
      </c>
      <c r="B1558" s="122">
        <v>0.86398148148148157</v>
      </c>
      <c r="C1558" s="26" t="s">
        <v>1322</v>
      </c>
    </row>
    <row r="1559" spans="1:3" x14ac:dyDescent="0.25">
      <c r="A1559" s="36">
        <v>41211</v>
      </c>
      <c r="B1559" s="122">
        <v>0.86398148148148157</v>
      </c>
      <c r="C1559" s="26" t="s">
        <v>1323</v>
      </c>
    </row>
    <row r="1560" spans="1:3" x14ac:dyDescent="0.25">
      <c r="A1560" s="36">
        <v>41211</v>
      </c>
      <c r="B1560" s="122">
        <v>0.86398148148148157</v>
      </c>
      <c r="C1560" s="26" t="s">
        <v>1324</v>
      </c>
    </row>
    <row r="1561" spans="1:3" x14ac:dyDescent="0.25">
      <c r="A1561" s="36">
        <v>41211</v>
      </c>
      <c r="B1561" s="122">
        <v>0.86398148148148157</v>
      </c>
      <c r="C1561" s="26" t="s">
        <v>1324</v>
      </c>
    </row>
    <row r="1562" spans="1:3" x14ac:dyDescent="0.25">
      <c r="A1562" s="36">
        <v>41211</v>
      </c>
      <c r="B1562" s="122">
        <v>0.86398148148148157</v>
      </c>
      <c r="C1562" s="26" t="s">
        <v>1324</v>
      </c>
    </row>
    <row r="1563" spans="1:3" x14ac:dyDescent="0.25">
      <c r="A1563" s="36">
        <v>41211</v>
      </c>
      <c r="B1563" s="122">
        <v>0.86398148148148157</v>
      </c>
      <c r="C1563" s="26" t="s">
        <v>1324</v>
      </c>
    </row>
    <row r="1564" spans="1:3" x14ac:dyDescent="0.25">
      <c r="A1564" s="36">
        <v>41211</v>
      </c>
      <c r="B1564" s="122">
        <v>0.86398148148148157</v>
      </c>
      <c r="C1564" s="26" t="s">
        <v>1324</v>
      </c>
    </row>
    <row r="1565" spans="1:3" x14ac:dyDescent="0.25">
      <c r="A1565" s="36">
        <v>41211</v>
      </c>
      <c r="B1565" s="122">
        <v>0.86398148148148157</v>
      </c>
      <c r="C1565" s="26" t="s">
        <v>1325</v>
      </c>
    </row>
    <row r="1566" spans="1:3" x14ac:dyDescent="0.25">
      <c r="A1566" s="36">
        <v>41211</v>
      </c>
      <c r="B1566" s="122">
        <v>0.86398148148148157</v>
      </c>
      <c r="C1566" s="26" t="s">
        <v>1325</v>
      </c>
    </row>
    <row r="1567" spans="1:3" x14ac:dyDescent="0.25">
      <c r="A1567" s="36">
        <v>41211</v>
      </c>
      <c r="B1567" s="122">
        <v>0.86398148148148157</v>
      </c>
      <c r="C1567" s="26" t="s">
        <v>1325</v>
      </c>
    </row>
    <row r="1568" spans="1:3" x14ac:dyDescent="0.25">
      <c r="A1568" s="36">
        <v>41211</v>
      </c>
      <c r="B1568" s="122">
        <v>0.86398148148148157</v>
      </c>
      <c r="C1568" s="26" t="s">
        <v>1325</v>
      </c>
    </row>
    <row r="1569" spans="1:3" x14ac:dyDescent="0.25">
      <c r="A1569" s="36">
        <v>41211</v>
      </c>
      <c r="B1569" s="122">
        <v>0.86398148148148157</v>
      </c>
      <c r="C1569" s="26" t="s">
        <v>1325</v>
      </c>
    </row>
    <row r="1570" spans="1:3" x14ac:dyDescent="0.25">
      <c r="A1570" s="36">
        <v>41211</v>
      </c>
      <c r="B1570" s="122">
        <v>0.86398148148148157</v>
      </c>
      <c r="C1570" s="26" t="s">
        <v>1326</v>
      </c>
    </row>
    <row r="1571" spans="1:3" x14ac:dyDescent="0.25">
      <c r="A1571" s="36">
        <v>41211</v>
      </c>
      <c r="B1571" s="122">
        <v>0.86398148148148157</v>
      </c>
      <c r="C1571" s="26" t="s">
        <v>1326</v>
      </c>
    </row>
    <row r="1572" spans="1:3" x14ac:dyDescent="0.25">
      <c r="A1572" s="36">
        <v>41211</v>
      </c>
      <c r="B1572" s="122">
        <v>0.86398148148148157</v>
      </c>
      <c r="C1572" s="26" t="s">
        <v>1326</v>
      </c>
    </row>
    <row r="1573" spans="1:3" x14ac:dyDescent="0.25">
      <c r="A1573" s="36">
        <v>41211</v>
      </c>
      <c r="B1573" s="122">
        <v>0.86398148148148157</v>
      </c>
      <c r="C1573" s="26" t="s">
        <v>1326</v>
      </c>
    </row>
    <row r="1574" spans="1:3" x14ac:dyDescent="0.25">
      <c r="A1574" s="36">
        <v>41211</v>
      </c>
      <c r="B1574" s="122">
        <v>0.8639930555555555</v>
      </c>
      <c r="C1574" s="26" t="s">
        <v>1327</v>
      </c>
    </row>
    <row r="1575" spans="1:3" x14ac:dyDescent="0.25">
      <c r="A1575" s="36">
        <v>41211</v>
      </c>
      <c r="B1575" s="122">
        <v>0.8639930555555555</v>
      </c>
      <c r="C1575" s="26" t="s">
        <v>1327</v>
      </c>
    </row>
    <row r="1576" spans="1:3" x14ac:dyDescent="0.25">
      <c r="A1576" s="36">
        <v>41211</v>
      </c>
      <c r="B1576" s="122">
        <v>0.8639930555555555</v>
      </c>
      <c r="C1576" s="26" t="s">
        <v>1328</v>
      </c>
    </row>
    <row r="1577" spans="1:3" x14ac:dyDescent="0.25">
      <c r="A1577" s="36">
        <v>41211</v>
      </c>
      <c r="B1577" s="122">
        <v>0.8639930555555555</v>
      </c>
      <c r="C1577" s="26" t="s">
        <v>1329</v>
      </c>
    </row>
    <row r="1578" spans="1:3" x14ac:dyDescent="0.25">
      <c r="A1578" s="36">
        <v>41211</v>
      </c>
      <c r="B1578" s="122">
        <v>0.8639930555555555</v>
      </c>
      <c r="C1578" s="26" t="s">
        <v>1330</v>
      </c>
    </row>
    <row r="1579" spans="1:3" x14ac:dyDescent="0.25">
      <c r="A1579" s="36">
        <v>41211</v>
      </c>
      <c r="B1579" s="122">
        <v>0.8639930555555555</v>
      </c>
      <c r="C1579" s="26" t="s">
        <v>1331</v>
      </c>
    </row>
    <row r="1580" spans="1:3" x14ac:dyDescent="0.25">
      <c r="A1580" s="36">
        <v>41211</v>
      </c>
      <c r="B1580" s="122">
        <v>0.8639930555555555</v>
      </c>
      <c r="C1580" s="26" t="s">
        <v>1331</v>
      </c>
    </row>
    <row r="1581" spans="1:3" x14ac:dyDescent="0.25">
      <c r="A1581" s="36">
        <v>41211</v>
      </c>
      <c r="B1581" s="122">
        <v>0.8639930555555555</v>
      </c>
      <c r="C1581" s="26" t="s">
        <v>1332</v>
      </c>
    </row>
    <row r="1582" spans="1:3" x14ac:dyDescent="0.25">
      <c r="A1582" s="36">
        <v>41211</v>
      </c>
      <c r="B1582" s="122">
        <v>0.8639930555555555</v>
      </c>
      <c r="C1582" s="26" t="s">
        <v>1333</v>
      </c>
    </row>
    <row r="1583" spans="1:3" x14ac:dyDescent="0.25">
      <c r="A1583" s="36">
        <v>41211</v>
      </c>
      <c r="B1583" s="122">
        <v>0.8639930555555555</v>
      </c>
      <c r="C1583" s="26" t="s">
        <v>1334</v>
      </c>
    </row>
    <row r="1584" spans="1:3" x14ac:dyDescent="0.25">
      <c r="A1584" s="36">
        <v>41211</v>
      </c>
      <c r="B1584" s="122">
        <v>0.8639930555555555</v>
      </c>
      <c r="C1584" s="26" t="s">
        <v>1335</v>
      </c>
    </row>
    <row r="1585" spans="1:3" x14ac:dyDescent="0.25">
      <c r="A1585" s="36">
        <v>41211</v>
      </c>
      <c r="B1585" s="122">
        <v>0.8639930555555555</v>
      </c>
      <c r="C1585" s="26" t="s">
        <v>1335</v>
      </c>
    </row>
    <row r="1586" spans="1:3" x14ac:dyDescent="0.25">
      <c r="A1586" s="36">
        <v>41211</v>
      </c>
      <c r="B1586" s="122">
        <v>0.8639930555555555</v>
      </c>
      <c r="C1586" s="26" t="s">
        <v>1334</v>
      </c>
    </row>
    <row r="1587" spans="1:3" x14ac:dyDescent="0.25">
      <c r="A1587" s="36">
        <v>41211</v>
      </c>
      <c r="B1587" s="122">
        <v>0.8639930555555555</v>
      </c>
      <c r="C1587" s="26" t="s">
        <v>1334</v>
      </c>
    </row>
    <row r="1588" spans="1:3" x14ac:dyDescent="0.25">
      <c r="A1588" s="36">
        <v>41211</v>
      </c>
      <c r="B1588" s="122">
        <v>0.8639930555555555</v>
      </c>
      <c r="C1588" s="26" t="s">
        <v>1336</v>
      </c>
    </row>
    <row r="1589" spans="1:3" x14ac:dyDescent="0.25">
      <c r="A1589" s="36">
        <v>41211</v>
      </c>
      <c r="B1589" s="122">
        <v>0.8639930555555555</v>
      </c>
      <c r="C1589" s="26" t="s">
        <v>1337</v>
      </c>
    </row>
    <row r="1590" spans="1:3" x14ac:dyDescent="0.25">
      <c r="A1590" s="36">
        <v>41211</v>
      </c>
      <c r="B1590" s="122">
        <v>0.8639930555555555</v>
      </c>
      <c r="C1590" s="26" t="s">
        <v>1337</v>
      </c>
    </row>
    <row r="1591" spans="1:3" x14ac:dyDescent="0.25">
      <c r="A1591" s="36">
        <v>41211</v>
      </c>
      <c r="B1591" s="122">
        <v>0.8639930555555555</v>
      </c>
      <c r="C1591" s="26" t="s">
        <v>1334</v>
      </c>
    </row>
    <row r="1592" spans="1:3" x14ac:dyDescent="0.25">
      <c r="A1592" s="36">
        <v>41211</v>
      </c>
      <c r="B1592" s="122">
        <v>0.8639930555555555</v>
      </c>
      <c r="C1592" s="26" t="s">
        <v>1334</v>
      </c>
    </row>
    <row r="1593" spans="1:3" x14ac:dyDescent="0.25">
      <c r="A1593" s="36">
        <v>41211</v>
      </c>
      <c r="B1593" s="122">
        <v>0.8639930555555555</v>
      </c>
      <c r="C1593" s="26" t="s">
        <v>1334</v>
      </c>
    </row>
    <row r="1594" spans="1:3" x14ac:dyDescent="0.25">
      <c r="A1594" s="36">
        <v>41211</v>
      </c>
      <c r="B1594" s="122">
        <v>0.8639930555555555</v>
      </c>
      <c r="C1594" s="26" t="s">
        <v>1334</v>
      </c>
    </row>
    <row r="1595" spans="1:3" x14ac:dyDescent="0.25">
      <c r="A1595" s="36">
        <v>41211</v>
      </c>
      <c r="B1595" s="122">
        <v>0.8639930555555555</v>
      </c>
      <c r="C1595" s="26" t="s">
        <v>1334</v>
      </c>
    </row>
    <row r="1596" spans="1:3" x14ac:dyDescent="0.25">
      <c r="A1596" s="36">
        <v>41211</v>
      </c>
      <c r="B1596" s="122">
        <v>0.8639930555555555</v>
      </c>
      <c r="C1596" s="26" t="s">
        <v>1334</v>
      </c>
    </row>
    <row r="1597" spans="1:3" x14ac:dyDescent="0.25">
      <c r="A1597" s="36">
        <v>41211</v>
      </c>
      <c r="B1597" s="122">
        <v>0.8639930555555555</v>
      </c>
      <c r="C1597" s="26" t="s">
        <v>1334</v>
      </c>
    </row>
    <row r="1598" spans="1:3" x14ac:dyDescent="0.25">
      <c r="A1598" s="36">
        <v>41211</v>
      </c>
      <c r="B1598" s="122">
        <v>0.8639930555555555</v>
      </c>
      <c r="C1598" s="26" t="s">
        <v>1334</v>
      </c>
    </row>
    <row r="1599" spans="1:3" x14ac:dyDescent="0.25">
      <c r="A1599" s="36">
        <v>41211</v>
      </c>
      <c r="B1599" s="122">
        <v>0.8639930555555555</v>
      </c>
      <c r="C1599" s="26" t="s">
        <v>1334</v>
      </c>
    </row>
    <row r="1600" spans="1:3" x14ac:dyDescent="0.25">
      <c r="A1600" s="36">
        <v>41211</v>
      </c>
      <c r="B1600" s="122">
        <v>0.8639930555555555</v>
      </c>
      <c r="C1600" s="26" t="s">
        <v>1334</v>
      </c>
    </row>
    <row r="1601" spans="1:3" x14ac:dyDescent="0.25">
      <c r="A1601" s="36">
        <v>41211</v>
      </c>
      <c r="B1601" s="122">
        <v>0.8639930555555555</v>
      </c>
      <c r="C1601" s="26" t="s">
        <v>1334</v>
      </c>
    </row>
    <row r="1602" spans="1:3" x14ac:dyDescent="0.25">
      <c r="A1602" s="36">
        <v>41211</v>
      </c>
      <c r="B1602" s="122">
        <v>0.8639930555555555</v>
      </c>
      <c r="C1602" s="26" t="s">
        <v>1338</v>
      </c>
    </row>
    <row r="1603" spans="1:3" x14ac:dyDescent="0.25">
      <c r="A1603" s="36">
        <v>41211</v>
      </c>
      <c r="B1603" s="122">
        <v>0.8639930555555555</v>
      </c>
      <c r="C1603" s="26" t="s">
        <v>1338</v>
      </c>
    </row>
    <row r="1604" spans="1:3" x14ac:dyDescent="0.25">
      <c r="A1604" s="36">
        <v>41211</v>
      </c>
      <c r="B1604" s="122">
        <v>0.8639930555555555</v>
      </c>
      <c r="C1604" s="26" t="s">
        <v>1339</v>
      </c>
    </row>
    <row r="1605" spans="1:3" x14ac:dyDescent="0.25">
      <c r="A1605" s="36">
        <v>41211</v>
      </c>
      <c r="B1605" s="122">
        <v>0.8639930555555555</v>
      </c>
      <c r="C1605" s="26" t="s">
        <v>1339</v>
      </c>
    </row>
    <row r="1606" spans="1:3" x14ac:dyDescent="0.25">
      <c r="A1606" s="36">
        <v>41211</v>
      </c>
      <c r="B1606" s="122">
        <v>0.8639930555555555</v>
      </c>
      <c r="C1606" s="26" t="s">
        <v>1339</v>
      </c>
    </row>
    <row r="1607" spans="1:3" x14ac:dyDescent="0.25">
      <c r="A1607" s="36">
        <v>41211</v>
      </c>
      <c r="B1607" s="122">
        <v>0.8639930555555555</v>
      </c>
      <c r="C1607" s="26" t="s">
        <v>1339</v>
      </c>
    </row>
    <row r="1608" spans="1:3" x14ac:dyDescent="0.25">
      <c r="A1608" s="36">
        <v>41211</v>
      </c>
      <c r="B1608" s="122">
        <v>0.8639930555555555</v>
      </c>
      <c r="C1608" s="26" t="s">
        <v>1339</v>
      </c>
    </row>
    <row r="1609" spans="1:3" x14ac:dyDescent="0.25">
      <c r="A1609" s="36">
        <v>41211</v>
      </c>
      <c r="B1609" s="122">
        <v>0.8639930555555555</v>
      </c>
      <c r="C1609" s="26" t="s">
        <v>1339</v>
      </c>
    </row>
    <row r="1610" spans="1:3" x14ac:dyDescent="0.25">
      <c r="A1610" s="36">
        <v>41211</v>
      </c>
      <c r="B1610" s="122">
        <v>0.86400462962962965</v>
      </c>
      <c r="C1610" s="26" t="s">
        <v>1340</v>
      </c>
    </row>
    <row r="1611" spans="1:3" x14ac:dyDescent="0.25">
      <c r="A1611" s="36">
        <v>41211</v>
      </c>
      <c r="B1611" s="122">
        <v>0.86400462962962965</v>
      </c>
      <c r="C1611" s="26" t="s">
        <v>1340</v>
      </c>
    </row>
    <row r="1612" spans="1:3" x14ac:dyDescent="0.25">
      <c r="A1612" s="36">
        <v>41211</v>
      </c>
      <c r="B1612" s="122">
        <v>0.86400462962962965</v>
      </c>
      <c r="C1612" s="26" t="s">
        <v>1340</v>
      </c>
    </row>
    <row r="1613" spans="1:3" x14ac:dyDescent="0.25">
      <c r="A1613" s="36">
        <v>41211</v>
      </c>
      <c r="B1613" s="122">
        <v>0.86400462962962965</v>
      </c>
      <c r="C1613" s="26" t="s">
        <v>1340</v>
      </c>
    </row>
    <row r="1614" spans="1:3" x14ac:dyDescent="0.25">
      <c r="A1614" s="36">
        <v>41211</v>
      </c>
      <c r="B1614" s="122">
        <v>0.86400462962962965</v>
      </c>
      <c r="C1614" s="26" t="s">
        <v>1340</v>
      </c>
    </row>
    <row r="1615" spans="1:3" x14ac:dyDescent="0.25">
      <c r="A1615" s="36">
        <v>41211</v>
      </c>
      <c r="B1615" s="122">
        <v>0.86400462962962965</v>
      </c>
      <c r="C1615" s="26" t="s">
        <v>1340</v>
      </c>
    </row>
    <row r="1616" spans="1:3" x14ac:dyDescent="0.25">
      <c r="A1616" s="36">
        <v>41211</v>
      </c>
      <c r="B1616" s="122">
        <v>0.86400462962962965</v>
      </c>
      <c r="C1616" s="26" t="s">
        <v>1340</v>
      </c>
    </row>
    <row r="1617" spans="1:3" x14ac:dyDescent="0.25">
      <c r="A1617" s="36">
        <v>41211</v>
      </c>
      <c r="B1617" s="122">
        <v>0.86400462962962965</v>
      </c>
      <c r="C1617" s="26" t="s">
        <v>1340</v>
      </c>
    </row>
    <row r="1618" spans="1:3" x14ac:dyDescent="0.25">
      <c r="A1618" s="36">
        <v>41211</v>
      </c>
      <c r="B1618" s="122">
        <v>0.86400462962962965</v>
      </c>
      <c r="C1618" s="26" t="s">
        <v>1341</v>
      </c>
    </row>
    <row r="1619" spans="1:3" x14ac:dyDescent="0.25">
      <c r="A1619" s="36">
        <v>41211</v>
      </c>
      <c r="B1619" s="122">
        <v>0.86400462962962965</v>
      </c>
      <c r="C1619" s="26" t="s">
        <v>1341</v>
      </c>
    </row>
    <row r="1620" spans="1:3" x14ac:dyDescent="0.25">
      <c r="A1620" s="36">
        <v>41211</v>
      </c>
      <c r="B1620" s="122">
        <v>0.86400462962962965</v>
      </c>
      <c r="C1620" s="26" t="s">
        <v>1335</v>
      </c>
    </row>
    <row r="1621" spans="1:3" x14ac:dyDescent="0.25">
      <c r="A1621" s="36">
        <v>41211</v>
      </c>
      <c r="B1621" s="122">
        <v>0.86400462962962965</v>
      </c>
      <c r="C1621" s="26" t="s">
        <v>1342</v>
      </c>
    </row>
    <row r="1622" spans="1:3" x14ac:dyDescent="0.25">
      <c r="A1622" s="36">
        <v>41211</v>
      </c>
      <c r="B1622" s="122">
        <v>0.86400462962962965</v>
      </c>
      <c r="C1622" s="26" t="s">
        <v>1342</v>
      </c>
    </row>
    <row r="1623" spans="1:3" x14ac:dyDescent="0.25">
      <c r="A1623" s="36">
        <v>41211</v>
      </c>
      <c r="B1623" s="122">
        <v>0.86400462962962965</v>
      </c>
      <c r="C1623" s="26" t="s">
        <v>1335</v>
      </c>
    </row>
    <row r="1624" spans="1:3" x14ac:dyDescent="0.25">
      <c r="A1624" s="36">
        <v>41211</v>
      </c>
      <c r="B1624" s="122">
        <v>0.86400462962962965</v>
      </c>
      <c r="C1624" s="26" t="s">
        <v>1343</v>
      </c>
    </row>
    <row r="1625" spans="1:3" x14ac:dyDescent="0.25">
      <c r="A1625" s="36">
        <v>41211</v>
      </c>
      <c r="B1625" s="122">
        <v>0.86400462962962965</v>
      </c>
      <c r="C1625" s="26" t="s">
        <v>1344</v>
      </c>
    </row>
    <row r="1626" spans="1:3" x14ac:dyDescent="0.25">
      <c r="A1626" s="36">
        <v>41211</v>
      </c>
      <c r="B1626" s="122">
        <v>0.86400462962962965</v>
      </c>
      <c r="C1626" s="26" t="s">
        <v>1345</v>
      </c>
    </row>
    <row r="1627" spans="1:3" x14ac:dyDescent="0.25">
      <c r="A1627" s="36">
        <v>41211</v>
      </c>
      <c r="B1627" s="122">
        <v>0.86400462962962965</v>
      </c>
      <c r="C1627" s="26" t="s">
        <v>1346</v>
      </c>
    </row>
    <row r="1628" spans="1:3" x14ac:dyDescent="0.25">
      <c r="A1628" s="36">
        <v>41211</v>
      </c>
      <c r="B1628" s="122">
        <v>0.86400462962962965</v>
      </c>
      <c r="C1628" s="26" t="s">
        <v>1347</v>
      </c>
    </row>
    <row r="1629" spans="1:3" x14ac:dyDescent="0.25">
      <c r="A1629" s="36">
        <v>41211</v>
      </c>
      <c r="B1629" s="122">
        <v>0.86400462962962965</v>
      </c>
      <c r="C1629" s="26" t="s">
        <v>1348</v>
      </c>
    </row>
    <row r="1630" spans="1:3" x14ac:dyDescent="0.25">
      <c r="A1630" s="36">
        <v>41211</v>
      </c>
      <c r="B1630" s="122">
        <v>0.86400462962962965</v>
      </c>
      <c r="C1630" s="26" t="s">
        <v>1348</v>
      </c>
    </row>
    <row r="1631" spans="1:3" x14ac:dyDescent="0.25">
      <c r="A1631" s="36">
        <v>41211</v>
      </c>
      <c r="B1631" s="122">
        <v>0.86400462962962965</v>
      </c>
      <c r="C1631" s="26" t="s">
        <v>1348</v>
      </c>
    </row>
    <row r="1632" spans="1:3" x14ac:dyDescent="0.25">
      <c r="A1632" s="36">
        <v>41211</v>
      </c>
      <c r="B1632" s="122">
        <v>0.86400462962962965</v>
      </c>
      <c r="C1632" s="26" t="s">
        <v>1349</v>
      </c>
    </row>
    <row r="1633" spans="1:3" x14ac:dyDescent="0.25">
      <c r="A1633" s="36">
        <v>41211</v>
      </c>
      <c r="B1633" s="122">
        <v>0.86401620370370369</v>
      </c>
      <c r="C1633" s="26" t="s">
        <v>1350</v>
      </c>
    </row>
    <row r="1634" spans="1:3" x14ac:dyDescent="0.25">
      <c r="A1634" s="36">
        <v>41211</v>
      </c>
      <c r="B1634" s="122">
        <v>0.86401620370370369</v>
      </c>
      <c r="C1634" s="26" t="s">
        <v>1350</v>
      </c>
    </row>
    <row r="1635" spans="1:3" x14ac:dyDescent="0.25">
      <c r="A1635" s="36">
        <v>41211</v>
      </c>
      <c r="B1635" s="122">
        <v>0.86401620370370369</v>
      </c>
      <c r="C1635" s="26" t="s">
        <v>1350</v>
      </c>
    </row>
    <row r="1636" spans="1:3" x14ac:dyDescent="0.25">
      <c r="A1636" s="36">
        <v>41211</v>
      </c>
      <c r="B1636" s="122">
        <v>0.86401620370370369</v>
      </c>
      <c r="C1636" s="26" t="s">
        <v>1351</v>
      </c>
    </row>
    <row r="1637" spans="1:3" x14ac:dyDescent="0.25">
      <c r="A1637" s="36">
        <v>41211</v>
      </c>
      <c r="B1637" s="122">
        <v>0.86401620370370369</v>
      </c>
      <c r="C1637" s="26" t="s">
        <v>1352</v>
      </c>
    </row>
    <row r="1638" spans="1:3" x14ac:dyDescent="0.25">
      <c r="A1638" s="36">
        <v>41211</v>
      </c>
      <c r="B1638" s="122">
        <v>0.86401620370370369</v>
      </c>
      <c r="C1638" s="26" t="s">
        <v>1353</v>
      </c>
    </row>
    <row r="1639" spans="1:3" x14ac:dyDescent="0.25">
      <c r="A1639" s="36">
        <v>41211</v>
      </c>
      <c r="B1639" s="122">
        <v>0.86401620370370369</v>
      </c>
      <c r="C1639" s="26" t="s">
        <v>1353</v>
      </c>
    </row>
    <row r="1640" spans="1:3" x14ac:dyDescent="0.25">
      <c r="A1640" s="36">
        <v>41211</v>
      </c>
      <c r="B1640" s="122">
        <v>0.86401620370370369</v>
      </c>
      <c r="C1640" s="26" t="s">
        <v>1353</v>
      </c>
    </row>
    <row r="1641" spans="1:3" x14ac:dyDescent="0.25">
      <c r="A1641" s="36">
        <v>41211</v>
      </c>
      <c r="B1641" s="122">
        <v>0.86401620370370369</v>
      </c>
      <c r="C1641" s="26" t="s">
        <v>1353</v>
      </c>
    </row>
    <row r="1642" spans="1:3" x14ac:dyDescent="0.25">
      <c r="A1642" s="36">
        <v>41211</v>
      </c>
      <c r="B1642" s="122">
        <v>0.86401620370370369</v>
      </c>
      <c r="C1642" s="26" t="s">
        <v>1354</v>
      </c>
    </row>
    <row r="1643" spans="1:3" x14ac:dyDescent="0.25">
      <c r="A1643" s="36">
        <v>41211</v>
      </c>
      <c r="B1643" s="122">
        <v>0.86401620370370369</v>
      </c>
      <c r="C1643" s="26" t="s">
        <v>1355</v>
      </c>
    </row>
    <row r="1644" spans="1:3" x14ac:dyDescent="0.25">
      <c r="A1644" s="36">
        <v>41211</v>
      </c>
      <c r="B1644" s="122">
        <v>0.86401620370370369</v>
      </c>
      <c r="C1644" s="26" t="s">
        <v>1356</v>
      </c>
    </row>
    <row r="1645" spans="1:3" x14ac:dyDescent="0.25">
      <c r="A1645" s="36">
        <v>41211</v>
      </c>
      <c r="B1645" s="122">
        <v>0.86401620370370369</v>
      </c>
      <c r="C1645" s="26" t="s">
        <v>1357</v>
      </c>
    </row>
    <row r="1646" spans="1:3" x14ac:dyDescent="0.25">
      <c r="A1646" s="36">
        <v>41211</v>
      </c>
      <c r="B1646" s="122">
        <v>0.86401620370370369</v>
      </c>
      <c r="C1646" s="26" t="s">
        <v>1357</v>
      </c>
    </row>
    <row r="1647" spans="1:3" x14ac:dyDescent="0.25">
      <c r="A1647" s="36">
        <v>41211</v>
      </c>
      <c r="B1647" s="122">
        <v>0.86401620370370369</v>
      </c>
      <c r="C1647" s="26" t="s">
        <v>1357</v>
      </c>
    </row>
    <row r="1648" spans="1:3" x14ac:dyDescent="0.25">
      <c r="A1648" s="36">
        <v>41211</v>
      </c>
      <c r="B1648" s="122">
        <v>0.86401620370370369</v>
      </c>
      <c r="C1648" s="26" t="s">
        <v>1358</v>
      </c>
    </row>
    <row r="1649" spans="1:3" x14ac:dyDescent="0.25">
      <c r="A1649" s="36">
        <v>41211</v>
      </c>
      <c r="B1649" s="122">
        <v>0.86401620370370369</v>
      </c>
      <c r="C1649" s="26" t="s">
        <v>1357</v>
      </c>
    </row>
    <row r="1650" spans="1:3" x14ac:dyDescent="0.25">
      <c r="A1650" s="36">
        <v>41211</v>
      </c>
      <c r="B1650" s="122">
        <v>0.86401620370370369</v>
      </c>
      <c r="C1650" s="26" t="s">
        <v>1357</v>
      </c>
    </row>
    <row r="1651" spans="1:3" x14ac:dyDescent="0.25">
      <c r="A1651" s="36">
        <v>41211</v>
      </c>
      <c r="B1651" s="122">
        <v>0.86401620370370369</v>
      </c>
      <c r="C1651" s="26" t="s">
        <v>1359</v>
      </c>
    </row>
    <row r="1652" spans="1:3" x14ac:dyDescent="0.25">
      <c r="A1652" s="36">
        <v>41211</v>
      </c>
      <c r="B1652" s="122">
        <v>0.86401620370370369</v>
      </c>
      <c r="C1652" s="26" t="s">
        <v>1359</v>
      </c>
    </row>
    <row r="1653" spans="1:3" x14ac:dyDescent="0.25">
      <c r="A1653" s="36">
        <v>41211</v>
      </c>
      <c r="B1653" s="122">
        <v>0.86401620370370369</v>
      </c>
      <c r="C1653" s="26" t="s">
        <v>1360</v>
      </c>
    </row>
    <row r="1654" spans="1:3" x14ac:dyDescent="0.25">
      <c r="A1654" s="36">
        <v>41211</v>
      </c>
      <c r="B1654" s="122">
        <v>0.86402777777777784</v>
      </c>
      <c r="C1654" s="26" t="s">
        <v>1361</v>
      </c>
    </row>
    <row r="1655" spans="1:3" x14ac:dyDescent="0.25">
      <c r="A1655" s="36">
        <v>41211</v>
      </c>
      <c r="B1655" s="122">
        <v>0.86402777777777784</v>
      </c>
      <c r="C1655" s="26" t="s">
        <v>1361</v>
      </c>
    </row>
    <row r="1656" spans="1:3" x14ac:dyDescent="0.25">
      <c r="A1656" s="36">
        <v>41211</v>
      </c>
      <c r="B1656" s="122">
        <v>0.86402777777777784</v>
      </c>
      <c r="C1656" s="26" t="s">
        <v>1361</v>
      </c>
    </row>
    <row r="1657" spans="1:3" x14ac:dyDescent="0.25">
      <c r="A1657" s="36">
        <v>41211</v>
      </c>
      <c r="B1657" s="122">
        <v>0.86402777777777784</v>
      </c>
      <c r="C1657" s="26" t="s">
        <v>1361</v>
      </c>
    </row>
    <row r="1658" spans="1:3" x14ac:dyDescent="0.25">
      <c r="A1658" s="36">
        <v>41211</v>
      </c>
      <c r="B1658" s="122">
        <v>0.86402777777777784</v>
      </c>
      <c r="C1658" s="26" t="s">
        <v>1361</v>
      </c>
    </row>
    <row r="1659" spans="1:3" x14ac:dyDescent="0.25">
      <c r="A1659" s="36">
        <v>41211</v>
      </c>
      <c r="B1659" s="122">
        <v>0.86402777777777784</v>
      </c>
      <c r="C1659" s="26" t="s">
        <v>1361</v>
      </c>
    </row>
    <row r="1660" spans="1:3" x14ac:dyDescent="0.25">
      <c r="A1660" s="36">
        <v>41211</v>
      </c>
      <c r="B1660" s="122">
        <v>0.86402777777777784</v>
      </c>
      <c r="C1660" s="26" t="s">
        <v>1361</v>
      </c>
    </row>
    <row r="1661" spans="1:3" x14ac:dyDescent="0.25">
      <c r="A1661" s="36">
        <v>41211</v>
      </c>
      <c r="B1661" s="122">
        <v>0.86402777777777784</v>
      </c>
      <c r="C1661" s="26" t="s">
        <v>1361</v>
      </c>
    </row>
    <row r="1662" spans="1:3" x14ac:dyDescent="0.25">
      <c r="A1662" s="36">
        <v>41211</v>
      </c>
      <c r="B1662" s="122">
        <v>0.86402777777777784</v>
      </c>
      <c r="C1662" s="26" t="s">
        <v>1361</v>
      </c>
    </row>
    <row r="1663" spans="1:3" x14ac:dyDescent="0.25">
      <c r="A1663" s="36">
        <v>41211</v>
      </c>
      <c r="B1663" s="122">
        <v>0.86402777777777784</v>
      </c>
      <c r="C1663" s="26" t="s">
        <v>1361</v>
      </c>
    </row>
    <row r="1664" spans="1:3" x14ac:dyDescent="0.25">
      <c r="A1664" s="36">
        <v>41211</v>
      </c>
      <c r="B1664" s="122">
        <v>0.86402777777777784</v>
      </c>
      <c r="C1664" s="26" t="s">
        <v>1361</v>
      </c>
    </row>
    <row r="1665" spans="1:3" x14ac:dyDescent="0.25">
      <c r="A1665" s="36">
        <v>41211</v>
      </c>
      <c r="B1665" s="122">
        <v>0.86402777777777784</v>
      </c>
      <c r="C1665" s="26" t="s">
        <v>1361</v>
      </c>
    </row>
    <row r="1666" spans="1:3" x14ac:dyDescent="0.25">
      <c r="A1666" s="36">
        <v>41211</v>
      </c>
      <c r="B1666" s="122">
        <v>0.86402777777777784</v>
      </c>
      <c r="C1666" s="26" t="s">
        <v>1361</v>
      </c>
    </row>
    <row r="1667" spans="1:3" x14ac:dyDescent="0.25">
      <c r="A1667" s="36">
        <v>41211</v>
      </c>
      <c r="B1667" s="122">
        <v>0.86402777777777784</v>
      </c>
      <c r="C1667" s="26" t="s">
        <v>1361</v>
      </c>
    </row>
    <row r="1668" spans="1:3" x14ac:dyDescent="0.25">
      <c r="A1668" s="36">
        <v>41211</v>
      </c>
      <c r="B1668" s="122">
        <v>0.86402777777777784</v>
      </c>
      <c r="C1668" s="26" t="s">
        <v>1361</v>
      </c>
    </row>
    <row r="1669" spans="1:3" x14ac:dyDescent="0.25">
      <c r="A1669" s="36">
        <v>41211</v>
      </c>
      <c r="B1669" s="122">
        <v>0.86402777777777784</v>
      </c>
      <c r="C1669" s="26" t="s">
        <v>1361</v>
      </c>
    </row>
    <row r="1670" spans="1:3" x14ac:dyDescent="0.25">
      <c r="A1670" s="36">
        <v>41211</v>
      </c>
      <c r="B1670" s="122">
        <v>0.86402777777777784</v>
      </c>
      <c r="C1670" s="26" t="s">
        <v>1361</v>
      </c>
    </row>
    <row r="1671" spans="1:3" x14ac:dyDescent="0.25">
      <c r="A1671" s="36">
        <v>41211</v>
      </c>
      <c r="B1671" s="122">
        <v>0.86402777777777784</v>
      </c>
      <c r="C1671" s="26" t="s">
        <v>1361</v>
      </c>
    </row>
    <row r="1672" spans="1:3" x14ac:dyDescent="0.25">
      <c r="A1672" s="36">
        <v>41211</v>
      </c>
      <c r="B1672" s="122">
        <v>0.86402777777777784</v>
      </c>
      <c r="C1672" s="26" t="s">
        <v>1361</v>
      </c>
    </row>
    <row r="1673" spans="1:3" x14ac:dyDescent="0.25">
      <c r="A1673" s="36">
        <v>41211</v>
      </c>
      <c r="B1673" s="122">
        <v>0.86402777777777784</v>
      </c>
      <c r="C1673" s="26" t="s">
        <v>1361</v>
      </c>
    </row>
    <row r="1674" spans="1:3" x14ac:dyDescent="0.25">
      <c r="A1674" s="36">
        <v>41211</v>
      </c>
      <c r="B1674" s="122">
        <v>0.86402777777777784</v>
      </c>
      <c r="C1674" s="26" t="s">
        <v>1362</v>
      </c>
    </row>
    <row r="1675" spans="1:3" x14ac:dyDescent="0.25">
      <c r="A1675" s="36">
        <v>41211</v>
      </c>
      <c r="B1675" s="122">
        <v>0.86402777777777784</v>
      </c>
      <c r="C1675" s="26" t="s">
        <v>1363</v>
      </c>
    </row>
    <row r="1676" spans="1:3" x14ac:dyDescent="0.25">
      <c r="A1676" s="36">
        <v>41211</v>
      </c>
      <c r="B1676" s="122">
        <v>0.86402777777777784</v>
      </c>
      <c r="C1676" s="26" t="s">
        <v>1364</v>
      </c>
    </row>
    <row r="1677" spans="1:3" x14ac:dyDescent="0.25">
      <c r="A1677" s="36">
        <v>41211</v>
      </c>
      <c r="B1677" s="122">
        <v>0.86402777777777784</v>
      </c>
      <c r="C1677" s="26" t="s">
        <v>1363</v>
      </c>
    </row>
    <row r="1678" spans="1:3" x14ac:dyDescent="0.25">
      <c r="A1678" s="36">
        <v>41211</v>
      </c>
      <c r="B1678" s="122">
        <v>0.86402777777777784</v>
      </c>
      <c r="C1678" s="26" t="s">
        <v>1363</v>
      </c>
    </row>
    <row r="1679" spans="1:3" x14ac:dyDescent="0.25">
      <c r="A1679" s="36">
        <v>41211</v>
      </c>
      <c r="B1679" s="122">
        <v>0.86402777777777784</v>
      </c>
      <c r="C1679" s="26" t="s">
        <v>1363</v>
      </c>
    </row>
    <row r="1680" spans="1:3" x14ac:dyDescent="0.25">
      <c r="A1680" s="36">
        <v>41211</v>
      </c>
      <c r="B1680" s="122">
        <v>0.86402777777777784</v>
      </c>
      <c r="C1680" s="26" t="s">
        <v>1363</v>
      </c>
    </row>
    <row r="1681" spans="1:3" x14ac:dyDescent="0.25">
      <c r="A1681" s="36">
        <v>41211</v>
      </c>
      <c r="B1681" s="122">
        <v>0.86402777777777784</v>
      </c>
      <c r="C1681" s="26" t="s">
        <v>1363</v>
      </c>
    </row>
    <row r="1682" spans="1:3" x14ac:dyDescent="0.25">
      <c r="A1682" s="36">
        <v>41211</v>
      </c>
      <c r="B1682" s="122">
        <v>0.86402777777777784</v>
      </c>
      <c r="C1682" s="26" t="s">
        <v>1363</v>
      </c>
    </row>
    <row r="1683" spans="1:3" x14ac:dyDescent="0.25">
      <c r="A1683" s="36">
        <v>41211</v>
      </c>
      <c r="B1683" s="122">
        <v>0.86402777777777784</v>
      </c>
      <c r="C1683" s="26" t="s">
        <v>1363</v>
      </c>
    </row>
    <row r="1684" spans="1:3" x14ac:dyDescent="0.25">
      <c r="A1684" s="36">
        <v>41211</v>
      </c>
      <c r="B1684" s="122">
        <v>0.86402777777777784</v>
      </c>
      <c r="C1684" s="26" t="s">
        <v>1365</v>
      </c>
    </row>
    <row r="1685" spans="1:3" x14ac:dyDescent="0.25">
      <c r="A1685" s="36">
        <v>41211</v>
      </c>
      <c r="B1685" s="122">
        <v>0.86402777777777784</v>
      </c>
      <c r="C1685" s="26" t="s">
        <v>1366</v>
      </c>
    </row>
    <row r="1686" spans="1:3" x14ac:dyDescent="0.25">
      <c r="A1686" s="36">
        <v>41211</v>
      </c>
      <c r="B1686" s="122">
        <v>0.86402777777777784</v>
      </c>
      <c r="C1686" s="26" t="s">
        <v>1366</v>
      </c>
    </row>
    <row r="1687" spans="1:3" x14ac:dyDescent="0.25">
      <c r="A1687" s="36">
        <v>41211</v>
      </c>
      <c r="B1687" s="122">
        <v>0.86402777777777784</v>
      </c>
      <c r="C1687" s="26" t="s">
        <v>1367</v>
      </c>
    </row>
    <row r="1688" spans="1:3" x14ac:dyDescent="0.25">
      <c r="A1688" s="36">
        <v>41211</v>
      </c>
      <c r="B1688" s="122">
        <v>0.86402777777777784</v>
      </c>
      <c r="C1688" s="26" t="s">
        <v>1368</v>
      </c>
    </row>
    <row r="1689" spans="1:3" x14ac:dyDescent="0.25">
      <c r="A1689" s="36">
        <v>41211</v>
      </c>
      <c r="B1689" s="122">
        <v>0.86402777777777784</v>
      </c>
      <c r="C1689" s="26" t="s">
        <v>1368</v>
      </c>
    </row>
    <row r="1690" spans="1:3" x14ac:dyDescent="0.25">
      <c r="A1690" s="36">
        <v>41211</v>
      </c>
      <c r="B1690" s="122">
        <v>0.86402777777777784</v>
      </c>
      <c r="C1690" s="26" t="s">
        <v>1369</v>
      </c>
    </row>
    <row r="1691" spans="1:3" x14ac:dyDescent="0.25">
      <c r="A1691" s="36">
        <v>41211</v>
      </c>
      <c r="B1691" s="122">
        <v>0.86402777777777784</v>
      </c>
      <c r="C1691" s="26" t="s">
        <v>1369</v>
      </c>
    </row>
    <row r="1692" spans="1:3" x14ac:dyDescent="0.25">
      <c r="A1692" s="36">
        <v>41211</v>
      </c>
      <c r="B1692" s="122">
        <v>0.86402777777777784</v>
      </c>
      <c r="C1692" s="26" t="s">
        <v>1370</v>
      </c>
    </row>
    <row r="1693" spans="1:3" x14ac:dyDescent="0.25">
      <c r="A1693" s="36">
        <v>41211</v>
      </c>
      <c r="B1693" s="122">
        <v>0.86402777777777784</v>
      </c>
      <c r="C1693" s="26" t="s">
        <v>1370</v>
      </c>
    </row>
    <row r="1694" spans="1:3" x14ac:dyDescent="0.25">
      <c r="A1694" s="36">
        <v>41211</v>
      </c>
      <c r="B1694" s="122">
        <v>0.86402777777777784</v>
      </c>
      <c r="C1694" s="26" t="s">
        <v>1370</v>
      </c>
    </row>
    <row r="1695" spans="1:3" x14ac:dyDescent="0.25">
      <c r="A1695" s="36">
        <v>41211</v>
      </c>
      <c r="B1695" s="122">
        <v>0.86402777777777784</v>
      </c>
      <c r="C1695" s="26" t="s">
        <v>1370</v>
      </c>
    </row>
    <row r="1696" spans="1:3" x14ac:dyDescent="0.25">
      <c r="A1696" s="36">
        <v>41211</v>
      </c>
      <c r="B1696" s="122">
        <v>0.86402777777777784</v>
      </c>
      <c r="C1696" s="26" t="s">
        <v>1370</v>
      </c>
    </row>
    <row r="1697" spans="1:3" x14ac:dyDescent="0.25">
      <c r="A1697" s="36">
        <v>41211</v>
      </c>
      <c r="B1697" s="122">
        <v>0.86402777777777784</v>
      </c>
      <c r="C1697" s="26" t="s">
        <v>1370</v>
      </c>
    </row>
    <row r="1698" spans="1:3" x14ac:dyDescent="0.25">
      <c r="A1698" s="36">
        <v>41211</v>
      </c>
      <c r="B1698" s="122">
        <v>0.86402777777777784</v>
      </c>
      <c r="C1698" s="26" t="s">
        <v>1370</v>
      </c>
    </row>
    <row r="1699" spans="1:3" x14ac:dyDescent="0.25">
      <c r="A1699" s="36">
        <v>41211</v>
      </c>
      <c r="B1699" s="122">
        <v>0.86402777777777784</v>
      </c>
      <c r="C1699" s="26" t="s">
        <v>1370</v>
      </c>
    </row>
    <row r="1700" spans="1:3" x14ac:dyDescent="0.25">
      <c r="A1700" s="36">
        <v>41211</v>
      </c>
      <c r="B1700" s="122">
        <v>0.86402777777777784</v>
      </c>
      <c r="C1700" s="26" t="s">
        <v>1370</v>
      </c>
    </row>
    <row r="1701" spans="1:3" x14ac:dyDescent="0.25">
      <c r="A1701" s="36">
        <v>41211</v>
      </c>
      <c r="B1701" s="122">
        <v>0.86402777777777784</v>
      </c>
      <c r="C1701" s="26" t="s">
        <v>1370</v>
      </c>
    </row>
    <row r="1702" spans="1:3" x14ac:dyDescent="0.25">
      <c r="A1702" s="36">
        <v>41211</v>
      </c>
      <c r="B1702" s="122">
        <v>0.86402777777777784</v>
      </c>
      <c r="C1702" s="26" t="s">
        <v>1370</v>
      </c>
    </row>
    <row r="1703" spans="1:3" x14ac:dyDescent="0.25">
      <c r="A1703" s="36">
        <v>41211</v>
      </c>
      <c r="B1703" s="122">
        <v>0.86402777777777784</v>
      </c>
      <c r="C1703" s="26" t="s">
        <v>1370</v>
      </c>
    </row>
    <row r="1704" spans="1:3" x14ac:dyDescent="0.25">
      <c r="A1704" s="36">
        <v>41211</v>
      </c>
      <c r="B1704" s="122">
        <v>0.86402777777777784</v>
      </c>
      <c r="C1704" s="26" t="s">
        <v>1370</v>
      </c>
    </row>
    <row r="1705" spans="1:3" x14ac:dyDescent="0.25">
      <c r="A1705" s="36">
        <v>41211</v>
      </c>
      <c r="B1705" s="122">
        <v>0.86402777777777784</v>
      </c>
      <c r="C1705" s="26" t="s">
        <v>1371</v>
      </c>
    </row>
    <row r="1706" spans="1:3" x14ac:dyDescent="0.25">
      <c r="A1706" s="36">
        <v>41211</v>
      </c>
      <c r="B1706" s="122">
        <v>0.86402777777777784</v>
      </c>
      <c r="C1706" s="26" t="s">
        <v>1371</v>
      </c>
    </row>
    <row r="1707" spans="1:3" x14ac:dyDescent="0.25">
      <c r="A1707" s="36">
        <v>41211</v>
      </c>
      <c r="B1707" s="122">
        <v>0.86402777777777784</v>
      </c>
      <c r="C1707" s="26" t="s">
        <v>1371</v>
      </c>
    </row>
    <row r="1708" spans="1:3" x14ac:dyDescent="0.25">
      <c r="A1708" s="36">
        <v>41211</v>
      </c>
      <c r="B1708" s="122">
        <v>0.86402777777777784</v>
      </c>
      <c r="C1708" s="26" t="s">
        <v>1372</v>
      </c>
    </row>
    <row r="1709" spans="1:3" x14ac:dyDescent="0.25">
      <c r="A1709" s="36">
        <v>41211</v>
      </c>
      <c r="B1709" s="122">
        <v>0.86402777777777784</v>
      </c>
      <c r="C1709" s="26" t="s">
        <v>1373</v>
      </c>
    </row>
    <row r="1710" spans="1:3" x14ac:dyDescent="0.25">
      <c r="A1710" s="36">
        <v>41211</v>
      </c>
      <c r="B1710" s="122">
        <v>0.86402777777777784</v>
      </c>
      <c r="C1710" s="26" t="s">
        <v>1373</v>
      </c>
    </row>
    <row r="1711" spans="1:3" x14ac:dyDescent="0.25">
      <c r="A1711" s="36">
        <v>41211</v>
      </c>
      <c r="B1711" s="122">
        <v>0.86402777777777784</v>
      </c>
      <c r="C1711" s="26" t="s">
        <v>1373</v>
      </c>
    </row>
    <row r="1712" spans="1:3" x14ac:dyDescent="0.25">
      <c r="A1712" s="36">
        <v>41211</v>
      </c>
      <c r="B1712" s="122">
        <v>0.86402777777777784</v>
      </c>
      <c r="C1712" s="26" t="s">
        <v>1373</v>
      </c>
    </row>
    <row r="1713" spans="1:3" x14ac:dyDescent="0.25">
      <c r="A1713" s="36">
        <v>41211</v>
      </c>
      <c r="B1713" s="122">
        <v>0.86402777777777784</v>
      </c>
      <c r="C1713" s="26" t="s">
        <v>1373</v>
      </c>
    </row>
    <row r="1714" spans="1:3" x14ac:dyDescent="0.25">
      <c r="A1714" s="36">
        <v>41211</v>
      </c>
      <c r="B1714" s="122">
        <v>0.86402777777777784</v>
      </c>
      <c r="C1714" s="26" t="s">
        <v>1373</v>
      </c>
    </row>
    <row r="1715" spans="1:3" x14ac:dyDescent="0.25">
      <c r="A1715" s="36">
        <v>41211</v>
      </c>
      <c r="B1715" s="122">
        <v>0.86402777777777784</v>
      </c>
      <c r="C1715" s="26" t="s">
        <v>1373</v>
      </c>
    </row>
    <row r="1716" spans="1:3" x14ac:dyDescent="0.25">
      <c r="A1716" s="36">
        <v>41211</v>
      </c>
      <c r="B1716" s="122">
        <v>0.86402777777777784</v>
      </c>
      <c r="C1716" s="26" t="s">
        <v>1373</v>
      </c>
    </row>
    <row r="1717" spans="1:3" x14ac:dyDescent="0.25">
      <c r="A1717" s="36">
        <v>41211</v>
      </c>
      <c r="B1717" s="122">
        <v>0.86402777777777784</v>
      </c>
      <c r="C1717" s="26" t="s">
        <v>1373</v>
      </c>
    </row>
    <row r="1718" spans="1:3" x14ac:dyDescent="0.25">
      <c r="A1718" s="36">
        <v>41211</v>
      </c>
      <c r="B1718" s="122">
        <v>0.86402777777777784</v>
      </c>
      <c r="C1718" s="26" t="s">
        <v>1373</v>
      </c>
    </row>
    <row r="1719" spans="1:3" x14ac:dyDescent="0.25">
      <c r="A1719" s="36">
        <v>41211</v>
      </c>
      <c r="B1719" s="122">
        <v>0.86402777777777784</v>
      </c>
      <c r="C1719" s="26" t="s">
        <v>1373</v>
      </c>
    </row>
    <row r="1720" spans="1:3" x14ac:dyDescent="0.25">
      <c r="A1720" s="36">
        <v>41211</v>
      </c>
      <c r="B1720" s="122">
        <v>0.86402777777777784</v>
      </c>
      <c r="C1720" s="26" t="s">
        <v>1373</v>
      </c>
    </row>
    <row r="1721" spans="1:3" x14ac:dyDescent="0.25">
      <c r="A1721" s="36">
        <v>41211</v>
      </c>
      <c r="B1721" s="122">
        <v>0.86402777777777784</v>
      </c>
      <c r="C1721" s="26" t="s">
        <v>1373</v>
      </c>
    </row>
    <row r="1722" spans="1:3" x14ac:dyDescent="0.25">
      <c r="A1722" s="36">
        <v>41211</v>
      </c>
      <c r="B1722" s="122">
        <v>0.86402777777777784</v>
      </c>
      <c r="C1722" s="26" t="s">
        <v>1373</v>
      </c>
    </row>
    <row r="1723" spans="1:3" x14ac:dyDescent="0.25">
      <c r="A1723" s="36">
        <v>41211</v>
      </c>
      <c r="B1723" s="122">
        <v>0.86402777777777784</v>
      </c>
      <c r="C1723" s="26" t="s">
        <v>1373</v>
      </c>
    </row>
    <row r="1724" spans="1:3" x14ac:dyDescent="0.25">
      <c r="A1724" s="36">
        <v>41211</v>
      </c>
      <c r="B1724" s="122">
        <v>0.86402777777777784</v>
      </c>
      <c r="C1724" s="26" t="s">
        <v>1373</v>
      </c>
    </row>
    <row r="1725" spans="1:3" x14ac:dyDescent="0.25">
      <c r="A1725" s="36">
        <v>41211</v>
      </c>
      <c r="B1725" s="122">
        <v>0.86402777777777784</v>
      </c>
      <c r="C1725" s="26" t="s">
        <v>1373</v>
      </c>
    </row>
    <row r="1726" spans="1:3" x14ac:dyDescent="0.25">
      <c r="A1726" s="36">
        <v>41211</v>
      </c>
      <c r="B1726" s="122">
        <v>0.86402777777777784</v>
      </c>
      <c r="C1726" s="26" t="s">
        <v>1373</v>
      </c>
    </row>
    <row r="1727" spans="1:3" x14ac:dyDescent="0.25">
      <c r="A1727" s="36">
        <v>41211</v>
      </c>
      <c r="B1727" s="122">
        <v>0.86402777777777784</v>
      </c>
      <c r="C1727" s="26" t="s">
        <v>1373</v>
      </c>
    </row>
    <row r="1728" spans="1:3" x14ac:dyDescent="0.25">
      <c r="A1728" s="36">
        <v>41211</v>
      </c>
      <c r="B1728" s="122">
        <v>0.86402777777777784</v>
      </c>
      <c r="C1728" s="26" t="s">
        <v>1373</v>
      </c>
    </row>
    <row r="1729" spans="1:3" x14ac:dyDescent="0.25">
      <c r="A1729" s="36">
        <v>41211</v>
      </c>
      <c r="B1729" s="122">
        <v>0.86402777777777784</v>
      </c>
      <c r="C1729" s="26" t="s">
        <v>1373</v>
      </c>
    </row>
    <row r="1730" spans="1:3" x14ac:dyDescent="0.25">
      <c r="A1730" s="36">
        <v>41211</v>
      </c>
      <c r="B1730" s="122">
        <v>0.86402777777777784</v>
      </c>
      <c r="C1730" s="26" t="s">
        <v>1373</v>
      </c>
    </row>
    <row r="1731" spans="1:3" x14ac:dyDescent="0.25">
      <c r="A1731" s="36">
        <v>41211</v>
      </c>
      <c r="B1731" s="122">
        <v>0.86402777777777784</v>
      </c>
      <c r="C1731" s="26" t="s">
        <v>1373</v>
      </c>
    </row>
    <row r="1732" spans="1:3" x14ac:dyDescent="0.25">
      <c r="A1732" s="36">
        <v>41211</v>
      </c>
      <c r="B1732" s="122">
        <v>0.86402777777777784</v>
      </c>
      <c r="C1732" s="26" t="s">
        <v>1373</v>
      </c>
    </row>
    <row r="1733" spans="1:3" x14ac:dyDescent="0.25">
      <c r="A1733" s="36">
        <v>41211</v>
      </c>
      <c r="B1733" s="122">
        <v>0.86402777777777784</v>
      </c>
      <c r="C1733" s="26" t="s">
        <v>1374</v>
      </c>
    </row>
    <row r="1734" spans="1:3" x14ac:dyDescent="0.25">
      <c r="A1734" s="36">
        <v>41211</v>
      </c>
      <c r="B1734" s="122">
        <v>0.86402777777777784</v>
      </c>
      <c r="C1734" s="26" t="s">
        <v>1375</v>
      </c>
    </row>
    <row r="1735" spans="1:3" x14ac:dyDescent="0.25">
      <c r="A1735" s="36">
        <v>41211</v>
      </c>
      <c r="B1735" s="122">
        <v>0.86402777777777784</v>
      </c>
      <c r="C1735" s="26" t="s">
        <v>1375</v>
      </c>
    </row>
    <row r="1736" spans="1:3" x14ac:dyDescent="0.25">
      <c r="A1736" s="36">
        <v>41211</v>
      </c>
      <c r="B1736" s="122">
        <v>0.86402777777777784</v>
      </c>
      <c r="C1736" s="26" t="s">
        <v>1375</v>
      </c>
    </row>
    <row r="1737" spans="1:3" x14ac:dyDescent="0.25">
      <c r="A1737" s="36">
        <v>41211</v>
      </c>
      <c r="B1737" s="122">
        <v>0.86402777777777784</v>
      </c>
      <c r="C1737" s="26" t="s">
        <v>1376</v>
      </c>
    </row>
    <row r="1738" spans="1:3" x14ac:dyDescent="0.25">
      <c r="A1738" s="36">
        <v>41211</v>
      </c>
      <c r="B1738" s="122">
        <v>0.86402777777777784</v>
      </c>
      <c r="C1738" s="26" t="s">
        <v>1377</v>
      </c>
    </row>
    <row r="1739" spans="1:3" x14ac:dyDescent="0.25">
      <c r="A1739" s="36">
        <v>41211</v>
      </c>
      <c r="B1739" s="122">
        <v>0.86403935185185177</v>
      </c>
      <c r="C1739" s="26" t="s">
        <v>1378</v>
      </c>
    </row>
    <row r="1740" spans="1:3" x14ac:dyDescent="0.25">
      <c r="A1740" s="36">
        <v>41211</v>
      </c>
      <c r="B1740" s="122">
        <v>0.86403935185185177</v>
      </c>
      <c r="C1740" s="26" t="s">
        <v>1379</v>
      </c>
    </row>
    <row r="1741" spans="1:3" x14ac:dyDescent="0.25">
      <c r="A1741" s="36">
        <v>41211</v>
      </c>
      <c r="B1741" s="122">
        <v>0.86403935185185177</v>
      </c>
      <c r="C1741" s="26" t="s">
        <v>1379</v>
      </c>
    </row>
    <row r="1742" spans="1:3" x14ac:dyDescent="0.25">
      <c r="A1742" s="36">
        <v>41211</v>
      </c>
      <c r="B1742" s="122">
        <v>0.86403935185185177</v>
      </c>
      <c r="C1742" s="26" t="s">
        <v>1379</v>
      </c>
    </row>
    <row r="1743" spans="1:3" x14ac:dyDescent="0.25">
      <c r="A1743" s="36">
        <v>41211</v>
      </c>
      <c r="B1743" s="122">
        <v>0.86403935185185177</v>
      </c>
      <c r="C1743" s="26" t="s">
        <v>1379</v>
      </c>
    </row>
    <row r="1744" spans="1:3" x14ac:dyDescent="0.25">
      <c r="A1744" s="36">
        <v>41211</v>
      </c>
      <c r="B1744" s="122">
        <v>0.86403935185185177</v>
      </c>
      <c r="C1744" s="26" t="s">
        <v>1379</v>
      </c>
    </row>
    <row r="1745" spans="1:3" x14ac:dyDescent="0.25">
      <c r="A1745" s="36">
        <v>41211</v>
      </c>
      <c r="B1745" s="122">
        <v>0.86403935185185177</v>
      </c>
      <c r="C1745" s="26" t="s">
        <v>1379</v>
      </c>
    </row>
    <row r="1746" spans="1:3" x14ac:dyDescent="0.25">
      <c r="A1746" s="36">
        <v>41211</v>
      </c>
      <c r="B1746" s="122">
        <v>0.86403935185185177</v>
      </c>
      <c r="C1746" s="26" t="s">
        <v>1380</v>
      </c>
    </row>
    <row r="1747" spans="1:3" x14ac:dyDescent="0.25">
      <c r="A1747" s="36">
        <v>41211</v>
      </c>
      <c r="B1747" s="122">
        <v>0.86403935185185177</v>
      </c>
      <c r="C1747" s="26" t="s">
        <v>1381</v>
      </c>
    </row>
    <row r="1748" spans="1:3" x14ac:dyDescent="0.25">
      <c r="A1748" s="36">
        <v>41211</v>
      </c>
      <c r="B1748" s="122">
        <v>0.86403935185185177</v>
      </c>
      <c r="C1748" s="26" t="s">
        <v>1381</v>
      </c>
    </row>
    <row r="1749" spans="1:3" x14ac:dyDescent="0.25">
      <c r="A1749" s="36">
        <v>41211</v>
      </c>
      <c r="B1749" s="122">
        <v>0.86403935185185177</v>
      </c>
      <c r="C1749" s="26" t="s">
        <v>1382</v>
      </c>
    </row>
    <row r="1750" spans="1:3" x14ac:dyDescent="0.25">
      <c r="A1750" s="36">
        <v>41211</v>
      </c>
      <c r="B1750" s="122">
        <v>0.86403935185185177</v>
      </c>
      <c r="C1750" s="26" t="s">
        <v>1382</v>
      </c>
    </row>
    <row r="1751" spans="1:3" x14ac:dyDescent="0.25">
      <c r="A1751" s="36">
        <v>41211</v>
      </c>
      <c r="B1751" s="122">
        <v>0.86403935185185177</v>
      </c>
      <c r="C1751" s="26" t="s">
        <v>1382</v>
      </c>
    </row>
    <row r="1752" spans="1:3" x14ac:dyDescent="0.25">
      <c r="A1752" s="36">
        <v>41211</v>
      </c>
      <c r="B1752" s="122">
        <v>0.86403935185185177</v>
      </c>
      <c r="C1752" s="26" t="s">
        <v>1382</v>
      </c>
    </row>
    <row r="1753" spans="1:3" x14ac:dyDescent="0.25">
      <c r="A1753" s="36">
        <v>41211</v>
      </c>
      <c r="B1753" s="122">
        <v>0.86403935185185177</v>
      </c>
      <c r="C1753" s="26" t="s">
        <v>1382</v>
      </c>
    </row>
    <row r="1754" spans="1:3" x14ac:dyDescent="0.25">
      <c r="A1754" s="36">
        <v>41211</v>
      </c>
      <c r="B1754" s="122">
        <v>0.86403935185185177</v>
      </c>
      <c r="C1754" s="26" t="s">
        <v>1382</v>
      </c>
    </row>
    <row r="1755" spans="1:3" x14ac:dyDescent="0.25">
      <c r="A1755" s="36">
        <v>41211</v>
      </c>
      <c r="B1755" s="122">
        <v>0.86403935185185177</v>
      </c>
      <c r="C1755" s="26" t="s">
        <v>1383</v>
      </c>
    </row>
    <row r="1756" spans="1:3" x14ac:dyDescent="0.25">
      <c r="A1756" s="36">
        <v>41211</v>
      </c>
      <c r="B1756" s="122">
        <v>0.86403935185185177</v>
      </c>
      <c r="C1756" s="26" t="s">
        <v>1383</v>
      </c>
    </row>
    <row r="1757" spans="1:3" x14ac:dyDescent="0.25">
      <c r="A1757" s="36">
        <v>41211</v>
      </c>
      <c r="B1757" s="122">
        <v>0.86403935185185177</v>
      </c>
      <c r="C1757" s="26" t="s">
        <v>1384</v>
      </c>
    </row>
    <row r="1758" spans="1:3" x14ac:dyDescent="0.25">
      <c r="A1758" s="36">
        <v>41211</v>
      </c>
      <c r="B1758" s="122">
        <v>0.86403935185185177</v>
      </c>
      <c r="C1758" s="26" t="s">
        <v>1384</v>
      </c>
    </row>
    <row r="1759" spans="1:3" x14ac:dyDescent="0.25">
      <c r="A1759" s="36">
        <v>41211</v>
      </c>
      <c r="B1759" s="122">
        <v>0.86403935185185177</v>
      </c>
      <c r="C1759" s="26" t="s">
        <v>1384</v>
      </c>
    </row>
    <row r="1760" spans="1:3" x14ac:dyDescent="0.25">
      <c r="A1760" s="36">
        <v>41211</v>
      </c>
      <c r="B1760" s="122">
        <v>0.86403935185185177</v>
      </c>
      <c r="C1760" s="26" t="s">
        <v>1384</v>
      </c>
    </row>
    <row r="1761" spans="1:3" x14ac:dyDescent="0.25">
      <c r="A1761" s="36">
        <v>41211</v>
      </c>
      <c r="B1761" s="122">
        <v>0.86403935185185177</v>
      </c>
      <c r="C1761" s="26" t="s">
        <v>1385</v>
      </c>
    </row>
    <row r="1762" spans="1:3" x14ac:dyDescent="0.25">
      <c r="A1762" s="36">
        <v>41211</v>
      </c>
      <c r="B1762" s="122">
        <v>0.86403935185185177</v>
      </c>
      <c r="C1762" s="26" t="s">
        <v>1386</v>
      </c>
    </row>
    <row r="1763" spans="1:3" x14ac:dyDescent="0.25">
      <c r="A1763" s="36">
        <v>41211</v>
      </c>
      <c r="B1763" s="122">
        <v>0.86403935185185177</v>
      </c>
      <c r="C1763" s="26" t="s">
        <v>1386</v>
      </c>
    </row>
    <row r="1764" spans="1:3" x14ac:dyDescent="0.25">
      <c r="A1764" s="36">
        <v>41211</v>
      </c>
      <c r="B1764" s="122">
        <v>0.86403935185185177</v>
      </c>
      <c r="C1764" s="26" t="s">
        <v>1386</v>
      </c>
    </row>
    <row r="1765" spans="1:3" x14ac:dyDescent="0.25">
      <c r="A1765" s="36">
        <v>41211</v>
      </c>
      <c r="B1765" s="122">
        <v>0.86403935185185177</v>
      </c>
      <c r="C1765" s="26" t="s">
        <v>1386</v>
      </c>
    </row>
    <row r="1766" spans="1:3" x14ac:dyDescent="0.25">
      <c r="A1766" s="36">
        <v>41211</v>
      </c>
      <c r="B1766" s="122">
        <v>0.86403935185185177</v>
      </c>
      <c r="C1766" s="26" t="s">
        <v>1387</v>
      </c>
    </row>
    <row r="1767" spans="1:3" x14ac:dyDescent="0.25">
      <c r="A1767" s="36">
        <v>41211</v>
      </c>
      <c r="B1767" s="122">
        <v>0.86403935185185177</v>
      </c>
      <c r="C1767" s="26" t="s">
        <v>1387</v>
      </c>
    </row>
    <row r="1768" spans="1:3" x14ac:dyDescent="0.25">
      <c r="A1768" s="36">
        <v>41211</v>
      </c>
      <c r="B1768" s="122">
        <v>0.86403935185185177</v>
      </c>
      <c r="C1768" s="26" t="s">
        <v>1388</v>
      </c>
    </row>
    <row r="1769" spans="1:3" x14ac:dyDescent="0.25">
      <c r="A1769" s="36">
        <v>41211</v>
      </c>
      <c r="B1769" s="122">
        <v>0.86403935185185177</v>
      </c>
      <c r="C1769" s="26" t="s">
        <v>1388</v>
      </c>
    </row>
    <row r="1770" spans="1:3" x14ac:dyDescent="0.25">
      <c r="A1770" s="36">
        <v>41211</v>
      </c>
      <c r="B1770" s="122">
        <v>0.86403935185185177</v>
      </c>
      <c r="C1770" s="26" t="s">
        <v>1388</v>
      </c>
    </row>
    <row r="1771" spans="1:3" x14ac:dyDescent="0.25">
      <c r="A1771" s="36">
        <v>41211</v>
      </c>
      <c r="B1771" s="122">
        <v>0.86403935185185177</v>
      </c>
      <c r="C1771" s="26" t="s">
        <v>1388</v>
      </c>
    </row>
    <row r="1772" spans="1:3" x14ac:dyDescent="0.25">
      <c r="A1772" s="36">
        <v>41211</v>
      </c>
      <c r="B1772" s="122">
        <v>0.86403935185185177</v>
      </c>
      <c r="C1772" s="26" t="s">
        <v>1388</v>
      </c>
    </row>
    <row r="1773" spans="1:3" x14ac:dyDescent="0.25">
      <c r="A1773" s="36">
        <v>41211</v>
      </c>
      <c r="B1773" s="122">
        <v>0.86403935185185177</v>
      </c>
      <c r="C1773" s="26" t="s">
        <v>1388</v>
      </c>
    </row>
    <row r="1774" spans="1:3" x14ac:dyDescent="0.25">
      <c r="A1774" s="36">
        <v>41211</v>
      </c>
      <c r="B1774" s="122">
        <v>0.86403935185185177</v>
      </c>
      <c r="C1774" s="26" t="s">
        <v>1389</v>
      </c>
    </row>
    <row r="1775" spans="1:3" x14ac:dyDescent="0.25">
      <c r="A1775" s="36">
        <v>41211</v>
      </c>
      <c r="B1775" s="122">
        <v>0.86405092592592592</v>
      </c>
      <c r="C1775" s="26" t="s">
        <v>1390</v>
      </c>
    </row>
    <row r="1776" spans="1:3" x14ac:dyDescent="0.25">
      <c r="A1776" s="36">
        <v>41211</v>
      </c>
      <c r="B1776" s="122">
        <v>0.86405092592592592</v>
      </c>
      <c r="C1776" s="26" t="s">
        <v>1391</v>
      </c>
    </row>
    <row r="1777" spans="1:3" x14ac:dyDescent="0.25">
      <c r="A1777" s="36">
        <v>41211</v>
      </c>
      <c r="B1777" s="122">
        <v>0.86405092592592592</v>
      </c>
      <c r="C1777" s="26" t="s">
        <v>1391</v>
      </c>
    </row>
    <row r="1778" spans="1:3" x14ac:dyDescent="0.25">
      <c r="A1778" s="36">
        <v>41211</v>
      </c>
      <c r="B1778" s="122">
        <v>0.86405092592592592</v>
      </c>
      <c r="C1778" s="26" t="s">
        <v>1392</v>
      </c>
    </row>
    <row r="1779" spans="1:3" x14ac:dyDescent="0.25">
      <c r="A1779" s="36">
        <v>41211</v>
      </c>
      <c r="B1779" s="122">
        <v>0.86405092592592592</v>
      </c>
      <c r="C1779" s="26" t="s">
        <v>1392</v>
      </c>
    </row>
    <row r="1780" spans="1:3" x14ac:dyDescent="0.25">
      <c r="A1780" s="36">
        <v>41211</v>
      </c>
      <c r="B1780" s="122">
        <v>0.86405092592592592</v>
      </c>
      <c r="C1780" s="26" t="s">
        <v>1393</v>
      </c>
    </row>
    <row r="1781" spans="1:3" x14ac:dyDescent="0.25">
      <c r="A1781" s="36">
        <v>41211</v>
      </c>
      <c r="B1781" s="122">
        <v>0.86405092592592592</v>
      </c>
      <c r="C1781" s="26" t="s">
        <v>1393</v>
      </c>
    </row>
    <row r="1782" spans="1:3" x14ac:dyDescent="0.25">
      <c r="A1782" s="36">
        <v>41211</v>
      </c>
      <c r="B1782" s="122">
        <v>0.86405092592592592</v>
      </c>
      <c r="C1782" s="26" t="s">
        <v>1393</v>
      </c>
    </row>
    <row r="1783" spans="1:3" x14ac:dyDescent="0.25">
      <c r="A1783" s="36">
        <v>41211</v>
      </c>
      <c r="B1783" s="122">
        <v>0.86405092592592592</v>
      </c>
      <c r="C1783" s="26" t="s">
        <v>1394</v>
      </c>
    </row>
    <row r="1784" spans="1:3" x14ac:dyDescent="0.25">
      <c r="A1784" s="36">
        <v>41211</v>
      </c>
      <c r="B1784" s="122">
        <v>0.86405092592592592</v>
      </c>
      <c r="C1784" s="26" t="s">
        <v>1394</v>
      </c>
    </row>
    <row r="1785" spans="1:3" x14ac:dyDescent="0.25">
      <c r="A1785" s="36">
        <v>41211</v>
      </c>
      <c r="B1785" s="122">
        <v>0.86405092592592592</v>
      </c>
      <c r="C1785" s="26" t="s">
        <v>1395</v>
      </c>
    </row>
    <row r="1786" spans="1:3" x14ac:dyDescent="0.25">
      <c r="A1786" s="36">
        <v>41211</v>
      </c>
      <c r="B1786" s="122">
        <v>0.86405092592592592</v>
      </c>
      <c r="C1786" s="26" t="s">
        <v>1396</v>
      </c>
    </row>
    <row r="1787" spans="1:3" x14ac:dyDescent="0.25">
      <c r="A1787" s="36">
        <v>41211</v>
      </c>
      <c r="B1787" s="122">
        <v>0.86405092592592592</v>
      </c>
      <c r="C1787" s="26" t="s">
        <v>1396</v>
      </c>
    </row>
    <row r="1788" spans="1:3" x14ac:dyDescent="0.25">
      <c r="A1788" s="36">
        <v>41211</v>
      </c>
      <c r="B1788" s="122">
        <v>0.86405092592592592</v>
      </c>
      <c r="C1788" s="26" t="s">
        <v>1397</v>
      </c>
    </row>
    <row r="1789" spans="1:3" x14ac:dyDescent="0.25">
      <c r="A1789" s="36">
        <v>41211</v>
      </c>
      <c r="B1789" s="122">
        <v>0.86405092592592592</v>
      </c>
      <c r="C1789" s="26" t="s">
        <v>1398</v>
      </c>
    </row>
    <row r="1790" spans="1:3" x14ac:dyDescent="0.25">
      <c r="A1790" s="36">
        <v>41211</v>
      </c>
      <c r="B1790" s="122">
        <v>0.86405092592592592</v>
      </c>
      <c r="C1790" s="26" t="s">
        <v>1398</v>
      </c>
    </row>
    <row r="1791" spans="1:3" x14ac:dyDescent="0.25">
      <c r="A1791" s="36">
        <v>41211</v>
      </c>
      <c r="B1791" s="122">
        <v>0.86405092592592592</v>
      </c>
      <c r="C1791" s="26" t="s">
        <v>1398</v>
      </c>
    </row>
    <row r="1792" spans="1:3" x14ac:dyDescent="0.25">
      <c r="A1792" s="36">
        <v>41211</v>
      </c>
      <c r="B1792" s="122">
        <v>0.86405092592592592</v>
      </c>
      <c r="C1792" s="26" t="s">
        <v>1398</v>
      </c>
    </row>
    <row r="1793" spans="1:3" x14ac:dyDescent="0.25">
      <c r="A1793" s="36">
        <v>41211</v>
      </c>
      <c r="B1793" s="122">
        <v>0.86405092592592592</v>
      </c>
      <c r="C1793" s="26" t="s">
        <v>1399</v>
      </c>
    </row>
    <row r="1794" spans="1:3" x14ac:dyDescent="0.25">
      <c r="A1794" s="36">
        <v>41211</v>
      </c>
      <c r="B1794" s="122">
        <v>0.86405092592592592</v>
      </c>
      <c r="C1794" s="26" t="s">
        <v>1400</v>
      </c>
    </row>
    <row r="1795" spans="1:3" x14ac:dyDescent="0.25">
      <c r="A1795" s="36">
        <v>41211</v>
      </c>
      <c r="B1795" s="122">
        <v>0.86405092592592592</v>
      </c>
      <c r="C1795" s="26" t="s">
        <v>1401</v>
      </c>
    </row>
    <row r="1796" spans="1:3" x14ac:dyDescent="0.25">
      <c r="A1796" s="36">
        <v>41211</v>
      </c>
      <c r="B1796" s="122">
        <v>0.86405092592592592</v>
      </c>
      <c r="C1796" s="26" t="s">
        <v>1402</v>
      </c>
    </row>
    <row r="1797" spans="1:3" x14ac:dyDescent="0.25">
      <c r="A1797" s="36">
        <v>41211</v>
      </c>
      <c r="B1797" s="122">
        <v>0.86405092592592592</v>
      </c>
      <c r="C1797" s="26" t="s">
        <v>1403</v>
      </c>
    </row>
    <row r="1798" spans="1:3" x14ac:dyDescent="0.25">
      <c r="A1798" s="36">
        <v>41211</v>
      </c>
      <c r="B1798" s="122">
        <v>0.86405092592592592</v>
      </c>
      <c r="C1798" s="26" t="s">
        <v>1403</v>
      </c>
    </row>
    <row r="1799" spans="1:3" x14ac:dyDescent="0.25">
      <c r="A1799" s="36">
        <v>41211</v>
      </c>
      <c r="B1799" s="122">
        <v>0.86405092592592592</v>
      </c>
      <c r="C1799" s="26" t="s">
        <v>1403</v>
      </c>
    </row>
    <row r="1800" spans="1:3" x14ac:dyDescent="0.25">
      <c r="A1800" s="36">
        <v>41211</v>
      </c>
      <c r="B1800" s="122">
        <v>0.86405092592592592</v>
      </c>
      <c r="C1800" s="26" t="s">
        <v>1403</v>
      </c>
    </row>
    <row r="1801" spans="1:3" x14ac:dyDescent="0.25">
      <c r="A1801" s="36">
        <v>41211</v>
      </c>
      <c r="B1801" s="122">
        <v>0.86405092592592592</v>
      </c>
      <c r="C1801" s="26" t="s">
        <v>1403</v>
      </c>
    </row>
    <row r="1802" spans="1:3" x14ac:dyDescent="0.25">
      <c r="A1802" s="36">
        <v>41211</v>
      </c>
      <c r="B1802" s="122">
        <v>0.86405092592592592</v>
      </c>
      <c r="C1802" s="26" t="s">
        <v>1404</v>
      </c>
    </row>
    <row r="1803" spans="1:3" x14ac:dyDescent="0.25">
      <c r="A1803" s="36">
        <v>41211</v>
      </c>
      <c r="B1803" s="122">
        <v>0.86405092592592592</v>
      </c>
      <c r="C1803" s="26" t="s">
        <v>1405</v>
      </c>
    </row>
    <row r="1804" spans="1:3" x14ac:dyDescent="0.25">
      <c r="A1804" s="36">
        <v>41211</v>
      </c>
      <c r="B1804" s="122">
        <v>0.86405092592592592</v>
      </c>
      <c r="C1804" s="26" t="s">
        <v>1405</v>
      </c>
    </row>
    <row r="1805" spans="1:3" x14ac:dyDescent="0.25">
      <c r="A1805" s="36">
        <v>41211</v>
      </c>
      <c r="B1805" s="122">
        <v>0.86405092592592592</v>
      </c>
      <c r="C1805" s="26" t="s">
        <v>1406</v>
      </c>
    </row>
    <row r="1806" spans="1:3" x14ac:dyDescent="0.25">
      <c r="A1806" s="36">
        <v>41211</v>
      </c>
      <c r="B1806" s="122">
        <v>0.86405092592592592</v>
      </c>
      <c r="C1806" s="26" t="s">
        <v>1406</v>
      </c>
    </row>
    <row r="1807" spans="1:3" x14ac:dyDescent="0.25">
      <c r="A1807" s="36">
        <v>41211</v>
      </c>
      <c r="B1807" s="122">
        <v>0.86405092592592592</v>
      </c>
      <c r="C1807" s="26" t="s">
        <v>1406</v>
      </c>
    </row>
    <row r="1808" spans="1:3" x14ac:dyDescent="0.25">
      <c r="A1808" s="36">
        <v>41211</v>
      </c>
      <c r="B1808" s="122">
        <v>0.86405092592592592</v>
      </c>
      <c r="C1808" s="26" t="s">
        <v>1406</v>
      </c>
    </row>
    <row r="1809" spans="1:3" x14ac:dyDescent="0.25">
      <c r="A1809" s="36">
        <v>41211</v>
      </c>
      <c r="B1809" s="122">
        <v>0.86405092592592592</v>
      </c>
      <c r="C1809" s="26" t="s">
        <v>1407</v>
      </c>
    </row>
    <row r="1810" spans="1:3" x14ac:dyDescent="0.25">
      <c r="A1810" s="36">
        <v>41211</v>
      </c>
      <c r="B1810" s="122">
        <v>0.86405092592592592</v>
      </c>
      <c r="C1810" s="26" t="s">
        <v>1407</v>
      </c>
    </row>
    <row r="1811" spans="1:3" x14ac:dyDescent="0.25">
      <c r="A1811" s="36">
        <v>41211</v>
      </c>
      <c r="B1811" s="122">
        <v>0.86405092592592592</v>
      </c>
      <c r="C1811" s="26" t="s">
        <v>1407</v>
      </c>
    </row>
    <row r="1812" spans="1:3" x14ac:dyDescent="0.25">
      <c r="A1812" s="36">
        <v>41211</v>
      </c>
      <c r="B1812" s="122">
        <v>0.86405092592592592</v>
      </c>
      <c r="C1812" s="26" t="s">
        <v>1407</v>
      </c>
    </row>
    <row r="1813" spans="1:3" x14ac:dyDescent="0.25">
      <c r="A1813" s="36">
        <v>41211</v>
      </c>
      <c r="B1813" s="122">
        <v>0.86405092592592592</v>
      </c>
      <c r="C1813" s="26" t="s">
        <v>1407</v>
      </c>
    </row>
    <row r="1814" spans="1:3" x14ac:dyDescent="0.25">
      <c r="A1814" s="36">
        <v>41211</v>
      </c>
      <c r="B1814" s="122">
        <v>0.86405092592592592</v>
      </c>
      <c r="C1814" s="26" t="s">
        <v>1407</v>
      </c>
    </row>
    <row r="1815" spans="1:3" x14ac:dyDescent="0.25">
      <c r="A1815" s="36">
        <v>41211</v>
      </c>
      <c r="B1815" s="122">
        <v>0.86405092592592592</v>
      </c>
      <c r="C1815" s="26" t="s">
        <v>1407</v>
      </c>
    </row>
    <row r="1816" spans="1:3" x14ac:dyDescent="0.25">
      <c r="A1816" s="36">
        <v>41211</v>
      </c>
      <c r="B1816" s="122">
        <v>0.86405092592592592</v>
      </c>
      <c r="C1816" s="26" t="s">
        <v>1407</v>
      </c>
    </row>
    <row r="1817" spans="1:3" x14ac:dyDescent="0.25">
      <c r="A1817" s="36">
        <v>41211</v>
      </c>
      <c r="B1817" s="122">
        <v>0.86405092592592592</v>
      </c>
      <c r="C1817" s="26" t="s">
        <v>1407</v>
      </c>
    </row>
    <row r="1818" spans="1:3" x14ac:dyDescent="0.25">
      <c r="A1818" s="36">
        <v>41211</v>
      </c>
      <c r="B1818" s="122">
        <v>0.86405092592592592</v>
      </c>
      <c r="C1818" s="26" t="s">
        <v>1407</v>
      </c>
    </row>
    <row r="1819" spans="1:3" x14ac:dyDescent="0.25">
      <c r="A1819" s="36">
        <v>41211</v>
      </c>
      <c r="B1819" s="122">
        <v>0.86405092592592592</v>
      </c>
      <c r="C1819" s="26" t="s">
        <v>1407</v>
      </c>
    </row>
    <row r="1820" spans="1:3" x14ac:dyDescent="0.25">
      <c r="A1820" s="36">
        <v>41211</v>
      </c>
      <c r="B1820" s="122">
        <v>0.86405092592592592</v>
      </c>
      <c r="C1820" s="26" t="s">
        <v>1407</v>
      </c>
    </row>
    <row r="1821" spans="1:3" x14ac:dyDescent="0.25">
      <c r="A1821" s="36">
        <v>41211</v>
      </c>
      <c r="B1821" s="122">
        <v>0.86405092592592592</v>
      </c>
      <c r="C1821" s="26" t="s">
        <v>1407</v>
      </c>
    </row>
    <row r="1822" spans="1:3" x14ac:dyDescent="0.25">
      <c r="A1822" s="36">
        <v>41211</v>
      </c>
      <c r="B1822" s="122">
        <v>0.86405092592592592</v>
      </c>
      <c r="C1822" s="26" t="s">
        <v>1407</v>
      </c>
    </row>
    <row r="1823" spans="1:3" x14ac:dyDescent="0.25">
      <c r="A1823" s="36">
        <v>41211</v>
      </c>
      <c r="B1823" s="122">
        <v>0.86405092592592592</v>
      </c>
      <c r="C1823" s="26" t="s">
        <v>1408</v>
      </c>
    </row>
    <row r="1824" spans="1:3" x14ac:dyDescent="0.25">
      <c r="A1824" s="36">
        <v>41211</v>
      </c>
      <c r="B1824" s="122">
        <v>0.86405092592592592</v>
      </c>
      <c r="C1824" s="26" t="s">
        <v>1409</v>
      </c>
    </row>
    <row r="1825" spans="1:3" x14ac:dyDescent="0.25">
      <c r="A1825" s="36">
        <v>41211</v>
      </c>
      <c r="B1825" s="122">
        <v>0.86405092592592592</v>
      </c>
      <c r="C1825" s="26" t="s">
        <v>1409</v>
      </c>
    </row>
    <row r="1826" spans="1:3" x14ac:dyDescent="0.25">
      <c r="A1826" s="36">
        <v>41211</v>
      </c>
      <c r="B1826" s="122">
        <v>0.86405092592592592</v>
      </c>
      <c r="C1826" s="26" t="s">
        <v>1409</v>
      </c>
    </row>
    <row r="1827" spans="1:3" x14ac:dyDescent="0.25">
      <c r="A1827" s="36">
        <v>41211</v>
      </c>
      <c r="B1827" s="122">
        <v>0.86405092592592592</v>
      </c>
      <c r="C1827" s="26" t="s">
        <v>1409</v>
      </c>
    </row>
    <row r="1828" spans="1:3" x14ac:dyDescent="0.25">
      <c r="A1828" s="36">
        <v>41211</v>
      </c>
      <c r="B1828" s="122">
        <v>0.86405092592592592</v>
      </c>
      <c r="C1828" s="26" t="s">
        <v>1409</v>
      </c>
    </row>
    <row r="1829" spans="1:3" x14ac:dyDescent="0.25">
      <c r="A1829" s="36">
        <v>41211</v>
      </c>
      <c r="B1829" s="122">
        <v>0.86405092592592592</v>
      </c>
      <c r="C1829" s="26" t="s">
        <v>1410</v>
      </c>
    </row>
    <row r="1830" spans="1:3" x14ac:dyDescent="0.25">
      <c r="A1830" s="36">
        <v>41211</v>
      </c>
      <c r="B1830" s="122">
        <v>0.86405092592592592</v>
      </c>
      <c r="C1830" s="26" t="s">
        <v>1410</v>
      </c>
    </row>
    <row r="1831" spans="1:3" x14ac:dyDescent="0.25">
      <c r="A1831" s="36">
        <v>41211</v>
      </c>
      <c r="B1831" s="122">
        <v>0.86405092592592592</v>
      </c>
      <c r="C1831" s="26" t="s">
        <v>1411</v>
      </c>
    </row>
    <row r="1832" spans="1:3" x14ac:dyDescent="0.25">
      <c r="A1832" s="36">
        <v>41211</v>
      </c>
      <c r="B1832" s="122">
        <v>0.86405092592592592</v>
      </c>
      <c r="C1832" s="26" t="s">
        <v>1411</v>
      </c>
    </row>
    <row r="1833" spans="1:3" x14ac:dyDescent="0.25">
      <c r="A1833" s="36">
        <v>41211</v>
      </c>
      <c r="B1833" s="122">
        <v>0.86405092592592592</v>
      </c>
      <c r="C1833" s="26" t="s">
        <v>1411</v>
      </c>
    </row>
    <row r="1834" spans="1:3" x14ac:dyDescent="0.25">
      <c r="A1834" s="36">
        <v>41211</v>
      </c>
      <c r="B1834" s="122">
        <v>0.86405092592592592</v>
      </c>
      <c r="C1834" s="26" t="s">
        <v>1411</v>
      </c>
    </row>
    <row r="1835" spans="1:3" x14ac:dyDescent="0.25">
      <c r="A1835" s="36">
        <v>41211</v>
      </c>
      <c r="B1835" s="122">
        <v>0.86405092592592592</v>
      </c>
      <c r="C1835" s="26" t="s">
        <v>1411</v>
      </c>
    </row>
    <row r="1836" spans="1:3" x14ac:dyDescent="0.25">
      <c r="A1836" s="36">
        <v>41211</v>
      </c>
      <c r="B1836" s="122">
        <v>0.86405092592592592</v>
      </c>
      <c r="C1836" s="26" t="s">
        <v>1412</v>
      </c>
    </row>
    <row r="1837" spans="1:3" x14ac:dyDescent="0.25">
      <c r="A1837" s="36">
        <v>41211</v>
      </c>
      <c r="B1837" s="122">
        <v>0.86405092592592592</v>
      </c>
      <c r="C1837" s="26" t="s">
        <v>1412</v>
      </c>
    </row>
    <row r="1838" spans="1:3" x14ac:dyDescent="0.25">
      <c r="A1838" s="36">
        <v>41211</v>
      </c>
      <c r="B1838" s="122">
        <v>0.86405092592592592</v>
      </c>
      <c r="C1838" s="26" t="s">
        <v>1412</v>
      </c>
    </row>
    <row r="1839" spans="1:3" x14ac:dyDescent="0.25">
      <c r="A1839" s="36">
        <v>41211</v>
      </c>
      <c r="B1839" s="122">
        <v>0.86405092592592592</v>
      </c>
      <c r="C1839" s="26" t="s">
        <v>1412</v>
      </c>
    </row>
    <row r="1840" spans="1:3" x14ac:dyDescent="0.25">
      <c r="A1840" s="36">
        <v>41211</v>
      </c>
      <c r="B1840" s="122">
        <v>0.86405092592592592</v>
      </c>
      <c r="C1840" s="26" t="s">
        <v>1412</v>
      </c>
    </row>
    <row r="1841" spans="1:3" x14ac:dyDescent="0.25">
      <c r="A1841" s="36">
        <v>41211</v>
      </c>
      <c r="B1841" s="122">
        <v>0.86405092592592592</v>
      </c>
      <c r="C1841" s="26" t="s">
        <v>1412</v>
      </c>
    </row>
    <row r="1842" spans="1:3" x14ac:dyDescent="0.25">
      <c r="A1842" s="36">
        <v>41211</v>
      </c>
      <c r="B1842" s="122">
        <v>0.86405092592592592</v>
      </c>
      <c r="C1842" s="26" t="s">
        <v>1412</v>
      </c>
    </row>
    <row r="1843" spans="1:3" x14ac:dyDescent="0.25">
      <c r="A1843" s="36">
        <v>41211</v>
      </c>
      <c r="B1843" s="122">
        <v>0.86405092592592592</v>
      </c>
      <c r="C1843" s="26" t="s">
        <v>1412</v>
      </c>
    </row>
    <row r="1844" spans="1:3" x14ac:dyDescent="0.25">
      <c r="A1844" s="36">
        <v>41211</v>
      </c>
      <c r="B1844" s="122">
        <v>0.86405092592592592</v>
      </c>
      <c r="C1844" s="26" t="s">
        <v>1413</v>
      </c>
    </row>
    <row r="1845" spans="1:3" x14ac:dyDescent="0.25">
      <c r="A1845" s="36">
        <v>41211</v>
      </c>
      <c r="B1845" s="122">
        <v>0.86405092592592592</v>
      </c>
      <c r="C1845" s="26" t="s">
        <v>1413</v>
      </c>
    </row>
    <row r="1846" spans="1:3" x14ac:dyDescent="0.25">
      <c r="A1846" s="36">
        <v>41211</v>
      </c>
      <c r="B1846" s="122">
        <v>0.86405092592592592</v>
      </c>
      <c r="C1846" s="26" t="s">
        <v>1413</v>
      </c>
    </row>
    <row r="1847" spans="1:3" x14ac:dyDescent="0.25">
      <c r="A1847" s="36">
        <v>41211</v>
      </c>
      <c r="B1847" s="122">
        <v>0.86405092592592592</v>
      </c>
      <c r="C1847" s="26" t="s">
        <v>1413</v>
      </c>
    </row>
    <row r="1848" spans="1:3" x14ac:dyDescent="0.25">
      <c r="A1848" s="36">
        <v>41211</v>
      </c>
      <c r="B1848" s="122">
        <v>0.86405092592592592</v>
      </c>
      <c r="C1848" s="26" t="s">
        <v>1413</v>
      </c>
    </row>
    <row r="1849" spans="1:3" x14ac:dyDescent="0.25">
      <c r="A1849" s="36">
        <v>41211</v>
      </c>
      <c r="B1849" s="122">
        <v>0.86405092592592592</v>
      </c>
      <c r="C1849" s="26" t="s">
        <v>1413</v>
      </c>
    </row>
    <row r="1850" spans="1:3" x14ac:dyDescent="0.25">
      <c r="A1850" s="36">
        <v>41211</v>
      </c>
      <c r="B1850" s="122">
        <v>0.86405092592592592</v>
      </c>
      <c r="C1850" s="26" t="s">
        <v>1413</v>
      </c>
    </row>
    <row r="1851" spans="1:3" x14ac:dyDescent="0.25">
      <c r="A1851" s="36">
        <v>41211</v>
      </c>
      <c r="B1851" s="122">
        <v>0.86405092592592592</v>
      </c>
      <c r="C1851" s="26" t="s">
        <v>1413</v>
      </c>
    </row>
    <row r="1852" spans="1:3" x14ac:dyDescent="0.25">
      <c r="A1852" s="36">
        <v>41211</v>
      </c>
      <c r="B1852" s="122">
        <v>0.86405092592592592</v>
      </c>
      <c r="C1852" s="26" t="s">
        <v>1414</v>
      </c>
    </row>
    <row r="1853" spans="1:3" x14ac:dyDescent="0.25">
      <c r="A1853" s="36">
        <v>41211</v>
      </c>
      <c r="B1853" s="122">
        <v>0.86405092592592592</v>
      </c>
      <c r="C1853" s="26" t="s">
        <v>1415</v>
      </c>
    </row>
    <row r="1854" spans="1:3" x14ac:dyDescent="0.25">
      <c r="A1854" s="36">
        <v>41211</v>
      </c>
      <c r="B1854" s="122">
        <v>0.86405092592592592</v>
      </c>
      <c r="C1854" s="26" t="s">
        <v>1415</v>
      </c>
    </row>
    <row r="1855" spans="1:3" x14ac:dyDescent="0.25">
      <c r="A1855" s="36">
        <v>41211</v>
      </c>
      <c r="B1855" s="122">
        <v>0.86405092592592592</v>
      </c>
      <c r="C1855" s="26" t="s">
        <v>1415</v>
      </c>
    </row>
    <row r="1856" spans="1:3" x14ac:dyDescent="0.25">
      <c r="A1856" s="36">
        <v>41211</v>
      </c>
      <c r="B1856" s="122">
        <v>0.86405092592592592</v>
      </c>
      <c r="C1856" s="26" t="s">
        <v>1416</v>
      </c>
    </row>
    <row r="1857" spans="1:3" x14ac:dyDescent="0.25">
      <c r="A1857" s="36">
        <v>41211</v>
      </c>
      <c r="B1857" s="122">
        <v>0.86405092592592592</v>
      </c>
      <c r="C1857" s="26" t="s">
        <v>1417</v>
      </c>
    </row>
    <row r="1858" spans="1:3" x14ac:dyDescent="0.25">
      <c r="A1858" s="36">
        <v>41211</v>
      </c>
      <c r="B1858" s="122">
        <v>0.86405092592592592</v>
      </c>
      <c r="C1858" s="26" t="s">
        <v>1417</v>
      </c>
    </row>
    <row r="1859" spans="1:3" x14ac:dyDescent="0.25">
      <c r="A1859" s="36">
        <v>41211</v>
      </c>
      <c r="B1859" s="122">
        <v>0.86405092592592592</v>
      </c>
      <c r="C1859" s="26" t="s">
        <v>1418</v>
      </c>
    </row>
    <row r="1860" spans="1:3" x14ac:dyDescent="0.25">
      <c r="A1860" s="36">
        <v>41211</v>
      </c>
      <c r="B1860" s="122">
        <v>0.86405092592592592</v>
      </c>
      <c r="C1860" s="26" t="s">
        <v>1418</v>
      </c>
    </row>
    <row r="1861" spans="1:3" x14ac:dyDescent="0.25">
      <c r="A1861" s="36">
        <v>41211</v>
      </c>
      <c r="B1861" s="122">
        <v>0.86405092592592592</v>
      </c>
      <c r="C1861" s="26" t="s">
        <v>1418</v>
      </c>
    </row>
    <row r="1862" spans="1:3" x14ac:dyDescent="0.25">
      <c r="A1862" s="36">
        <v>41211</v>
      </c>
      <c r="B1862" s="122">
        <v>0.86405092592592592</v>
      </c>
      <c r="C1862" s="26" t="s">
        <v>1418</v>
      </c>
    </row>
    <row r="1863" spans="1:3" x14ac:dyDescent="0.25">
      <c r="A1863" s="36">
        <v>41211</v>
      </c>
      <c r="B1863" s="122">
        <v>0.86405092592592592</v>
      </c>
      <c r="C1863" s="26" t="s">
        <v>1418</v>
      </c>
    </row>
    <row r="1864" spans="1:3" x14ac:dyDescent="0.25">
      <c r="A1864" s="36">
        <v>41211</v>
      </c>
      <c r="B1864" s="122">
        <v>0.86405092592592592</v>
      </c>
      <c r="C1864" s="26" t="s">
        <v>1418</v>
      </c>
    </row>
    <row r="1865" spans="1:3" x14ac:dyDescent="0.25">
      <c r="A1865" s="36">
        <v>41211</v>
      </c>
      <c r="B1865" s="122">
        <v>0.86405092592592592</v>
      </c>
      <c r="C1865" s="26" t="s">
        <v>1418</v>
      </c>
    </row>
    <row r="1866" spans="1:3" x14ac:dyDescent="0.25">
      <c r="A1866" s="36">
        <v>41211</v>
      </c>
      <c r="B1866" s="122">
        <v>0.86405092592592592</v>
      </c>
      <c r="C1866" s="26" t="s">
        <v>1418</v>
      </c>
    </row>
    <row r="1867" spans="1:3" x14ac:dyDescent="0.25">
      <c r="A1867" s="36">
        <v>41211</v>
      </c>
      <c r="B1867" s="122">
        <v>0.86405092592592592</v>
      </c>
      <c r="C1867" s="26" t="s">
        <v>1418</v>
      </c>
    </row>
    <row r="1868" spans="1:3" x14ac:dyDescent="0.25">
      <c r="A1868" s="36">
        <v>41211</v>
      </c>
      <c r="B1868" s="122">
        <v>0.86405092592592592</v>
      </c>
      <c r="C1868" s="26" t="s">
        <v>1418</v>
      </c>
    </row>
    <row r="1869" spans="1:3" x14ac:dyDescent="0.25">
      <c r="A1869" s="36">
        <v>41211</v>
      </c>
      <c r="B1869" s="122">
        <v>0.86405092592592592</v>
      </c>
      <c r="C1869" s="26" t="s">
        <v>1418</v>
      </c>
    </row>
    <row r="1870" spans="1:3" x14ac:dyDescent="0.25">
      <c r="A1870" s="36">
        <v>41211</v>
      </c>
      <c r="B1870" s="122">
        <v>0.86405092592592592</v>
      </c>
      <c r="C1870" s="26" t="s">
        <v>1418</v>
      </c>
    </row>
    <row r="1871" spans="1:3" x14ac:dyDescent="0.25">
      <c r="A1871" s="36">
        <v>41211</v>
      </c>
      <c r="B1871" s="122">
        <v>0.86405092592592592</v>
      </c>
      <c r="C1871" s="26" t="s">
        <v>1418</v>
      </c>
    </row>
    <row r="1872" spans="1:3" x14ac:dyDescent="0.25">
      <c r="A1872" s="36">
        <v>41211</v>
      </c>
      <c r="B1872" s="122">
        <v>0.86405092592592592</v>
      </c>
      <c r="C1872" s="26" t="s">
        <v>1418</v>
      </c>
    </row>
    <row r="1873" spans="1:3" x14ac:dyDescent="0.25">
      <c r="A1873" s="36">
        <v>41211</v>
      </c>
      <c r="B1873" s="122">
        <v>0.86405092592592592</v>
      </c>
      <c r="C1873" s="26" t="s">
        <v>1418</v>
      </c>
    </row>
    <row r="1874" spans="1:3" x14ac:dyDescent="0.25">
      <c r="A1874" s="36">
        <v>41211</v>
      </c>
      <c r="B1874" s="122">
        <v>0.86405092592592592</v>
      </c>
      <c r="C1874" s="26" t="s">
        <v>1419</v>
      </c>
    </row>
    <row r="1875" spans="1:3" x14ac:dyDescent="0.25">
      <c r="A1875" s="36">
        <v>41211</v>
      </c>
      <c r="B1875" s="122">
        <v>0.86405092592592592</v>
      </c>
      <c r="C1875" s="26" t="s">
        <v>1419</v>
      </c>
    </row>
    <row r="1876" spans="1:3" x14ac:dyDescent="0.25">
      <c r="A1876" s="36">
        <v>41211</v>
      </c>
      <c r="B1876" s="122">
        <v>0.86405092592592592</v>
      </c>
      <c r="C1876" s="26" t="s">
        <v>1419</v>
      </c>
    </row>
    <row r="1877" spans="1:3" x14ac:dyDescent="0.25">
      <c r="A1877" s="36">
        <v>41211</v>
      </c>
      <c r="B1877" s="122">
        <v>0.86405092592592592</v>
      </c>
      <c r="C1877" s="26" t="s">
        <v>1419</v>
      </c>
    </row>
    <row r="1878" spans="1:3" x14ac:dyDescent="0.25">
      <c r="A1878" s="36">
        <v>41211</v>
      </c>
      <c r="B1878" s="122">
        <v>0.86405092592592592</v>
      </c>
      <c r="C1878" s="26" t="s">
        <v>1420</v>
      </c>
    </row>
    <row r="1879" spans="1:3" x14ac:dyDescent="0.25">
      <c r="A1879" s="36">
        <v>41211</v>
      </c>
      <c r="B1879" s="122">
        <v>0.86405092592592592</v>
      </c>
      <c r="C1879" s="26" t="s">
        <v>1420</v>
      </c>
    </row>
    <row r="1880" spans="1:3" x14ac:dyDescent="0.25">
      <c r="A1880" s="36">
        <v>41211</v>
      </c>
      <c r="B1880" s="122">
        <v>0.86405092592592592</v>
      </c>
      <c r="C1880" s="26" t="s">
        <v>1421</v>
      </c>
    </row>
    <row r="1881" spans="1:3" x14ac:dyDescent="0.25">
      <c r="A1881" s="36">
        <v>41211</v>
      </c>
      <c r="B1881" s="122">
        <v>0.86405092592592592</v>
      </c>
      <c r="C1881" s="26" t="s">
        <v>1422</v>
      </c>
    </row>
    <row r="1882" spans="1:3" x14ac:dyDescent="0.25">
      <c r="A1882" s="36">
        <v>41211</v>
      </c>
      <c r="B1882" s="122">
        <v>0.86405092592592592</v>
      </c>
      <c r="C1882" s="26" t="s">
        <v>1422</v>
      </c>
    </row>
    <row r="1883" spans="1:3" x14ac:dyDescent="0.25">
      <c r="A1883" s="36">
        <v>41211</v>
      </c>
      <c r="B1883" s="122">
        <v>0.86405092592592592</v>
      </c>
      <c r="C1883" s="26" t="s">
        <v>1422</v>
      </c>
    </row>
    <row r="1884" spans="1:3" x14ac:dyDescent="0.25">
      <c r="A1884" s="36">
        <v>41211</v>
      </c>
      <c r="B1884" s="122">
        <v>0.86405092592592592</v>
      </c>
      <c r="C1884" s="26" t="s">
        <v>1423</v>
      </c>
    </row>
    <row r="1885" spans="1:3" x14ac:dyDescent="0.25">
      <c r="A1885" s="36">
        <v>41211</v>
      </c>
      <c r="B1885" s="122">
        <v>0.86405092592592592</v>
      </c>
      <c r="C1885" s="26" t="s">
        <v>1424</v>
      </c>
    </row>
    <row r="1886" spans="1:3" x14ac:dyDescent="0.25">
      <c r="A1886" s="36">
        <v>41211</v>
      </c>
      <c r="B1886" s="122">
        <v>0.86405092592592592</v>
      </c>
      <c r="C1886" s="26" t="s">
        <v>1425</v>
      </c>
    </row>
    <row r="1887" spans="1:3" x14ac:dyDescent="0.25">
      <c r="A1887" s="36">
        <v>41211</v>
      </c>
      <c r="B1887" s="122">
        <v>0.86405092592592592</v>
      </c>
      <c r="C1887" s="26" t="s">
        <v>1425</v>
      </c>
    </row>
    <row r="1888" spans="1:3" x14ac:dyDescent="0.25">
      <c r="A1888" s="36">
        <v>41211</v>
      </c>
      <c r="B1888" s="122">
        <v>0.86405092592592592</v>
      </c>
      <c r="C1888" s="26" t="s">
        <v>1426</v>
      </c>
    </row>
    <row r="1889" spans="1:3" x14ac:dyDescent="0.25">
      <c r="A1889" s="36">
        <v>41211</v>
      </c>
      <c r="B1889" s="122">
        <v>0.86405092592592592</v>
      </c>
      <c r="C1889" s="26" t="s">
        <v>1427</v>
      </c>
    </row>
    <row r="1890" spans="1:3" x14ac:dyDescent="0.25">
      <c r="A1890" s="36">
        <v>41211</v>
      </c>
      <c r="B1890" s="122">
        <v>0.867650462962963</v>
      </c>
      <c r="C1890" s="26" t="s">
        <v>1428</v>
      </c>
    </row>
    <row r="1891" spans="1:3" x14ac:dyDescent="0.25">
      <c r="A1891" s="36">
        <v>41211</v>
      </c>
      <c r="B1891" s="122">
        <v>0.86766203703703704</v>
      </c>
      <c r="C1891" s="26" t="s">
        <v>1429</v>
      </c>
    </row>
    <row r="1892" spans="1:3" x14ac:dyDescent="0.25">
      <c r="A1892" s="36">
        <v>41211</v>
      </c>
      <c r="B1892" s="122">
        <v>0.86768518518518523</v>
      </c>
      <c r="C1892" s="26" t="s">
        <v>1430</v>
      </c>
    </row>
    <row r="1893" spans="1:3" x14ac:dyDescent="0.25">
      <c r="A1893" s="36">
        <v>41211</v>
      </c>
      <c r="B1893" s="122">
        <v>0.86771990740740745</v>
      </c>
      <c r="C1893" s="26" t="s">
        <v>1431</v>
      </c>
    </row>
    <row r="1894" spans="1:3" x14ac:dyDescent="0.25">
      <c r="A1894" s="36">
        <v>41211</v>
      </c>
      <c r="B1894" s="122">
        <v>0.86777777777777787</v>
      </c>
      <c r="C1894" s="26" t="s">
        <v>1432</v>
      </c>
    </row>
    <row r="1895" spans="1:3" x14ac:dyDescent="0.25">
      <c r="A1895" s="36">
        <v>41211</v>
      </c>
      <c r="B1895" s="122">
        <v>0.86785879629629636</v>
      </c>
      <c r="C1895" s="26" t="s">
        <v>1433</v>
      </c>
    </row>
    <row r="1896" spans="1:3" x14ac:dyDescent="0.25">
      <c r="A1896" s="36">
        <v>41211</v>
      </c>
      <c r="B1896" s="122">
        <v>0.86791666666666656</v>
      </c>
      <c r="C1896" s="26" t="s">
        <v>1363</v>
      </c>
    </row>
    <row r="1897" spans="1:3" x14ac:dyDescent="0.25">
      <c r="A1897" s="36">
        <v>41211</v>
      </c>
      <c r="B1897" s="122">
        <v>0.86791666666666656</v>
      </c>
      <c r="C1897" s="26" t="s">
        <v>1434</v>
      </c>
    </row>
    <row r="1898" spans="1:3" x14ac:dyDescent="0.25">
      <c r="A1898" s="36">
        <v>41211</v>
      </c>
      <c r="B1898" s="122">
        <v>0.86791666666666656</v>
      </c>
      <c r="C1898" s="26" t="s">
        <v>1435</v>
      </c>
    </row>
    <row r="1899" spans="1:3" x14ac:dyDescent="0.25">
      <c r="A1899" s="36">
        <v>41211</v>
      </c>
      <c r="B1899" s="122">
        <v>0.86791666666666656</v>
      </c>
      <c r="C1899" s="26" t="s">
        <v>1436</v>
      </c>
    </row>
    <row r="1900" spans="1:3" x14ac:dyDescent="0.25">
      <c r="A1900" s="36">
        <v>41211</v>
      </c>
      <c r="B1900" s="122">
        <v>0.86791666666666656</v>
      </c>
      <c r="C1900" s="26" t="s">
        <v>1436</v>
      </c>
    </row>
    <row r="1901" spans="1:3" x14ac:dyDescent="0.25">
      <c r="A1901" s="36">
        <v>41211</v>
      </c>
      <c r="B1901" s="122">
        <v>0.86791666666666656</v>
      </c>
      <c r="C1901" s="26" t="s">
        <v>1437</v>
      </c>
    </row>
    <row r="1902" spans="1:3" x14ac:dyDescent="0.25">
      <c r="A1902" s="36">
        <v>41211</v>
      </c>
      <c r="B1902" s="122">
        <v>0.86791666666666656</v>
      </c>
      <c r="C1902" s="26" t="s">
        <v>1438</v>
      </c>
    </row>
    <row r="1903" spans="1:3" x14ac:dyDescent="0.25">
      <c r="A1903" s="36">
        <v>41211</v>
      </c>
      <c r="B1903" s="122">
        <v>0.86791666666666656</v>
      </c>
      <c r="C1903" s="26" t="s">
        <v>1438</v>
      </c>
    </row>
    <row r="1904" spans="1:3" x14ac:dyDescent="0.25">
      <c r="A1904" s="36">
        <v>41211</v>
      </c>
      <c r="B1904" s="122">
        <v>0.86791666666666656</v>
      </c>
      <c r="C1904" s="26" t="s">
        <v>1439</v>
      </c>
    </row>
    <row r="1905" spans="1:3" x14ac:dyDescent="0.25">
      <c r="A1905" s="36">
        <v>41211</v>
      </c>
      <c r="B1905" s="122">
        <v>0.86791666666666656</v>
      </c>
      <c r="C1905" s="26" t="s">
        <v>1434</v>
      </c>
    </row>
    <row r="1906" spans="1:3" x14ac:dyDescent="0.25">
      <c r="A1906" s="36">
        <v>41211</v>
      </c>
      <c r="B1906" s="122">
        <v>0.86791666666666656</v>
      </c>
      <c r="C1906" s="26" t="s">
        <v>1440</v>
      </c>
    </row>
    <row r="1907" spans="1:3" x14ac:dyDescent="0.25">
      <c r="A1907" s="36">
        <v>41211</v>
      </c>
      <c r="B1907" s="122">
        <v>0.86791666666666656</v>
      </c>
      <c r="C1907" s="26" t="s">
        <v>1441</v>
      </c>
    </row>
    <row r="1908" spans="1:3" x14ac:dyDescent="0.25">
      <c r="A1908" s="36">
        <v>41211</v>
      </c>
      <c r="B1908" s="122">
        <v>0.86791666666666656</v>
      </c>
      <c r="C1908" s="26" t="s">
        <v>1442</v>
      </c>
    </row>
    <row r="1909" spans="1:3" x14ac:dyDescent="0.25">
      <c r="A1909" s="36">
        <v>41211</v>
      </c>
      <c r="B1909" s="122">
        <v>0.86791666666666656</v>
      </c>
      <c r="C1909" s="26" t="s">
        <v>1443</v>
      </c>
    </row>
    <row r="1910" spans="1:3" x14ac:dyDescent="0.25">
      <c r="A1910" s="36">
        <v>41211</v>
      </c>
      <c r="B1910" s="122">
        <v>0.86791666666666656</v>
      </c>
      <c r="C1910" s="26" t="s">
        <v>1441</v>
      </c>
    </row>
    <row r="1911" spans="1:3" x14ac:dyDescent="0.25">
      <c r="A1911" s="36">
        <v>41211</v>
      </c>
      <c r="B1911" s="122">
        <v>0.86791666666666656</v>
      </c>
      <c r="C1911" s="26" t="s">
        <v>1438</v>
      </c>
    </row>
    <row r="1912" spans="1:3" x14ac:dyDescent="0.25">
      <c r="A1912" s="36">
        <v>41211</v>
      </c>
      <c r="B1912" s="122">
        <v>0.86791666666666656</v>
      </c>
      <c r="C1912" s="26" t="s">
        <v>1434</v>
      </c>
    </row>
    <row r="1913" spans="1:3" x14ac:dyDescent="0.25">
      <c r="A1913" s="36">
        <v>41211</v>
      </c>
      <c r="B1913" s="122">
        <v>0.86791666666666656</v>
      </c>
      <c r="C1913" s="26" t="s">
        <v>1436</v>
      </c>
    </row>
    <row r="1914" spans="1:3" x14ac:dyDescent="0.25">
      <c r="A1914" s="36">
        <v>41211</v>
      </c>
      <c r="B1914" s="122">
        <v>0.86791666666666656</v>
      </c>
      <c r="C1914" s="26" t="s">
        <v>1368</v>
      </c>
    </row>
    <row r="1915" spans="1:3" x14ac:dyDescent="0.25">
      <c r="A1915" s="36">
        <v>41211</v>
      </c>
      <c r="B1915" s="122">
        <v>0.86791666666666656</v>
      </c>
      <c r="C1915" s="26" t="s">
        <v>1377</v>
      </c>
    </row>
    <row r="1916" spans="1:3" x14ac:dyDescent="0.25">
      <c r="A1916" s="36">
        <v>41211</v>
      </c>
      <c r="B1916" s="122">
        <v>0.86791666666666656</v>
      </c>
      <c r="C1916" s="26" t="s">
        <v>1372</v>
      </c>
    </row>
    <row r="1917" spans="1:3" x14ac:dyDescent="0.25">
      <c r="A1917" s="36">
        <v>41211</v>
      </c>
      <c r="B1917" s="122">
        <v>0.86792824074074071</v>
      </c>
      <c r="C1917" s="26" t="s">
        <v>1376</v>
      </c>
    </row>
    <row r="1918" spans="1:3" x14ac:dyDescent="0.25">
      <c r="A1918" s="36">
        <v>41211</v>
      </c>
      <c r="B1918" s="122">
        <v>0.86792824074074071</v>
      </c>
      <c r="C1918" s="26" t="s">
        <v>1441</v>
      </c>
    </row>
    <row r="1919" spans="1:3" x14ac:dyDescent="0.25">
      <c r="A1919" s="36">
        <v>41211</v>
      </c>
      <c r="B1919" s="122">
        <v>0.86792824074074071</v>
      </c>
      <c r="C1919" s="26" t="s">
        <v>1434</v>
      </c>
    </row>
    <row r="1920" spans="1:3" x14ac:dyDescent="0.25">
      <c r="A1920" s="36">
        <v>41211</v>
      </c>
      <c r="B1920" s="122">
        <v>0.86792824074074071</v>
      </c>
      <c r="C1920" s="26" t="s">
        <v>1438</v>
      </c>
    </row>
    <row r="1921" spans="1:3" x14ac:dyDescent="0.25">
      <c r="A1921" s="36">
        <v>41211</v>
      </c>
      <c r="B1921" s="122">
        <v>0.86792824074074071</v>
      </c>
      <c r="C1921" s="26" t="s">
        <v>1444</v>
      </c>
    </row>
    <row r="1922" spans="1:3" x14ac:dyDescent="0.25">
      <c r="A1922" s="36">
        <v>41211</v>
      </c>
      <c r="B1922" s="122">
        <v>0.86792824074074071</v>
      </c>
      <c r="C1922" s="26" t="s">
        <v>1445</v>
      </c>
    </row>
    <row r="1923" spans="1:3" x14ac:dyDescent="0.25">
      <c r="A1923" s="36">
        <v>41211</v>
      </c>
      <c r="B1923" s="122">
        <v>0.86792824074074071</v>
      </c>
      <c r="C1923" s="26" t="s">
        <v>1446</v>
      </c>
    </row>
    <row r="1924" spans="1:3" x14ac:dyDescent="0.25">
      <c r="A1924" s="36">
        <v>41211</v>
      </c>
      <c r="B1924" s="122">
        <v>0.86792824074074071</v>
      </c>
      <c r="C1924" s="26" t="s">
        <v>1434</v>
      </c>
    </row>
    <row r="1925" spans="1:3" x14ac:dyDescent="0.25">
      <c r="A1925" s="36">
        <v>41211</v>
      </c>
      <c r="B1925" s="122">
        <v>0.86792824074074071</v>
      </c>
      <c r="C1925" s="26" t="s">
        <v>1447</v>
      </c>
    </row>
    <row r="1926" spans="1:3" x14ac:dyDescent="0.25">
      <c r="A1926" s="36">
        <v>41211</v>
      </c>
      <c r="B1926" s="122">
        <v>0.86792824074074071</v>
      </c>
      <c r="C1926" s="26" t="s">
        <v>1448</v>
      </c>
    </row>
    <row r="1927" spans="1:3" x14ac:dyDescent="0.25">
      <c r="A1927" s="36">
        <v>41211</v>
      </c>
      <c r="B1927" s="122">
        <v>0.86792824074074071</v>
      </c>
      <c r="C1927" s="26" t="s">
        <v>1449</v>
      </c>
    </row>
    <row r="1928" spans="1:3" x14ac:dyDescent="0.25">
      <c r="A1928" s="36">
        <v>41211</v>
      </c>
      <c r="B1928" s="122">
        <v>0.86792824074074071</v>
      </c>
      <c r="C1928" s="26" t="s">
        <v>1450</v>
      </c>
    </row>
    <row r="1929" spans="1:3" x14ac:dyDescent="0.25">
      <c r="A1929" s="36">
        <v>41211</v>
      </c>
      <c r="B1929" s="122">
        <v>0.86792824074074071</v>
      </c>
      <c r="C1929" s="26" t="s">
        <v>1451</v>
      </c>
    </row>
    <row r="1930" spans="1:3" x14ac:dyDescent="0.25">
      <c r="A1930" s="36">
        <v>41211</v>
      </c>
      <c r="B1930" s="122">
        <v>0.86792824074074071</v>
      </c>
      <c r="C1930" s="26" t="s">
        <v>1452</v>
      </c>
    </row>
    <row r="1931" spans="1:3" x14ac:dyDescent="0.25">
      <c r="A1931" s="36">
        <v>41211</v>
      </c>
      <c r="B1931" s="122">
        <v>0.86792824074074071</v>
      </c>
      <c r="C1931" s="26" t="s">
        <v>1366</v>
      </c>
    </row>
    <row r="1932" spans="1:3" x14ac:dyDescent="0.25">
      <c r="A1932" s="36">
        <v>41211</v>
      </c>
      <c r="B1932" s="122">
        <v>0.86792824074074071</v>
      </c>
      <c r="C1932" s="26" t="s">
        <v>1371</v>
      </c>
    </row>
    <row r="1933" spans="1:3" x14ac:dyDescent="0.25">
      <c r="A1933" s="36">
        <v>41211</v>
      </c>
      <c r="B1933" s="122">
        <v>0.86792824074074071</v>
      </c>
      <c r="C1933" s="26" t="s">
        <v>1437</v>
      </c>
    </row>
    <row r="1934" spans="1:3" x14ac:dyDescent="0.25">
      <c r="A1934" s="36">
        <v>41211</v>
      </c>
      <c r="B1934" s="122">
        <v>0.86792824074074071</v>
      </c>
      <c r="C1934" s="26" t="s">
        <v>1447</v>
      </c>
    </row>
    <row r="1935" spans="1:3" x14ac:dyDescent="0.25">
      <c r="A1935" s="36">
        <v>41211</v>
      </c>
      <c r="B1935" s="122">
        <v>0.86792824074074071</v>
      </c>
      <c r="C1935" s="26" t="s">
        <v>1369</v>
      </c>
    </row>
    <row r="1936" spans="1:3" x14ac:dyDescent="0.25">
      <c r="A1936" s="36">
        <v>41211</v>
      </c>
      <c r="B1936" s="122">
        <v>0.86792824074074071</v>
      </c>
      <c r="C1936" s="26" t="s">
        <v>1453</v>
      </c>
    </row>
    <row r="1937" spans="1:3" x14ac:dyDescent="0.25">
      <c r="A1937" s="36">
        <v>41211</v>
      </c>
      <c r="B1937" s="122">
        <v>0.86792824074074071</v>
      </c>
      <c r="C1937" s="26" t="s">
        <v>1369</v>
      </c>
    </row>
    <row r="1938" spans="1:3" x14ac:dyDescent="0.25">
      <c r="A1938" s="36">
        <v>41211</v>
      </c>
      <c r="B1938" s="122">
        <v>0.86792824074074071</v>
      </c>
      <c r="C1938" s="26" t="s">
        <v>1454</v>
      </c>
    </row>
    <row r="1939" spans="1:3" x14ac:dyDescent="0.25">
      <c r="A1939" s="36">
        <v>41211</v>
      </c>
      <c r="B1939" s="122">
        <v>0.86792824074074071</v>
      </c>
      <c r="C1939" s="26" t="s">
        <v>1455</v>
      </c>
    </row>
    <row r="1940" spans="1:3" x14ac:dyDescent="0.25">
      <c r="A1940" s="36">
        <v>41211</v>
      </c>
      <c r="B1940" s="122">
        <v>0.86792824074074071</v>
      </c>
      <c r="C1940" s="26" t="s">
        <v>1369</v>
      </c>
    </row>
    <row r="1941" spans="1:3" x14ac:dyDescent="0.25">
      <c r="A1941" s="36">
        <v>41211</v>
      </c>
      <c r="B1941" s="122">
        <v>0.86792824074074071</v>
      </c>
      <c r="C1941" s="26" t="s">
        <v>1456</v>
      </c>
    </row>
    <row r="1942" spans="1:3" x14ac:dyDescent="0.25">
      <c r="A1942" s="36">
        <v>41211</v>
      </c>
      <c r="B1942" s="122">
        <v>0.86792824074074071</v>
      </c>
      <c r="C1942" s="26" t="s">
        <v>1457</v>
      </c>
    </row>
    <row r="1943" spans="1:3" x14ac:dyDescent="0.25">
      <c r="A1943" s="36">
        <v>41211</v>
      </c>
      <c r="B1943" s="122">
        <v>0.86792824074074071</v>
      </c>
      <c r="C1943" s="26" t="s">
        <v>1458</v>
      </c>
    </row>
    <row r="1944" spans="1:3" x14ac:dyDescent="0.25">
      <c r="A1944" s="36">
        <v>41211</v>
      </c>
      <c r="B1944" s="122">
        <v>0.86792824074074071</v>
      </c>
      <c r="C1944" s="26" t="s">
        <v>1456</v>
      </c>
    </row>
    <row r="1945" spans="1:3" x14ac:dyDescent="0.25">
      <c r="A1945" s="36">
        <v>41211</v>
      </c>
      <c r="B1945" s="122">
        <v>0.86792824074074071</v>
      </c>
      <c r="C1945" s="26" t="s">
        <v>1459</v>
      </c>
    </row>
    <row r="1946" spans="1:3" x14ac:dyDescent="0.25">
      <c r="A1946" s="36">
        <v>41211</v>
      </c>
      <c r="B1946" s="122">
        <v>0.86792824074074071</v>
      </c>
      <c r="C1946" s="26" t="s">
        <v>1459</v>
      </c>
    </row>
    <row r="1947" spans="1:3" x14ac:dyDescent="0.25">
      <c r="A1947" s="36">
        <v>41211</v>
      </c>
      <c r="B1947" s="122">
        <v>0.86792824074074071</v>
      </c>
      <c r="C1947" s="26" t="s">
        <v>1460</v>
      </c>
    </row>
    <row r="1948" spans="1:3" x14ac:dyDescent="0.25">
      <c r="A1948" s="36">
        <v>41211</v>
      </c>
      <c r="B1948" s="122">
        <v>0.86792824074074071</v>
      </c>
      <c r="C1948" s="26" t="s">
        <v>1461</v>
      </c>
    </row>
    <row r="1949" spans="1:3" x14ac:dyDescent="0.25">
      <c r="A1949" s="36">
        <v>41211</v>
      </c>
      <c r="B1949" s="122">
        <v>0.86792824074074071</v>
      </c>
      <c r="C1949" s="26" t="s">
        <v>1462</v>
      </c>
    </row>
    <row r="1950" spans="1:3" x14ac:dyDescent="0.25">
      <c r="A1950" s="36">
        <v>41211</v>
      </c>
      <c r="B1950" s="122">
        <v>0.86792824074074071</v>
      </c>
      <c r="C1950" s="26" t="s">
        <v>1370</v>
      </c>
    </row>
    <row r="1951" spans="1:3" x14ac:dyDescent="0.25">
      <c r="A1951" s="36">
        <v>41211</v>
      </c>
      <c r="B1951" s="122">
        <v>0.86792824074074071</v>
      </c>
      <c r="C1951" s="26" t="s">
        <v>1462</v>
      </c>
    </row>
    <row r="1952" spans="1:3" x14ac:dyDescent="0.25">
      <c r="A1952" s="36">
        <v>41211</v>
      </c>
      <c r="B1952" s="122">
        <v>0.86792824074074071</v>
      </c>
      <c r="C1952" s="26" t="s">
        <v>1371</v>
      </c>
    </row>
    <row r="1953" spans="1:3" x14ac:dyDescent="0.25">
      <c r="A1953" s="36">
        <v>41211</v>
      </c>
      <c r="B1953" s="122">
        <v>0.86792824074074071</v>
      </c>
      <c r="C1953" s="26" t="s">
        <v>1461</v>
      </c>
    </row>
    <row r="1954" spans="1:3" x14ac:dyDescent="0.25">
      <c r="A1954" s="36">
        <v>41211</v>
      </c>
      <c r="B1954" s="122">
        <v>0.86792824074074071</v>
      </c>
      <c r="C1954" s="26" t="s">
        <v>1374</v>
      </c>
    </row>
    <row r="1955" spans="1:3" x14ac:dyDescent="0.25">
      <c r="A1955" s="36">
        <v>41211</v>
      </c>
      <c r="B1955" s="122">
        <v>0.86792824074074071</v>
      </c>
      <c r="C1955" s="26" t="s">
        <v>1463</v>
      </c>
    </row>
    <row r="1956" spans="1:3" x14ac:dyDescent="0.25">
      <c r="A1956" s="36">
        <v>41211</v>
      </c>
      <c r="B1956" s="122">
        <v>0.86792824074074071</v>
      </c>
      <c r="C1956" s="26" t="s">
        <v>1447</v>
      </c>
    </row>
    <row r="1957" spans="1:3" x14ac:dyDescent="0.25">
      <c r="A1957" s="36">
        <v>41211</v>
      </c>
      <c r="B1957" s="122">
        <v>0.86792824074074071</v>
      </c>
      <c r="C1957" s="26" t="s">
        <v>1375</v>
      </c>
    </row>
    <row r="1958" spans="1:3" x14ac:dyDescent="0.25">
      <c r="A1958" s="36">
        <v>41211</v>
      </c>
      <c r="B1958" s="122">
        <v>0.86792824074074071</v>
      </c>
      <c r="C1958" s="26" t="s">
        <v>1452</v>
      </c>
    </row>
    <row r="1959" spans="1:3" x14ac:dyDescent="0.25">
      <c r="A1959" s="36">
        <v>41211</v>
      </c>
      <c r="B1959" s="122">
        <v>0.86792824074074071</v>
      </c>
      <c r="C1959" s="26" t="s">
        <v>1373</v>
      </c>
    </row>
    <row r="1960" spans="1:3" x14ac:dyDescent="0.25">
      <c r="A1960" s="36">
        <v>41211</v>
      </c>
      <c r="B1960" s="122">
        <v>0.86792824074074071</v>
      </c>
      <c r="C1960" s="26" t="s">
        <v>1449</v>
      </c>
    </row>
    <row r="1961" spans="1:3" x14ac:dyDescent="0.25">
      <c r="A1961" s="36">
        <v>41211</v>
      </c>
      <c r="B1961" s="122">
        <v>0.86792824074074071</v>
      </c>
      <c r="C1961" s="26" t="s">
        <v>1447</v>
      </c>
    </row>
    <row r="1962" spans="1:3" x14ac:dyDescent="0.25">
      <c r="A1962" s="36">
        <v>41211</v>
      </c>
      <c r="B1962" s="122">
        <v>0.86792824074074071</v>
      </c>
      <c r="C1962" s="26" t="s">
        <v>1376</v>
      </c>
    </row>
    <row r="1963" spans="1:3" x14ac:dyDescent="0.25">
      <c r="A1963" s="36">
        <v>41211</v>
      </c>
      <c r="B1963" s="122">
        <v>0.86792824074074071</v>
      </c>
      <c r="C1963" s="26" t="s">
        <v>1382</v>
      </c>
    </row>
    <row r="1964" spans="1:3" x14ac:dyDescent="0.25">
      <c r="A1964" s="36">
        <v>41211</v>
      </c>
      <c r="B1964" s="122">
        <v>0.86792824074074071</v>
      </c>
      <c r="C1964" s="26" t="s">
        <v>1464</v>
      </c>
    </row>
    <row r="1965" spans="1:3" x14ac:dyDescent="0.25">
      <c r="A1965" s="36">
        <v>41211</v>
      </c>
      <c r="B1965" s="122">
        <v>0.86792824074074071</v>
      </c>
      <c r="C1965" s="26" t="s">
        <v>1465</v>
      </c>
    </row>
    <row r="1966" spans="1:3" x14ac:dyDescent="0.25">
      <c r="A1966" s="36">
        <v>41211</v>
      </c>
      <c r="B1966" s="122">
        <v>0.86792824074074071</v>
      </c>
      <c r="C1966" s="26" t="s">
        <v>1446</v>
      </c>
    </row>
    <row r="1967" spans="1:3" x14ac:dyDescent="0.25">
      <c r="A1967" s="36">
        <v>41211</v>
      </c>
      <c r="B1967" s="122">
        <v>0.86792824074074071</v>
      </c>
      <c r="C1967" s="26" t="s">
        <v>1466</v>
      </c>
    </row>
    <row r="1968" spans="1:3" x14ac:dyDescent="0.25">
      <c r="A1968" s="36">
        <v>41211</v>
      </c>
      <c r="B1968" s="122">
        <v>0.86792824074074071</v>
      </c>
      <c r="C1968" s="26" t="s">
        <v>1379</v>
      </c>
    </row>
    <row r="1969" spans="1:3" x14ac:dyDescent="0.25">
      <c r="A1969" s="36">
        <v>41211</v>
      </c>
      <c r="B1969" s="122">
        <v>0.86792824074074071</v>
      </c>
      <c r="C1969" s="26" t="s">
        <v>1379</v>
      </c>
    </row>
    <row r="1970" spans="1:3" x14ac:dyDescent="0.25">
      <c r="A1970" s="36">
        <v>41211</v>
      </c>
      <c r="B1970" s="122">
        <v>0.86792824074074071</v>
      </c>
      <c r="C1970" s="26" t="s">
        <v>1379</v>
      </c>
    </row>
    <row r="1971" spans="1:3" x14ac:dyDescent="0.25">
      <c r="A1971" s="36">
        <v>41211</v>
      </c>
      <c r="B1971" s="122">
        <v>0.86792824074074071</v>
      </c>
      <c r="C1971" s="26" t="s">
        <v>1467</v>
      </c>
    </row>
    <row r="1972" spans="1:3" x14ac:dyDescent="0.25">
      <c r="A1972" s="36">
        <v>41211</v>
      </c>
      <c r="B1972" s="122">
        <v>0.86792824074074071</v>
      </c>
      <c r="C1972" s="26" t="s">
        <v>1468</v>
      </c>
    </row>
    <row r="1973" spans="1:3" x14ac:dyDescent="0.25">
      <c r="A1973" s="36">
        <v>41211</v>
      </c>
      <c r="B1973" s="122">
        <v>0.86792824074074071</v>
      </c>
      <c r="C1973" s="26" t="s">
        <v>1469</v>
      </c>
    </row>
    <row r="1974" spans="1:3" x14ac:dyDescent="0.25">
      <c r="A1974" s="36">
        <v>41211</v>
      </c>
      <c r="B1974" s="122">
        <v>0.86792824074074071</v>
      </c>
      <c r="C1974" s="26" t="s">
        <v>1446</v>
      </c>
    </row>
    <row r="1975" spans="1:3" x14ac:dyDescent="0.25">
      <c r="A1975" s="36">
        <v>41211</v>
      </c>
      <c r="B1975" s="122">
        <v>0.86792824074074071</v>
      </c>
      <c r="C1975" s="26" t="s">
        <v>1458</v>
      </c>
    </row>
    <row r="1976" spans="1:3" x14ac:dyDescent="0.25">
      <c r="A1976" s="36">
        <v>41211</v>
      </c>
      <c r="B1976" s="122">
        <v>0.86792824074074071</v>
      </c>
      <c r="C1976" s="26" t="s">
        <v>1470</v>
      </c>
    </row>
    <row r="1977" spans="1:3" x14ac:dyDescent="0.25">
      <c r="A1977" s="36">
        <v>41211</v>
      </c>
      <c r="B1977" s="122">
        <v>0.86792824074074071</v>
      </c>
      <c r="C1977" s="26" t="s">
        <v>1471</v>
      </c>
    </row>
    <row r="1978" spans="1:3" x14ac:dyDescent="0.25">
      <c r="A1978" s="36">
        <v>41211</v>
      </c>
      <c r="B1978" s="122">
        <v>0.86792824074074071</v>
      </c>
      <c r="C1978" s="26" t="s">
        <v>1465</v>
      </c>
    </row>
    <row r="1979" spans="1:3" x14ac:dyDescent="0.25">
      <c r="A1979" s="36">
        <v>41211</v>
      </c>
      <c r="B1979" s="122">
        <v>0.86792824074074071</v>
      </c>
      <c r="C1979" s="26" t="s">
        <v>1465</v>
      </c>
    </row>
    <row r="1980" spans="1:3" x14ac:dyDescent="0.25">
      <c r="A1980" s="36">
        <v>41211</v>
      </c>
      <c r="B1980" s="122">
        <v>0.86792824074074071</v>
      </c>
      <c r="C1980" s="26" t="s">
        <v>1458</v>
      </c>
    </row>
    <row r="1981" spans="1:3" x14ac:dyDescent="0.25">
      <c r="A1981" s="36">
        <v>41211</v>
      </c>
      <c r="B1981" s="122">
        <v>0.86792824074074071</v>
      </c>
      <c r="C1981" s="26" t="s">
        <v>1472</v>
      </c>
    </row>
    <row r="1982" spans="1:3" x14ac:dyDescent="0.25">
      <c r="A1982" s="36">
        <v>41211</v>
      </c>
      <c r="B1982" s="122">
        <v>0.86792824074074071</v>
      </c>
      <c r="C1982" s="26" t="s">
        <v>1382</v>
      </c>
    </row>
    <row r="1983" spans="1:3" x14ac:dyDescent="0.25">
      <c r="A1983" s="36">
        <v>41211</v>
      </c>
      <c r="B1983" s="122">
        <v>0.86792824074074071</v>
      </c>
      <c r="C1983" s="26" t="s">
        <v>1473</v>
      </c>
    </row>
    <row r="1984" spans="1:3" x14ac:dyDescent="0.25">
      <c r="A1984" s="36">
        <v>41211</v>
      </c>
      <c r="B1984" s="122">
        <v>0.86792824074074071</v>
      </c>
      <c r="C1984" s="26" t="s">
        <v>1380</v>
      </c>
    </row>
    <row r="1985" spans="1:3" x14ac:dyDescent="0.25">
      <c r="A1985" s="36">
        <v>41211</v>
      </c>
      <c r="B1985" s="122">
        <v>0.86792824074074071</v>
      </c>
      <c r="C1985" s="26" t="s">
        <v>1474</v>
      </c>
    </row>
    <row r="1986" spans="1:3" x14ac:dyDescent="0.25">
      <c r="A1986" s="36">
        <v>41211</v>
      </c>
      <c r="B1986" s="122">
        <v>0.86792824074074071</v>
      </c>
      <c r="C1986" s="26" t="s">
        <v>1475</v>
      </c>
    </row>
    <row r="1987" spans="1:3" x14ac:dyDescent="0.25">
      <c r="A1987" s="36">
        <v>41211</v>
      </c>
      <c r="B1987" s="122">
        <v>0.86792824074074071</v>
      </c>
      <c r="C1987" s="26" t="s">
        <v>1461</v>
      </c>
    </row>
    <row r="1988" spans="1:3" x14ac:dyDescent="0.25">
      <c r="A1988" s="36">
        <v>41211</v>
      </c>
      <c r="B1988" s="122">
        <v>0.86792824074074071</v>
      </c>
      <c r="C1988" s="26" t="s">
        <v>1452</v>
      </c>
    </row>
    <row r="1989" spans="1:3" x14ac:dyDescent="0.25">
      <c r="A1989" s="36">
        <v>41211</v>
      </c>
      <c r="B1989" s="122">
        <v>0.86792824074074071</v>
      </c>
      <c r="C1989" s="26" t="s">
        <v>1476</v>
      </c>
    </row>
    <row r="1990" spans="1:3" x14ac:dyDescent="0.25">
      <c r="A1990" s="36">
        <v>41211</v>
      </c>
      <c r="B1990" s="122">
        <v>0.86792824074074071</v>
      </c>
      <c r="C1990" s="26" t="s">
        <v>1470</v>
      </c>
    </row>
    <row r="1991" spans="1:3" x14ac:dyDescent="0.25">
      <c r="A1991" s="36">
        <v>41211</v>
      </c>
      <c r="B1991" s="122">
        <v>0.86792824074074071</v>
      </c>
      <c r="C1991" s="26" t="s">
        <v>1476</v>
      </c>
    </row>
    <row r="1992" spans="1:3" x14ac:dyDescent="0.25">
      <c r="A1992" s="36">
        <v>41211</v>
      </c>
      <c r="B1992" s="122">
        <v>0.86792824074074071</v>
      </c>
      <c r="C1992" s="26" t="s">
        <v>1475</v>
      </c>
    </row>
    <row r="1993" spans="1:3" x14ac:dyDescent="0.25">
      <c r="A1993" s="36">
        <v>41211</v>
      </c>
      <c r="B1993" s="122">
        <v>0.86792824074074071</v>
      </c>
      <c r="C1993" s="26" t="s">
        <v>1477</v>
      </c>
    </row>
    <row r="1994" spans="1:3" x14ac:dyDescent="0.25">
      <c r="A1994" s="36">
        <v>41211</v>
      </c>
      <c r="B1994" s="122">
        <v>0.86792824074074071</v>
      </c>
      <c r="C1994" s="26" t="s">
        <v>1477</v>
      </c>
    </row>
    <row r="1995" spans="1:3" x14ac:dyDescent="0.25">
      <c r="A1995" s="36">
        <v>41211</v>
      </c>
      <c r="B1995" s="122">
        <v>0.86792824074074071</v>
      </c>
      <c r="C1995" s="26" t="s">
        <v>1458</v>
      </c>
    </row>
    <row r="1996" spans="1:3" x14ac:dyDescent="0.25">
      <c r="A1996" s="36">
        <v>41211</v>
      </c>
      <c r="B1996" s="122">
        <v>0.86792824074074071</v>
      </c>
      <c r="C1996" s="26" t="s">
        <v>1477</v>
      </c>
    </row>
    <row r="1997" spans="1:3" x14ac:dyDescent="0.25">
      <c r="A1997" s="36">
        <v>41211</v>
      </c>
      <c r="B1997" s="122">
        <v>0.86792824074074071</v>
      </c>
      <c r="C1997" s="26" t="s">
        <v>1477</v>
      </c>
    </row>
    <row r="1998" spans="1:3" x14ac:dyDescent="0.25">
      <c r="A1998" s="36">
        <v>41211</v>
      </c>
      <c r="B1998" s="122">
        <v>0.86792824074074071</v>
      </c>
      <c r="C1998" s="26" t="s">
        <v>1478</v>
      </c>
    </row>
    <row r="1999" spans="1:3" x14ac:dyDescent="0.25">
      <c r="A1999" s="36">
        <v>41211</v>
      </c>
      <c r="B1999" s="122">
        <v>0.86792824074074071</v>
      </c>
      <c r="C1999" s="26" t="s">
        <v>1479</v>
      </c>
    </row>
    <row r="2000" spans="1:3" x14ac:dyDescent="0.25">
      <c r="A2000" s="36">
        <v>41211</v>
      </c>
      <c r="B2000" s="122">
        <v>0.86792824074074071</v>
      </c>
      <c r="C2000" s="26" t="s">
        <v>1479</v>
      </c>
    </row>
    <row r="2001" spans="1:3" x14ac:dyDescent="0.25">
      <c r="A2001" s="36">
        <v>41211</v>
      </c>
      <c r="B2001" s="122">
        <v>0.86792824074074071</v>
      </c>
      <c r="C2001" s="26" t="s">
        <v>1479</v>
      </c>
    </row>
    <row r="2002" spans="1:3" x14ac:dyDescent="0.25">
      <c r="A2002" s="36">
        <v>41211</v>
      </c>
      <c r="B2002" s="122">
        <v>0.86792824074074071</v>
      </c>
      <c r="C2002" s="26" t="s">
        <v>1480</v>
      </c>
    </row>
    <row r="2003" spans="1:3" x14ac:dyDescent="0.25">
      <c r="A2003" s="36">
        <v>41211</v>
      </c>
      <c r="B2003" s="122">
        <v>0.86792824074074071</v>
      </c>
      <c r="C2003" s="26" t="s">
        <v>1382</v>
      </c>
    </row>
    <row r="2004" spans="1:3" x14ac:dyDescent="0.25">
      <c r="A2004" s="36">
        <v>41211</v>
      </c>
      <c r="B2004" s="122">
        <v>0.86792824074074071</v>
      </c>
      <c r="C2004" s="26" t="s">
        <v>1387</v>
      </c>
    </row>
    <row r="2005" spans="1:3" x14ac:dyDescent="0.25">
      <c r="A2005" s="36">
        <v>41211</v>
      </c>
      <c r="B2005" s="122">
        <v>0.86792824074074071</v>
      </c>
      <c r="C2005" s="26" t="s">
        <v>1481</v>
      </c>
    </row>
    <row r="2006" spans="1:3" x14ac:dyDescent="0.25">
      <c r="A2006" s="36">
        <v>41211</v>
      </c>
      <c r="B2006" s="122">
        <v>0.86792824074074071</v>
      </c>
      <c r="C2006" s="26" t="s">
        <v>1383</v>
      </c>
    </row>
    <row r="2007" spans="1:3" x14ac:dyDescent="0.25">
      <c r="A2007" s="36">
        <v>41211</v>
      </c>
      <c r="B2007" s="122">
        <v>0.86792824074074071</v>
      </c>
      <c r="C2007" s="26" t="s">
        <v>1332</v>
      </c>
    </row>
    <row r="2008" spans="1:3" x14ac:dyDescent="0.25">
      <c r="A2008" s="36">
        <v>41211</v>
      </c>
      <c r="B2008" s="122">
        <v>0.86792824074074071</v>
      </c>
      <c r="C2008" s="26" t="s">
        <v>1482</v>
      </c>
    </row>
    <row r="2009" spans="1:3" x14ac:dyDescent="0.25">
      <c r="A2009" s="36">
        <v>41211</v>
      </c>
      <c r="B2009" s="122">
        <v>0.86792824074074071</v>
      </c>
      <c r="C2009" s="26" t="s">
        <v>1483</v>
      </c>
    </row>
    <row r="2010" spans="1:3" x14ac:dyDescent="0.25">
      <c r="A2010" s="36">
        <v>41211</v>
      </c>
      <c r="B2010" s="122">
        <v>0.86792824074074071</v>
      </c>
      <c r="C2010" s="26" t="s">
        <v>1484</v>
      </c>
    </row>
    <row r="2011" spans="1:3" x14ac:dyDescent="0.25">
      <c r="A2011" s="36">
        <v>41211</v>
      </c>
      <c r="B2011" s="122">
        <v>0.86792824074074071</v>
      </c>
      <c r="C2011" s="26" t="s">
        <v>1384</v>
      </c>
    </row>
    <row r="2012" spans="1:3" x14ac:dyDescent="0.25">
      <c r="A2012" s="36">
        <v>41211</v>
      </c>
      <c r="B2012" s="122">
        <v>0.86792824074074071</v>
      </c>
      <c r="C2012" s="26" t="s">
        <v>1485</v>
      </c>
    </row>
    <row r="2013" spans="1:3" x14ac:dyDescent="0.25">
      <c r="A2013" s="36">
        <v>41211</v>
      </c>
      <c r="B2013" s="122">
        <v>0.86792824074074071</v>
      </c>
      <c r="C2013" s="26" t="s">
        <v>1486</v>
      </c>
    </row>
    <row r="2014" spans="1:3" x14ac:dyDescent="0.25">
      <c r="A2014" s="36">
        <v>41211</v>
      </c>
      <c r="B2014" s="122">
        <v>0.86792824074074071</v>
      </c>
      <c r="C2014" s="26" t="s">
        <v>1483</v>
      </c>
    </row>
    <row r="2015" spans="1:3" x14ac:dyDescent="0.25">
      <c r="A2015" s="36">
        <v>41211</v>
      </c>
      <c r="B2015" s="122">
        <v>0.86792824074074071</v>
      </c>
      <c r="C2015" s="26" t="s">
        <v>1483</v>
      </c>
    </row>
    <row r="2016" spans="1:3" x14ac:dyDescent="0.25">
      <c r="A2016" s="36">
        <v>41211</v>
      </c>
      <c r="B2016" s="122">
        <v>0.86792824074074071</v>
      </c>
      <c r="C2016" s="26" t="s">
        <v>1485</v>
      </c>
    </row>
    <row r="2017" spans="1:3" x14ac:dyDescent="0.25">
      <c r="A2017" s="36">
        <v>41211</v>
      </c>
      <c r="B2017" s="122">
        <v>0.86792824074074071</v>
      </c>
      <c r="C2017" s="26" t="s">
        <v>1487</v>
      </c>
    </row>
    <row r="2018" spans="1:3" x14ac:dyDescent="0.25">
      <c r="A2018" s="36">
        <v>41211</v>
      </c>
      <c r="B2018" s="122">
        <v>0.86792824074074071</v>
      </c>
      <c r="C2018" s="26" t="s">
        <v>1332</v>
      </c>
    </row>
    <row r="2019" spans="1:3" x14ac:dyDescent="0.25">
      <c r="A2019" s="36">
        <v>41211</v>
      </c>
      <c r="B2019" s="122">
        <v>0.86792824074074071</v>
      </c>
      <c r="C2019" s="26" t="s">
        <v>1488</v>
      </c>
    </row>
    <row r="2020" spans="1:3" x14ac:dyDescent="0.25">
      <c r="A2020" s="36">
        <v>41211</v>
      </c>
      <c r="B2020" s="122">
        <v>0.86792824074074071</v>
      </c>
      <c r="C2020" s="26" t="s">
        <v>1489</v>
      </c>
    </row>
    <row r="2021" spans="1:3" x14ac:dyDescent="0.25">
      <c r="A2021" s="36">
        <v>41211</v>
      </c>
      <c r="B2021" s="122">
        <v>0.86792824074074071</v>
      </c>
      <c r="C2021" s="26" t="s">
        <v>1380</v>
      </c>
    </row>
    <row r="2022" spans="1:3" x14ac:dyDescent="0.25">
      <c r="A2022" s="36">
        <v>41211</v>
      </c>
      <c r="B2022" s="122">
        <v>0.86792824074074071</v>
      </c>
      <c r="C2022" s="26" t="s">
        <v>1490</v>
      </c>
    </row>
    <row r="2023" spans="1:3" x14ac:dyDescent="0.25">
      <c r="A2023" s="36">
        <v>41211</v>
      </c>
      <c r="B2023" s="122">
        <v>0.86792824074074071</v>
      </c>
      <c r="C2023" s="26" t="s">
        <v>1385</v>
      </c>
    </row>
    <row r="2024" spans="1:3" x14ac:dyDescent="0.25">
      <c r="A2024" s="36">
        <v>41211</v>
      </c>
      <c r="B2024" s="122">
        <v>0.86792824074074071</v>
      </c>
      <c r="C2024" s="26" t="s">
        <v>1491</v>
      </c>
    </row>
    <row r="2025" spans="1:3" x14ac:dyDescent="0.25">
      <c r="A2025" s="36">
        <v>41211</v>
      </c>
      <c r="B2025" s="122">
        <v>0.86792824074074071</v>
      </c>
      <c r="C2025" s="26" t="s">
        <v>1386</v>
      </c>
    </row>
    <row r="2026" spans="1:3" x14ac:dyDescent="0.25">
      <c r="A2026" s="36">
        <v>41211</v>
      </c>
      <c r="B2026" s="122">
        <v>0.86792824074074071</v>
      </c>
      <c r="C2026" s="26" t="s">
        <v>1492</v>
      </c>
    </row>
    <row r="2027" spans="1:3" x14ac:dyDescent="0.25">
      <c r="A2027" s="36">
        <v>41211</v>
      </c>
      <c r="B2027" s="122">
        <v>0.86792824074074071</v>
      </c>
      <c r="C2027" s="26" t="s">
        <v>1387</v>
      </c>
    </row>
    <row r="2028" spans="1:3" x14ac:dyDescent="0.25">
      <c r="A2028" s="36">
        <v>41211</v>
      </c>
      <c r="B2028" s="122">
        <v>0.86792824074074071</v>
      </c>
      <c r="C2028" s="26" t="s">
        <v>1493</v>
      </c>
    </row>
    <row r="2029" spans="1:3" x14ac:dyDescent="0.25">
      <c r="A2029" s="36">
        <v>41211</v>
      </c>
      <c r="B2029" s="122">
        <v>0.86792824074074071</v>
      </c>
      <c r="C2029" s="26" t="s">
        <v>1494</v>
      </c>
    </row>
    <row r="2030" spans="1:3" x14ac:dyDescent="0.25">
      <c r="A2030" s="36">
        <v>41211</v>
      </c>
      <c r="B2030" s="122">
        <v>0.86792824074074071</v>
      </c>
      <c r="C2030" s="26" t="s">
        <v>1495</v>
      </c>
    </row>
    <row r="2031" spans="1:3" x14ac:dyDescent="0.25">
      <c r="A2031" s="36">
        <v>41211</v>
      </c>
      <c r="B2031" s="122">
        <v>0.86792824074074071</v>
      </c>
      <c r="C2031" s="26" t="s">
        <v>1496</v>
      </c>
    </row>
    <row r="2032" spans="1:3" x14ac:dyDescent="0.25">
      <c r="A2032" s="36">
        <v>41211</v>
      </c>
      <c r="B2032" s="122">
        <v>0.86792824074074071</v>
      </c>
      <c r="C2032" s="26" t="s">
        <v>1497</v>
      </c>
    </row>
    <row r="2033" spans="1:3" x14ac:dyDescent="0.25">
      <c r="A2033" s="36">
        <v>41211</v>
      </c>
      <c r="B2033" s="122">
        <v>0.86792824074074071</v>
      </c>
      <c r="C2033" s="26" t="s">
        <v>1388</v>
      </c>
    </row>
    <row r="2034" spans="1:3" x14ac:dyDescent="0.25">
      <c r="A2034" s="36">
        <v>41211</v>
      </c>
      <c r="B2034" s="122">
        <v>0.86792824074074071</v>
      </c>
      <c r="C2034" s="26" t="s">
        <v>1494</v>
      </c>
    </row>
    <row r="2035" spans="1:3" x14ac:dyDescent="0.25">
      <c r="A2035" s="36">
        <v>41211</v>
      </c>
      <c r="B2035" s="122">
        <v>0.86792824074074071</v>
      </c>
      <c r="C2035" s="26" t="s">
        <v>1390</v>
      </c>
    </row>
    <row r="2036" spans="1:3" x14ac:dyDescent="0.25">
      <c r="A2036" s="36">
        <v>41211</v>
      </c>
      <c r="B2036" s="122">
        <v>0.86792824074074071</v>
      </c>
      <c r="C2036" s="26" t="s">
        <v>1498</v>
      </c>
    </row>
    <row r="2037" spans="1:3" x14ac:dyDescent="0.25">
      <c r="A2037" s="36">
        <v>41211</v>
      </c>
      <c r="B2037" s="122">
        <v>0.86792824074074071</v>
      </c>
      <c r="C2037" s="26" t="s">
        <v>1499</v>
      </c>
    </row>
    <row r="2038" spans="1:3" x14ac:dyDescent="0.25">
      <c r="A2038" s="36">
        <v>41211</v>
      </c>
      <c r="B2038" s="122">
        <v>0.86792824074074071</v>
      </c>
      <c r="C2038" s="26" t="s">
        <v>1395</v>
      </c>
    </row>
    <row r="2039" spans="1:3" x14ac:dyDescent="0.25">
      <c r="A2039" s="36">
        <v>41211</v>
      </c>
      <c r="B2039" s="122">
        <v>0.86792824074074071</v>
      </c>
      <c r="C2039" s="26" t="s">
        <v>1500</v>
      </c>
    </row>
    <row r="2040" spans="1:3" x14ac:dyDescent="0.25">
      <c r="A2040" s="36">
        <v>41211</v>
      </c>
      <c r="B2040" s="122">
        <v>0.86792824074074071</v>
      </c>
      <c r="C2040" s="26" t="s">
        <v>1501</v>
      </c>
    </row>
    <row r="2041" spans="1:3" x14ac:dyDescent="0.25">
      <c r="A2041" s="36">
        <v>41211</v>
      </c>
      <c r="B2041" s="122">
        <v>0.86792824074074071</v>
      </c>
      <c r="C2041" s="26" t="s">
        <v>1394</v>
      </c>
    </row>
    <row r="2042" spans="1:3" x14ac:dyDescent="0.25">
      <c r="A2042" s="36">
        <v>41211</v>
      </c>
      <c r="B2042" s="122">
        <v>0.86792824074074071</v>
      </c>
      <c r="C2042" s="26" t="s">
        <v>1502</v>
      </c>
    </row>
    <row r="2043" spans="1:3" x14ac:dyDescent="0.25">
      <c r="A2043" s="36">
        <v>41211</v>
      </c>
      <c r="B2043" s="122">
        <v>0.86792824074074071</v>
      </c>
      <c r="C2043" s="26" t="s">
        <v>1503</v>
      </c>
    </row>
    <row r="2044" spans="1:3" x14ac:dyDescent="0.25">
      <c r="A2044" s="36">
        <v>41211</v>
      </c>
      <c r="B2044" s="122">
        <v>0.86792824074074071</v>
      </c>
      <c r="C2044" s="26" t="s">
        <v>1496</v>
      </c>
    </row>
    <row r="2045" spans="1:3" x14ac:dyDescent="0.25">
      <c r="A2045" s="36">
        <v>41211</v>
      </c>
      <c r="B2045" s="122">
        <v>0.86792824074074071</v>
      </c>
      <c r="C2045" s="26" t="s">
        <v>1504</v>
      </c>
    </row>
    <row r="2046" spans="1:3" x14ac:dyDescent="0.25">
      <c r="A2046" s="36">
        <v>41211</v>
      </c>
      <c r="B2046" s="122">
        <v>0.86792824074074071</v>
      </c>
      <c r="C2046" s="26" t="s">
        <v>1392</v>
      </c>
    </row>
    <row r="2047" spans="1:3" x14ac:dyDescent="0.25">
      <c r="A2047" s="36">
        <v>41211</v>
      </c>
      <c r="B2047" s="122">
        <v>0.86792824074074071</v>
      </c>
      <c r="C2047" s="26" t="s">
        <v>1505</v>
      </c>
    </row>
    <row r="2048" spans="1:3" x14ac:dyDescent="0.25">
      <c r="A2048" s="36">
        <v>41211</v>
      </c>
      <c r="B2048" s="122">
        <v>0.86792824074074071</v>
      </c>
      <c r="C2048" s="26" t="s">
        <v>1506</v>
      </c>
    </row>
    <row r="2049" spans="1:3" x14ac:dyDescent="0.25">
      <c r="A2049" s="36">
        <v>41211</v>
      </c>
      <c r="B2049" s="122">
        <v>0.86792824074074071</v>
      </c>
      <c r="C2049" s="26" t="s">
        <v>1394</v>
      </c>
    </row>
    <row r="2050" spans="1:3" x14ac:dyDescent="0.25">
      <c r="A2050" s="36">
        <v>41211</v>
      </c>
      <c r="B2050" s="122">
        <v>0.86792824074074071</v>
      </c>
      <c r="C2050" s="26" t="s">
        <v>1393</v>
      </c>
    </row>
    <row r="2051" spans="1:3" x14ac:dyDescent="0.25">
      <c r="A2051" s="36">
        <v>41211</v>
      </c>
      <c r="B2051" s="122">
        <v>0.86792824074074071</v>
      </c>
      <c r="C2051" s="26" t="s">
        <v>1396</v>
      </c>
    </row>
    <row r="2052" spans="1:3" x14ac:dyDescent="0.25">
      <c r="A2052" s="36">
        <v>41211</v>
      </c>
      <c r="B2052" s="122">
        <v>0.86792824074074071</v>
      </c>
      <c r="C2052" s="26" t="s">
        <v>1490</v>
      </c>
    </row>
    <row r="2053" spans="1:3" x14ac:dyDescent="0.25">
      <c r="A2053" s="36">
        <v>41211</v>
      </c>
      <c r="B2053" s="122">
        <v>0.86792824074074071</v>
      </c>
      <c r="C2053" s="26" t="s">
        <v>1507</v>
      </c>
    </row>
    <row r="2054" spans="1:3" x14ac:dyDescent="0.25">
      <c r="A2054" s="36">
        <v>41211</v>
      </c>
      <c r="B2054" s="122">
        <v>0.86792824074074071</v>
      </c>
      <c r="C2054" s="26" t="s">
        <v>1508</v>
      </c>
    </row>
    <row r="2055" spans="1:3" x14ac:dyDescent="0.25">
      <c r="A2055" s="36">
        <v>41211</v>
      </c>
      <c r="B2055" s="122">
        <v>0.86792824074074071</v>
      </c>
      <c r="C2055" s="26" t="s">
        <v>1509</v>
      </c>
    </row>
    <row r="2056" spans="1:3" x14ac:dyDescent="0.25">
      <c r="A2056" s="36">
        <v>41211</v>
      </c>
      <c r="B2056" s="122">
        <v>0.86792824074074071</v>
      </c>
      <c r="C2056" s="26" t="s">
        <v>1510</v>
      </c>
    </row>
    <row r="2057" spans="1:3" x14ac:dyDescent="0.25">
      <c r="A2057" s="36">
        <v>41211</v>
      </c>
      <c r="B2057" s="122">
        <v>0.86792824074074071</v>
      </c>
      <c r="C2057" s="26" t="s">
        <v>1511</v>
      </c>
    </row>
    <row r="2058" spans="1:3" x14ac:dyDescent="0.25">
      <c r="A2058" s="36">
        <v>41211</v>
      </c>
      <c r="B2058" s="122">
        <v>0.86792824074074071</v>
      </c>
      <c r="C2058" s="26" t="s">
        <v>1501</v>
      </c>
    </row>
    <row r="2059" spans="1:3" x14ac:dyDescent="0.25">
      <c r="A2059" s="36">
        <v>41211</v>
      </c>
      <c r="B2059" s="122">
        <v>0.86792824074074071</v>
      </c>
      <c r="C2059" s="26" t="s">
        <v>1496</v>
      </c>
    </row>
    <row r="2060" spans="1:3" x14ac:dyDescent="0.25">
      <c r="A2060" s="36">
        <v>41211</v>
      </c>
      <c r="B2060" s="122">
        <v>0.86792824074074071</v>
      </c>
      <c r="C2060" s="26" t="s">
        <v>1512</v>
      </c>
    </row>
    <row r="2061" spans="1:3" x14ac:dyDescent="0.25">
      <c r="A2061" s="36">
        <v>41211</v>
      </c>
      <c r="B2061" s="122">
        <v>0.86792824074074071</v>
      </c>
      <c r="C2061" s="26" t="s">
        <v>1513</v>
      </c>
    </row>
    <row r="2062" spans="1:3" x14ac:dyDescent="0.25">
      <c r="A2062" s="36">
        <v>41211</v>
      </c>
      <c r="B2062" s="122">
        <v>0.86792824074074071</v>
      </c>
      <c r="C2062" s="26" t="s">
        <v>1397</v>
      </c>
    </row>
    <row r="2063" spans="1:3" x14ac:dyDescent="0.25">
      <c r="A2063" s="36">
        <v>41211</v>
      </c>
      <c r="B2063" s="122">
        <v>0.86792824074074071</v>
      </c>
      <c r="C2063" s="26" t="s">
        <v>1399</v>
      </c>
    </row>
    <row r="2064" spans="1:3" x14ac:dyDescent="0.25">
      <c r="A2064" s="36">
        <v>41211</v>
      </c>
      <c r="B2064" s="122">
        <v>0.86792824074074071</v>
      </c>
      <c r="C2064" s="26" t="s">
        <v>1508</v>
      </c>
    </row>
    <row r="2065" spans="1:3" x14ac:dyDescent="0.25">
      <c r="A2065" s="36">
        <v>41211</v>
      </c>
      <c r="B2065" s="122">
        <v>0.86792824074074071</v>
      </c>
      <c r="C2065" s="26" t="s">
        <v>1514</v>
      </c>
    </row>
    <row r="2066" spans="1:3" x14ac:dyDescent="0.25">
      <c r="A2066" s="36">
        <v>41211</v>
      </c>
      <c r="B2066" s="122">
        <v>0.86792824074074071</v>
      </c>
      <c r="C2066" s="26" t="s">
        <v>1404</v>
      </c>
    </row>
    <row r="2067" spans="1:3" x14ac:dyDescent="0.25">
      <c r="A2067" s="36">
        <v>41211</v>
      </c>
      <c r="B2067" s="122">
        <v>0.86792824074074071</v>
      </c>
      <c r="C2067" s="26" t="s">
        <v>1402</v>
      </c>
    </row>
    <row r="2068" spans="1:3" x14ac:dyDescent="0.25">
      <c r="A2068" s="36">
        <v>41211</v>
      </c>
      <c r="B2068" s="122">
        <v>0.86793981481481486</v>
      </c>
      <c r="C2068" s="26" t="s">
        <v>1515</v>
      </c>
    </row>
    <row r="2069" spans="1:3" x14ac:dyDescent="0.25">
      <c r="A2069" s="36">
        <v>41211</v>
      </c>
      <c r="B2069" s="122">
        <v>0.86793981481481486</v>
      </c>
      <c r="C2069" s="26" t="s">
        <v>1412</v>
      </c>
    </row>
    <row r="2070" spans="1:3" x14ac:dyDescent="0.25">
      <c r="A2070" s="36">
        <v>41211</v>
      </c>
      <c r="B2070" s="122">
        <v>0.86793981481481486</v>
      </c>
      <c r="C2070" s="26" t="s">
        <v>1397</v>
      </c>
    </row>
    <row r="2071" spans="1:3" x14ac:dyDescent="0.25">
      <c r="A2071" s="36">
        <v>41211</v>
      </c>
      <c r="B2071" s="122">
        <v>0.86793981481481486</v>
      </c>
      <c r="C2071" s="26" t="s">
        <v>1408</v>
      </c>
    </row>
    <row r="2072" spans="1:3" x14ac:dyDescent="0.25">
      <c r="A2072" s="36">
        <v>41211</v>
      </c>
      <c r="B2072" s="122">
        <v>0.86793981481481486</v>
      </c>
      <c r="C2072" s="26" t="s">
        <v>1397</v>
      </c>
    </row>
    <row r="2073" spans="1:3" x14ac:dyDescent="0.25">
      <c r="A2073" s="36">
        <v>41211</v>
      </c>
      <c r="B2073" s="122">
        <v>0.86793981481481486</v>
      </c>
      <c r="C2073" s="26" t="s">
        <v>1405</v>
      </c>
    </row>
    <row r="2074" spans="1:3" x14ac:dyDescent="0.25">
      <c r="A2074" s="36">
        <v>41211</v>
      </c>
      <c r="B2074" s="122">
        <v>0.86793981481481486</v>
      </c>
      <c r="C2074" s="26" t="s">
        <v>1516</v>
      </c>
    </row>
    <row r="2075" spans="1:3" x14ac:dyDescent="0.25">
      <c r="A2075" s="36">
        <v>41211</v>
      </c>
      <c r="B2075" s="122">
        <v>0.86793981481481486</v>
      </c>
      <c r="C2075" s="26" t="s">
        <v>1517</v>
      </c>
    </row>
    <row r="2076" spans="1:3" x14ac:dyDescent="0.25">
      <c r="A2076" s="36">
        <v>41211</v>
      </c>
      <c r="B2076" s="122">
        <v>0.86793981481481486</v>
      </c>
      <c r="C2076" s="26" t="s">
        <v>1518</v>
      </c>
    </row>
    <row r="2077" spans="1:3" x14ac:dyDescent="0.25">
      <c r="A2077" s="36">
        <v>41211</v>
      </c>
      <c r="B2077" s="122">
        <v>0.86793981481481486</v>
      </c>
      <c r="C2077" s="26" t="s">
        <v>1519</v>
      </c>
    </row>
    <row r="2078" spans="1:3" x14ac:dyDescent="0.25">
      <c r="A2078" s="36">
        <v>41211</v>
      </c>
      <c r="B2078" s="122">
        <v>0.86793981481481486</v>
      </c>
      <c r="C2078" s="26" t="s">
        <v>1411</v>
      </c>
    </row>
    <row r="2079" spans="1:3" x14ac:dyDescent="0.25">
      <c r="A2079" s="36">
        <v>41211</v>
      </c>
      <c r="B2079" s="122">
        <v>0.86793981481481486</v>
      </c>
      <c r="C2079" s="26" t="s">
        <v>1409</v>
      </c>
    </row>
    <row r="2080" spans="1:3" x14ac:dyDescent="0.25">
      <c r="A2080" s="36">
        <v>41211</v>
      </c>
      <c r="B2080" s="122">
        <v>0.86793981481481486</v>
      </c>
      <c r="C2080" s="26" t="s">
        <v>1520</v>
      </c>
    </row>
    <row r="2081" spans="1:3" x14ac:dyDescent="0.25">
      <c r="A2081" s="36">
        <v>41211</v>
      </c>
      <c r="B2081" s="122">
        <v>0.86793981481481486</v>
      </c>
      <c r="C2081" s="26" t="s">
        <v>1521</v>
      </c>
    </row>
    <row r="2082" spans="1:3" x14ac:dyDescent="0.25">
      <c r="A2082" s="36">
        <v>41211</v>
      </c>
      <c r="B2082" s="122">
        <v>0.86793981481481486</v>
      </c>
      <c r="C2082" s="26" t="s">
        <v>1410</v>
      </c>
    </row>
    <row r="2083" spans="1:3" x14ac:dyDescent="0.25">
      <c r="A2083" s="36">
        <v>41211</v>
      </c>
      <c r="B2083" s="122">
        <v>0.86793981481481486</v>
      </c>
      <c r="C2083" s="26" t="s">
        <v>1522</v>
      </c>
    </row>
    <row r="2084" spans="1:3" x14ac:dyDescent="0.25">
      <c r="A2084" s="36">
        <v>41211</v>
      </c>
      <c r="B2084" s="122">
        <v>0.86793981481481486</v>
      </c>
      <c r="C2084" s="26" t="s">
        <v>1523</v>
      </c>
    </row>
    <row r="2085" spans="1:3" x14ac:dyDescent="0.25">
      <c r="A2085" s="36">
        <v>41211</v>
      </c>
      <c r="B2085" s="122">
        <v>0.86793981481481486</v>
      </c>
      <c r="C2085" s="26" t="s">
        <v>1524</v>
      </c>
    </row>
    <row r="2086" spans="1:3" x14ac:dyDescent="0.25">
      <c r="A2086" s="36">
        <v>41211</v>
      </c>
      <c r="B2086" s="122">
        <v>0.86793981481481486</v>
      </c>
      <c r="C2086" s="26" t="s">
        <v>1525</v>
      </c>
    </row>
    <row r="2087" spans="1:3" x14ac:dyDescent="0.25">
      <c r="A2087" s="36">
        <v>41211</v>
      </c>
      <c r="B2087" s="122">
        <v>0.86793981481481486</v>
      </c>
      <c r="C2087" s="26" t="s">
        <v>1526</v>
      </c>
    </row>
    <row r="2088" spans="1:3" x14ac:dyDescent="0.25">
      <c r="A2088" s="36">
        <v>41211</v>
      </c>
      <c r="B2088" s="122">
        <v>0.86793981481481486</v>
      </c>
      <c r="C2088" s="26" t="s">
        <v>1527</v>
      </c>
    </row>
    <row r="2089" spans="1:3" x14ac:dyDescent="0.25">
      <c r="A2089" s="36">
        <v>41211</v>
      </c>
      <c r="B2089" s="122">
        <v>0.86793981481481486</v>
      </c>
      <c r="C2089" s="26" t="s">
        <v>1412</v>
      </c>
    </row>
    <row r="2090" spans="1:3" x14ac:dyDescent="0.25">
      <c r="A2090" s="36">
        <v>41211</v>
      </c>
      <c r="B2090" s="122">
        <v>0.86793981481481486</v>
      </c>
      <c r="C2090" s="26" t="s">
        <v>1413</v>
      </c>
    </row>
    <row r="2091" spans="1:3" x14ac:dyDescent="0.25">
      <c r="A2091" s="36">
        <v>41211</v>
      </c>
      <c r="B2091" s="122">
        <v>0.86793981481481486</v>
      </c>
      <c r="C2091" s="26" t="s">
        <v>1411</v>
      </c>
    </row>
    <row r="2092" spans="1:3" x14ac:dyDescent="0.25">
      <c r="A2092" s="36">
        <v>41211</v>
      </c>
      <c r="B2092" s="122">
        <v>0.86793981481481486</v>
      </c>
      <c r="C2092" s="26" t="s">
        <v>1528</v>
      </c>
    </row>
    <row r="2093" spans="1:3" x14ac:dyDescent="0.25">
      <c r="A2093" s="36">
        <v>41211</v>
      </c>
      <c r="B2093" s="122">
        <v>0.86793981481481486</v>
      </c>
      <c r="C2093" s="26" t="s">
        <v>1415</v>
      </c>
    </row>
    <row r="2094" spans="1:3" x14ac:dyDescent="0.25">
      <c r="A2094" s="36">
        <v>41211</v>
      </c>
      <c r="B2094" s="122">
        <v>0.86793981481481486</v>
      </c>
      <c r="C2094" s="26" t="s">
        <v>1410</v>
      </c>
    </row>
    <row r="2095" spans="1:3" x14ac:dyDescent="0.25">
      <c r="A2095" s="36">
        <v>41211</v>
      </c>
      <c r="B2095" s="122">
        <v>0.86793981481481486</v>
      </c>
      <c r="C2095" s="26" t="s">
        <v>1425</v>
      </c>
    </row>
    <row r="2096" spans="1:3" x14ac:dyDescent="0.25">
      <c r="A2096" s="36">
        <v>41211</v>
      </c>
      <c r="B2096" s="122">
        <v>0.86793981481481486</v>
      </c>
      <c r="C2096" s="26" t="s">
        <v>1529</v>
      </c>
    </row>
    <row r="2097" spans="1:3" x14ac:dyDescent="0.25">
      <c r="A2097" s="36">
        <v>41211</v>
      </c>
      <c r="B2097" s="122">
        <v>0.86793981481481486</v>
      </c>
      <c r="C2097" s="26" t="s">
        <v>1530</v>
      </c>
    </row>
    <row r="2098" spans="1:3" x14ac:dyDescent="0.25">
      <c r="A2098" s="36">
        <v>41211</v>
      </c>
      <c r="B2098" s="122">
        <v>0.86793981481481486</v>
      </c>
      <c r="C2098" s="26" t="s">
        <v>1415</v>
      </c>
    </row>
    <row r="2099" spans="1:3" x14ac:dyDescent="0.25">
      <c r="A2099" s="36">
        <v>41211</v>
      </c>
      <c r="B2099" s="122">
        <v>0.86793981481481486</v>
      </c>
      <c r="C2099" s="26" t="s">
        <v>1409</v>
      </c>
    </row>
    <row r="2100" spans="1:3" x14ac:dyDescent="0.25">
      <c r="A2100" s="36">
        <v>41211</v>
      </c>
      <c r="B2100" s="122">
        <v>0.86793981481481486</v>
      </c>
      <c r="C2100" s="26" t="s">
        <v>1425</v>
      </c>
    </row>
    <row r="2101" spans="1:3" x14ac:dyDescent="0.25">
      <c r="A2101" s="36">
        <v>41211</v>
      </c>
      <c r="B2101" s="122">
        <v>0.86793981481481486</v>
      </c>
      <c r="C2101" s="26" t="s">
        <v>1531</v>
      </c>
    </row>
    <row r="2102" spans="1:3" x14ac:dyDescent="0.25">
      <c r="A2102" s="36">
        <v>41211</v>
      </c>
      <c r="B2102" s="122">
        <v>0.86793981481481486</v>
      </c>
      <c r="C2102" s="26" t="s">
        <v>1532</v>
      </c>
    </row>
    <row r="2103" spans="1:3" x14ac:dyDescent="0.25">
      <c r="A2103" s="36">
        <v>41211</v>
      </c>
      <c r="B2103" s="122">
        <v>0.86793981481481486</v>
      </c>
      <c r="C2103" s="26" t="s">
        <v>1416</v>
      </c>
    </row>
    <row r="2104" spans="1:3" x14ac:dyDescent="0.25">
      <c r="A2104" s="36">
        <v>41211</v>
      </c>
      <c r="B2104" s="122">
        <v>0.86793981481481486</v>
      </c>
      <c r="C2104" s="26" t="s">
        <v>1422</v>
      </c>
    </row>
    <row r="2105" spans="1:3" x14ac:dyDescent="0.25">
      <c r="A2105" s="36">
        <v>41211</v>
      </c>
      <c r="B2105" s="122">
        <v>0.86793981481481486</v>
      </c>
      <c r="C2105" s="26" t="s">
        <v>1533</v>
      </c>
    </row>
    <row r="2106" spans="1:3" x14ac:dyDescent="0.25">
      <c r="A2106" s="36">
        <v>41211</v>
      </c>
      <c r="B2106" s="122">
        <v>0.86793981481481486</v>
      </c>
      <c r="C2106" s="26" t="s">
        <v>1427</v>
      </c>
    </row>
    <row r="2107" spans="1:3" x14ac:dyDescent="0.25">
      <c r="A2107" s="36">
        <v>41211</v>
      </c>
      <c r="B2107" s="122">
        <v>0.86793981481481486</v>
      </c>
      <c r="C2107" s="26" t="s">
        <v>1534</v>
      </c>
    </row>
    <row r="2108" spans="1:3" x14ac:dyDescent="0.25">
      <c r="A2108" s="36">
        <v>41211</v>
      </c>
      <c r="B2108" s="122">
        <v>0.86793981481481486</v>
      </c>
      <c r="C2108" s="26" t="s">
        <v>1535</v>
      </c>
    </row>
    <row r="2109" spans="1:3" x14ac:dyDescent="0.25">
      <c r="A2109" s="36">
        <v>41211</v>
      </c>
      <c r="B2109" s="122">
        <v>0.86793981481481486</v>
      </c>
      <c r="C2109" s="26" t="s">
        <v>1536</v>
      </c>
    </row>
    <row r="2110" spans="1:3" x14ac:dyDescent="0.25">
      <c r="A2110" s="36">
        <v>41211</v>
      </c>
      <c r="B2110" s="122">
        <v>0.86793981481481486</v>
      </c>
      <c r="C2110" s="26" t="s">
        <v>1537</v>
      </c>
    </row>
    <row r="2111" spans="1:3" x14ac:dyDescent="0.25">
      <c r="A2111" s="36">
        <v>41211</v>
      </c>
      <c r="B2111" s="122">
        <v>0.86793981481481486</v>
      </c>
      <c r="C2111" s="26" t="s">
        <v>1538</v>
      </c>
    </row>
    <row r="2112" spans="1:3" x14ac:dyDescent="0.25">
      <c r="A2112" s="36">
        <v>41211</v>
      </c>
      <c r="B2112" s="122">
        <v>0.86793981481481486</v>
      </c>
      <c r="C2112" s="26" t="s">
        <v>1417</v>
      </c>
    </row>
    <row r="2113" spans="1:3" x14ac:dyDescent="0.25">
      <c r="A2113" s="36">
        <v>41211</v>
      </c>
      <c r="B2113" s="122">
        <v>0.86793981481481486</v>
      </c>
      <c r="C2113" s="26" t="s">
        <v>1424</v>
      </c>
    </row>
    <row r="2114" spans="1:3" x14ac:dyDescent="0.25">
      <c r="A2114" s="36">
        <v>41211</v>
      </c>
      <c r="B2114" s="122">
        <v>0.86793981481481486</v>
      </c>
      <c r="C2114" s="26" t="s">
        <v>1420</v>
      </c>
    </row>
    <row r="2115" spans="1:3" x14ac:dyDescent="0.25">
      <c r="A2115" s="36">
        <v>41211</v>
      </c>
      <c r="B2115" s="122">
        <v>0.86793981481481486</v>
      </c>
      <c r="C2115" s="26" t="s">
        <v>1539</v>
      </c>
    </row>
    <row r="2116" spans="1:3" x14ac:dyDescent="0.25">
      <c r="A2116" s="36">
        <v>41211</v>
      </c>
      <c r="B2116" s="122">
        <v>0.86793981481481486</v>
      </c>
      <c r="C2116" s="26" t="s">
        <v>1540</v>
      </c>
    </row>
    <row r="2117" spans="1:3" x14ac:dyDescent="0.25">
      <c r="A2117" s="36">
        <v>41211</v>
      </c>
      <c r="B2117" s="122">
        <v>0.86793981481481486</v>
      </c>
      <c r="C2117" s="26" t="s">
        <v>1541</v>
      </c>
    </row>
    <row r="2118" spans="1:3" x14ac:dyDescent="0.25">
      <c r="A2118" s="36">
        <v>41211</v>
      </c>
      <c r="B2118" s="122">
        <v>0.86793981481481486</v>
      </c>
      <c r="C2118" s="26" t="s">
        <v>1542</v>
      </c>
    </row>
    <row r="2119" spans="1:3" x14ac:dyDescent="0.25">
      <c r="A2119" s="36">
        <v>41211</v>
      </c>
      <c r="B2119" s="122">
        <v>0.86793981481481486</v>
      </c>
      <c r="C2119" s="26" t="s">
        <v>1542</v>
      </c>
    </row>
    <row r="2120" spans="1:3" x14ac:dyDescent="0.25">
      <c r="A2120" s="36">
        <v>41211</v>
      </c>
      <c r="B2120" s="122">
        <v>0.86793981481481486</v>
      </c>
      <c r="C2120" s="26" t="s">
        <v>1543</v>
      </c>
    </row>
    <row r="2121" spans="1:3" x14ac:dyDescent="0.25">
      <c r="A2121" s="36">
        <v>41211</v>
      </c>
      <c r="B2121" s="122">
        <v>0.86793981481481486</v>
      </c>
      <c r="C2121" s="26" t="s">
        <v>1544</v>
      </c>
    </row>
    <row r="2122" spans="1:3" x14ac:dyDescent="0.25">
      <c r="A2122" s="36">
        <v>41211</v>
      </c>
      <c r="B2122" s="122">
        <v>0.86793981481481486</v>
      </c>
      <c r="C2122" s="26" t="s">
        <v>1349</v>
      </c>
    </row>
    <row r="2123" spans="1:3" x14ac:dyDescent="0.25">
      <c r="A2123" s="36">
        <v>41211</v>
      </c>
      <c r="B2123" s="122">
        <v>0.86793981481481486</v>
      </c>
      <c r="C2123" s="26" t="s">
        <v>1545</v>
      </c>
    </row>
    <row r="2124" spans="1:3" x14ac:dyDescent="0.25">
      <c r="A2124" s="36">
        <v>41211</v>
      </c>
      <c r="B2124" s="122">
        <v>0.86793981481481486</v>
      </c>
      <c r="C2124" s="26" t="s">
        <v>1546</v>
      </c>
    </row>
    <row r="2125" spans="1:3" x14ac:dyDescent="0.25">
      <c r="A2125" s="36">
        <v>41211</v>
      </c>
      <c r="B2125" s="122">
        <v>0.86793981481481486</v>
      </c>
      <c r="C2125" s="26" t="s">
        <v>1547</v>
      </c>
    </row>
    <row r="2126" spans="1:3" x14ac:dyDescent="0.25">
      <c r="A2126" s="36">
        <v>41211</v>
      </c>
      <c r="B2126" s="122">
        <v>0.86793981481481486</v>
      </c>
      <c r="C2126" s="26" t="s">
        <v>1548</v>
      </c>
    </row>
    <row r="2127" spans="1:3" x14ac:dyDescent="0.25">
      <c r="A2127" s="36">
        <v>41211</v>
      </c>
      <c r="B2127" s="122">
        <v>0.86793981481481486</v>
      </c>
      <c r="C2127" s="26" t="s">
        <v>1549</v>
      </c>
    </row>
    <row r="2128" spans="1:3" x14ac:dyDescent="0.25">
      <c r="A2128" s="36">
        <v>41211</v>
      </c>
      <c r="B2128" s="122">
        <v>0.86793981481481486</v>
      </c>
      <c r="C2128" s="26" t="s">
        <v>1550</v>
      </c>
    </row>
    <row r="2129" spans="1:3" x14ac:dyDescent="0.25">
      <c r="A2129" s="36">
        <v>41211</v>
      </c>
      <c r="B2129" s="122">
        <v>0.86793981481481486</v>
      </c>
      <c r="C2129" s="26" t="s">
        <v>1427</v>
      </c>
    </row>
    <row r="2130" spans="1:3" x14ac:dyDescent="0.25">
      <c r="A2130" s="36">
        <v>41211</v>
      </c>
      <c r="B2130" s="122">
        <v>0.86793981481481486</v>
      </c>
      <c r="C2130" s="26" t="s">
        <v>1551</v>
      </c>
    </row>
    <row r="2131" spans="1:3" x14ac:dyDescent="0.25">
      <c r="A2131" s="36">
        <v>41211</v>
      </c>
      <c r="B2131" s="122">
        <v>0.86793981481481486</v>
      </c>
      <c r="C2131" s="26" t="s">
        <v>1552</v>
      </c>
    </row>
    <row r="2132" spans="1:3" x14ac:dyDescent="0.25">
      <c r="A2132" s="36">
        <v>41211</v>
      </c>
      <c r="B2132" s="122">
        <v>0.86835648148148137</v>
      </c>
      <c r="C2132" s="26" t="s">
        <v>1071</v>
      </c>
    </row>
    <row r="2133" spans="1:3" x14ac:dyDescent="0.25">
      <c r="A2133" s="36">
        <v>41211</v>
      </c>
      <c r="B2133" s="122">
        <v>0.86853009259259262</v>
      </c>
      <c r="C2133" s="26" t="s">
        <v>1073</v>
      </c>
    </row>
    <row r="2134" spans="1:3" x14ac:dyDescent="0.25">
      <c r="A2134" s="36">
        <v>41211</v>
      </c>
      <c r="B2134" s="122">
        <v>0.86921296296296291</v>
      </c>
      <c r="C2134" s="26" t="s">
        <v>905</v>
      </c>
    </row>
    <row r="2135" spans="1:3" x14ac:dyDescent="0.25">
      <c r="A2135" s="36">
        <v>41211</v>
      </c>
      <c r="B2135" s="122">
        <v>0.86924768518518514</v>
      </c>
      <c r="C2135" s="26" t="s">
        <v>1553</v>
      </c>
    </row>
    <row r="2136" spans="1:3" x14ac:dyDescent="0.25">
      <c r="A2136" s="36">
        <v>41211</v>
      </c>
      <c r="B2136" s="122">
        <v>0.87416666666666665</v>
      </c>
      <c r="C2136" s="26" t="s">
        <v>1553</v>
      </c>
    </row>
    <row r="2137" spans="1:3" x14ac:dyDescent="0.25">
      <c r="A2137" s="36">
        <v>41211</v>
      </c>
      <c r="B2137" s="122">
        <v>0.87467592592592591</v>
      </c>
      <c r="C2137" s="26" t="s">
        <v>1554</v>
      </c>
    </row>
    <row r="2138" spans="1:3" x14ac:dyDescent="0.25">
      <c r="A2138" s="36">
        <v>41211</v>
      </c>
      <c r="B2138" s="122">
        <v>0.87490740740740736</v>
      </c>
      <c r="C2138" s="26" t="s">
        <v>1554</v>
      </c>
    </row>
    <row r="2139" spans="1:3" x14ac:dyDescent="0.25">
      <c r="A2139" s="36">
        <v>41211</v>
      </c>
      <c r="B2139" s="122">
        <v>0.87526620370370367</v>
      </c>
      <c r="C2139" s="26" t="s">
        <v>1554</v>
      </c>
    </row>
    <row r="2140" spans="1:3" x14ac:dyDescent="0.25">
      <c r="A2140" s="36">
        <v>41211</v>
      </c>
      <c r="B2140" s="122">
        <v>0.87534722222222217</v>
      </c>
      <c r="C2140" s="26" t="s">
        <v>1207</v>
      </c>
    </row>
    <row r="2141" spans="1:3" x14ac:dyDescent="0.25">
      <c r="A2141" s="36">
        <v>41211</v>
      </c>
      <c r="B2141" s="122">
        <v>0.87534722222222217</v>
      </c>
      <c r="C2141" s="26" t="s">
        <v>1177</v>
      </c>
    </row>
    <row r="2142" spans="1:3" x14ac:dyDescent="0.25">
      <c r="A2142" s="36">
        <v>41211</v>
      </c>
      <c r="B2142" s="122">
        <v>0.87537037037037047</v>
      </c>
      <c r="C2142" s="26" t="s">
        <v>1208</v>
      </c>
    </row>
    <row r="2143" spans="1:3" x14ac:dyDescent="0.25">
      <c r="A2143" s="36">
        <v>41211</v>
      </c>
      <c r="B2143" s="122">
        <v>0.87537037037037047</v>
      </c>
      <c r="C2143" s="26" t="s">
        <v>1179</v>
      </c>
    </row>
    <row r="2144" spans="1:3" x14ac:dyDescent="0.25">
      <c r="A2144" s="36">
        <v>41211</v>
      </c>
      <c r="B2144" s="122">
        <v>0.87537037037037047</v>
      </c>
      <c r="C2144" s="26" t="s">
        <v>1180</v>
      </c>
    </row>
    <row r="2145" spans="1:3" x14ac:dyDescent="0.25">
      <c r="A2145" s="36">
        <v>41211</v>
      </c>
      <c r="B2145" s="122">
        <v>0.87539351851851854</v>
      </c>
      <c r="C2145" s="26" t="s">
        <v>1179</v>
      </c>
    </row>
    <row r="2146" spans="1:3" x14ac:dyDescent="0.25">
      <c r="A2146" s="36">
        <v>41211</v>
      </c>
      <c r="B2146" s="122">
        <v>0.87539351851851854</v>
      </c>
      <c r="C2146" s="26" t="s">
        <v>1180</v>
      </c>
    </row>
    <row r="2147" spans="1:3" x14ac:dyDescent="0.25">
      <c r="A2147" s="36">
        <v>41211</v>
      </c>
      <c r="B2147" s="122">
        <v>0.87541666666666673</v>
      </c>
      <c r="C2147" s="26" t="s">
        <v>1555</v>
      </c>
    </row>
    <row r="2148" spans="1:3" x14ac:dyDescent="0.25">
      <c r="A2148" s="36">
        <v>41211</v>
      </c>
      <c r="B2148" s="122">
        <v>0.87541666666666673</v>
      </c>
      <c r="C2148" s="26" t="s">
        <v>1556</v>
      </c>
    </row>
    <row r="2149" spans="1:3" x14ac:dyDescent="0.25">
      <c r="A2149" s="36">
        <v>41211</v>
      </c>
      <c r="B2149" s="122">
        <v>0.93164351851851857</v>
      </c>
      <c r="C2149" s="26" t="s">
        <v>1553</v>
      </c>
    </row>
    <row r="2150" spans="1:3" x14ac:dyDescent="0.25">
      <c r="A2150" s="36">
        <v>41211</v>
      </c>
      <c r="B2150" s="122">
        <v>0.9353935185185186</v>
      </c>
      <c r="C2150" s="26" t="s">
        <v>1553</v>
      </c>
    </row>
    <row r="2151" spans="1:3" x14ac:dyDescent="0.25">
      <c r="A2151" s="36">
        <v>41211</v>
      </c>
      <c r="B2151" s="122">
        <v>0.94261574074074073</v>
      </c>
      <c r="C2151" s="26" t="s">
        <v>1553</v>
      </c>
    </row>
    <row r="2152" spans="1:3" x14ac:dyDescent="0.25">
      <c r="A2152" s="36">
        <v>41211</v>
      </c>
      <c r="B2152" s="122">
        <v>0.95379629629629636</v>
      </c>
      <c r="C2152" s="26" t="s">
        <v>1553</v>
      </c>
    </row>
    <row r="2153" spans="1:3" x14ac:dyDescent="0.25">
      <c r="A2153" s="36">
        <v>41211</v>
      </c>
      <c r="B2153" s="122">
        <v>0.96326388888888881</v>
      </c>
      <c r="C2153" s="26" t="s">
        <v>1553</v>
      </c>
    </row>
    <row r="2154" spans="1:3" x14ac:dyDescent="0.25">
      <c r="A2154" s="36">
        <v>41211</v>
      </c>
      <c r="B2154" s="122">
        <v>0.96847222222222218</v>
      </c>
      <c r="C2154" s="26" t="s">
        <v>1553</v>
      </c>
    </row>
    <row r="2155" spans="1:3" x14ac:dyDescent="0.25">
      <c r="A2155" s="36">
        <v>41211</v>
      </c>
      <c r="B2155" s="122">
        <v>0.97201388888888884</v>
      </c>
      <c r="C2155" s="26" t="s">
        <v>1558</v>
      </c>
    </row>
    <row r="2156" spans="1:3" x14ac:dyDescent="0.25">
      <c r="A2156" s="36">
        <v>41211</v>
      </c>
      <c r="B2156" s="122">
        <v>0.97217592592592583</v>
      </c>
      <c r="C2156" s="26" t="s">
        <v>1553</v>
      </c>
    </row>
    <row r="2157" spans="1:3" x14ac:dyDescent="0.25">
      <c r="A2157" s="36">
        <v>41211</v>
      </c>
      <c r="B2157" s="122">
        <v>0.98655092592592597</v>
      </c>
      <c r="C2157" s="26" t="s">
        <v>1553</v>
      </c>
    </row>
    <row r="2158" spans="1:3" x14ac:dyDescent="0.25">
      <c r="A2158" s="36">
        <v>41211</v>
      </c>
      <c r="B2158" s="122">
        <v>0.98898148148148157</v>
      </c>
      <c r="C2158" s="26" t="s">
        <v>1553</v>
      </c>
    </row>
    <row r="2159" spans="1:3" x14ac:dyDescent="0.25">
      <c r="A2159" s="36">
        <v>41211</v>
      </c>
      <c r="B2159" s="122">
        <v>0.98998842592592595</v>
      </c>
      <c r="C2159" s="26" t="s">
        <v>1553</v>
      </c>
    </row>
    <row r="2160" spans="1:3" x14ac:dyDescent="0.25">
      <c r="A2160" s="36">
        <v>41211</v>
      </c>
      <c r="B2160" s="122">
        <v>0.99245370370370367</v>
      </c>
      <c r="C2160" s="26" t="s">
        <v>1553</v>
      </c>
    </row>
    <row r="2161" spans="1:3" x14ac:dyDescent="0.25">
      <c r="A2161" s="36">
        <v>41211</v>
      </c>
      <c r="B2161" s="122">
        <v>0.9943171296296297</v>
      </c>
      <c r="C2161" s="26" t="s">
        <v>1553</v>
      </c>
    </row>
    <row r="2162" spans="1:3" x14ac:dyDescent="0.25">
      <c r="A2162" s="36">
        <v>41211</v>
      </c>
      <c r="B2162" s="122">
        <v>0.9946990740740741</v>
      </c>
      <c r="C2162" s="26" t="s">
        <v>1553</v>
      </c>
    </row>
    <row r="2163" spans="1:3" x14ac:dyDescent="0.25">
      <c r="A2163" s="36">
        <v>41211</v>
      </c>
      <c r="B2163" s="122">
        <v>0.99517361111111102</v>
      </c>
      <c r="C2163" s="26" t="s">
        <v>1554</v>
      </c>
    </row>
    <row r="2164" spans="1:3" x14ac:dyDescent="0.25">
      <c r="A2164" s="36">
        <v>41211</v>
      </c>
      <c r="B2164" s="122">
        <v>0.99599537037037045</v>
      </c>
      <c r="C2164" s="26" t="s">
        <v>1554</v>
      </c>
    </row>
    <row r="2165" spans="1:3" x14ac:dyDescent="0.25">
      <c r="A2165" s="36">
        <v>41211</v>
      </c>
      <c r="B2165" s="122">
        <v>0.99700231481481483</v>
      </c>
      <c r="C2165" s="26" t="s">
        <v>1554</v>
      </c>
    </row>
    <row r="2166" spans="1:3" x14ac:dyDescent="0.25">
      <c r="A2166" s="36">
        <v>41211</v>
      </c>
      <c r="B2166" s="122">
        <v>0.99734953703703699</v>
      </c>
      <c r="C2166" s="26" t="s">
        <v>1207</v>
      </c>
    </row>
    <row r="2167" spans="1:3" x14ac:dyDescent="0.25">
      <c r="A2167" s="36">
        <v>41211</v>
      </c>
      <c r="B2167" s="122">
        <v>0.99734953703703699</v>
      </c>
      <c r="C2167" s="26" t="s">
        <v>1177</v>
      </c>
    </row>
    <row r="2168" spans="1:3" x14ac:dyDescent="0.25">
      <c r="A2168" s="36">
        <v>41212</v>
      </c>
      <c r="B2168" s="122">
        <v>1.2268518518518519E-2</v>
      </c>
      <c r="C2168" s="26" t="s">
        <v>1561</v>
      </c>
    </row>
    <row r="2169" spans="1:3" x14ac:dyDescent="0.25">
      <c r="A2169" s="36">
        <v>41212</v>
      </c>
      <c r="B2169" s="122">
        <v>1.2268518518518519E-2</v>
      </c>
      <c r="C2169" s="26" t="s">
        <v>1562</v>
      </c>
    </row>
    <row r="2170" spans="1:3" x14ac:dyDescent="0.25">
      <c r="A2170" s="36">
        <v>41212</v>
      </c>
      <c r="B2170" s="122">
        <v>6.1712962962962963E-2</v>
      </c>
      <c r="C2170" s="26" t="s">
        <v>1563</v>
      </c>
    </row>
    <row r="2171" spans="1:3" x14ac:dyDescent="0.25">
      <c r="A2171" s="36">
        <v>41212</v>
      </c>
      <c r="B2171" s="122">
        <v>6.2754629629629632E-2</v>
      </c>
      <c r="C2171" s="26" t="s">
        <v>1564</v>
      </c>
    </row>
    <row r="2172" spans="1:3" x14ac:dyDescent="0.25">
      <c r="A2172" s="36">
        <v>41212</v>
      </c>
      <c r="B2172" s="122">
        <v>6.3599537037037038E-2</v>
      </c>
      <c r="C2172" s="26" t="s">
        <v>1565</v>
      </c>
    </row>
    <row r="2173" spans="1:3" x14ac:dyDescent="0.25">
      <c r="A2173" s="36">
        <v>41212</v>
      </c>
      <c r="B2173" s="122">
        <v>6.5868055555555555E-2</v>
      </c>
      <c r="C2173" s="26" t="s">
        <v>1207</v>
      </c>
    </row>
    <row r="2174" spans="1:3" x14ac:dyDescent="0.25">
      <c r="A2174" s="36">
        <v>41212</v>
      </c>
      <c r="B2174" s="122">
        <v>6.5879629629629635E-2</v>
      </c>
      <c r="C2174" s="26" t="s">
        <v>1177</v>
      </c>
    </row>
    <row r="2175" spans="1:3" x14ac:dyDescent="0.25">
      <c r="A2175" s="36">
        <v>41212</v>
      </c>
      <c r="B2175" s="122">
        <v>6.6122685185185187E-2</v>
      </c>
      <c r="C2175" s="26" t="s">
        <v>1208</v>
      </c>
    </row>
    <row r="2176" spans="1:3" x14ac:dyDescent="0.25">
      <c r="A2176" s="36">
        <v>41212</v>
      </c>
      <c r="B2176" s="122">
        <v>6.6122685185185187E-2</v>
      </c>
      <c r="C2176" s="26" t="s">
        <v>1179</v>
      </c>
    </row>
    <row r="2177" spans="1:3" x14ac:dyDescent="0.25">
      <c r="A2177" s="36">
        <v>41212</v>
      </c>
      <c r="B2177" s="122">
        <v>6.6122685185185187E-2</v>
      </c>
      <c r="C2177" s="26" t="s">
        <v>1180</v>
      </c>
    </row>
    <row r="2178" spans="1:3" x14ac:dyDescent="0.25">
      <c r="A2178" s="36">
        <v>41212</v>
      </c>
      <c r="B2178" s="122">
        <v>6.6168981481481481E-2</v>
      </c>
      <c r="C2178" s="26" t="s">
        <v>1179</v>
      </c>
    </row>
    <row r="2179" spans="1:3" x14ac:dyDescent="0.25">
      <c r="A2179" s="36">
        <v>41212</v>
      </c>
      <c r="B2179" s="122">
        <v>6.6168981481481481E-2</v>
      </c>
      <c r="C2179" s="26" t="s">
        <v>1180</v>
      </c>
    </row>
    <row r="2180" spans="1:3" x14ac:dyDescent="0.25">
      <c r="A2180" s="36">
        <v>41212</v>
      </c>
      <c r="B2180" s="122">
        <v>6.6192129629629629E-2</v>
      </c>
      <c r="C2180" s="26" t="s">
        <v>1555</v>
      </c>
    </row>
    <row r="2181" spans="1:3" x14ac:dyDescent="0.25">
      <c r="A2181" s="36">
        <v>41212</v>
      </c>
      <c r="B2181" s="122">
        <v>6.6192129629629629E-2</v>
      </c>
      <c r="C2181" s="26" t="s">
        <v>1556</v>
      </c>
    </row>
    <row r="2182" spans="1:3" x14ac:dyDescent="0.25">
      <c r="A2182" s="36">
        <v>41212</v>
      </c>
      <c r="B2182" s="122">
        <v>0.93267361111111102</v>
      </c>
      <c r="C2182" s="26" t="s">
        <v>1566</v>
      </c>
    </row>
    <row r="2183" spans="1:3" x14ac:dyDescent="0.25">
      <c r="A2183" s="36">
        <v>41212</v>
      </c>
      <c r="B2183" s="122">
        <v>0.94842592592592589</v>
      </c>
      <c r="C2183" s="26" t="s">
        <v>1207</v>
      </c>
    </row>
    <row r="2184" spans="1:3" x14ac:dyDescent="0.25">
      <c r="A2184" s="36">
        <v>41212</v>
      </c>
      <c r="B2184" s="122">
        <v>0.94842592592592589</v>
      </c>
      <c r="C2184" s="26" t="s">
        <v>1177</v>
      </c>
    </row>
    <row r="2185" spans="1:3" x14ac:dyDescent="0.25">
      <c r="A2185" s="36">
        <v>41212</v>
      </c>
      <c r="B2185" s="122">
        <v>0.95114583333333336</v>
      </c>
      <c r="C2185" s="26" t="s">
        <v>1208</v>
      </c>
    </row>
    <row r="2186" spans="1:3" x14ac:dyDescent="0.25">
      <c r="A2186" s="36">
        <v>41212</v>
      </c>
      <c r="B2186" s="122">
        <v>0.95114583333333336</v>
      </c>
      <c r="C2186" s="26" t="s">
        <v>1179</v>
      </c>
    </row>
    <row r="2187" spans="1:3" x14ac:dyDescent="0.25">
      <c r="A2187" s="36">
        <v>41212</v>
      </c>
      <c r="B2187" s="122">
        <v>0.95114583333333336</v>
      </c>
      <c r="C2187" s="26" t="s">
        <v>1180</v>
      </c>
    </row>
    <row r="2188" spans="1:3" x14ac:dyDescent="0.25">
      <c r="A2188" s="36">
        <v>41212</v>
      </c>
      <c r="B2188" s="122">
        <v>0.96501157407407412</v>
      </c>
      <c r="C2188" s="26" t="s">
        <v>1179</v>
      </c>
    </row>
    <row r="2189" spans="1:3" x14ac:dyDescent="0.25">
      <c r="A2189" s="36">
        <v>41212</v>
      </c>
      <c r="B2189" s="122">
        <v>0.96501157407407412</v>
      </c>
      <c r="C2189" s="26" t="s">
        <v>1180</v>
      </c>
    </row>
    <row r="2190" spans="1:3" x14ac:dyDescent="0.25">
      <c r="A2190" s="36">
        <v>41212</v>
      </c>
      <c r="B2190" s="122">
        <v>0.96508101851851846</v>
      </c>
      <c r="C2190" s="26" t="s">
        <v>1555</v>
      </c>
    </row>
    <row r="2191" spans="1:3" x14ac:dyDescent="0.25">
      <c r="A2191" s="36">
        <v>41212</v>
      </c>
      <c r="B2191" s="122">
        <v>0.96508101851851846</v>
      </c>
      <c r="C2191" s="26" t="s">
        <v>1556</v>
      </c>
    </row>
    <row r="2192" spans="1:3" x14ac:dyDescent="0.25">
      <c r="A2192" s="36">
        <v>41212</v>
      </c>
      <c r="B2192" s="122">
        <v>0.97841435185185188</v>
      </c>
      <c r="C2192" s="26" t="s">
        <v>1181</v>
      </c>
    </row>
    <row r="2193" spans="1:3" x14ac:dyDescent="0.25">
      <c r="A2193" s="36">
        <v>41212</v>
      </c>
      <c r="B2193" s="122">
        <v>0.97871527777777778</v>
      </c>
      <c r="C2193" s="26" t="s">
        <v>1182</v>
      </c>
    </row>
    <row r="2194" spans="1:3" x14ac:dyDescent="0.25">
      <c r="A2194" s="36">
        <v>41212</v>
      </c>
      <c r="B2194" s="122">
        <v>0.97902777777777772</v>
      </c>
      <c r="C2194" s="26" t="s">
        <v>1183</v>
      </c>
    </row>
    <row r="2195" spans="1:3" x14ac:dyDescent="0.25">
      <c r="A2195" s="36">
        <v>41212</v>
      </c>
      <c r="B2195" s="122">
        <v>0.9790740740740741</v>
      </c>
      <c r="C2195" s="26" t="s">
        <v>1183</v>
      </c>
    </row>
    <row r="2196" spans="1:3" x14ac:dyDescent="0.25">
      <c r="A2196" s="36">
        <v>41212</v>
      </c>
      <c r="B2196" s="122">
        <v>0.97909722222222229</v>
      </c>
      <c r="C2196" s="26" t="s">
        <v>1568</v>
      </c>
    </row>
    <row r="2197" spans="1:3" x14ac:dyDescent="0.25">
      <c r="A2197" s="36">
        <v>41212</v>
      </c>
      <c r="B2197" s="122">
        <v>0.97950231481481476</v>
      </c>
      <c r="C2197" s="26" t="s">
        <v>1569</v>
      </c>
    </row>
    <row r="2198" spans="1:3" x14ac:dyDescent="0.25">
      <c r="A2198" s="36">
        <v>41212</v>
      </c>
      <c r="B2198" s="122">
        <v>0.98030092592592588</v>
      </c>
      <c r="C2198" s="26" t="s">
        <v>1561</v>
      </c>
    </row>
    <row r="2199" spans="1:3" x14ac:dyDescent="0.25">
      <c r="A2199" s="36">
        <v>41212</v>
      </c>
      <c r="B2199" s="122">
        <v>0.98030092592592588</v>
      </c>
      <c r="C2199" s="26" t="s">
        <v>1562</v>
      </c>
    </row>
    <row r="2200" spans="1:3" x14ac:dyDescent="0.25">
      <c r="A2200" s="36">
        <v>41212</v>
      </c>
      <c r="B2200" s="122">
        <v>0.98318287037037033</v>
      </c>
      <c r="C2200" s="26" t="s">
        <v>1562</v>
      </c>
    </row>
    <row r="2201" spans="1:3" x14ac:dyDescent="0.25">
      <c r="A2201" s="36">
        <v>41212</v>
      </c>
      <c r="B2201" s="122">
        <v>0.98944444444444446</v>
      </c>
      <c r="C2201" s="26" t="s">
        <v>1571</v>
      </c>
    </row>
    <row r="2202" spans="1:3" x14ac:dyDescent="0.25">
      <c r="A2202" s="36">
        <v>41213</v>
      </c>
      <c r="B2202" s="122">
        <v>7.0486111111111105E-3</v>
      </c>
      <c r="C2202" s="26" t="s">
        <v>1572</v>
      </c>
    </row>
    <row r="2203" spans="1:3" x14ac:dyDescent="0.25">
      <c r="A2203" s="36">
        <v>41213</v>
      </c>
      <c r="B2203" s="122">
        <v>8.2291666666666659E-3</v>
      </c>
      <c r="C2203" s="26" t="s">
        <v>1564</v>
      </c>
    </row>
    <row r="2204" spans="1:3" x14ac:dyDescent="0.25">
      <c r="A2204" s="36">
        <v>41213</v>
      </c>
      <c r="B2204" s="122">
        <v>8.9351851851851866E-3</v>
      </c>
      <c r="C2204" s="26" t="s">
        <v>1573</v>
      </c>
    </row>
    <row r="2205" spans="1:3" x14ac:dyDescent="0.25">
      <c r="A2205" s="36">
        <v>41213</v>
      </c>
      <c r="B2205" s="122">
        <v>1.0254629629629629E-2</v>
      </c>
      <c r="C2205" s="26" t="s">
        <v>1574</v>
      </c>
    </row>
    <row r="2206" spans="1:3" x14ac:dyDescent="0.25">
      <c r="A2206" s="36">
        <v>41213</v>
      </c>
      <c r="B2206" s="122">
        <v>1.1631944444444445E-2</v>
      </c>
      <c r="C2206" s="26" t="s">
        <v>1576</v>
      </c>
    </row>
    <row r="2207" spans="1:3" x14ac:dyDescent="0.25">
      <c r="A2207" s="36">
        <v>41213</v>
      </c>
      <c r="B2207" s="122">
        <v>1.230324074074074E-2</v>
      </c>
      <c r="C2207" s="26" t="s">
        <v>1207</v>
      </c>
    </row>
    <row r="2208" spans="1:3" x14ac:dyDescent="0.25">
      <c r="A2208" s="36">
        <v>41213</v>
      </c>
      <c r="B2208" s="122">
        <v>1.230324074074074E-2</v>
      </c>
      <c r="C2208" s="26" t="s">
        <v>1177</v>
      </c>
    </row>
    <row r="2209" spans="1:3" x14ac:dyDescent="0.25">
      <c r="A2209" s="36">
        <v>41213</v>
      </c>
      <c r="B2209" s="122">
        <v>1.238425925925926E-2</v>
      </c>
      <c r="C2209" s="26" t="s">
        <v>1208</v>
      </c>
    </row>
    <row r="2210" spans="1:3" x14ac:dyDescent="0.25">
      <c r="A2210" s="36">
        <v>41213</v>
      </c>
      <c r="B2210" s="122">
        <v>1.238425925925926E-2</v>
      </c>
      <c r="C2210" s="26" t="s">
        <v>1179</v>
      </c>
    </row>
    <row r="2211" spans="1:3" x14ac:dyDescent="0.25">
      <c r="A2211" s="36">
        <v>41213</v>
      </c>
      <c r="B2211" s="122">
        <v>1.238425925925926E-2</v>
      </c>
      <c r="C2211" s="26" t="s">
        <v>1180</v>
      </c>
    </row>
    <row r="2212" spans="1:3" x14ac:dyDescent="0.25">
      <c r="A2212" s="36">
        <v>41213</v>
      </c>
      <c r="B2212" s="122">
        <v>1.2418981481481482E-2</v>
      </c>
      <c r="C2212" s="26" t="s">
        <v>1179</v>
      </c>
    </row>
    <row r="2213" spans="1:3" x14ac:dyDescent="0.25">
      <c r="A2213" s="36">
        <v>41213</v>
      </c>
      <c r="B2213" s="122">
        <v>1.2418981481481482E-2</v>
      </c>
      <c r="C2213" s="26" t="s">
        <v>1180</v>
      </c>
    </row>
    <row r="2214" spans="1:3" x14ac:dyDescent="0.25">
      <c r="A2214" s="36">
        <v>41213</v>
      </c>
      <c r="B2214" s="122">
        <v>1.2453703703703703E-2</v>
      </c>
      <c r="C2214" s="26" t="s">
        <v>1182</v>
      </c>
    </row>
    <row r="2215" spans="1:3" x14ac:dyDescent="0.25">
      <c r="A2215" s="36">
        <v>41213</v>
      </c>
      <c r="B2215" s="122">
        <v>1.2488425925925925E-2</v>
      </c>
      <c r="C2215" s="26" t="s">
        <v>1183</v>
      </c>
    </row>
    <row r="2216" spans="1:3" x14ac:dyDescent="0.25">
      <c r="A2216" s="36">
        <v>41213</v>
      </c>
      <c r="B2216" s="122">
        <v>1.2511574074074073E-2</v>
      </c>
      <c r="C2216" s="26" t="s">
        <v>1183</v>
      </c>
    </row>
    <row r="2217" spans="1:3" x14ac:dyDescent="0.25">
      <c r="A2217" s="36">
        <v>41213</v>
      </c>
      <c r="B2217" s="122">
        <v>1.2534722222222223E-2</v>
      </c>
      <c r="C2217" s="26" t="s">
        <v>1569</v>
      </c>
    </row>
    <row r="2218" spans="1:3" x14ac:dyDescent="0.25">
      <c r="A2218" s="36">
        <v>41213</v>
      </c>
      <c r="B2218" s="122">
        <v>1.2592592592592593E-2</v>
      </c>
      <c r="C2218" s="26" t="s">
        <v>1184</v>
      </c>
    </row>
    <row r="2219" spans="1:3" x14ac:dyDescent="0.25">
      <c r="A2219" s="36">
        <v>41213</v>
      </c>
      <c r="B2219" s="122">
        <v>1.2615740740740742E-2</v>
      </c>
      <c r="C2219" s="26" t="s">
        <v>1209</v>
      </c>
    </row>
    <row r="2220" spans="1:3" x14ac:dyDescent="0.25">
      <c r="A2220" s="36">
        <v>41213</v>
      </c>
      <c r="B2220" s="122">
        <v>1.2615740740740742E-2</v>
      </c>
      <c r="C2220" s="26" t="s">
        <v>1185</v>
      </c>
    </row>
    <row r="2221" spans="1:3" x14ac:dyDescent="0.25">
      <c r="A2221" s="36">
        <v>41213</v>
      </c>
      <c r="B2221" s="122">
        <v>1.2650462962962962E-2</v>
      </c>
      <c r="C2221" s="26" t="s">
        <v>1577</v>
      </c>
    </row>
    <row r="2222" spans="1:3" x14ac:dyDescent="0.25">
      <c r="A2222" s="36">
        <v>41213</v>
      </c>
      <c r="B2222" s="122">
        <v>1.2685185185185183E-2</v>
      </c>
      <c r="C2222" s="26" t="s">
        <v>1170</v>
      </c>
    </row>
    <row r="2223" spans="1:3" x14ac:dyDescent="0.25">
      <c r="A2223" s="36">
        <v>41213</v>
      </c>
      <c r="B2223" s="122">
        <v>1.2708333333333334E-2</v>
      </c>
      <c r="C2223" s="26" t="s">
        <v>1189</v>
      </c>
    </row>
    <row r="2224" spans="1:3" x14ac:dyDescent="0.25">
      <c r="A2224" s="36">
        <v>41213</v>
      </c>
      <c r="B2224" s="122">
        <v>1.3784722222222224E-2</v>
      </c>
      <c r="C2224" s="26" t="s">
        <v>1578</v>
      </c>
    </row>
    <row r="2225" spans="1:3" x14ac:dyDescent="0.25">
      <c r="A2225" s="36">
        <v>41213</v>
      </c>
      <c r="B2225" s="122">
        <v>1.3900462962962962E-2</v>
      </c>
      <c r="C2225" s="26" t="s">
        <v>1190</v>
      </c>
    </row>
    <row r="2226" spans="1:3" x14ac:dyDescent="0.25">
      <c r="A2226" s="36">
        <v>41213</v>
      </c>
      <c r="B2226" s="122">
        <v>1.3900462962962962E-2</v>
      </c>
      <c r="C2226" s="26" t="s">
        <v>1191</v>
      </c>
    </row>
    <row r="2227" spans="1:3" x14ac:dyDescent="0.25">
      <c r="A2227" s="36">
        <v>41213</v>
      </c>
      <c r="B2227" s="122">
        <v>1.3946759259259258E-2</v>
      </c>
      <c r="C2227" s="26" t="s">
        <v>1193</v>
      </c>
    </row>
    <row r="2228" spans="1:3" x14ac:dyDescent="0.25">
      <c r="A2228" s="36">
        <v>41213</v>
      </c>
      <c r="B2228" s="122">
        <v>1.3969907407407408E-2</v>
      </c>
      <c r="C2228" s="26" t="s">
        <v>1579</v>
      </c>
    </row>
    <row r="2229" spans="1:3" x14ac:dyDescent="0.25">
      <c r="A2229" s="36">
        <v>41213</v>
      </c>
      <c r="B2229" s="122">
        <v>1.3969907407407408E-2</v>
      </c>
      <c r="C2229" s="26" t="s">
        <v>1580</v>
      </c>
    </row>
    <row r="2230" spans="1:3" x14ac:dyDescent="0.25">
      <c r="A2230" s="36">
        <v>41213</v>
      </c>
      <c r="B2230" s="122">
        <v>1.4004629629629631E-2</v>
      </c>
      <c r="C2230" s="26" t="s">
        <v>1581</v>
      </c>
    </row>
    <row r="2231" spans="1:3" x14ac:dyDescent="0.25">
      <c r="A2231" s="36">
        <v>41213</v>
      </c>
      <c r="B2231" s="122">
        <v>1.4027777777777778E-2</v>
      </c>
      <c r="C2231" s="26" t="s">
        <v>1582</v>
      </c>
    </row>
    <row r="2232" spans="1:3" x14ac:dyDescent="0.25">
      <c r="A2232" s="36">
        <v>41213</v>
      </c>
      <c r="B2232" s="122">
        <v>1.40625E-2</v>
      </c>
      <c r="C2232" s="26" t="s">
        <v>1583</v>
      </c>
    </row>
    <row r="2233" spans="1:3" x14ac:dyDescent="0.25">
      <c r="A2233" s="36">
        <v>41213</v>
      </c>
      <c r="B2233" s="122">
        <v>1.4085648148148151E-2</v>
      </c>
      <c r="C2233" s="26" t="s">
        <v>1584</v>
      </c>
    </row>
    <row r="2234" spans="1:3" x14ac:dyDescent="0.25">
      <c r="A2234" s="36">
        <v>41213</v>
      </c>
      <c r="B2234" s="122">
        <v>1.4085648148148151E-2</v>
      </c>
      <c r="C2234" s="26" t="s">
        <v>1585</v>
      </c>
    </row>
    <row r="2235" spans="1:3" x14ac:dyDescent="0.25">
      <c r="A2235" s="36">
        <v>41213</v>
      </c>
      <c r="B2235" s="122">
        <v>1.4085648148148151E-2</v>
      </c>
      <c r="C2235" s="26" t="s">
        <v>1586</v>
      </c>
    </row>
    <row r="2236" spans="1:3" x14ac:dyDescent="0.25">
      <c r="A2236" s="36">
        <v>41213</v>
      </c>
      <c r="B2236" s="122">
        <v>1.4120370370370368E-2</v>
      </c>
      <c r="C2236" s="26" t="s">
        <v>1587</v>
      </c>
    </row>
    <row r="2237" spans="1:3" x14ac:dyDescent="0.25">
      <c r="A2237" s="36">
        <v>41213</v>
      </c>
      <c r="B2237" s="122">
        <v>1.4120370370370368E-2</v>
      </c>
      <c r="C2237" s="26" t="s">
        <v>1588</v>
      </c>
    </row>
    <row r="2238" spans="1:3" x14ac:dyDescent="0.25">
      <c r="A2238" s="36">
        <v>41213</v>
      </c>
      <c r="B2238" s="122">
        <v>1.4143518518518519E-2</v>
      </c>
      <c r="C2238" s="26" t="s">
        <v>1190</v>
      </c>
    </row>
    <row r="2239" spans="1:3" x14ac:dyDescent="0.25">
      <c r="A2239" s="36">
        <v>41213</v>
      </c>
      <c r="B2239" s="122">
        <v>1.4143518518518519E-2</v>
      </c>
      <c r="C2239" s="26" t="s">
        <v>1191</v>
      </c>
    </row>
    <row r="2240" spans="1:3" x14ac:dyDescent="0.25">
      <c r="A2240" s="36">
        <v>41213</v>
      </c>
      <c r="B2240" s="122">
        <v>1.4270833333333335E-2</v>
      </c>
      <c r="C2240" s="26" t="s">
        <v>1589</v>
      </c>
    </row>
    <row r="2241" spans="1:3" x14ac:dyDescent="0.25">
      <c r="A2241" s="36">
        <v>41213</v>
      </c>
      <c r="B2241" s="122">
        <v>1.4270833333333335E-2</v>
      </c>
      <c r="C2241" s="26" t="s">
        <v>1590</v>
      </c>
    </row>
    <row r="2242" spans="1:3" x14ac:dyDescent="0.25">
      <c r="A2242" s="36">
        <v>41213</v>
      </c>
      <c r="B2242" s="122">
        <v>1.4270833333333335E-2</v>
      </c>
      <c r="C2242" s="26" t="s">
        <v>1591</v>
      </c>
    </row>
    <row r="2243" spans="1:3" x14ac:dyDescent="0.25">
      <c r="A2243" s="36">
        <v>41213</v>
      </c>
      <c r="B2243" s="122">
        <v>1.4305555555555557E-2</v>
      </c>
      <c r="C2243" s="26" t="s">
        <v>1568</v>
      </c>
    </row>
    <row r="2244" spans="1:3" x14ac:dyDescent="0.25">
      <c r="A2244" s="36">
        <v>41213</v>
      </c>
      <c r="B2244" s="122">
        <v>1.4340277777777776E-2</v>
      </c>
      <c r="C2244" s="26" t="s">
        <v>1592</v>
      </c>
    </row>
    <row r="2245" spans="1:3" x14ac:dyDescent="0.25">
      <c r="A2245" s="36">
        <v>41213</v>
      </c>
      <c r="B2245" s="122">
        <v>1.4340277777777776E-2</v>
      </c>
      <c r="C2245" s="26" t="s">
        <v>1589</v>
      </c>
    </row>
    <row r="2246" spans="1:3" x14ac:dyDescent="0.25">
      <c r="A2246" s="36">
        <v>41213</v>
      </c>
      <c r="B2246" s="122">
        <v>1.4340277777777776E-2</v>
      </c>
      <c r="C2246" s="26" t="s">
        <v>1590</v>
      </c>
    </row>
    <row r="2247" spans="1:3" x14ac:dyDescent="0.25">
      <c r="A2247" s="36">
        <v>41213</v>
      </c>
      <c r="B2247" s="122">
        <v>1.4340277777777776E-2</v>
      </c>
      <c r="C2247" s="26" t="s">
        <v>1591</v>
      </c>
    </row>
    <row r="2248" spans="1:3" x14ac:dyDescent="0.25">
      <c r="A2248" s="36">
        <v>41213</v>
      </c>
      <c r="B2248" s="122">
        <v>1.4374999999999999E-2</v>
      </c>
      <c r="C2248" s="26" t="s">
        <v>1593</v>
      </c>
    </row>
    <row r="2249" spans="1:3" x14ac:dyDescent="0.25">
      <c r="A2249" s="36">
        <v>41213</v>
      </c>
      <c r="B2249" s="122">
        <v>1.4374999999999999E-2</v>
      </c>
      <c r="C2249" s="26" t="s">
        <v>1594</v>
      </c>
    </row>
    <row r="2250" spans="1:3" x14ac:dyDescent="0.25">
      <c r="A2250" s="36">
        <v>41213</v>
      </c>
      <c r="B2250" s="122">
        <v>1.4421296296296295E-2</v>
      </c>
      <c r="C2250" s="26" t="s">
        <v>1190</v>
      </c>
    </row>
    <row r="2251" spans="1:3" x14ac:dyDescent="0.25">
      <c r="A2251" s="36">
        <v>41213</v>
      </c>
      <c r="B2251" s="122">
        <v>1.4421296296296295E-2</v>
      </c>
      <c r="C2251" s="26" t="s">
        <v>1191</v>
      </c>
    </row>
    <row r="2252" spans="1:3" x14ac:dyDescent="0.25">
      <c r="A2252" s="36">
        <v>41213</v>
      </c>
      <c r="B2252" s="122">
        <v>1.4456018518518519E-2</v>
      </c>
      <c r="C2252" s="26" t="s">
        <v>1595</v>
      </c>
    </row>
    <row r="2253" spans="1:3" x14ac:dyDescent="0.25">
      <c r="A2253" s="36">
        <v>41213</v>
      </c>
      <c r="B2253" s="122">
        <v>1.4456018518518519E-2</v>
      </c>
      <c r="C2253" s="26" t="s">
        <v>1596</v>
      </c>
    </row>
    <row r="2254" spans="1:3" x14ac:dyDescent="0.25">
      <c r="A2254" s="36">
        <v>41213</v>
      </c>
      <c r="B2254" s="122">
        <v>1.4456018518518519E-2</v>
      </c>
      <c r="C2254" s="26" t="s">
        <v>1597</v>
      </c>
    </row>
    <row r="2255" spans="1:3" x14ac:dyDescent="0.25">
      <c r="A2255" s="36">
        <v>41213</v>
      </c>
      <c r="B2255" s="122">
        <v>1.4479166666666668E-2</v>
      </c>
      <c r="C2255" s="26" t="s">
        <v>1598</v>
      </c>
    </row>
    <row r="2256" spans="1:3" x14ac:dyDescent="0.25">
      <c r="A2256" s="36">
        <v>41213</v>
      </c>
      <c r="B2256" s="122">
        <v>1.4502314814814815E-2</v>
      </c>
      <c r="C2256" s="26" t="s">
        <v>1599</v>
      </c>
    </row>
    <row r="2257" spans="1:3" x14ac:dyDescent="0.25">
      <c r="A2257" s="36">
        <v>41213</v>
      </c>
      <c r="B2257" s="122">
        <v>1.4502314814814815E-2</v>
      </c>
      <c r="C2257" s="26" t="s">
        <v>1600</v>
      </c>
    </row>
    <row r="2258" spans="1:3" x14ac:dyDescent="0.25">
      <c r="A2258" s="36">
        <v>41213</v>
      </c>
      <c r="B2258" s="122">
        <v>1.4525462962962964E-2</v>
      </c>
      <c r="C2258" s="26" t="s">
        <v>1601</v>
      </c>
    </row>
    <row r="2259" spans="1:3" x14ac:dyDescent="0.25">
      <c r="A2259" s="36">
        <v>41213</v>
      </c>
      <c r="B2259" s="122">
        <v>1.4583333333333332E-2</v>
      </c>
      <c r="C2259" s="26" t="s">
        <v>1173</v>
      </c>
    </row>
    <row r="2260" spans="1:3" x14ac:dyDescent="0.25">
      <c r="A2260" s="36">
        <v>41213</v>
      </c>
      <c r="B2260" s="122">
        <v>1.462962962962963E-2</v>
      </c>
      <c r="C2260" s="26" t="s">
        <v>1577</v>
      </c>
    </row>
    <row r="2261" spans="1:3" x14ac:dyDescent="0.25">
      <c r="A2261" s="36">
        <v>41213</v>
      </c>
      <c r="B2261" s="122">
        <v>1.4652777777777778E-2</v>
      </c>
      <c r="C2261" s="26" t="s">
        <v>1587</v>
      </c>
    </row>
    <row r="2262" spans="1:3" x14ac:dyDescent="0.25">
      <c r="A2262" s="36">
        <v>41213</v>
      </c>
      <c r="B2262" s="122">
        <v>1.4652777777777778E-2</v>
      </c>
      <c r="C2262" s="26" t="s">
        <v>1588</v>
      </c>
    </row>
    <row r="2263" spans="1:3" x14ac:dyDescent="0.25">
      <c r="A2263" s="36">
        <v>41213</v>
      </c>
      <c r="B2263" s="122">
        <v>1.4687499999999999E-2</v>
      </c>
      <c r="C2263" s="26" t="s">
        <v>1602</v>
      </c>
    </row>
    <row r="2264" spans="1:3" x14ac:dyDescent="0.25">
      <c r="A2264" s="36">
        <v>41213</v>
      </c>
      <c r="B2264" s="122">
        <v>1.4687499999999999E-2</v>
      </c>
      <c r="C2264" s="26" t="s">
        <v>1603</v>
      </c>
    </row>
    <row r="2265" spans="1:3" x14ac:dyDescent="0.25">
      <c r="A2265" s="36">
        <v>41213</v>
      </c>
      <c r="B2265" s="122">
        <v>1.4710648148148148E-2</v>
      </c>
      <c r="C2265" s="26" t="s">
        <v>1568</v>
      </c>
    </row>
    <row r="2266" spans="1:3" x14ac:dyDescent="0.25">
      <c r="A2266" s="36">
        <v>41213</v>
      </c>
      <c r="B2266" s="122">
        <v>1.4768518518518519E-2</v>
      </c>
      <c r="C2266" s="26" t="s">
        <v>1184</v>
      </c>
    </row>
    <row r="2267" spans="1:3" x14ac:dyDescent="0.25">
      <c r="A2267" s="36">
        <v>41213</v>
      </c>
      <c r="B2267" s="122">
        <v>1.480324074074074E-2</v>
      </c>
      <c r="C2267" s="26" t="s">
        <v>1181</v>
      </c>
    </row>
    <row r="2268" spans="1:3" x14ac:dyDescent="0.25">
      <c r="A2268" s="36">
        <v>41213</v>
      </c>
      <c r="B2268" s="122">
        <v>1.4849537037037036E-2</v>
      </c>
      <c r="C2268" s="26" t="s">
        <v>1604</v>
      </c>
    </row>
    <row r="2269" spans="1:3" x14ac:dyDescent="0.25">
      <c r="A2269" s="36">
        <v>41213</v>
      </c>
      <c r="B2269" s="122">
        <v>1.4849537037037036E-2</v>
      </c>
      <c r="C2269" s="26" t="s">
        <v>1605</v>
      </c>
    </row>
    <row r="2270" spans="1:3" x14ac:dyDescent="0.25">
      <c r="A2270" s="36">
        <v>41213</v>
      </c>
      <c r="B2270" s="122">
        <v>1.4849537037037036E-2</v>
      </c>
      <c r="C2270" s="26" t="s">
        <v>1606</v>
      </c>
    </row>
    <row r="2271" spans="1:3" x14ac:dyDescent="0.25">
      <c r="A2271" s="36">
        <v>41213</v>
      </c>
      <c r="B2271" s="122">
        <v>1.4849537037037036E-2</v>
      </c>
      <c r="C2271" s="26" t="s">
        <v>1607</v>
      </c>
    </row>
    <row r="2272" spans="1:3" x14ac:dyDescent="0.25">
      <c r="A2272" s="36">
        <v>41213</v>
      </c>
      <c r="B2272" s="122">
        <v>1.4849537037037036E-2</v>
      </c>
      <c r="C2272" s="26" t="s">
        <v>1608</v>
      </c>
    </row>
    <row r="2273" spans="1:3" x14ac:dyDescent="0.25">
      <c r="A2273" s="36">
        <v>41213</v>
      </c>
      <c r="B2273" s="122">
        <v>1.4884259259259259E-2</v>
      </c>
      <c r="C2273" s="26" t="s">
        <v>1604</v>
      </c>
    </row>
    <row r="2274" spans="1:3" x14ac:dyDescent="0.25">
      <c r="A2274" s="36">
        <v>41213</v>
      </c>
      <c r="B2274" s="122">
        <v>1.4884259259259259E-2</v>
      </c>
      <c r="C2274" s="26" t="s">
        <v>1605</v>
      </c>
    </row>
    <row r="2275" spans="1:3" x14ac:dyDescent="0.25">
      <c r="A2275" s="36">
        <v>41213</v>
      </c>
      <c r="B2275" s="122">
        <v>1.4884259259259259E-2</v>
      </c>
      <c r="C2275" s="26" t="s">
        <v>1606</v>
      </c>
    </row>
    <row r="2276" spans="1:3" x14ac:dyDescent="0.25">
      <c r="A2276" s="36">
        <v>41213</v>
      </c>
      <c r="B2276" s="122">
        <v>1.4884259259259259E-2</v>
      </c>
      <c r="C2276" s="26" t="s">
        <v>1607</v>
      </c>
    </row>
    <row r="2277" spans="1:3" x14ac:dyDescent="0.25">
      <c r="A2277" s="36">
        <v>41213</v>
      </c>
      <c r="B2277" s="122">
        <v>1.4884259259259259E-2</v>
      </c>
      <c r="C2277" s="26" t="s">
        <v>1608</v>
      </c>
    </row>
    <row r="2278" spans="1:3" x14ac:dyDescent="0.25">
      <c r="A2278" s="36">
        <v>41213</v>
      </c>
      <c r="B2278" s="122">
        <v>1.4907407407407406E-2</v>
      </c>
      <c r="C2278" s="26" t="s">
        <v>1609</v>
      </c>
    </row>
    <row r="2279" spans="1:3" x14ac:dyDescent="0.25">
      <c r="A2279" s="36">
        <v>41213</v>
      </c>
      <c r="B2279" s="122">
        <v>1.4907407407407406E-2</v>
      </c>
      <c r="C2279" s="26" t="s">
        <v>1610</v>
      </c>
    </row>
    <row r="2280" spans="1:3" x14ac:dyDescent="0.25">
      <c r="A2280" s="36">
        <v>41213</v>
      </c>
      <c r="B2280" s="122">
        <v>1.4930555555555556E-2</v>
      </c>
      <c r="C2280" s="26" t="s">
        <v>1611</v>
      </c>
    </row>
    <row r="2281" spans="1:3" x14ac:dyDescent="0.25">
      <c r="A2281" s="36">
        <v>41213</v>
      </c>
      <c r="B2281" s="122">
        <v>1.4930555555555556E-2</v>
      </c>
      <c r="C2281" s="26" t="s">
        <v>1186</v>
      </c>
    </row>
    <row r="2282" spans="1:3" x14ac:dyDescent="0.25">
      <c r="A2282" s="36">
        <v>41213</v>
      </c>
      <c r="B2282" s="122">
        <v>1.4930555555555556E-2</v>
      </c>
      <c r="C2282" s="26" t="s">
        <v>1187</v>
      </c>
    </row>
    <row r="2283" spans="1:3" x14ac:dyDescent="0.25">
      <c r="A2283" s="36">
        <v>41213</v>
      </c>
      <c r="B2283" s="122">
        <v>1.4953703703703705E-2</v>
      </c>
      <c r="C2283" s="26" t="s">
        <v>1593</v>
      </c>
    </row>
    <row r="2284" spans="1:3" x14ac:dyDescent="0.25">
      <c r="A2284" s="36">
        <v>41213</v>
      </c>
      <c r="B2284" s="122">
        <v>1.4953703703703705E-2</v>
      </c>
      <c r="C2284" s="26" t="s">
        <v>1594</v>
      </c>
    </row>
    <row r="2285" spans="1:3" x14ac:dyDescent="0.25">
      <c r="A2285" s="36">
        <v>41213</v>
      </c>
      <c r="B2285" s="122">
        <v>1.5000000000000001E-2</v>
      </c>
      <c r="C2285" s="26" t="s">
        <v>1612</v>
      </c>
    </row>
    <row r="2286" spans="1:3" x14ac:dyDescent="0.25">
      <c r="A2286" s="36">
        <v>41213</v>
      </c>
      <c r="B2286" s="122">
        <v>1.5000000000000001E-2</v>
      </c>
      <c r="C2286" s="26" t="s">
        <v>1613</v>
      </c>
    </row>
    <row r="2287" spans="1:3" x14ac:dyDescent="0.25">
      <c r="A2287" s="36">
        <v>41213</v>
      </c>
      <c r="B2287" s="122">
        <v>1.5023148148148148E-2</v>
      </c>
      <c r="C2287" s="26" t="s">
        <v>1614</v>
      </c>
    </row>
    <row r="2288" spans="1:3" x14ac:dyDescent="0.25">
      <c r="A2288" s="36">
        <v>41213</v>
      </c>
      <c r="B2288" s="122">
        <v>1.5023148148148148E-2</v>
      </c>
      <c r="C2288" s="26" t="s">
        <v>1615</v>
      </c>
    </row>
    <row r="2289" spans="1:3" x14ac:dyDescent="0.25">
      <c r="A2289" s="36">
        <v>41213</v>
      </c>
      <c r="B2289" s="122">
        <v>1.5023148148148148E-2</v>
      </c>
      <c r="C2289" s="26" t="s">
        <v>1616</v>
      </c>
    </row>
    <row r="2290" spans="1:3" x14ac:dyDescent="0.25">
      <c r="A2290" s="36">
        <v>41213</v>
      </c>
      <c r="B2290" s="122">
        <v>1.5023148148148148E-2</v>
      </c>
      <c r="C2290" s="26" t="s">
        <v>1617</v>
      </c>
    </row>
    <row r="2291" spans="1:3" x14ac:dyDescent="0.25">
      <c r="A2291" s="36">
        <v>41213</v>
      </c>
      <c r="B2291" s="122">
        <v>1.5046296296296295E-2</v>
      </c>
      <c r="C2291" s="26" t="s">
        <v>1602</v>
      </c>
    </row>
    <row r="2292" spans="1:3" x14ac:dyDescent="0.25">
      <c r="A2292" s="36">
        <v>41213</v>
      </c>
      <c r="B2292" s="122">
        <v>1.5046296296296295E-2</v>
      </c>
      <c r="C2292" s="26" t="s">
        <v>1603</v>
      </c>
    </row>
    <row r="2293" spans="1:3" x14ac:dyDescent="0.25">
      <c r="A2293" s="36">
        <v>41213</v>
      </c>
      <c r="B2293" s="122">
        <v>1.5069444444444443E-2</v>
      </c>
      <c r="C2293" s="26" t="s">
        <v>1602</v>
      </c>
    </row>
    <row r="2294" spans="1:3" x14ac:dyDescent="0.25">
      <c r="A2294" s="36">
        <v>41213</v>
      </c>
      <c r="B2294" s="122">
        <v>1.5069444444444443E-2</v>
      </c>
      <c r="C2294" s="26" t="s">
        <v>1603</v>
      </c>
    </row>
    <row r="2295" spans="1:3" x14ac:dyDescent="0.25">
      <c r="A2295" s="36">
        <v>41213</v>
      </c>
      <c r="B2295" s="122">
        <v>1.5092592592592593E-2</v>
      </c>
      <c r="C2295" s="26" t="s">
        <v>1618</v>
      </c>
    </row>
    <row r="2296" spans="1:3" x14ac:dyDescent="0.25">
      <c r="A2296" s="36">
        <v>41213</v>
      </c>
      <c r="B2296" s="122">
        <v>1.511574074074074E-2</v>
      </c>
      <c r="C2296" s="26" t="s">
        <v>1619</v>
      </c>
    </row>
    <row r="2297" spans="1:3" x14ac:dyDescent="0.25">
      <c r="A2297" s="36">
        <v>41213</v>
      </c>
      <c r="B2297" s="122">
        <v>1.5138888888888889E-2</v>
      </c>
      <c r="C2297" s="26" t="s">
        <v>1620</v>
      </c>
    </row>
    <row r="2298" spans="1:3" x14ac:dyDescent="0.25">
      <c r="A2298" s="36">
        <v>41213</v>
      </c>
      <c r="B2298" s="122">
        <v>1.5162037037037036E-2</v>
      </c>
      <c r="C2298" s="26" t="s">
        <v>1621</v>
      </c>
    </row>
    <row r="2299" spans="1:3" x14ac:dyDescent="0.25">
      <c r="A2299" s="36">
        <v>41213</v>
      </c>
      <c r="B2299" s="122">
        <v>1.5162037037037036E-2</v>
      </c>
      <c r="C2299" s="26" t="s">
        <v>1622</v>
      </c>
    </row>
    <row r="2300" spans="1:3" x14ac:dyDescent="0.25">
      <c r="A2300" s="36">
        <v>41213</v>
      </c>
      <c r="B2300" s="122">
        <v>1.5162037037037036E-2</v>
      </c>
      <c r="C2300" s="26" t="s">
        <v>1623</v>
      </c>
    </row>
    <row r="2301" spans="1:3" x14ac:dyDescent="0.25">
      <c r="A2301" s="36">
        <v>41213</v>
      </c>
      <c r="B2301" s="122">
        <v>1.5185185185185185E-2</v>
      </c>
      <c r="C2301" s="26" t="s">
        <v>1621</v>
      </c>
    </row>
    <row r="2302" spans="1:3" x14ac:dyDescent="0.25">
      <c r="A2302" s="36">
        <v>41213</v>
      </c>
      <c r="B2302" s="122">
        <v>1.5185185185185185E-2</v>
      </c>
      <c r="C2302" s="26" t="s">
        <v>1622</v>
      </c>
    </row>
    <row r="2303" spans="1:3" x14ac:dyDescent="0.25">
      <c r="A2303" s="36">
        <v>41213</v>
      </c>
      <c r="B2303" s="122">
        <v>1.5185185185185185E-2</v>
      </c>
      <c r="C2303" s="26" t="s">
        <v>1623</v>
      </c>
    </row>
    <row r="2304" spans="1:3" x14ac:dyDescent="0.25">
      <c r="A2304" s="36">
        <v>41213</v>
      </c>
      <c r="B2304" s="122">
        <v>1.5266203703703705E-2</v>
      </c>
      <c r="C2304" s="26" t="s">
        <v>1624</v>
      </c>
    </row>
    <row r="2305" spans="1:3" x14ac:dyDescent="0.25">
      <c r="A2305" s="36">
        <v>41213</v>
      </c>
      <c r="B2305" s="122">
        <v>1.5266203703703705E-2</v>
      </c>
      <c r="C2305" s="26" t="s">
        <v>1625</v>
      </c>
    </row>
    <row r="2306" spans="1:3" x14ac:dyDescent="0.25">
      <c r="A2306" s="36">
        <v>41213</v>
      </c>
      <c r="B2306" s="122">
        <v>1.5289351851851851E-2</v>
      </c>
      <c r="C2306" s="26" t="s">
        <v>1626</v>
      </c>
    </row>
    <row r="2307" spans="1:3" x14ac:dyDescent="0.25">
      <c r="A2307" s="36">
        <v>41213</v>
      </c>
      <c r="B2307" s="122">
        <v>1.5347222222222222E-2</v>
      </c>
      <c r="C2307" s="26" t="s">
        <v>1627</v>
      </c>
    </row>
    <row r="2308" spans="1:3" x14ac:dyDescent="0.25">
      <c r="A2308" s="36">
        <v>41213</v>
      </c>
      <c r="B2308" s="122">
        <v>1.5347222222222222E-2</v>
      </c>
      <c r="C2308" s="26" t="s">
        <v>1628</v>
      </c>
    </row>
    <row r="2309" spans="1:3" x14ac:dyDescent="0.25">
      <c r="A2309" s="36">
        <v>41213</v>
      </c>
      <c r="B2309" s="122">
        <v>1.5370370370370369E-2</v>
      </c>
      <c r="C2309" s="26" t="s">
        <v>1629</v>
      </c>
    </row>
    <row r="2310" spans="1:3" x14ac:dyDescent="0.25">
      <c r="A2310" s="36">
        <v>41213</v>
      </c>
      <c r="B2310" s="122">
        <v>1.5370370370370369E-2</v>
      </c>
      <c r="C2310" s="26" t="s">
        <v>1630</v>
      </c>
    </row>
    <row r="2311" spans="1:3" x14ac:dyDescent="0.25">
      <c r="A2311" s="36">
        <v>41213</v>
      </c>
      <c r="B2311" s="122">
        <v>1.539351851851852E-2</v>
      </c>
      <c r="C2311" s="26" t="s">
        <v>1631</v>
      </c>
    </row>
    <row r="2312" spans="1:3" x14ac:dyDescent="0.25">
      <c r="A2312" s="36">
        <v>41213</v>
      </c>
      <c r="B2312" s="122">
        <v>1.539351851851852E-2</v>
      </c>
      <c r="C2312" s="26" t="s">
        <v>1632</v>
      </c>
    </row>
    <row r="2313" spans="1:3" x14ac:dyDescent="0.25">
      <c r="A2313" s="36">
        <v>41213</v>
      </c>
      <c r="B2313" s="122">
        <v>1.5439814814814816E-2</v>
      </c>
      <c r="C2313" s="26" t="s">
        <v>1631</v>
      </c>
    </row>
    <row r="2314" spans="1:3" x14ac:dyDescent="0.25">
      <c r="A2314" s="36">
        <v>41213</v>
      </c>
      <c r="B2314" s="122">
        <v>1.545138888888889E-2</v>
      </c>
      <c r="C2314" s="26" t="s">
        <v>1632</v>
      </c>
    </row>
    <row r="2315" spans="1:3" x14ac:dyDescent="0.25">
      <c r="A2315" s="36">
        <v>41213</v>
      </c>
      <c r="B2315" s="122">
        <v>1.5474537037037038E-2</v>
      </c>
      <c r="C2315" s="26" t="s">
        <v>1587</v>
      </c>
    </row>
    <row r="2316" spans="1:3" x14ac:dyDescent="0.25">
      <c r="A2316" s="36">
        <v>41213</v>
      </c>
      <c r="B2316" s="122">
        <v>1.5474537037037038E-2</v>
      </c>
      <c r="C2316" s="26" t="s">
        <v>1588</v>
      </c>
    </row>
    <row r="2317" spans="1:3" x14ac:dyDescent="0.25">
      <c r="A2317" s="36">
        <v>41213</v>
      </c>
      <c r="B2317" s="122">
        <v>1.5497685185185186E-2</v>
      </c>
      <c r="C2317" s="26" t="s">
        <v>1633</v>
      </c>
    </row>
    <row r="2318" spans="1:3" x14ac:dyDescent="0.25">
      <c r="A2318" s="36">
        <v>41213</v>
      </c>
      <c r="B2318" s="122">
        <v>1.5555555555555553E-2</v>
      </c>
      <c r="C2318" s="26" t="s">
        <v>1634</v>
      </c>
    </row>
    <row r="2319" spans="1:3" x14ac:dyDescent="0.25">
      <c r="A2319" s="36">
        <v>41213</v>
      </c>
      <c r="B2319" s="122">
        <v>1.5555555555555553E-2</v>
      </c>
      <c r="C2319" s="26" t="s">
        <v>1635</v>
      </c>
    </row>
    <row r="2320" spans="1:3" x14ac:dyDescent="0.25">
      <c r="A2320" s="36">
        <v>41213</v>
      </c>
      <c r="B2320" s="122">
        <v>1.5578703703703704E-2</v>
      </c>
      <c r="C2320" s="26" t="s">
        <v>1636</v>
      </c>
    </row>
    <row r="2321" spans="1:3" x14ac:dyDescent="0.25">
      <c r="A2321" s="36">
        <v>41213</v>
      </c>
      <c r="B2321" s="122">
        <v>1.5601851851851851E-2</v>
      </c>
      <c r="C2321" s="26" t="s">
        <v>1637</v>
      </c>
    </row>
    <row r="2322" spans="1:3" x14ac:dyDescent="0.25">
      <c r="A2322" s="36">
        <v>41213</v>
      </c>
      <c r="B2322" s="122">
        <v>1.5601851851851851E-2</v>
      </c>
      <c r="C2322" s="26" t="s">
        <v>1638</v>
      </c>
    </row>
    <row r="2323" spans="1:3" x14ac:dyDescent="0.25">
      <c r="A2323" s="36">
        <v>41213</v>
      </c>
      <c r="B2323" s="122">
        <v>1.5636574074074074E-2</v>
      </c>
      <c r="C2323" s="26" t="s">
        <v>1629</v>
      </c>
    </row>
    <row r="2324" spans="1:3" x14ac:dyDescent="0.25">
      <c r="A2324" s="36">
        <v>41213</v>
      </c>
      <c r="B2324" s="122">
        <v>1.5636574074074074E-2</v>
      </c>
      <c r="C2324" s="26" t="s">
        <v>1630</v>
      </c>
    </row>
    <row r="2325" spans="1:3" x14ac:dyDescent="0.25">
      <c r="A2325" s="36">
        <v>41213</v>
      </c>
      <c r="B2325" s="122">
        <v>1.5763888888888886E-2</v>
      </c>
      <c r="C2325" s="26" t="s">
        <v>1639</v>
      </c>
    </row>
    <row r="2326" spans="1:3" x14ac:dyDescent="0.25">
      <c r="A2326" s="36">
        <v>41213</v>
      </c>
      <c r="B2326" s="122">
        <v>1.5914351851851853E-2</v>
      </c>
      <c r="C2326" s="26" t="s">
        <v>1640</v>
      </c>
    </row>
    <row r="2327" spans="1:3" x14ac:dyDescent="0.25">
      <c r="A2327" s="36">
        <v>41213</v>
      </c>
      <c r="B2327" s="122">
        <v>2.9652777777777778E-2</v>
      </c>
      <c r="C2327" s="26" t="s">
        <v>1641</v>
      </c>
    </row>
    <row r="2328" spans="1:3" x14ac:dyDescent="0.25">
      <c r="A2328" s="36">
        <v>41213</v>
      </c>
      <c r="B2328" s="122">
        <v>3.2893518518518523E-2</v>
      </c>
      <c r="C2328" s="26" t="s">
        <v>1564</v>
      </c>
    </row>
    <row r="2329" spans="1:3" x14ac:dyDescent="0.25">
      <c r="A2329" s="36">
        <v>41213</v>
      </c>
      <c r="B2329" s="122">
        <v>3.412037037037037E-2</v>
      </c>
      <c r="C2329" s="26" t="s">
        <v>1642</v>
      </c>
    </row>
    <row r="2330" spans="1:3" x14ac:dyDescent="0.25">
      <c r="A2330" s="36">
        <v>41213</v>
      </c>
      <c r="B2330" s="122">
        <v>4.5706018518518521E-2</v>
      </c>
      <c r="C2330" s="26" t="s">
        <v>1207</v>
      </c>
    </row>
    <row r="2331" spans="1:3" x14ac:dyDescent="0.25">
      <c r="A2331" s="36">
        <v>41213</v>
      </c>
      <c r="B2331" s="122">
        <v>4.5706018518518521E-2</v>
      </c>
      <c r="C2331" s="26" t="s">
        <v>1177</v>
      </c>
    </row>
    <row r="2332" spans="1:3" x14ac:dyDescent="0.25">
      <c r="A2332" s="36">
        <v>41213</v>
      </c>
      <c r="B2332" s="122">
        <v>5.7384259259259253E-2</v>
      </c>
      <c r="C2332" s="26" t="s">
        <v>1207</v>
      </c>
    </row>
    <row r="2333" spans="1:3" x14ac:dyDescent="0.25">
      <c r="A2333" s="36">
        <v>41213</v>
      </c>
      <c r="B2333" s="122">
        <v>6.7905092592592586E-2</v>
      </c>
      <c r="C2333" s="26" t="s">
        <v>1207</v>
      </c>
    </row>
    <row r="2334" spans="1:3" x14ac:dyDescent="0.25">
      <c r="A2334" s="36">
        <v>41213</v>
      </c>
      <c r="B2334" s="122">
        <v>6.7905092592592586E-2</v>
      </c>
      <c r="C2334" s="26" t="s">
        <v>1177</v>
      </c>
    </row>
    <row r="2335" spans="1:3" x14ac:dyDescent="0.25">
      <c r="A2335" s="36">
        <v>41213</v>
      </c>
      <c r="B2335" s="122">
        <v>6.8402777777777771E-2</v>
      </c>
      <c r="C2335" s="26" t="s">
        <v>1207</v>
      </c>
    </row>
    <row r="2336" spans="1:3" x14ac:dyDescent="0.25">
      <c r="A2336" s="36">
        <v>41213</v>
      </c>
      <c r="B2336" s="122">
        <v>7.0497685185185191E-2</v>
      </c>
      <c r="C2336" s="26" t="s">
        <v>1177</v>
      </c>
    </row>
    <row r="2337" spans="1:3" x14ac:dyDescent="0.25">
      <c r="A2337" s="36">
        <v>41213</v>
      </c>
      <c r="B2337" s="122">
        <v>7.3449074074074069E-2</v>
      </c>
      <c r="C2337" s="26" t="s">
        <v>1207</v>
      </c>
    </row>
    <row r="2338" spans="1:3" x14ac:dyDescent="0.25">
      <c r="A2338" s="36">
        <v>41213</v>
      </c>
      <c r="B2338" s="122">
        <v>7.3449074074074069E-2</v>
      </c>
      <c r="C2338" s="26" t="s">
        <v>1177</v>
      </c>
    </row>
    <row r="2339" spans="1:3" x14ac:dyDescent="0.25">
      <c r="A2339" s="36">
        <v>41213</v>
      </c>
      <c r="B2339" s="122">
        <v>8.3020833333333335E-2</v>
      </c>
      <c r="C2339" s="26" t="s">
        <v>1207</v>
      </c>
    </row>
    <row r="2340" spans="1:3" x14ac:dyDescent="0.25">
      <c r="A2340" s="36">
        <v>41213</v>
      </c>
      <c r="B2340" s="122">
        <v>8.3020833333333335E-2</v>
      </c>
      <c r="C2340" s="26" t="s">
        <v>1177</v>
      </c>
    </row>
    <row r="2341" spans="1:3" x14ac:dyDescent="0.25">
      <c r="A2341" s="36">
        <v>41213</v>
      </c>
      <c r="B2341" s="122">
        <v>8.413194444444444E-2</v>
      </c>
      <c r="C2341" s="26" t="s">
        <v>1207</v>
      </c>
    </row>
    <row r="2342" spans="1:3" x14ac:dyDescent="0.25">
      <c r="A2342" s="36">
        <v>41213</v>
      </c>
      <c r="B2342" s="122">
        <v>8.413194444444444E-2</v>
      </c>
      <c r="C2342" s="26" t="s">
        <v>1177</v>
      </c>
    </row>
    <row r="2343" spans="1:3" x14ac:dyDescent="0.25">
      <c r="A2343" s="36">
        <v>41213</v>
      </c>
      <c r="B2343" s="122">
        <v>8.5115740740740742E-2</v>
      </c>
      <c r="C2343" s="26" t="s">
        <v>1208</v>
      </c>
    </row>
    <row r="2344" spans="1:3" x14ac:dyDescent="0.25">
      <c r="A2344" s="36">
        <v>41213</v>
      </c>
      <c r="B2344" s="122">
        <v>8.5115740740740742E-2</v>
      </c>
      <c r="C2344" s="26" t="s">
        <v>1179</v>
      </c>
    </row>
    <row r="2345" spans="1:3" x14ac:dyDescent="0.25">
      <c r="A2345" s="36">
        <v>41213</v>
      </c>
      <c r="B2345" s="122">
        <v>8.5115740740740742E-2</v>
      </c>
      <c r="C2345" s="26" t="s">
        <v>1180</v>
      </c>
    </row>
    <row r="2346" spans="1:3" x14ac:dyDescent="0.25">
      <c r="A2346" s="36">
        <v>41213</v>
      </c>
      <c r="B2346" s="122">
        <v>8.7962962962962965E-2</v>
      </c>
      <c r="C2346" s="26" t="s">
        <v>1207</v>
      </c>
    </row>
    <row r="2347" spans="1:3" x14ac:dyDescent="0.25">
      <c r="A2347" s="36">
        <v>41213</v>
      </c>
      <c r="B2347" s="122">
        <v>8.7962962962962965E-2</v>
      </c>
      <c r="C2347" s="26" t="s">
        <v>1177</v>
      </c>
    </row>
    <row r="2348" spans="1:3" x14ac:dyDescent="0.25">
      <c r="A2348" s="36">
        <v>41213</v>
      </c>
      <c r="B2348" s="122">
        <v>9.1886574074074079E-2</v>
      </c>
      <c r="C2348" s="26" t="s">
        <v>1207</v>
      </c>
    </row>
    <row r="2349" spans="1:3" x14ac:dyDescent="0.25">
      <c r="A2349" s="36">
        <v>41213</v>
      </c>
      <c r="B2349" s="122">
        <v>9.1886574074074079E-2</v>
      </c>
      <c r="C2349" s="26" t="s">
        <v>1177</v>
      </c>
    </row>
    <row r="2350" spans="1:3" x14ac:dyDescent="0.25">
      <c r="A2350" s="36">
        <v>41213</v>
      </c>
      <c r="B2350" s="122">
        <v>9.3634259259259264E-2</v>
      </c>
      <c r="C2350" s="26" t="s">
        <v>1208</v>
      </c>
    </row>
    <row r="2351" spans="1:3" x14ac:dyDescent="0.25">
      <c r="A2351" s="36">
        <v>41213</v>
      </c>
      <c r="B2351" s="122">
        <v>9.3634259259259264E-2</v>
      </c>
      <c r="C2351" s="26" t="s">
        <v>1179</v>
      </c>
    </row>
    <row r="2352" spans="1:3" x14ac:dyDescent="0.25">
      <c r="A2352" s="36">
        <v>41213</v>
      </c>
      <c r="B2352" s="122">
        <v>9.3634259259259264E-2</v>
      </c>
      <c r="C2352" s="26" t="s">
        <v>1180</v>
      </c>
    </row>
    <row r="2353" spans="1:3" x14ac:dyDescent="0.25">
      <c r="A2353" s="36">
        <v>41213</v>
      </c>
      <c r="B2353" s="122">
        <v>9.4525462962962978E-2</v>
      </c>
      <c r="C2353" s="26" t="s">
        <v>1179</v>
      </c>
    </row>
    <row r="2354" spans="1:3" x14ac:dyDescent="0.25">
      <c r="A2354" s="36">
        <v>41213</v>
      </c>
      <c r="B2354" s="122">
        <v>9.4525462962962978E-2</v>
      </c>
      <c r="C2354" s="26" t="s">
        <v>1180</v>
      </c>
    </row>
    <row r="2355" spans="1:3" x14ac:dyDescent="0.25">
      <c r="A2355" s="36">
        <v>41213</v>
      </c>
      <c r="B2355" s="122">
        <v>9.4884259259259252E-2</v>
      </c>
      <c r="C2355" s="26" t="s">
        <v>1182</v>
      </c>
    </row>
    <row r="2356" spans="1:3" x14ac:dyDescent="0.25">
      <c r="A2356" s="36">
        <v>41213</v>
      </c>
      <c r="B2356" s="122">
        <v>9.5208333333333339E-2</v>
      </c>
      <c r="C2356" s="26" t="s">
        <v>1183</v>
      </c>
    </row>
    <row r="2357" spans="1:3" x14ac:dyDescent="0.25">
      <c r="A2357" s="36">
        <v>41213</v>
      </c>
      <c r="B2357" s="122">
        <v>9.6701388888888892E-2</v>
      </c>
      <c r="C2357" s="26" t="s">
        <v>1183</v>
      </c>
    </row>
    <row r="2358" spans="1:3" x14ac:dyDescent="0.25">
      <c r="A2358" s="36">
        <v>41213</v>
      </c>
      <c r="B2358" s="122">
        <v>9.6793981481481481E-2</v>
      </c>
      <c r="C2358" s="26" t="s">
        <v>1569</v>
      </c>
    </row>
    <row r="2359" spans="1:3" x14ac:dyDescent="0.25">
      <c r="A2359" s="36">
        <v>41213</v>
      </c>
      <c r="B2359" s="122">
        <v>9.7025462962962952E-2</v>
      </c>
      <c r="C2359" s="26" t="s">
        <v>1184</v>
      </c>
    </row>
    <row r="2360" spans="1:3" x14ac:dyDescent="0.25">
      <c r="A2360" s="36">
        <v>41213</v>
      </c>
      <c r="B2360" s="122">
        <v>9.7534722222222217E-2</v>
      </c>
      <c r="C2360" s="26" t="s">
        <v>1209</v>
      </c>
    </row>
    <row r="2361" spans="1:3" x14ac:dyDescent="0.25">
      <c r="A2361" s="36">
        <v>41213</v>
      </c>
      <c r="B2361" s="122">
        <v>9.7534722222222217E-2</v>
      </c>
      <c r="C2361" s="26" t="s">
        <v>1185</v>
      </c>
    </row>
    <row r="2362" spans="1:3" x14ac:dyDescent="0.25">
      <c r="A2362" s="36">
        <v>41213</v>
      </c>
      <c r="B2362" s="122">
        <v>9.7604166666666672E-2</v>
      </c>
      <c r="C2362" s="26" t="s">
        <v>1577</v>
      </c>
    </row>
    <row r="2363" spans="1:3" x14ac:dyDescent="0.25">
      <c r="A2363" s="36">
        <v>41213</v>
      </c>
      <c r="B2363" s="122">
        <v>9.7650462962962967E-2</v>
      </c>
      <c r="C2363" s="26" t="s">
        <v>1170</v>
      </c>
    </row>
    <row r="2364" spans="1:3" x14ac:dyDescent="0.25">
      <c r="A2364" s="36">
        <v>41213</v>
      </c>
      <c r="B2364" s="122">
        <v>9.7685185185185194E-2</v>
      </c>
      <c r="C2364" s="26" t="s">
        <v>1578</v>
      </c>
    </row>
    <row r="2365" spans="1:3" x14ac:dyDescent="0.25">
      <c r="A2365" s="36">
        <v>41213</v>
      </c>
      <c r="B2365" s="122">
        <v>9.780092592592593E-2</v>
      </c>
      <c r="C2365" s="26" t="s">
        <v>1190</v>
      </c>
    </row>
    <row r="2366" spans="1:3" x14ac:dyDescent="0.25">
      <c r="A2366" s="36">
        <v>41213</v>
      </c>
      <c r="B2366" s="122">
        <v>9.780092592592593E-2</v>
      </c>
      <c r="C2366" s="26" t="s">
        <v>1191</v>
      </c>
    </row>
    <row r="2367" spans="1:3" x14ac:dyDescent="0.25">
      <c r="A2367" s="36">
        <v>41213</v>
      </c>
      <c r="B2367" s="122">
        <v>9.7835648148148158E-2</v>
      </c>
      <c r="C2367" s="26" t="s">
        <v>1193</v>
      </c>
    </row>
    <row r="2368" spans="1:3" x14ac:dyDescent="0.25">
      <c r="A2368" s="36">
        <v>41213</v>
      </c>
      <c r="B2368" s="122">
        <v>9.7916666666666666E-2</v>
      </c>
      <c r="C2368" s="26" t="s">
        <v>1579</v>
      </c>
    </row>
    <row r="2369" spans="1:3" x14ac:dyDescent="0.25">
      <c r="A2369" s="36">
        <v>41213</v>
      </c>
      <c r="B2369" s="122">
        <v>9.7916666666666666E-2</v>
      </c>
      <c r="C2369" s="26" t="s">
        <v>1580</v>
      </c>
    </row>
    <row r="2370" spans="1:3" x14ac:dyDescent="0.25">
      <c r="A2370" s="36">
        <v>41213</v>
      </c>
      <c r="B2370" s="122">
        <v>9.796296296296296E-2</v>
      </c>
      <c r="C2370" s="26" t="s">
        <v>1581</v>
      </c>
    </row>
    <row r="2371" spans="1:3" x14ac:dyDescent="0.25">
      <c r="A2371" s="36">
        <v>41213</v>
      </c>
      <c r="B2371" s="122">
        <v>9.8032407407407415E-2</v>
      </c>
      <c r="C2371" s="26" t="s">
        <v>1582</v>
      </c>
    </row>
    <row r="2372" spans="1:3" x14ac:dyDescent="0.25">
      <c r="A2372" s="36">
        <v>41213</v>
      </c>
      <c r="B2372" s="122">
        <v>9.8101851851851843E-2</v>
      </c>
      <c r="C2372" s="26" t="s">
        <v>1583</v>
      </c>
    </row>
    <row r="2373" spans="1:3" x14ac:dyDescent="0.25">
      <c r="A2373" s="36">
        <v>41213</v>
      </c>
      <c r="B2373" s="122">
        <v>9.8182870370370365E-2</v>
      </c>
      <c r="C2373" s="26" t="s">
        <v>1584</v>
      </c>
    </row>
    <row r="2374" spans="1:3" x14ac:dyDescent="0.25">
      <c r="A2374" s="36">
        <v>41213</v>
      </c>
      <c r="B2374" s="122">
        <v>9.8182870370370365E-2</v>
      </c>
      <c r="C2374" s="26" t="s">
        <v>1585</v>
      </c>
    </row>
    <row r="2375" spans="1:3" x14ac:dyDescent="0.25">
      <c r="A2375" s="36">
        <v>41213</v>
      </c>
      <c r="B2375" s="122">
        <v>9.8182870370370365E-2</v>
      </c>
      <c r="C2375" s="26" t="s">
        <v>1586</v>
      </c>
    </row>
    <row r="2376" spans="1:3" x14ac:dyDescent="0.25">
      <c r="A2376" s="36">
        <v>41213</v>
      </c>
      <c r="B2376" s="122">
        <v>9.8217592592592592E-2</v>
      </c>
      <c r="C2376" s="26" t="s">
        <v>1587</v>
      </c>
    </row>
    <row r="2377" spans="1:3" x14ac:dyDescent="0.25">
      <c r="A2377" s="36">
        <v>41213</v>
      </c>
      <c r="B2377" s="122">
        <v>9.8217592592592592E-2</v>
      </c>
      <c r="C2377" s="26" t="s">
        <v>1588</v>
      </c>
    </row>
    <row r="2378" spans="1:3" x14ac:dyDescent="0.25">
      <c r="A2378" s="36">
        <v>41213</v>
      </c>
      <c r="B2378" s="122">
        <v>9.8344907407407409E-2</v>
      </c>
      <c r="C2378" s="26" t="s">
        <v>1190</v>
      </c>
    </row>
    <row r="2379" spans="1:3" x14ac:dyDescent="0.25">
      <c r="A2379" s="36">
        <v>41213</v>
      </c>
      <c r="B2379" s="122">
        <v>9.8344907407407409E-2</v>
      </c>
      <c r="C2379" s="26" t="s">
        <v>1191</v>
      </c>
    </row>
    <row r="2380" spans="1:3" x14ac:dyDescent="0.25">
      <c r="A2380" s="36">
        <v>41213</v>
      </c>
      <c r="B2380" s="122">
        <v>9.8379629629629636E-2</v>
      </c>
      <c r="C2380" s="26" t="s">
        <v>1589</v>
      </c>
    </row>
    <row r="2381" spans="1:3" x14ac:dyDescent="0.25">
      <c r="A2381" s="36">
        <v>41213</v>
      </c>
      <c r="B2381" s="122">
        <v>9.8379629629629636E-2</v>
      </c>
      <c r="C2381" s="26" t="s">
        <v>1590</v>
      </c>
    </row>
    <row r="2382" spans="1:3" x14ac:dyDescent="0.25">
      <c r="A2382" s="36">
        <v>41213</v>
      </c>
      <c r="B2382" s="122">
        <v>9.8379629629629636E-2</v>
      </c>
      <c r="C2382" s="26" t="s">
        <v>1591</v>
      </c>
    </row>
    <row r="2383" spans="1:3" x14ac:dyDescent="0.25">
      <c r="A2383" s="36">
        <v>41213</v>
      </c>
      <c r="B2383" s="122">
        <v>9.8425925925925917E-2</v>
      </c>
      <c r="C2383" s="26" t="s">
        <v>1592</v>
      </c>
    </row>
    <row r="2384" spans="1:3" x14ac:dyDescent="0.25">
      <c r="A2384" s="36">
        <v>41213</v>
      </c>
      <c r="B2384" s="122">
        <v>9.8425925925925917E-2</v>
      </c>
      <c r="C2384" s="26" t="s">
        <v>1589</v>
      </c>
    </row>
    <row r="2385" spans="1:3" x14ac:dyDescent="0.25">
      <c r="A2385" s="36">
        <v>41213</v>
      </c>
      <c r="B2385" s="122">
        <v>9.8425925925925917E-2</v>
      </c>
      <c r="C2385" s="26" t="s">
        <v>1590</v>
      </c>
    </row>
    <row r="2386" spans="1:3" x14ac:dyDescent="0.25">
      <c r="A2386" s="36">
        <v>41213</v>
      </c>
      <c r="B2386" s="122">
        <v>9.8425925925925917E-2</v>
      </c>
      <c r="C2386" s="26" t="s">
        <v>1591</v>
      </c>
    </row>
    <row r="2387" spans="1:3" x14ac:dyDescent="0.25">
      <c r="A2387" s="36">
        <v>41213</v>
      </c>
      <c r="B2387" s="122">
        <v>9.8449074074074064E-2</v>
      </c>
      <c r="C2387" s="26" t="s">
        <v>1593</v>
      </c>
    </row>
    <row r="2388" spans="1:3" x14ac:dyDescent="0.25">
      <c r="A2388" s="36">
        <v>41213</v>
      </c>
      <c r="B2388" s="122">
        <v>9.8449074074074064E-2</v>
      </c>
      <c r="C2388" s="26" t="s">
        <v>1594</v>
      </c>
    </row>
    <row r="2389" spans="1:3" x14ac:dyDescent="0.25">
      <c r="A2389" s="36">
        <v>41213</v>
      </c>
      <c r="B2389" s="122">
        <v>9.8506944444444453E-2</v>
      </c>
      <c r="C2389" s="26" t="s">
        <v>1190</v>
      </c>
    </row>
    <row r="2390" spans="1:3" x14ac:dyDescent="0.25">
      <c r="A2390" s="36">
        <v>41213</v>
      </c>
      <c r="B2390" s="122">
        <v>9.8506944444444453E-2</v>
      </c>
      <c r="C2390" s="26" t="s">
        <v>1191</v>
      </c>
    </row>
    <row r="2391" spans="1:3" x14ac:dyDescent="0.25">
      <c r="A2391" s="36">
        <v>41213</v>
      </c>
      <c r="B2391" s="122">
        <v>9.854166666666668E-2</v>
      </c>
      <c r="C2391" s="26" t="s">
        <v>1595</v>
      </c>
    </row>
    <row r="2392" spans="1:3" x14ac:dyDescent="0.25">
      <c r="A2392" s="36">
        <v>41213</v>
      </c>
      <c r="B2392" s="122">
        <v>9.854166666666668E-2</v>
      </c>
      <c r="C2392" s="26" t="s">
        <v>1596</v>
      </c>
    </row>
    <row r="2393" spans="1:3" x14ac:dyDescent="0.25">
      <c r="A2393" s="36">
        <v>41213</v>
      </c>
      <c r="B2393" s="122">
        <v>9.854166666666668E-2</v>
      </c>
      <c r="C2393" s="26" t="s">
        <v>1597</v>
      </c>
    </row>
    <row r="2394" spans="1:3" x14ac:dyDescent="0.25">
      <c r="A2394" s="36">
        <v>41213</v>
      </c>
      <c r="B2394" s="122">
        <v>9.857638888888888E-2</v>
      </c>
      <c r="C2394" s="26" t="s">
        <v>1598</v>
      </c>
    </row>
    <row r="2395" spans="1:3" x14ac:dyDescent="0.25">
      <c r="A2395" s="36">
        <v>41213</v>
      </c>
      <c r="B2395" s="122">
        <v>9.8599537037037041E-2</v>
      </c>
      <c r="C2395" s="26" t="s">
        <v>1599</v>
      </c>
    </row>
    <row r="2396" spans="1:3" x14ac:dyDescent="0.25">
      <c r="A2396" s="36">
        <v>41213</v>
      </c>
      <c r="B2396" s="122">
        <v>9.8599537037037041E-2</v>
      </c>
      <c r="C2396" s="26" t="s">
        <v>1600</v>
      </c>
    </row>
    <row r="2397" spans="1:3" x14ac:dyDescent="0.25">
      <c r="A2397" s="36">
        <v>41213</v>
      </c>
      <c r="B2397" s="122">
        <v>9.8622685185185188E-2</v>
      </c>
      <c r="C2397" s="26" t="s">
        <v>1601</v>
      </c>
    </row>
    <row r="2398" spans="1:3" x14ac:dyDescent="0.25">
      <c r="A2398" s="36">
        <v>41213</v>
      </c>
      <c r="B2398" s="122">
        <v>9.8657407407407402E-2</v>
      </c>
      <c r="C2398" s="26" t="s">
        <v>1173</v>
      </c>
    </row>
    <row r="2399" spans="1:3" x14ac:dyDescent="0.25">
      <c r="A2399" s="36">
        <v>41213</v>
      </c>
      <c r="B2399" s="122">
        <v>9.869212962962963E-2</v>
      </c>
      <c r="C2399" s="26" t="s">
        <v>1577</v>
      </c>
    </row>
    <row r="2400" spans="1:3" x14ac:dyDescent="0.25">
      <c r="A2400" s="36">
        <v>41213</v>
      </c>
      <c r="B2400" s="122">
        <v>9.8726851851851857E-2</v>
      </c>
      <c r="C2400" s="26" t="s">
        <v>1587</v>
      </c>
    </row>
    <row r="2401" spans="1:3" x14ac:dyDescent="0.25">
      <c r="A2401" s="36">
        <v>41213</v>
      </c>
      <c r="B2401" s="122">
        <v>9.8726851851851857E-2</v>
      </c>
      <c r="C2401" s="26" t="s">
        <v>1588</v>
      </c>
    </row>
    <row r="2402" spans="1:3" x14ac:dyDescent="0.25">
      <c r="A2402" s="36">
        <v>41213</v>
      </c>
      <c r="B2402" s="122">
        <v>9.8750000000000004E-2</v>
      </c>
      <c r="C2402" s="26" t="s">
        <v>1602</v>
      </c>
    </row>
    <row r="2403" spans="1:3" x14ac:dyDescent="0.25">
      <c r="A2403" s="36">
        <v>41213</v>
      </c>
      <c r="B2403" s="122">
        <v>9.8750000000000004E-2</v>
      </c>
      <c r="C2403" s="26" t="s">
        <v>1603</v>
      </c>
    </row>
    <row r="2404" spans="1:3" x14ac:dyDescent="0.25">
      <c r="A2404" s="36">
        <v>41213</v>
      </c>
      <c r="B2404" s="122">
        <v>9.8784722222222232E-2</v>
      </c>
      <c r="C2404" s="26" t="s">
        <v>1184</v>
      </c>
    </row>
    <row r="2405" spans="1:3" x14ac:dyDescent="0.25">
      <c r="A2405" s="36">
        <v>41213</v>
      </c>
      <c r="B2405" s="122">
        <v>9.8807870370370365E-2</v>
      </c>
      <c r="C2405" s="26" t="s">
        <v>1181</v>
      </c>
    </row>
    <row r="2406" spans="1:3" x14ac:dyDescent="0.25">
      <c r="A2406" s="36">
        <v>41213</v>
      </c>
      <c r="B2406" s="122">
        <v>9.8831018518518512E-2</v>
      </c>
      <c r="C2406" s="26" t="s">
        <v>1604</v>
      </c>
    </row>
    <row r="2407" spans="1:3" x14ac:dyDescent="0.25">
      <c r="A2407" s="36">
        <v>41213</v>
      </c>
      <c r="B2407" s="122">
        <v>9.8831018518518512E-2</v>
      </c>
      <c r="C2407" s="26" t="s">
        <v>1605</v>
      </c>
    </row>
    <row r="2408" spans="1:3" x14ac:dyDescent="0.25">
      <c r="A2408" s="36">
        <v>41213</v>
      </c>
      <c r="B2408" s="122">
        <v>9.8831018518518512E-2</v>
      </c>
      <c r="C2408" s="26" t="s">
        <v>1606</v>
      </c>
    </row>
    <row r="2409" spans="1:3" x14ac:dyDescent="0.25">
      <c r="A2409" s="36">
        <v>41213</v>
      </c>
      <c r="B2409" s="122">
        <v>9.8831018518518512E-2</v>
      </c>
      <c r="C2409" s="26" t="s">
        <v>1607</v>
      </c>
    </row>
    <row r="2410" spans="1:3" x14ac:dyDescent="0.25">
      <c r="A2410" s="36">
        <v>41213</v>
      </c>
      <c r="B2410" s="122">
        <v>9.8831018518518512E-2</v>
      </c>
      <c r="C2410" s="26" t="s">
        <v>1608</v>
      </c>
    </row>
    <row r="2411" spans="1:3" x14ac:dyDescent="0.25">
      <c r="A2411" s="36">
        <v>41213</v>
      </c>
      <c r="B2411" s="122">
        <v>9.8854166666666674E-2</v>
      </c>
      <c r="C2411" s="26" t="s">
        <v>1604</v>
      </c>
    </row>
    <row r="2412" spans="1:3" x14ac:dyDescent="0.25">
      <c r="A2412" s="36">
        <v>41213</v>
      </c>
      <c r="B2412" s="122">
        <v>9.8854166666666674E-2</v>
      </c>
      <c r="C2412" s="26" t="s">
        <v>1605</v>
      </c>
    </row>
    <row r="2413" spans="1:3" x14ac:dyDescent="0.25">
      <c r="A2413" s="36">
        <v>41213</v>
      </c>
      <c r="B2413" s="122">
        <v>9.8854166666666674E-2</v>
      </c>
      <c r="C2413" s="26" t="s">
        <v>1606</v>
      </c>
    </row>
    <row r="2414" spans="1:3" x14ac:dyDescent="0.25">
      <c r="A2414" s="36">
        <v>41213</v>
      </c>
      <c r="B2414" s="122">
        <v>9.8854166666666674E-2</v>
      </c>
      <c r="C2414" s="26" t="s">
        <v>1607</v>
      </c>
    </row>
    <row r="2415" spans="1:3" x14ac:dyDescent="0.25">
      <c r="A2415" s="36">
        <v>41213</v>
      </c>
      <c r="B2415" s="122">
        <v>9.8854166666666674E-2</v>
      </c>
      <c r="C2415" s="26" t="s">
        <v>1608</v>
      </c>
    </row>
    <row r="2416" spans="1:3" x14ac:dyDescent="0.25">
      <c r="A2416" s="36">
        <v>41213</v>
      </c>
      <c r="B2416" s="122">
        <v>9.8877314814814821E-2</v>
      </c>
      <c r="C2416" s="26" t="s">
        <v>1609</v>
      </c>
    </row>
    <row r="2417" spans="1:3" x14ac:dyDescent="0.25">
      <c r="A2417" s="36">
        <v>41213</v>
      </c>
      <c r="B2417" s="122">
        <v>9.8877314814814821E-2</v>
      </c>
      <c r="C2417" s="26" t="s">
        <v>1610</v>
      </c>
    </row>
    <row r="2418" spans="1:3" x14ac:dyDescent="0.25">
      <c r="A2418" s="36">
        <v>41213</v>
      </c>
      <c r="B2418" s="122">
        <v>9.8912037037037034E-2</v>
      </c>
      <c r="C2418" s="26" t="s">
        <v>1611</v>
      </c>
    </row>
    <row r="2419" spans="1:3" x14ac:dyDescent="0.25">
      <c r="A2419" s="36">
        <v>41213</v>
      </c>
      <c r="B2419" s="122">
        <v>9.8912037037037034E-2</v>
      </c>
      <c r="C2419" s="26" t="s">
        <v>1186</v>
      </c>
    </row>
    <row r="2420" spans="1:3" x14ac:dyDescent="0.25">
      <c r="A2420" s="36">
        <v>41213</v>
      </c>
      <c r="B2420" s="122">
        <v>9.8912037037037034E-2</v>
      </c>
      <c r="C2420" s="26" t="s">
        <v>1187</v>
      </c>
    </row>
    <row r="2421" spans="1:3" x14ac:dyDescent="0.25">
      <c r="A2421" s="36">
        <v>41213</v>
      </c>
      <c r="B2421" s="122">
        <v>0.6322916666666667</v>
      </c>
      <c r="C2421" s="26" t="s">
        <v>1207</v>
      </c>
    </row>
    <row r="2422" spans="1:3" x14ac:dyDescent="0.25">
      <c r="A2422" s="36">
        <v>41213</v>
      </c>
      <c r="B2422" s="122">
        <v>0.6322916666666667</v>
      </c>
      <c r="C2422" s="26" t="s">
        <v>1177</v>
      </c>
    </row>
    <row r="2423" spans="1:3" x14ac:dyDescent="0.25">
      <c r="A2423" s="36">
        <v>41213</v>
      </c>
      <c r="B2423" s="122">
        <v>0.63954861111111116</v>
      </c>
      <c r="C2423" s="26" t="s">
        <v>1106</v>
      </c>
    </row>
    <row r="2424" spans="1:3" x14ac:dyDescent="0.25">
      <c r="A2424" s="36">
        <v>41213</v>
      </c>
      <c r="B2424" s="122">
        <v>0.63967592592592593</v>
      </c>
      <c r="C2424" s="26" t="s">
        <v>1106</v>
      </c>
    </row>
    <row r="2425" spans="1:3" x14ac:dyDescent="0.25">
      <c r="A2425" s="36">
        <v>41213</v>
      </c>
      <c r="B2425" s="122">
        <v>0.63969907407407411</v>
      </c>
      <c r="C2425" s="26" t="s">
        <v>1106</v>
      </c>
    </row>
    <row r="2426" spans="1:3" x14ac:dyDescent="0.25">
      <c r="A2426" s="36">
        <v>41213</v>
      </c>
      <c r="B2426" s="122">
        <v>0.63973379629629623</v>
      </c>
      <c r="C2426" s="26" t="s">
        <v>1106</v>
      </c>
    </row>
    <row r="2427" spans="1:3" x14ac:dyDescent="0.25">
      <c r="A2427" s="36">
        <v>41213</v>
      </c>
      <c r="B2427" s="122">
        <v>0.63975694444444442</v>
      </c>
      <c r="C2427" s="26" t="s">
        <v>1106</v>
      </c>
    </row>
    <row r="2428" spans="1:3" x14ac:dyDescent="0.25">
      <c r="A2428" s="36">
        <v>41213</v>
      </c>
      <c r="B2428" s="122">
        <v>0.63975694444444442</v>
      </c>
      <c r="C2428" s="26" t="s">
        <v>1106</v>
      </c>
    </row>
    <row r="2429" spans="1:3" x14ac:dyDescent="0.25">
      <c r="A2429" s="36">
        <v>41213</v>
      </c>
      <c r="B2429" s="122">
        <v>0.63979166666666665</v>
      </c>
      <c r="C2429" s="26" t="s">
        <v>1106</v>
      </c>
    </row>
    <row r="2430" spans="1:3" x14ac:dyDescent="0.25">
      <c r="A2430" s="36">
        <v>41213</v>
      </c>
      <c r="B2430" s="122">
        <v>0.63979166666666665</v>
      </c>
      <c r="C2430" s="26" t="s">
        <v>1106</v>
      </c>
    </row>
    <row r="2431" spans="1:3" x14ac:dyDescent="0.25">
      <c r="A2431" s="36">
        <v>41213</v>
      </c>
      <c r="B2431" s="122">
        <v>0.63980324074074069</v>
      </c>
      <c r="C2431" s="26" t="s">
        <v>1106</v>
      </c>
    </row>
    <row r="2432" spans="1:3" x14ac:dyDescent="0.25">
      <c r="A2432" s="36">
        <v>41213</v>
      </c>
      <c r="B2432" s="122">
        <v>0.63980324074074069</v>
      </c>
      <c r="C2432" s="26" t="s">
        <v>1106</v>
      </c>
    </row>
    <row r="2433" spans="1:3" x14ac:dyDescent="0.25">
      <c r="A2433" s="36">
        <v>41213</v>
      </c>
      <c r="B2433" s="122">
        <v>0.63980324074074069</v>
      </c>
      <c r="C2433" s="26" t="s">
        <v>1106</v>
      </c>
    </row>
    <row r="2434" spans="1:3" x14ac:dyDescent="0.25">
      <c r="A2434" s="36">
        <v>41213</v>
      </c>
      <c r="B2434" s="122">
        <v>0.63980324074074069</v>
      </c>
      <c r="C2434" s="26" t="s">
        <v>1106</v>
      </c>
    </row>
    <row r="2435" spans="1:3" x14ac:dyDescent="0.25">
      <c r="A2435" s="36">
        <v>41213</v>
      </c>
      <c r="B2435" s="122">
        <v>0.63980324074074069</v>
      </c>
      <c r="C2435" s="26" t="s">
        <v>1106</v>
      </c>
    </row>
    <row r="2436" spans="1:3" x14ac:dyDescent="0.25">
      <c r="A2436" s="36">
        <v>41213</v>
      </c>
      <c r="B2436" s="122">
        <v>0.63981481481481484</v>
      </c>
      <c r="C2436" s="26" t="s">
        <v>1106</v>
      </c>
    </row>
    <row r="2437" spans="1:3" x14ac:dyDescent="0.25">
      <c r="A2437" s="36">
        <v>41213</v>
      </c>
      <c r="B2437" s="122">
        <v>0.64068287037037031</v>
      </c>
      <c r="C2437" s="26" t="s">
        <v>1562</v>
      </c>
    </row>
    <row r="2438" spans="1:3" x14ac:dyDescent="0.25">
      <c r="A2438" s="36">
        <v>41213</v>
      </c>
      <c r="B2438" s="122">
        <v>0.64109953703703704</v>
      </c>
      <c r="C2438" s="26" t="s">
        <v>1079</v>
      </c>
    </row>
    <row r="2439" spans="1:3" x14ac:dyDescent="0.25">
      <c r="A2439" s="36">
        <v>41213</v>
      </c>
      <c r="B2439" s="122">
        <v>0.64128472222222221</v>
      </c>
      <c r="C2439" s="26" t="s">
        <v>1079</v>
      </c>
    </row>
    <row r="2440" spans="1:3" x14ac:dyDescent="0.25">
      <c r="A2440" s="36">
        <v>41213</v>
      </c>
      <c r="B2440" s="122">
        <v>0.64201388888888888</v>
      </c>
      <c r="C2440" s="26" t="s">
        <v>1078</v>
      </c>
    </row>
    <row r="2441" spans="1:3" x14ac:dyDescent="0.25">
      <c r="A2441" s="36">
        <v>41213</v>
      </c>
      <c r="B2441" s="122">
        <v>0.64443287037037034</v>
      </c>
      <c r="C2441" s="26" t="s">
        <v>1562</v>
      </c>
    </row>
    <row r="2442" spans="1:3" x14ac:dyDescent="0.25">
      <c r="A2442" s="36">
        <v>41213</v>
      </c>
      <c r="B2442" s="122">
        <v>0.64978009259259262</v>
      </c>
      <c r="C2442" s="26" t="s">
        <v>1078</v>
      </c>
    </row>
    <row r="2443" spans="1:3" x14ac:dyDescent="0.25">
      <c r="A2443" s="36">
        <v>41213</v>
      </c>
      <c r="B2443" s="122">
        <v>0.65078703703703711</v>
      </c>
      <c r="C2443" s="26" t="s">
        <v>1562</v>
      </c>
    </row>
    <row r="2444" spans="1:3" x14ac:dyDescent="0.25">
      <c r="A2444" s="36">
        <v>41213</v>
      </c>
      <c r="B2444" s="122">
        <v>0.65126157407407403</v>
      </c>
      <c r="C2444" s="26" t="s">
        <v>1078</v>
      </c>
    </row>
    <row r="2445" spans="1:3" x14ac:dyDescent="0.25">
      <c r="A2445" s="36">
        <v>41213</v>
      </c>
      <c r="B2445" s="122">
        <v>0.65678240740740745</v>
      </c>
      <c r="C2445" s="26" t="s">
        <v>1078</v>
      </c>
    </row>
    <row r="2446" spans="1:3" x14ac:dyDescent="0.25">
      <c r="A2446" s="36">
        <v>41213</v>
      </c>
      <c r="B2446" s="122">
        <v>0.65687499999999999</v>
      </c>
      <c r="C2446" s="26" t="s">
        <v>1079</v>
      </c>
    </row>
    <row r="2447" spans="1:3" x14ac:dyDescent="0.25">
      <c r="A2447" s="36">
        <v>41213</v>
      </c>
      <c r="B2447" s="122">
        <v>0.66008101851851853</v>
      </c>
      <c r="C2447" s="26" t="s">
        <v>1079</v>
      </c>
    </row>
    <row r="2448" spans="1:3" x14ac:dyDescent="0.25">
      <c r="A2448" s="36">
        <v>41213</v>
      </c>
      <c r="B2448" s="122">
        <v>0.66067129629629628</v>
      </c>
      <c r="C2448" s="26" t="s">
        <v>1079</v>
      </c>
    </row>
    <row r="2449" spans="1:3" x14ac:dyDescent="0.25">
      <c r="A2449" s="36">
        <v>41213</v>
      </c>
      <c r="B2449" s="122">
        <v>0.66071759259259266</v>
      </c>
      <c r="C2449" s="26" t="s">
        <v>1080</v>
      </c>
    </row>
    <row r="2450" spans="1:3" x14ac:dyDescent="0.25">
      <c r="A2450" s="36">
        <v>41213</v>
      </c>
      <c r="B2450" s="122">
        <v>0.66071759259259266</v>
      </c>
      <c r="C2450" s="26" t="s">
        <v>1081</v>
      </c>
    </row>
    <row r="2451" spans="1:3" x14ac:dyDescent="0.25">
      <c r="A2451" s="36">
        <v>41213</v>
      </c>
      <c r="B2451" s="122">
        <v>0.66071759259259266</v>
      </c>
      <c r="C2451" s="26" t="s">
        <v>1082</v>
      </c>
    </row>
    <row r="2452" spans="1:3" x14ac:dyDescent="0.25">
      <c r="A2452" s="36">
        <v>41213</v>
      </c>
      <c r="B2452" s="122">
        <v>0.66071759259259266</v>
      </c>
      <c r="C2452" s="26" t="s">
        <v>1083</v>
      </c>
    </row>
    <row r="2453" spans="1:3" x14ac:dyDescent="0.25">
      <c r="A2453" s="36">
        <v>41213</v>
      </c>
      <c r="B2453" s="122">
        <v>0.66071759259259266</v>
      </c>
      <c r="C2453" s="26" t="s">
        <v>992</v>
      </c>
    </row>
    <row r="2454" spans="1:3" x14ac:dyDescent="0.25">
      <c r="A2454" s="36">
        <v>41213</v>
      </c>
      <c r="B2454" s="122">
        <v>0.66071759259259266</v>
      </c>
      <c r="C2454" s="26" t="s">
        <v>1084</v>
      </c>
    </row>
    <row r="2455" spans="1:3" x14ac:dyDescent="0.25">
      <c r="A2455" s="36">
        <v>41213</v>
      </c>
      <c r="B2455" s="122">
        <v>0.66071759259259266</v>
      </c>
      <c r="C2455" s="26" t="s">
        <v>1085</v>
      </c>
    </row>
    <row r="2456" spans="1:3" x14ac:dyDescent="0.25">
      <c r="A2456" s="36">
        <v>41213</v>
      </c>
      <c r="B2456" s="122">
        <v>0.66071759259259266</v>
      </c>
      <c r="C2456" s="26" t="s">
        <v>1086</v>
      </c>
    </row>
    <row r="2457" spans="1:3" x14ac:dyDescent="0.25">
      <c r="A2457" s="36">
        <v>41213</v>
      </c>
      <c r="B2457" s="122">
        <v>0.66071759259259266</v>
      </c>
      <c r="C2457" s="26" t="s">
        <v>1085</v>
      </c>
    </row>
    <row r="2458" spans="1:3" x14ac:dyDescent="0.25">
      <c r="A2458" s="36">
        <v>41213</v>
      </c>
      <c r="B2458" s="122">
        <v>0.66071759259259266</v>
      </c>
      <c r="C2458" s="26" t="s">
        <v>1087</v>
      </c>
    </row>
    <row r="2459" spans="1:3" x14ac:dyDescent="0.25">
      <c r="A2459" s="36">
        <v>41213</v>
      </c>
      <c r="B2459" s="122">
        <v>0.66071759259259266</v>
      </c>
      <c r="C2459" s="26" t="s">
        <v>1088</v>
      </c>
    </row>
    <row r="2460" spans="1:3" x14ac:dyDescent="0.25">
      <c r="A2460" s="36">
        <v>41213</v>
      </c>
      <c r="B2460" s="122">
        <v>0.66071759259259266</v>
      </c>
      <c r="C2460" s="26" t="s">
        <v>1089</v>
      </c>
    </row>
    <row r="2461" spans="1:3" x14ac:dyDescent="0.25">
      <c r="A2461" s="36">
        <v>41213</v>
      </c>
      <c r="B2461" s="122">
        <v>0.66071759259259266</v>
      </c>
      <c r="C2461" s="26" t="s">
        <v>1088</v>
      </c>
    </row>
    <row r="2462" spans="1:3" x14ac:dyDescent="0.25">
      <c r="A2462" s="36">
        <v>41213</v>
      </c>
      <c r="B2462" s="122">
        <v>0.66071759259259266</v>
      </c>
      <c r="C2462" s="26" t="s">
        <v>1092</v>
      </c>
    </row>
    <row r="2463" spans="1:3" x14ac:dyDescent="0.25">
      <c r="A2463" s="36">
        <v>41213</v>
      </c>
      <c r="B2463" s="122">
        <v>0.66071759259259266</v>
      </c>
      <c r="C2463" s="26" t="s">
        <v>1093</v>
      </c>
    </row>
    <row r="2464" spans="1:3" x14ac:dyDescent="0.25">
      <c r="A2464" s="36">
        <v>41213</v>
      </c>
      <c r="B2464" s="122">
        <v>0.69354166666666661</v>
      </c>
      <c r="C2464" s="26" t="s">
        <v>1079</v>
      </c>
    </row>
    <row r="2465" spans="1:3" x14ac:dyDescent="0.25">
      <c r="A2465" s="36">
        <v>41213</v>
      </c>
      <c r="B2465" s="122">
        <v>0.74624999999999997</v>
      </c>
      <c r="C2465" s="26" t="s">
        <v>1080</v>
      </c>
    </row>
    <row r="2466" spans="1:3" x14ac:dyDescent="0.25">
      <c r="A2466" s="36">
        <v>41213</v>
      </c>
      <c r="B2466" s="122">
        <v>0.74624999999999997</v>
      </c>
      <c r="C2466" s="26" t="s">
        <v>1081</v>
      </c>
    </row>
    <row r="2467" spans="1:3" x14ac:dyDescent="0.25">
      <c r="A2467" s="36">
        <v>41213</v>
      </c>
      <c r="B2467" s="122">
        <v>0.74624999999999997</v>
      </c>
      <c r="C2467" s="26" t="s">
        <v>1082</v>
      </c>
    </row>
    <row r="2468" spans="1:3" x14ac:dyDescent="0.25">
      <c r="A2468" s="36">
        <v>41213</v>
      </c>
      <c r="B2468" s="122">
        <v>0.74624999999999997</v>
      </c>
      <c r="C2468" s="26" t="s">
        <v>1083</v>
      </c>
    </row>
    <row r="2469" spans="1:3" x14ac:dyDescent="0.25">
      <c r="A2469" s="36">
        <v>41213</v>
      </c>
      <c r="B2469" s="122">
        <v>0.74624999999999997</v>
      </c>
      <c r="C2469" s="26" t="s">
        <v>992</v>
      </c>
    </row>
    <row r="2470" spans="1:3" x14ac:dyDescent="0.25">
      <c r="A2470" s="36">
        <v>41213</v>
      </c>
      <c r="B2470" s="122">
        <v>0.74624999999999997</v>
      </c>
      <c r="C2470" s="26" t="s">
        <v>1084</v>
      </c>
    </row>
    <row r="2471" spans="1:3" x14ac:dyDescent="0.25">
      <c r="A2471" s="36">
        <v>41213</v>
      </c>
      <c r="B2471" s="122">
        <v>0.74624999999999997</v>
      </c>
      <c r="C2471" s="26" t="s">
        <v>1085</v>
      </c>
    </row>
    <row r="2472" spans="1:3" x14ac:dyDescent="0.25">
      <c r="A2472" s="36">
        <v>41213</v>
      </c>
      <c r="B2472" s="122">
        <v>0.74624999999999997</v>
      </c>
      <c r="C2472" s="26" t="s">
        <v>1086</v>
      </c>
    </row>
    <row r="2473" spans="1:3" x14ac:dyDescent="0.25">
      <c r="A2473" s="36">
        <v>41213</v>
      </c>
      <c r="B2473" s="122">
        <v>0.74624999999999997</v>
      </c>
      <c r="C2473" s="26" t="s">
        <v>1085</v>
      </c>
    </row>
    <row r="2474" spans="1:3" x14ac:dyDescent="0.25">
      <c r="A2474" s="36">
        <v>41213</v>
      </c>
      <c r="B2474" s="122">
        <v>0.74624999999999997</v>
      </c>
      <c r="C2474" s="26" t="s">
        <v>1087</v>
      </c>
    </row>
    <row r="2475" spans="1:3" x14ac:dyDescent="0.25">
      <c r="A2475" s="36">
        <v>41213</v>
      </c>
      <c r="B2475" s="122">
        <v>0.74624999999999997</v>
      </c>
      <c r="C2475" s="26" t="s">
        <v>1088</v>
      </c>
    </row>
    <row r="2476" spans="1:3" x14ac:dyDescent="0.25">
      <c r="A2476" s="36">
        <v>41213</v>
      </c>
      <c r="B2476" s="122">
        <v>0.75724537037037043</v>
      </c>
      <c r="C2476" s="26" t="s">
        <v>1079</v>
      </c>
    </row>
    <row r="2477" spans="1:3" x14ac:dyDescent="0.25">
      <c r="A2477" s="36">
        <v>41213</v>
      </c>
      <c r="B2477" s="122">
        <v>0.75733796296296296</v>
      </c>
      <c r="C2477" s="26" t="s">
        <v>1080</v>
      </c>
    </row>
    <row r="2478" spans="1:3" x14ac:dyDescent="0.25">
      <c r="A2478" s="36">
        <v>41213</v>
      </c>
      <c r="B2478" s="122">
        <v>0.75733796296296296</v>
      </c>
      <c r="C2478" s="26" t="s">
        <v>1081</v>
      </c>
    </row>
    <row r="2479" spans="1:3" x14ac:dyDescent="0.25">
      <c r="A2479" s="36">
        <v>41213</v>
      </c>
      <c r="B2479" s="122">
        <v>0.75733796296296296</v>
      </c>
      <c r="C2479" s="26" t="s">
        <v>1082</v>
      </c>
    </row>
    <row r="2480" spans="1:3" x14ac:dyDescent="0.25">
      <c r="A2480" s="36">
        <v>41213</v>
      </c>
      <c r="B2480" s="122">
        <v>0.75733796296296296</v>
      </c>
      <c r="C2480" s="26" t="s">
        <v>1083</v>
      </c>
    </row>
    <row r="2481" spans="1:3" x14ac:dyDescent="0.25">
      <c r="A2481" s="36">
        <v>41213</v>
      </c>
      <c r="B2481" s="122">
        <v>0.75733796296296296</v>
      </c>
      <c r="C2481" s="26" t="s">
        <v>992</v>
      </c>
    </row>
    <row r="2482" spans="1:3" x14ac:dyDescent="0.25">
      <c r="A2482" s="36">
        <v>41213</v>
      </c>
      <c r="B2482" s="122">
        <v>0.75733796296296296</v>
      </c>
      <c r="C2482" s="26" t="s">
        <v>1084</v>
      </c>
    </row>
    <row r="2483" spans="1:3" x14ac:dyDescent="0.25">
      <c r="A2483" s="36">
        <v>41213</v>
      </c>
      <c r="B2483" s="122">
        <v>0.75733796296296296</v>
      </c>
      <c r="C2483" s="26" t="s">
        <v>1085</v>
      </c>
    </row>
    <row r="2484" spans="1:3" x14ac:dyDescent="0.25">
      <c r="A2484" s="36">
        <v>41213</v>
      </c>
      <c r="B2484" s="122">
        <v>0.75733796296296296</v>
      </c>
      <c r="C2484" s="26" t="s">
        <v>1086</v>
      </c>
    </row>
    <row r="2485" spans="1:3" x14ac:dyDescent="0.25">
      <c r="A2485" s="36">
        <v>41213</v>
      </c>
      <c r="B2485" s="122">
        <v>0.75733796296296296</v>
      </c>
      <c r="C2485" s="26" t="s">
        <v>1085</v>
      </c>
    </row>
    <row r="2486" spans="1:3" x14ac:dyDescent="0.25">
      <c r="A2486" s="36">
        <v>41213</v>
      </c>
      <c r="B2486" s="122">
        <v>0.757349537037037</v>
      </c>
      <c r="C2486" s="26" t="s">
        <v>1087</v>
      </c>
    </row>
    <row r="2487" spans="1:3" x14ac:dyDescent="0.25">
      <c r="A2487" s="36">
        <v>41213</v>
      </c>
      <c r="B2487" s="122">
        <v>0.757349537037037</v>
      </c>
      <c r="C2487" s="26" t="s">
        <v>1088</v>
      </c>
    </row>
    <row r="2488" spans="1:3" x14ac:dyDescent="0.25">
      <c r="A2488" s="36">
        <v>41213</v>
      </c>
      <c r="B2488" s="122">
        <v>0.75755787037037037</v>
      </c>
      <c r="C2488" s="26" t="s">
        <v>1089</v>
      </c>
    </row>
    <row r="2489" spans="1:3" x14ac:dyDescent="0.25">
      <c r="A2489" s="36">
        <v>41213</v>
      </c>
      <c r="B2489" s="122">
        <v>0.75848379629629636</v>
      </c>
      <c r="C2489" s="26" t="s">
        <v>1643</v>
      </c>
    </row>
    <row r="2490" spans="1:3" x14ac:dyDescent="0.25">
      <c r="A2490" s="36">
        <v>41213</v>
      </c>
      <c r="B2490" s="122">
        <v>0.75957175925925924</v>
      </c>
      <c r="C2490" s="26" t="s">
        <v>1080</v>
      </c>
    </row>
    <row r="2491" spans="1:3" x14ac:dyDescent="0.25">
      <c r="A2491" s="36">
        <v>41213</v>
      </c>
      <c r="B2491" s="122">
        <v>0.75957175925925924</v>
      </c>
      <c r="C2491" s="26" t="s">
        <v>1081</v>
      </c>
    </row>
    <row r="2492" spans="1:3" x14ac:dyDescent="0.25">
      <c r="A2492" s="36">
        <v>41213</v>
      </c>
      <c r="B2492" s="122">
        <v>0.75957175925925924</v>
      </c>
      <c r="C2492" s="26" t="s">
        <v>1082</v>
      </c>
    </row>
    <row r="2493" spans="1:3" x14ac:dyDescent="0.25">
      <c r="A2493" s="36">
        <v>41213</v>
      </c>
      <c r="B2493" s="122">
        <v>0.75957175925925924</v>
      </c>
      <c r="C2493" s="26" t="s">
        <v>1083</v>
      </c>
    </row>
    <row r="2494" spans="1:3" x14ac:dyDescent="0.25">
      <c r="A2494" s="36">
        <v>41213</v>
      </c>
      <c r="B2494" s="122">
        <v>0.75957175925925924</v>
      </c>
      <c r="C2494" s="26" t="s">
        <v>992</v>
      </c>
    </row>
    <row r="2495" spans="1:3" x14ac:dyDescent="0.25">
      <c r="A2495" s="36">
        <v>41213</v>
      </c>
      <c r="B2495" s="122">
        <v>0.75957175925925924</v>
      </c>
      <c r="C2495" s="26" t="s">
        <v>1084</v>
      </c>
    </row>
    <row r="2496" spans="1:3" x14ac:dyDescent="0.25">
      <c r="A2496" s="36">
        <v>41213</v>
      </c>
      <c r="B2496" s="122">
        <v>0.75957175925925924</v>
      </c>
      <c r="C2496" s="26" t="s">
        <v>1085</v>
      </c>
    </row>
    <row r="2497" spans="1:3" x14ac:dyDescent="0.25">
      <c r="A2497" s="36">
        <v>41213</v>
      </c>
      <c r="B2497" s="122">
        <v>0.75957175925925924</v>
      </c>
      <c r="C2497" s="26" t="s">
        <v>1086</v>
      </c>
    </row>
    <row r="2498" spans="1:3" x14ac:dyDescent="0.25">
      <c r="A2498" s="36">
        <v>41213</v>
      </c>
      <c r="B2498" s="122">
        <v>0.75957175925925924</v>
      </c>
      <c r="C2498" s="26" t="s">
        <v>1085</v>
      </c>
    </row>
    <row r="2499" spans="1:3" x14ac:dyDescent="0.25">
      <c r="A2499" s="36">
        <v>41213</v>
      </c>
      <c r="B2499" s="122">
        <v>0.75957175925925924</v>
      </c>
      <c r="C2499" s="26" t="s">
        <v>1087</v>
      </c>
    </row>
    <row r="2500" spans="1:3" x14ac:dyDescent="0.25">
      <c r="A2500" s="36">
        <v>41213</v>
      </c>
      <c r="B2500" s="122">
        <v>0.75957175925925924</v>
      </c>
      <c r="C2500" s="26" t="s">
        <v>1088</v>
      </c>
    </row>
    <row r="2501" spans="1:3" x14ac:dyDescent="0.25">
      <c r="A2501" s="36">
        <v>41213</v>
      </c>
      <c r="B2501" s="122">
        <v>0.75974537037037038</v>
      </c>
      <c r="C2501" s="26" t="s">
        <v>1088</v>
      </c>
    </row>
    <row r="2502" spans="1:3" x14ac:dyDescent="0.25">
      <c r="A2502" s="36">
        <v>41213</v>
      </c>
      <c r="B2502" s="122">
        <v>0.75974537037037038</v>
      </c>
      <c r="C2502" s="26" t="s">
        <v>1092</v>
      </c>
    </row>
    <row r="2503" spans="1:3" x14ac:dyDescent="0.25">
      <c r="A2503" s="36">
        <v>41213</v>
      </c>
      <c r="B2503" s="122">
        <v>0.75974537037037038</v>
      </c>
      <c r="C2503" s="26" t="s">
        <v>1644</v>
      </c>
    </row>
    <row r="2504" spans="1:3" x14ac:dyDescent="0.25">
      <c r="A2504" s="36">
        <v>41213</v>
      </c>
      <c r="B2504" s="122">
        <v>0.7605439814814815</v>
      </c>
      <c r="C2504" s="26" t="s">
        <v>1080</v>
      </c>
    </row>
    <row r="2505" spans="1:3" x14ac:dyDescent="0.25">
      <c r="A2505" s="36">
        <v>41213</v>
      </c>
      <c r="B2505" s="122">
        <v>0.76055555555555554</v>
      </c>
      <c r="C2505" s="26" t="s">
        <v>1081</v>
      </c>
    </row>
    <row r="2506" spans="1:3" x14ac:dyDescent="0.25">
      <c r="A2506" s="36">
        <v>41213</v>
      </c>
      <c r="B2506" s="122">
        <v>0.76055555555555554</v>
      </c>
      <c r="C2506" s="26" t="s">
        <v>1082</v>
      </c>
    </row>
    <row r="2507" spans="1:3" x14ac:dyDescent="0.25">
      <c r="A2507" s="36">
        <v>41213</v>
      </c>
      <c r="B2507" s="122">
        <v>0.76055555555555554</v>
      </c>
      <c r="C2507" s="26" t="s">
        <v>1083</v>
      </c>
    </row>
    <row r="2508" spans="1:3" x14ac:dyDescent="0.25">
      <c r="A2508" s="36">
        <v>41213</v>
      </c>
      <c r="B2508" s="122">
        <v>0.76055555555555554</v>
      </c>
      <c r="C2508" s="26" t="s">
        <v>992</v>
      </c>
    </row>
    <row r="2509" spans="1:3" x14ac:dyDescent="0.25">
      <c r="A2509" s="36">
        <v>41213</v>
      </c>
      <c r="B2509" s="122">
        <v>0.76055555555555554</v>
      </c>
      <c r="C2509" s="26" t="s">
        <v>1084</v>
      </c>
    </row>
    <row r="2510" spans="1:3" x14ac:dyDescent="0.25">
      <c r="A2510" s="36">
        <v>41213</v>
      </c>
      <c r="B2510" s="122">
        <v>0.76055555555555554</v>
      </c>
      <c r="C2510" s="26" t="s">
        <v>1085</v>
      </c>
    </row>
    <row r="2511" spans="1:3" x14ac:dyDescent="0.25">
      <c r="A2511" s="36">
        <v>41213</v>
      </c>
      <c r="B2511" s="122">
        <v>0.76055555555555554</v>
      </c>
      <c r="C2511" s="26" t="s">
        <v>1086</v>
      </c>
    </row>
    <row r="2512" spans="1:3" x14ac:dyDescent="0.25">
      <c r="A2512" s="36">
        <v>41213</v>
      </c>
      <c r="B2512" s="122">
        <v>0.76055555555555554</v>
      </c>
      <c r="C2512" s="26" t="s">
        <v>1085</v>
      </c>
    </row>
    <row r="2513" spans="1:3" x14ac:dyDescent="0.25">
      <c r="A2513" s="36">
        <v>41213</v>
      </c>
      <c r="B2513" s="122">
        <v>0.76055555555555554</v>
      </c>
      <c r="C2513" s="26" t="s">
        <v>1087</v>
      </c>
    </row>
    <row r="2514" spans="1:3" x14ac:dyDescent="0.25">
      <c r="A2514" s="36">
        <v>41213</v>
      </c>
      <c r="B2514" s="122">
        <v>0.76055555555555554</v>
      </c>
      <c r="C2514" s="26" t="s">
        <v>1088</v>
      </c>
    </row>
    <row r="2515" spans="1:3" x14ac:dyDescent="0.25">
      <c r="A2515" s="36">
        <v>41213</v>
      </c>
      <c r="B2515" s="122">
        <v>0.76060185185185192</v>
      </c>
      <c r="C2515" s="26" t="s">
        <v>1088</v>
      </c>
    </row>
    <row r="2516" spans="1:3" x14ac:dyDescent="0.25">
      <c r="A2516" s="36">
        <v>41213</v>
      </c>
      <c r="B2516" s="122">
        <v>0.76060185185185192</v>
      </c>
      <c r="C2516" s="26" t="s">
        <v>1092</v>
      </c>
    </row>
    <row r="2517" spans="1:3" x14ac:dyDescent="0.25">
      <c r="A2517" s="36">
        <v>41213</v>
      </c>
      <c r="B2517" s="122">
        <v>0.76060185185185192</v>
      </c>
      <c r="C2517" s="26" t="s">
        <v>1644</v>
      </c>
    </row>
    <row r="2518" spans="1:3" x14ac:dyDescent="0.25">
      <c r="A2518" s="36">
        <v>41213</v>
      </c>
      <c r="B2518" s="122">
        <v>0.7613078703703704</v>
      </c>
      <c r="C2518" s="26" t="s">
        <v>1645</v>
      </c>
    </row>
    <row r="2519" spans="1:3" x14ac:dyDescent="0.25">
      <c r="A2519" s="36">
        <v>41213</v>
      </c>
      <c r="B2519" s="122">
        <v>0.76746527777777773</v>
      </c>
      <c r="C2519" s="26" t="s">
        <v>1080</v>
      </c>
    </row>
    <row r="2520" spans="1:3" x14ac:dyDescent="0.25">
      <c r="A2520" s="36">
        <v>41213</v>
      </c>
      <c r="B2520" s="122">
        <v>0.76746527777777773</v>
      </c>
      <c r="C2520" s="26" t="s">
        <v>1081</v>
      </c>
    </row>
    <row r="2521" spans="1:3" x14ac:dyDescent="0.25">
      <c r="A2521" s="36">
        <v>41213</v>
      </c>
      <c r="B2521" s="122">
        <v>0.76746527777777773</v>
      </c>
      <c r="C2521" s="26" t="s">
        <v>1082</v>
      </c>
    </row>
    <row r="2522" spans="1:3" x14ac:dyDescent="0.25">
      <c r="A2522" s="36">
        <v>41213</v>
      </c>
      <c r="B2522" s="122">
        <v>0.76746527777777773</v>
      </c>
      <c r="C2522" s="26" t="s">
        <v>1083</v>
      </c>
    </row>
    <row r="2523" spans="1:3" x14ac:dyDescent="0.25">
      <c r="A2523" s="36">
        <v>41213</v>
      </c>
      <c r="B2523" s="122">
        <v>0.76746527777777773</v>
      </c>
      <c r="C2523" s="26" t="s">
        <v>992</v>
      </c>
    </row>
    <row r="2524" spans="1:3" x14ac:dyDescent="0.25">
      <c r="A2524" s="36">
        <v>41213</v>
      </c>
      <c r="B2524" s="122">
        <v>0.76746527777777773</v>
      </c>
      <c r="C2524" s="26" t="s">
        <v>1084</v>
      </c>
    </row>
    <row r="2525" spans="1:3" x14ac:dyDescent="0.25">
      <c r="A2525" s="36">
        <v>41213</v>
      </c>
      <c r="B2525" s="122">
        <v>0.76746527777777773</v>
      </c>
      <c r="C2525" s="26" t="s">
        <v>1085</v>
      </c>
    </row>
    <row r="2526" spans="1:3" x14ac:dyDescent="0.25">
      <c r="A2526" s="36">
        <v>41213</v>
      </c>
      <c r="B2526" s="122">
        <v>0.76746527777777773</v>
      </c>
      <c r="C2526" s="26" t="s">
        <v>1086</v>
      </c>
    </row>
    <row r="2527" spans="1:3" x14ac:dyDescent="0.25">
      <c r="A2527" s="36">
        <v>41213</v>
      </c>
      <c r="B2527" s="122">
        <v>0.76746527777777773</v>
      </c>
      <c r="C2527" s="26" t="s">
        <v>1085</v>
      </c>
    </row>
    <row r="2528" spans="1:3" x14ac:dyDescent="0.25">
      <c r="A2528" s="36">
        <v>41213</v>
      </c>
      <c r="B2528" s="122">
        <v>0.76746527777777773</v>
      </c>
      <c r="C2528" s="26" t="s">
        <v>1087</v>
      </c>
    </row>
    <row r="2529" spans="1:3" x14ac:dyDescent="0.25">
      <c r="A2529" s="36">
        <v>41213</v>
      </c>
      <c r="B2529" s="122">
        <v>0.76746527777777773</v>
      </c>
      <c r="C2529" s="26" t="s">
        <v>1088</v>
      </c>
    </row>
    <row r="2530" spans="1:3" x14ac:dyDescent="0.25">
      <c r="A2530" s="36">
        <v>41213</v>
      </c>
      <c r="B2530" s="122">
        <v>0.767511574074074</v>
      </c>
      <c r="C2530" s="26" t="s">
        <v>1088</v>
      </c>
    </row>
    <row r="2531" spans="1:3" x14ac:dyDescent="0.25">
      <c r="A2531" s="36">
        <v>41213</v>
      </c>
      <c r="B2531" s="122">
        <v>0.767511574074074</v>
      </c>
      <c r="C2531" s="26" t="s">
        <v>1092</v>
      </c>
    </row>
    <row r="2532" spans="1:3" x14ac:dyDescent="0.25">
      <c r="A2532" s="36">
        <v>41213</v>
      </c>
      <c r="B2532" s="122">
        <v>0.77094907407407398</v>
      </c>
      <c r="C2532" s="26" t="s">
        <v>1646</v>
      </c>
    </row>
    <row r="2533" spans="1:3" x14ac:dyDescent="0.25">
      <c r="A2533" s="36">
        <v>41213</v>
      </c>
      <c r="B2533" s="122">
        <v>0.77935185185185185</v>
      </c>
      <c r="C2533" s="26" t="s">
        <v>1647</v>
      </c>
    </row>
    <row r="2534" spans="1:3" x14ac:dyDescent="0.25">
      <c r="A2534" s="36">
        <v>41213</v>
      </c>
      <c r="B2534" s="122">
        <v>0.78415509259259253</v>
      </c>
      <c r="C2534" s="26" t="s">
        <v>1648</v>
      </c>
    </row>
    <row r="2535" spans="1:3" x14ac:dyDescent="0.25">
      <c r="A2535" s="36">
        <v>41213</v>
      </c>
      <c r="B2535" s="122">
        <v>0.78471064814814817</v>
      </c>
      <c r="C2535" s="26" t="s">
        <v>1649</v>
      </c>
    </row>
    <row r="2536" spans="1:3" x14ac:dyDescent="0.25">
      <c r="A2536" s="36">
        <v>41213</v>
      </c>
      <c r="B2536" s="122">
        <v>0.78506944444444438</v>
      </c>
      <c r="C2536" s="26" t="s">
        <v>1082</v>
      </c>
    </row>
    <row r="2537" spans="1:3" x14ac:dyDescent="0.25">
      <c r="A2537" s="36">
        <v>41213</v>
      </c>
      <c r="B2537" s="122">
        <v>0.78510416666666671</v>
      </c>
      <c r="C2537" s="26" t="s">
        <v>1083</v>
      </c>
    </row>
    <row r="2538" spans="1:3" x14ac:dyDescent="0.25">
      <c r="A2538" s="36">
        <v>41213</v>
      </c>
      <c r="B2538" s="122">
        <v>0.78515046296296298</v>
      </c>
      <c r="C2538" s="26" t="s">
        <v>992</v>
      </c>
    </row>
    <row r="2539" spans="1:3" x14ac:dyDescent="0.25">
      <c r="A2539" s="36">
        <v>41213</v>
      </c>
      <c r="B2539" s="122">
        <v>0.78518518518518521</v>
      </c>
      <c r="C2539" s="26" t="s">
        <v>1084</v>
      </c>
    </row>
    <row r="2540" spans="1:3" x14ac:dyDescent="0.25">
      <c r="A2540" s="36">
        <v>41213</v>
      </c>
      <c r="B2540" s="122">
        <v>0.78519675925925936</v>
      </c>
      <c r="C2540" s="26" t="s">
        <v>1085</v>
      </c>
    </row>
    <row r="2541" spans="1:3" x14ac:dyDescent="0.25">
      <c r="A2541" s="36">
        <v>41213</v>
      </c>
      <c r="B2541" s="122">
        <v>0.78520833333333329</v>
      </c>
      <c r="C2541" s="26" t="s">
        <v>1086</v>
      </c>
    </row>
    <row r="2542" spans="1:3" x14ac:dyDescent="0.25">
      <c r="A2542" s="36">
        <v>41213</v>
      </c>
      <c r="B2542" s="122">
        <v>0.78520833333333329</v>
      </c>
      <c r="C2542" s="26" t="s">
        <v>1085</v>
      </c>
    </row>
    <row r="2543" spans="1:3" x14ac:dyDescent="0.25">
      <c r="A2543" s="36">
        <v>41213</v>
      </c>
      <c r="B2543" s="122">
        <v>0.78521990740740744</v>
      </c>
      <c r="C2543" s="26" t="s">
        <v>1087</v>
      </c>
    </row>
    <row r="2544" spans="1:3" x14ac:dyDescent="0.25">
      <c r="A2544" s="36">
        <v>41213</v>
      </c>
      <c r="B2544" s="122">
        <v>0.78521990740740744</v>
      </c>
      <c r="C2544" s="26" t="s">
        <v>1088</v>
      </c>
    </row>
    <row r="2545" spans="1:3" x14ac:dyDescent="0.25">
      <c r="A2545" s="36">
        <v>41213</v>
      </c>
      <c r="B2545" s="122">
        <v>0.78527777777777785</v>
      </c>
      <c r="C2545" s="26" t="s">
        <v>1088</v>
      </c>
    </row>
    <row r="2546" spans="1:3" x14ac:dyDescent="0.25">
      <c r="A2546" s="36">
        <v>41213</v>
      </c>
      <c r="B2546" s="122">
        <v>0.78528935185185189</v>
      </c>
      <c r="C2546" s="26" t="s">
        <v>1092</v>
      </c>
    </row>
    <row r="2547" spans="1:3" x14ac:dyDescent="0.25">
      <c r="A2547" s="36">
        <v>41213</v>
      </c>
      <c r="B2547" s="122">
        <v>0.78528935185185189</v>
      </c>
      <c r="C2547" s="26" t="s">
        <v>1650</v>
      </c>
    </row>
    <row r="2548" spans="1:3" x14ac:dyDescent="0.25">
      <c r="A2548" s="36">
        <v>41213</v>
      </c>
      <c r="B2548" s="122">
        <v>0.7868518518518518</v>
      </c>
      <c r="C2548" s="26" t="s">
        <v>1651</v>
      </c>
    </row>
    <row r="2549" spans="1:3" x14ac:dyDescent="0.25">
      <c r="A2549" s="36">
        <v>41213</v>
      </c>
      <c r="B2549" s="122">
        <v>0.79037037037037028</v>
      </c>
      <c r="C2549" s="26" t="s">
        <v>1652</v>
      </c>
    </row>
    <row r="2550" spans="1:3" x14ac:dyDescent="0.25">
      <c r="A2550" s="36">
        <v>41213</v>
      </c>
      <c r="B2550" s="122">
        <v>0.79440972222222228</v>
      </c>
      <c r="C2550" s="26" t="s">
        <v>1653</v>
      </c>
    </row>
    <row r="2551" spans="1:3" x14ac:dyDescent="0.25">
      <c r="A2551" s="36">
        <v>41213</v>
      </c>
      <c r="B2551" s="122">
        <v>0.79552083333333334</v>
      </c>
      <c r="C2551" s="26" t="s">
        <v>992</v>
      </c>
    </row>
    <row r="2552" spans="1:3" x14ac:dyDescent="0.25">
      <c r="A2552" s="36">
        <v>41213</v>
      </c>
      <c r="B2552" s="122">
        <v>0.79651620370370368</v>
      </c>
      <c r="C2552" s="26" t="s">
        <v>1084</v>
      </c>
    </row>
    <row r="2553" spans="1:3" x14ac:dyDescent="0.25">
      <c r="A2553" s="36">
        <v>41213</v>
      </c>
      <c r="B2553" s="122">
        <v>0.79730324074074066</v>
      </c>
      <c r="C2553" s="26" t="s">
        <v>1085</v>
      </c>
    </row>
    <row r="2554" spans="1:3" x14ac:dyDescent="0.25">
      <c r="A2554" s="36">
        <v>41213</v>
      </c>
      <c r="B2554" s="122">
        <v>0.79778935185185185</v>
      </c>
      <c r="C2554" s="26" t="s">
        <v>1086</v>
      </c>
    </row>
    <row r="2555" spans="1:3" x14ac:dyDescent="0.25">
      <c r="A2555" s="36">
        <v>41213</v>
      </c>
      <c r="B2555" s="122">
        <v>0.79828703703703707</v>
      </c>
      <c r="C2555" s="26" t="s">
        <v>1085</v>
      </c>
    </row>
    <row r="2556" spans="1:3" x14ac:dyDescent="0.25">
      <c r="A2556" s="36">
        <v>41213</v>
      </c>
      <c r="B2556" s="122">
        <v>0.79885416666666664</v>
      </c>
      <c r="C2556" s="26" t="s">
        <v>1087</v>
      </c>
    </row>
    <row r="2557" spans="1:3" x14ac:dyDescent="0.25">
      <c r="A2557" s="36">
        <v>41213</v>
      </c>
      <c r="B2557" s="122">
        <v>0.79920138888888881</v>
      </c>
      <c r="C2557" s="26" t="s">
        <v>1088</v>
      </c>
    </row>
    <row r="2558" spans="1:3" x14ac:dyDescent="0.25">
      <c r="A2558" s="36">
        <v>41213</v>
      </c>
      <c r="B2558" s="122">
        <v>0.79994212962962974</v>
      </c>
      <c r="C2558" s="26" t="s">
        <v>1088</v>
      </c>
    </row>
    <row r="2559" spans="1:3" x14ac:dyDescent="0.25">
      <c r="A2559" s="36">
        <v>41213</v>
      </c>
      <c r="B2559" s="122">
        <v>0.80055555555555558</v>
      </c>
      <c r="C2559" s="26" t="s">
        <v>1092</v>
      </c>
    </row>
    <row r="2560" spans="1:3" x14ac:dyDescent="0.25">
      <c r="A2560" s="36">
        <v>41213</v>
      </c>
      <c r="B2560" s="122">
        <v>0.80055555555555558</v>
      </c>
      <c r="C2560" s="26" t="s">
        <v>1650</v>
      </c>
    </row>
    <row r="2561" spans="1:3" x14ac:dyDescent="0.25">
      <c r="A2561" s="36">
        <v>41213</v>
      </c>
      <c r="B2561" s="122">
        <v>0.80252314814814818</v>
      </c>
      <c r="C2561" s="26" t="s">
        <v>1654</v>
      </c>
    </row>
    <row r="2562" spans="1:3" x14ac:dyDescent="0.25">
      <c r="A2562" s="36">
        <v>41213</v>
      </c>
      <c r="B2562" s="122">
        <v>0.80420138888888892</v>
      </c>
      <c r="C2562" s="26" t="s">
        <v>992</v>
      </c>
    </row>
    <row r="2563" spans="1:3" x14ac:dyDescent="0.25">
      <c r="A2563" s="36">
        <v>41213</v>
      </c>
      <c r="B2563" s="122">
        <v>0.80431712962962953</v>
      </c>
      <c r="C2563" s="26" t="s">
        <v>1084</v>
      </c>
    </row>
    <row r="2564" spans="1:3" x14ac:dyDescent="0.25">
      <c r="A2564" s="36">
        <v>41213</v>
      </c>
      <c r="B2564" s="122">
        <v>0.8043865740740741</v>
      </c>
      <c r="C2564" s="26" t="s">
        <v>1085</v>
      </c>
    </row>
    <row r="2565" spans="1:3" x14ac:dyDescent="0.25">
      <c r="A2565" s="36">
        <v>41213</v>
      </c>
      <c r="B2565" s="122">
        <v>0.80440972222222218</v>
      </c>
      <c r="C2565" s="26" t="s">
        <v>1086</v>
      </c>
    </row>
    <row r="2566" spans="1:3" x14ac:dyDescent="0.25">
      <c r="A2566" s="36">
        <v>41213</v>
      </c>
      <c r="B2566" s="122">
        <v>0.80443287037037037</v>
      </c>
      <c r="C2566" s="26" t="s">
        <v>1085</v>
      </c>
    </row>
    <row r="2567" spans="1:3" x14ac:dyDescent="0.25">
      <c r="A2567" s="36">
        <v>41213</v>
      </c>
      <c r="B2567" s="122">
        <v>0.8044675925925926</v>
      </c>
      <c r="C2567" s="26" t="s">
        <v>1087</v>
      </c>
    </row>
    <row r="2568" spans="1:3" x14ac:dyDescent="0.25">
      <c r="A2568" s="36">
        <v>41213</v>
      </c>
      <c r="B2568" s="122">
        <v>0.80452546296296301</v>
      </c>
      <c r="C2568" s="26" t="s">
        <v>1088</v>
      </c>
    </row>
    <row r="2569" spans="1:3" x14ac:dyDescent="0.25">
      <c r="A2569" s="36">
        <v>41213</v>
      </c>
      <c r="B2569" s="122">
        <v>0.80469907407407415</v>
      </c>
      <c r="C2569" s="26" t="s">
        <v>1088</v>
      </c>
    </row>
    <row r="2570" spans="1:3" x14ac:dyDescent="0.25">
      <c r="A2570" s="36">
        <v>41213</v>
      </c>
      <c r="B2570" s="122">
        <v>0.80472222222222223</v>
      </c>
      <c r="C2570" s="26" t="s">
        <v>1092</v>
      </c>
    </row>
    <row r="2571" spans="1:3" x14ac:dyDescent="0.25">
      <c r="A2571" s="36">
        <v>41213</v>
      </c>
      <c r="B2571" s="122">
        <v>0.80511574074074066</v>
      </c>
      <c r="C2571" s="26" t="s">
        <v>1207</v>
      </c>
    </row>
    <row r="2572" spans="1:3" x14ac:dyDescent="0.25">
      <c r="A2572" s="36">
        <v>41213</v>
      </c>
      <c r="B2572" s="122">
        <v>0.80511574074074066</v>
      </c>
      <c r="C2572" s="26" t="s">
        <v>1177</v>
      </c>
    </row>
    <row r="2573" spans="1:3" x14ac:dyDescent="0.25">
      <c r="A2573" s="36">
        <v>41213</v>
      </c>
      <c r="B2573" s="122">
        <v>0.8055092592592592</v>
      </c>
      <c r="C2573" s="26" t="s">
        <v>1208</v>
      </c>
    </row>
    <row r="2574" spans="1:3" x14ac:dyDescent="0.25">
      <c r="A2574" s="36">
        <v>41213</v>
      </c>
      <c r="B2574" s="122">
        <v>0.8055092592592592</v>
      </c>
      <c r="C2574" s="26" t="s">
        <v>1179</v>
      </c>
    </row>
    <row r="2575" spans="1:3" x14ac:dyDescent="0.25">
      <c r="A2575" s="36">
        <v>41213</v>
      </c>
      <c r="B2575" s="122">
        <v>0.8055092592592592</v>
      </c>
      <c r="C2575" s="26" t="s">
        <v>1180</v>
      </c>
    </row>
    <row r="2576" spans="1:3" x14ac:dyDescent="0.25">
      <c r="A2576" s="36">
        <v>41213</v>
      </c>
      <c r="B2576" s="122">
        <v>0.80561342592592589</v>
      </c>
      <c r="C2576" s="26" t="s">
        <v>1179</v>
      </c>
    </row>
    <row r="2577" spans="1:3" x14ac:dyDescent="0.25">
      <c r="A2577" s="36">
        <v>41213</v>
      </c>
      <c r="B2577" s="122">
        <v>0.80561342592592589</v>
      </c>
      <c r="C2577" s="26" t="s">
        <v>1180</v>
      </c>
    </row>
    <row r="2578" spans="1:3" x14ac:dyDescent="0.25">
      <c r="A2578" s="36">
        <v>41213</v>
      </c>
      <c r="B2578" s="122">
        <v>0.80576388888888895</v>
      </c>
      <c r="C2578" s="26" t="s">
        <v>1182</v>
      </c>
    </row>
    <row r="2579" spans="1:3" x14ac:dyDescent="0.25">
      <c r="A2579" s="36">
        <v>41213</v>
      </c>
      <c r="B2579" s="122">
        <v>0.80579861111111117</v>
      </c>
      <c r="C2579" s="26" t="s">
        <v>1183</v>
      </c>
    </row>
    <row r="2580" spans="1:3" x14ac:dyDescent="0.25">
      <c r="A2580" s="36">
        <v>41213</v>
      </c>
      <c r="B2580" s="122">
        <v>0.80628472222222225</v>
      </c>
      <c r="C2580" s="26" t="s">
        <v>1183</v>
      </c>
    </row>
    <row r="2581" spans="1:3" x14ac:dyDescent="0.25">
      <c r="A2581" s="36">
        <v>41213</v>
      </c>
      <c r="B2581" s="122">
        <v>0.80640046296296297</v>
      </c>
      <c r="C2581" s="26" t="s">
        <v>1569</v>
      </c>
    </row>
    <row r="2582" spans="1:3" x14ac:dyDescent="0.25">
      <c r="A2582" s="36">
        <v>41213</v>
      </c>
      <c r="B2582" s="122">
        <v>0.80656250000000007</v>
      </c>
      <c r="C2582" s="26" t="s">
        <v>1184</v>
      </c>
    </row>
    <row r="2583" spans="1:3" x14ac:dyDescent="0.25">
      <c r="A2583" s="36">
        <v>41213</v>
      </c>
      <c r="B2583" s="122">
        <v>0.80668981481481483</v>
      </c>
      <c r="C2583" s="26" t="s">
        <v>1209</v>
      </c>
    </row>
    <row r="2584" spans="1:3" x14ac:dyDescent="0.25">
      <c r="A2584" s="36">
        <v>41213</v>
      </c>
      <c r="B2584" s="122">
        <v>0.80668981481481483</v>
      </c>
      <c r="C2584" s="26" t="s">
        <v>1185</v>
      </c>
    </row>
    <row r="2585" spans="1:3" x14ac:dyDescent="0.25">
      <c r="A2585" s="36">
        <v>41213</v>
      </c>
      <c r="B2585" s="122">
        <v>0.80674768518518514</v>
      </c>
      <c r="C2585" s="26" t="s">
        <v>1577</v>
      </c>
    </row>
    <row r="2586" spans="1:3" x14ac:dyDescent="0.25">
      <c r="A2586" s="36">
        <v>41213</v>
      </c>
      <c r="B2586" s="122">
        <v>0.80677083333333333</v>
      </c>
      <c r="C2586" s="26" t="s">
        <v>1170</v>
      </c>
    </row>
    <row r="2587" spans="1:3" x14ac:dyDescent="0.25">
      <c r="A2587" s="36">
        <v>41213</v>
      </c>
      <c r="B2587" s="122">
        <v>0.80680555555555555</v>
      </c>
      <c r="C2587" s="26" t="s">
        <v>1578</v>
      </c>
    </row>
    <row r="2588" spans="1:3" x14ac:dyDescent="0.25">
      <c r="A2588" s="36">
        <v>41213</v>
      </c>
      <c r="B2588" s="122">
        <v>0.80692129629629628</v>
      </c>
      <c r="C2588" s="26" t="s">
        <v>1190</v>
      </c>
    </row>
    <row r="2589" spans="1:3" x14ac:dyDescent="0.25">
      <c r="A2589" s="36">
        <v>41213</v>
      </c>
      <c r="B2589" s="122">
        <v>0.80692129629629628</v>
      </c>
      <c r="C2589" s="26" t="s">
        <v>1191</v>
      </c>
    </row>
    <row r="2590" spans="1:3" x14ac:dyDescent="0.25">
      <c r="A2590" s="36">
        <v>41213</v>
      </c>
      <c r="B2590" s="122">
        <v>0.80700231481481488</v>
      </c>
      <c r="C2590" s="26" t="s">
        <v>1193</v>
      </c>
    </row>
    <row r="2591" spans="1:3" x14ac:dyDescent="0.25">
      <c r="A2591" s="36">
        <v>41213</v>
      </c>
      <c r="B2591" s="122">
        <v>0.80707175925925922</v>
      </c>
      <c r="C2591" s="26" t="s">
        <v>1579</v>
      </c>
    </row>
    <row r="2592" spans="1:3" x14ac:dyDescent="0.25">
      <c r="A2592" s="36">
        <v>41213</v>
      </c>
      <c r="B2592" s="122">
        <v>0.80707175925925922</v>
      </c>
      <c r="C2592" s="26" t="s">
        <v>1580</v>
      </c>
    </row>
    <row r="2593" spans="1:3" x14ac:dyDescent="0.25">
      <c r="A2593" s="36">
        <v>41213</v>
      </c>
      <c r="B2593" s="122">
        <v>0.80714120370370368</v>
      </c>
      <c r="C2593" s="26" t="s">
        <v>1581</v>
      </c>
    </row>
    <row r="2594" spans="1:3" x14ac:dyDescent="0.25">
      <c r="A2594" s="36">
        <v>41213</v>
      </c>
      <c r="B2594" s="122">
        <v>0.80717592592592602</v>
      </c>
      <c r="C2594" s="26" t="s">
        <v>1582</v>
      </c>
    </row>
    <row r="2595" spans="1:3" x14ac:dyDescent="0.25">
      <c r="A2595" s="36">
        <v>41213</v>
      </c>
      <c r="B2595" s="122">
        <v>0.80721064814814814</v>
      </c>
      <c r="C2595" s="26" t="s">
        <v>1583</v>
      </c>
    </row>
    <row r="2596" spans="1:3" x14ac:dyDescent="0.25">
      <c r="A2596" s="36">
        <v>41213</v>
      </c>
      <c r="B2596" s="122">
        <v>0.80725694444444451</v>
      </c>
      <c r="C2596" s="26" t="s">
        <v>1584</v>
      </c>
    </row>
    <row r="2597" spans="1:3" x14ac:dyDescent="0.25">
      <c r="A2597" s="36">
        <v>41213</v>
      </c>
      <c r="B2597" s="122">
        <v>0.80725694444444451</v>
      </c>
      <c r="C2597" s="26" t="s">
        <v>1585</v>
      </c>
    </row>
    <row r="2598" spans="1:3" x14ac:dyDescent="0.25">
      <c r="A2598" s="36">
        <v>41213</v>
      </c>
      <c r="B2598" s="122">
        <v>0.80725694444444451</v>
      </c>
      <c r="C2598" s="26" t="s">
        <v>1586</v>
      </c>
    </row>
    <row r="2599" spans="1:3" x14ac:dyDescent="0.25">
      <c r="A2599" s="36">
        <v>41213</v>
      </c>
      <c r="B2599" s="122">
        <v>0.80734953703703705</v>
      </c>
      <c r="C2599" s="26" t="s">
        <v>1587</v>
      </c>
    </row>
    <row r="2600" spans="1:3" x14ac:dyDescent="0.25">
      <c r="A2600" s="36">
        <v>41213</v>
      </c>
      <c r="B2600" s="122">
        <v>0.80734953703703705</v>
      </c>
      <c r="C2600" s="26" t="s">
        <v>1588</v>
      </c>
    </row>
    <row r="2601" spans="1:3" x14ac:dyDescent="0.25">
      <c r="A2601" s="36">
        <v>41213</v>
      </c>
      <c r="B2601" s="122">
        <v>0.80739583333333342</v>
      </c>
      <c r="C2601" s="26" t="s">
        <v>1190</v>
      </c>
    </row>
    <row r="2602" spans="1:3" x14ac:dyDescent="0.25">
      <c r="A2602" s="36">
        <v>41213</v>
      </c>
      <c r="B2602" s="122">
        <v>0.80739583333333342</v>
      </c>
      <c r="C2602" s="26" t="s">
        <v>1191</v>
      </c>
    </row>
    <row r="2603" spans="1:3" x14ac:dyDescent="0.25">
      <c r="A2603" s="36">
        <v>41213</v>
      </c>
      <c r="B2603" s="122">
        <v>0.80754629629629626</v>
      </c>
      <c r="C2603" s="26" t="s">
        <v>1589</v>
      </c>
    </row>
    <row r="2604" spans="1:3" x14ac:dyDescent="0.25">
      <c r="A2604" s="36">
        <v>41213</v>
      </c>
      <c r="B2604" s="122">
        <v>0.80754629629629626</v>
      </c>
      <c r="C2604" s="26" t="s">
        <v>1590</v>
      </c>
    </row>
    <row r="2605" spans="1:3" x14ac:dyDescent="0.25">
      <c r="A2605" s="36">
        <v>41213</v>
      </c>
      <c r="B2605" s="122">
        <v>0.80754629629629626</v>
      </c>
      <c r="C2605" s="26" t="s">
        <v>1591</v>
      </c>
    </row>
    <row r="2606" spans="1:3" x14ac:dyDescent="0.25">
      <c r="A2606" s="36">
        <v>41213</v>
      </c>
      <c r="B2606" s="122">
        <v>0.80756944444444445</v>
      </c>
      <c r="C2606" s="26" t="s">
        <v>1592</v>
      </c>
    </row>
    <row r="2607" spans="1:3" x14ac:dyDescent="0.25">
      <c r="A2607" s="36">
        <v>41213</v>
      </c>
      <c r="B2607" s="122">
        <v>0.80756944444444445</v>
      </c>
      <c r="C2607" s="26" t="s">
        <v>1589</v>
      </c>
    </row>
    <row r="2608" spans="1:3" x14ac:dyDescent="0.25">
      <c r="A2608" s="36">
        <v>41213</v>
      </c>
      <c r="B2608" s="122">
        <v>0.80756944444444445</v>
      </c>
      <c r="C2608" s="26" t="s">
        <v>1590</v>
      </c>
    </row>
    <row r="2609" spans="1:3" x14ac:dyDescent="0.25">
      <c r="A2609" s="36">
        <v>41213</v>
      </c>
      <c r="B2609" s="122">
        <v>0.80756944444444445</v>
      </c>
      <c r="C2609" s="26" t="s">
        <v>1591</v>
      </c>
    </row>
    <row r="2610" spans="1:3" x14ac:dyDescent="0.25">
      <c r="A2610" s="36">
        <v>41213</v>
      </c>
      <c r="B2610" s="122">
        <v>0.80760416666666668</v>
      </c>
      <c r="C2610" s="26" t="s">
        <v>1593</v>
      </c>
    </row>
    <row r="2611" spans="1:3" x14ac:dyDescent="0.25">
      <c r="A2611" s="36">
        <v>41213</v>
      </c>
      <c r="B2611" s="122">
        <v>0.80760416666666668</v>
      </c>
      <c r="C2611" s="26" t="s">
        <v>1594</v>
      </c>
    </row>
    <row r="2612" spans="1:3" x14ac:dyDescent="0.25">
      <c r="A2612" s="36">
        <v>41213</v>
      </c>
      <c r="B2612" s="122">
        <v>0.80766203703703709</v>
      </c>
      <c r="C2612" s="26" t="s">
        <v>1190</v>
      </c>
    </row>
    <row r="2613" spans="1:3" x14ac:dyDescent="0.25">
      <c r="A2613" s="36">
        <v>41213</v>
      </c>
      <c r="B2613" s="122">
        <v>0.80766203703703709</v>
      </c>
      <c r="C2613" s="26" t="s">
        <v>1191</v>
      </c>
    </row>
    <row r="2614" spans="1:3" x14ac:dyDescent="0.25">
      <c r="A2614" s="36">
        <v>41213</v>
      </c>
      <c r="B2614" s="122">
        <v>0.80768518518518517</v>
      </c>
      <c r="C2614" s="26" t="s">
        <v>1595</v>
      </c>
    </row>
    <row r="2615" spans="1:3" x14ac:dyDescent="0.25">
      <c r="A2615" s="36">
        <v>41213</v>
      </c>
      <c r="B2615" s="122">
        <v>0.80768518518518517</v>
      </c>
      <c r="C2615" s="26" t="s">
        <v>1596</v>
      </c>
    </row>
    <row r="2616" spans="1:3" x14ac:dyDescent="0.25">
      <c r="A2616" s="36">
        <v>41213</v>
      </c>
      <c r="B2616" s="122">
        <v>0.80768518518518517</v>
      </c>
      <c r="C2616" s="26" t="s">
        <v>1597</v>
      </c>
    </row>
    <row r="2617" spans="1:3" x14ac:dyDescent="0.25">
      <c r="A2617" s="36">
        <v>41213</v>
      </c>
      <c r="B2617" s="122">
        <v>0.80773148148148144</v>
      </c>
      <c r="C2617" s="26" t="s">
        <v>1598</v>
      </c>
    </row>
    <row r="2618" spans="1:3" x14ac:dyDescent="0.25">
      <c r="A2618" s="36">
        <v>41213</v>
      </c>
      <c r="B2618" s="122">
        <v>0.80783564814814823</v>
      </c>
      <c r="C2618" s="26" t="s">
        <v>1599</v>
      </c>
    </row>
    <row r="2619" spans="1:3" x14ac:dyDescent="0.25">
      <c r="A2619" s="36">
        <v>41213</v>
      </c>
      <c r="B2619" s="122">
        <v>0.80783564814814823</v>
      </c>
      <c r="C2619" s="26" t="s">
        <v>1600</v>
      </c>
    </row>
    <row r="2620" spans="1:3" x14ac:dyDescent="0.25">
      <c r="A2620" s="36">
        <v>41213</v>
      </c>
      <c r="B2620" s="122">
        <v>0.80785879629629631</v>
      </c>
      <c r="C2620" s="26" t="s">
        <v>1601</v>
      </c>
    </row>
    <row r="2621" spans="1:3" x14ac:dyDescent="0.25">
      <c r="A2621" s="36">
        <v>41213</v>
      </c>
      <c r="B2621" s="122">
        <v>0.80789351851851843</v>
      </c>
      <c r="C2621" s="26" t="s">
        <v>1173</v>
      </c>
    </row>
    <row r="2622" spans="1:3" x14ac:dyDescent="0.25">
      <c r="A2622" s="36">
        <v>41213</v>
      </c>
      <c r="B2622" s="122">
        <v>0.80792824074074077</v>
      </c>
      <c r="C2622" s="26" t="s">
        <v>1577</v>
      </c>
    </row>
    <row r="2623" spans="1:3" x14ac:dyDescent="0.25">
      <c r="A2623" s="36">
        <v>41213</v>
      </c>
      <c r="B2623" s="122">
        <v>0.80796296296296299</v>
      </c>
      <c r="C2623" s="26" t="s">
        <v>1587</v>
      </c>
    </row>
    <row r="2624" spans="1:3" x14ac:dyDescent="0.25">
      <c r="A2624" s="36">
        <v>41213</v>
      </c>
      <c r="B2624" s="122">
        <v>0.80796296296296299</v>
      </c>
      <c r="C2624" s="26" t="s">
        <v>1588</v>
      </c>
    </row>
    <row r="2625" spans="1:3" x14ac:dyDescent="0.25">
      <c r="A2625" s="36">
        <v>41213</v>
      </c>
      <c r="B2625" s="122">
        <v>0.90737268518518521</v>
      </c>
      <c r="C2625" s="26" t="s">
        <v>992</v>
      </c>
    </row>
    <row r="2626" spans="1:3" x14ac:dyDescent="0.25">
      <c r="A2626" s="36">
        <v>41213</v>
      </c>
      <c r="B2626" s="122">
        <v>0.90737268518518521</v>
      </c>
      <c r="C2626" s="26" t="s">
        <v>1084</v>
      </c>
    </row>
    <row r="2627" spans="1:3" x14ac:dyDescent="0.25">
      <c r="A2627" s="36">
        <v>41213</v>
      </c>
      <c r="B2627" s="122">
        <v>0.90737268518518521</v>
      </c>
      <c r="C2627" s="26" t="s">
        <v>1085</v>
      </c>
    </row>
    <row r="2628" spans="1:3" x14ac:dyDescent="0.25">
      <c r="A2628" s="36">
        <v>41213</v>
      </c>
      <c r="B2628" s="122">
        <v>0.90737268518518521</v>
      </c>
      <c r="C2628" s="26" t="s">
        <v>1086</v>
      </c>
    </row>
    <row r="2629" spans="1:3" x14ac:dyDescent="0.25">
      <c r="A2629" s="36">
        <v>41213</v>
      </c>
      <c r="B2629" s="122">
        <v>0.90737268518518521</v>
      </c>
      <c r="C2629" s="26" t="s">
        <v>1085</v>
      </c>
    </row>
    <row r="2630" spans="1:3" x14ac:dyDescent="0.25">
      <c r="A2630" s="36">
        <v>41213</v>
      </c>
      <c r="B2630" s="122">
        <v>0.90737268518518521</v>
      </c>
      <c r="C2630" s="26" t="s">
        <v>1087</v>
      </c>
    </row>
    <row r="2631" spans="1:3" x14ac:dyDescent="0.25">
      <c r="A2631" s="36">
        <v>41213</v>
      </c>
      <c r="B2631" s="122">
        <v>0.90737268518518521</v>
      </c>
      <c r="C2631" s="26" t="s">
        <v>1088</v>
      </c>
    </row>
    <row r="2632" spans="1:3" x14ac:dyDescent="0.25">
      <c r="A2632" s="36">
        <v>41213</v>
      </c>
      <c r="B2632" s="122">
        <v>0.90737268518518521</v>
      </c>
      <c r="C2632" s="26" t="s">
        <v>1088</v>
      </c>
    </row>
    <row r="2633" spans="1:3" x14ac:dyDescent="0.25">
      <c r="A2633" s="36">
        <v>41213</v>
      </c>
      <c r="B2633" s="122">
        <v>0.90737268518518521</v>
      </c>
      <c r="C2633" s="26" t="s">
        <v>1092</v>
      </c>
    </row>
    <row r="2634" spans="1:3" x14ac:dyDescent="0.25">
      <c r="A2634" s="36">
        <v>41213</v>
      </c>
      <c r="B2634" s="122">
        <v>0.90737268518518521</v>
      </c>
      <c r="C2634" s="26" t="s">
        <v>1562</v>
      </c>
    </row>
    <row r="2635" spans="1:3" x14ac:dyDescent="0.25">
      <c r="A2635" s="36">
        <v>41213</v>
      </c>
      <c r="B2635" s="122">
        <v>0.90828703703703706</v>
      </c>
      <c r="C2635" s="26" t="s">
        <v>1207</v>
      </c>
    </row>
    <row r="2636" spans="1:3" x14ac:dyDescent="0.25">
      <c r="A2636" s="36">
        <v>41213</v>
      </c>
      <c r="B2636" s="122">
        <v>0.90828703703703706</v>
      </c>
      <c r="C2636" s="26" t="s">
        <v>1177</v>
      </c>
    </row>
    <row r="2637" spans="1:3" x14ac:dyDescent="0.25">
      <c r="A2637" s="36">
        <v>41213</v>
      </c>
      <c r="B2637" s="122">
        <v>0.91125</v>
      </c>
      <c r="C2637" s="26" t="s">
        <v>1207</v>
      </c>
    </row>
    <row r="2638" spans="1:3" x14ac:dyDescent="0.25">
      <c r="A2638" s="36">
        <v>41213</v>
      </c>
      <c r="B2638" s="122">
        <v>0.91126157407407404</v>
      </c>
      <c r="C2638" s="26" t="s">
        <v>1177</v>
      </c>
    </row>
    <row r="2639" spans="1:3" x14ac:dyDescent="0.25">
      <c r="A2639" s="36">
        <v>41213</v>
      </c>
      <c r="B2639" s="122">
        <v>0.91702546296296295</v>
      </c>
      <c r="C2639" s="26" t="s">
        <v>1208</v>
      </c>
    </row>
    <row r="2640" spans="1:3" x14ac:dyDescent="0.25">
      <c r="A2640" s="36">
        <v>41213</v>
      </c>
      <c r="B2640" s="122">
        <v>0.91702546296296295</v>
      </c>
      <c r="C2640" s="26" t="s">
        <v>1179</v>
      </c>
    </row>
    <row r="2641" spans="1:3" x14ac:dyDescent="0.25">
      <c r="A2641" s="36">
        <v>41213</v>
      </c>
      <c r="B2641" s="122">
        <v>0.91702546296296295</v>
      </c>
      <c r="C2641" s="26" t="s">
        <v>1180</v>
      </c>
    </row>
    <row r="2642" spans="1:3" x14ac:dyDescent="0.25">
      <c r="A2642" s="36">
        <v>41213</v>
      </c>
      <c r="B2642" s="122">
        <v>0.92012731481481491</v>
      </c>
      <c r="C2642" s="26" t="s">
        <v>1655</v>
      </c>
    </row>
    <row r="2643" spans="1:3" x14ac:dyDescent="0.25">
      <c r="A2643" s="36">
        <v>41213</v>
      </c>
      <c r="B2643" s="122">
        <v>0.92201388888888891</v>
      </c>
      <c r="C2643" s="26" t="s">
        <v>992</v>
      </c>
    </row>
    <row r="2644" spans="1:3" x14ac:dyDescent="0.25">
      <c r="A2644" s="36">
        <v>41213</v>
      </c>
      <c r="B2644" s="122">
        <v>0.92201388888888891</v>
      </c>
      <c r="C2644" s="26" t="s">
        <v>1084</v>
      </c>
    </row>
    <row r="2645" spans="1:3" x14ac:dyDescent="0.25">
      <c r="A2645" s="36">
        <v>41213</v>
      </c>
      <c r="B2645" s="122">
        <v>0.92201388888888891</v>
      </c>
      <c r="C2645" s="26" t="s">
        <v>1085</v>
      </c>
    </row>
    <row r="2646" spans="1:3" x14ac:dyDescent="0.25">
      <c r="A2646" s="36">
        <v>41213</v>
      </c>
      <c r="B2646" s="122">
        <v>0.92201388888888891</v>
      </c>
      <c r="C2646" s="26" t="s">
        <v>1086</v>
      </c>
    </row>
    <row r="2647" spans="1:3" x14ac:dyDescent="0.25">
      <c r="A2647" s="36">
        <v>41213</v>
      </c>
      <c r="B2647" s="122">
        <v>0.92202546296296306</v>
      </c>
      <c r="C2647" s="26" t="s">
        <v>1085</v>
      </c>
    </row>
    <row r="2648" spans="1:3" x14ac:dyDescent="0.25">
      <c r="A2648" s="36">
        <v>41213</v>
      </c>
      <c r="B2648" s="122">
        <v>0.92202546296296306</v>
      </c>
      <c r="C2648" s="26" t="s">
        <v>1087</v>
      </c>
    </row>
    <row r="2649" spans="1:3" x14ac:dyDescent="0.25">
      <c r="A2649" s="36">
        <v>41213</v>
      </c>
      <c r="B2649" s="122">
        <v>0.92202546296296306</v>
      </c>
      <c r="C2649" s="26" t="s">
        <v>1088</v>
      </c>
    </row>
    <row r="2650" spans="1:3" x14ac:dyDescent="0.25">
      <c r="A2650" s="36">
        <v>41213</v>
      </c>
      <c r="B2650" s="122">
        <v>0.92202546296296306</v>
      </c>
      <c r="C2650" s="26" t="s">
        <v>1088</v>
      </c>
    </row>
    <row r="2651" spans="1:3" x14ac:dyDescent="0.25">
      <c r="A2651" s="36">
        <v>41213</v>
      </c>
      <c r="B2651" s="122">
        <v>0.92202546296296306</v>
      </c>
      <c r="C2651" s="26" t="s">
        <v>1092</v>
      </c>
    </row>
    <row r="2652" spans="1:3" x14ac:dyDescent="0.25">
      <c r="A2652" s="36">
        <v>41213</v>
      </c>
      <c r="B2652" s="122">
        <v>0.92202546296296306</v>
      </c>
      <c r="C2652" s="26" t="s">
        <v>1562</v>
      </c>
    </row>
    <row r="2653" spans="1:3" x14ac:dyDescent="0.25">
      <c r="A2653" s="36">
        <v>41213</v>
      </c>
      <c r="B2653" s="122">
        <v>0.92224537037037047</v>
      </c>
      <c r="C2653" s="26" t="s">
        <v>1207</v>
      </c>
    </row>
    <row r="2654" spans="1:3" x14ac:dyDescent="0.25">
      <c r="A2654" s="36">
        <v>41213</v>
      </c>
      <c r="B2654" s="122">
        <v>0.92225694444444439</v>
      </c>
      <c r="C2654" s="26" t="s">
        <v>1177</v>
      </c>
    </row>
    <row r="2655" spans="1:3" x14ac:dyDescent="0.25">
      <c r="A2655" s="36">
        <v>41213</v>
      </c>
      <c r="B2655" s="122">
        <v>0.92449074074074078</v>
      </c>
      <c r="C2655" s="26" t="s">
        <v>1656</v>
      </c>
    </row>
    <row r="2656" spans="1:3" x14ac:dyDescent="0.25">
      <c r="A2656" s="36">
        <v>41213</v>
      </c>
      <c r="B2656" s="122">
        <v>0.92532407407407413</v>
      </c>
      <c r="C2656" s="26" t="s">
        <v>1657</v>
      </c>
    </row>
    <row r="2657" spans="1:3" x14ac:dyDescent="0.25">
      <c r="A2657" s="36">
        <v>41213</v>
      </c>
      <c r="B2657" s="122">
        <v>0.92563657407407407</v>
      </c>
      <c r="C2657" s="26" t="s">
        <v>1207</v>
      </c>
    </row>
    <row r="2658" spans="1:3" x14ac:dyDescent="0.25">
      <c r="A2658" s="36">
        <v>41213</v>
      </c>
      <c r="B2658" s="122">
        <v>0.92563657407407407</v>
      </c>
      <c r="C2658" s="26" t="s">
        <v>1177</v>
      </c>
    </row>
    <row r="2659" spans="1:3" x14ac:dyDescent="0.25">
      <c r="A2659" s="36">
        <v>41213</v>
      </c>
      <c r="B2659" s="122">
        <v>0.93255787037037041</v>
      </c>
      <c r="C2659" s="26" t="s">
        <v>1658</v>
      </c>
    </row>
    <row r="2660" spans="1:3" x14ac:dyDescent="0.25">
      <c r="A2660" s="36">
        <v>41213</v>
      </c>
      <c r="B2660" s="122">
        <v>0.93270833333333336</v>
      </c>
      <c r="C2660" s="26" t="s">
        <v>1656</v>
      </c>
    </row>
    <row r="2661" spans="1:3" x14ac:dyDescent="0.25">
      <c r="A2661" s="36">
        <v>41213</v>
      </c>
      <c r="B2661" s="122">
        <v>0.93334490740740739</v>
      </c>
      <c r="C2661" s="26" t="s">
        <v>1659</v>
      </c>
    </row>
    <row r="2662" spans="1:3" x14ac:dyDescent="0.25">
      <c r="A2662" s="36">
        <v>41213</v>
      </c>
      <c r="B2662" s="122">
        <v>0.93519675925925927</v>
      </c>
      <c r="C2662" s="26" t="s">
        <v>1208</v>
      </c>
    </row>
    <row r="2663" spans="1:3" x14ac:dyDescent="0.25">
      <c r="A2663" s="36">
        <v>41213</v>
      </c>
      <c r="B2663" s="122">
        <v>0.93520833333333331</v>
      </c>
      <c r="C2663" s="26" t="s">
        <v>1179</v>
      </c>
    </row>
    <row r="2664" spans="1:3" x14ac:dyDescent="0.25">
      <c r="A2664" s="36">
        <v>41213</v>
      </c>
      <c r="B2664" s="122">
        <v>0.93520833333333331</v>
      </c>
      <c r="C2664" s="26" t="s">
        <v>1180</v>
      </c>
    </row>
    <row r="2665" spans="1:3" x14ac:dyDescent="0.25">
      <c r="A2665" s="36">
        <v>41213</v>
      </c>
      <c r="B2665" s="122">
        <v>0.94469907407407405</v>
      </c>
      <c r="C2665" s="26" t="s">
        <v>1660</v>
      </c>
    </row>
    <row r="2666" spans="1:3" x14ac:dyDescent="0.25">
      <c r="A2666" s="36">
        <v>41213</v>
      </c>
      <c r="B2666" s="122">
        <v>0.94789351851851855</v>
      </c>
      <c r="C2666" s="26" t="s">
        <v>992</v>
      </c>
    </row>
    <row r="2667" spans="1:3" x14ac:dyDescent="0.25">
      <c r="A2667" s="36">
        <v>41213</v>
      </c>
      <c r="B2667" s="122">
        <v>0.94789351851851855</v>
      </c>
      <c r="C2667" s="26" t="s">
        <v>1084</v>
      </c>
    </row>
    <row r="2668" spans="1:3" x14ac:dyDescent="0.25">
      <c r="A2668" s="36">
        <v>41213</v>
      </c>
      <c r="B2668" s="122">
        <v>0.94789351851851855</v>
      </c>
      <c r="C2668" s="26" t="s">
        <v>1085</v>
      </c>
    </row>
    <row r="2669" spans="1:3" x14ac:dyDescent="0.25">
      <c r="A2669" s="36">
        <v>41213</v>
      </c>
      <c r="B2669" s="122">
        <v>0.94789351851851855</v>
      </c>
      <c r="C2669" s="26" t="s">
        <v>1086</v>
      </c>
    </row>
    <row r="2670" spans="1:3" x14ac:dyDescent="0.25">
      <c r="A2670" s="36">
        <v>41213</v>
      </c>
      <c r="B2670" s="122">
        <v>0.94789351851851855</v>
      </c>
      <c r="C2670" s="26" t="s">
        <v>1085</v>
      </c>
    </row>
    <row r="2671" spans="1:3" x14ac:dyDescent="0.25">
      <c r="A2671" s="36">
        <v>41213</v>
      </c>
      <c r="B2671" s="122">
        <v>0.94789351851851855</v>
      </c>
      <c r="C2671" s="26" t="s">
        <v>1087</v>
      </c>
    </row>
    <row r="2672" spans="1:3" x14ac:dyDescent="0.25">
      <c r="A2672" s="36">
        <v>41213</v>
      </c>
      <c r="B2672" s="122">
        <v>0.94789351851851855</v>
      </c>
      <c r="C2672" s="26" t="s">
        <v>1088</v>
      </c>
    </row>
    <row r="2673" spans="1:3" x14ac:dyDescent="0.25">
      <c r="A2673" s="36">
        <v>41213</v>
      </c>
      <c r="B2673" s="122">
        <v>0.94789351851851855</v>
      </c>
      <c r="C2673" s="26" t="s">
        <v>1088</v>
      </c>
    </row>
    <row r="2674" spans="1:3" x14ac:dyDescent="0.25">
      <c r="A2674" s="36">
        <v>41213</v>
      </c>
      <c r="B2674" s="122">
        <v>0.94789351851851855</v>
      </c>
      <c r="C2674" s="26" t="s">
        <v>1092</v>
      </c>
    </row>
    <row r="2675" spans="1:3" x14ac:dyDescent="0.25">
      <c r="A2675" s="36">
        <v>41213</v>
      </c>
      <c r="B2675" s="122">
        <v>0.94790509259259259</v>
      </c>
      <c r="C2675" s="26" t="s">
        <v>1562</v>
      </c>
    </row>
    <row r="2676" spans="1:3" x14ac:dyDescent="0.25">
      <c r="A2676" s="36">
        <v>41213</v>
      </c>
      <c r="B2676" s="122">
        <v>0.94832175925925932</v>
      </c>
      <c r="C2676" s="26" t="s">
        <v>1179</v>
      </c>
    </row>
    <row r="2677" spans="1:3" x14ac:dyDescent="0.25">
      <c r="A2677" s="36">
        <v>41213</v>
      </c>
      <c r="B2677" s="122">
        <v>0.94832175925925932</v>
      </c>
      <c r="C2677" s="26" t="s">
        <v>1180</v>
      </c>
    </row>
    <row r="2678" spans="1:3" x14ac:dyDescent="0.25">
      <c r="A2678" s="36">
        <v>41213</v>
      </c>
      <c r="B2678" s="122">
        <v>0.95271990740740742</v>
      </c>
      <c r="C2678" s="26" t="s">
        <v>1661</v>
      </c>
    </row>
    <row r="2679" spans="1:3" x14ac:dyDescent="0.25">
      <c r="A2679" s="36">
        <v>41213</v>
      </c>
      <c r="B2679" s="122">
        <v>0.9534259259259259</v>
      </c>
      <c r="C2679" s="26" t="s">
        <v>1656</v>
      </c>
    </row>
    <row r="2680" spans="1:3" x14ac:dyDescent="0.25">
      <c r="A2680" s="36">
        <v>41213</v>
      </c>
      <c r="B2680" s="122">
        <v>0.95386574074074071</v>
      </c>
      <c r="C2680" s="26" t="s">
        <v>1658</v>
      </c>
    </row>
    <row r="2681" spans="1:3" x14ac:dyDescent="0.25">
      <c r="A2681" s="36">
        <v>41213</v>
      </c>
      <c r="B2681" s="122">
        <v>0.95400462962962962</v>
      </c>
      <c r="C2681" s="26" t="s">
        <v>992</v>
      </c>
    </row>
    <row r="2682" spans="1:3" x14ac:dyDescent="0.25">
      <c r="A2682" s="36">
        <v>41213</v>
      </c>
      <c r="B2682" s="122">
        <v>0.95400462962962962</v>
      </c>
      <c r="C2682" s="26" t="s">
        <v>1084</v>
      </c>
    </row>
    <row r="2683" spans="1:3" x14ac:dyDescent="0.25">
      <c r="A2683" s="36">
        <v>41213</v>
      </c>
      <c r="B2683" s="122">
        <v>0.95400462962962962</v>
      </c>
      <c r="C2683" s="26" t="s">
        <v>1085</v>
      </c>
    </row>
    <row r="2684" spans="1:3" x14ac:dyDescent="0.25">
      <c r="A2684" s="36">
        <v>41213</v>
      </c>
      <c r="B2684" s="122">
        <v>0.95400462962962962</v>
      </c>
      <c r="C2684" s="26" t="s">
        <v>1086</v>
      </c>
    </row>
    <row r="2685" spans="1:3" x14ac:dyDescent="0.25">
      <c r="A2685" s="36">
        <v>41213</v>
      </c>
      <c r="B2685" s="122">
        <v>0.95400462962962962</v>
      </c>
      <c r="C2685" s="26" t="s">
        <v>1085</v>
      </c>
    </row>
    <row r="2686" spans="1:3" x14ac:dyDescent="0.25">
      <c r="A2686" s="36">
        <v>41213</v>
      </c>
      <c r="B2686" s="122">
        <v>0.95400462962962962</v>
      </c>
      <c r="C2686" s="26" t="s">
        <v>1087</v>
      </c>
    </row>
    <row r="2687" spans="1:3" x14ac:dyDescent="0.25">
      <c r="A2687" s="36">
        <v>41213</v>
      </c>
      <c r="B2687" s="122">
        <v>0.95400462962962962</v>
      </c>
      <c r="C2687" s="26" t="s">
        <v>1088</v>
      </c>
    </row>
    <row r="2688" spans="1:3" x14ac:dyDescent="0.25">
      <c r="A2688" s="36">
        <v>41213</v>
      </c>
      <c r="B2688" s="122">
        <v>0.95400462962962962</v>
      </c>
      <c r="C2688" s="26" t="s">
        <v>1088</v>
      </c>
    </row>
    <row r="2689" spans="1:3" x14ac:dyDescent="0.25">
      <c r="A2689" s="36">
        <v>41213</v>
      </c>
      <c r="B2689" s="122">
        <v>0.95400462962962962</v>
      </c>
      <c r="C2689" s="26" t="s">
        <v>1092</v>
      </c>
    </row>
    <row r="2690" spans="1:3" x14ac:dyDescent="0.25">
      <c r="A2690" s="36">
        <v>41213</v>
      </c>
      <c r="B2690" s="122">
        <v>0.95401620370370377</v>
      </c>
      <c r="C2690" s="26" t="s">
        <v>1562</v>
      </c>
    </row>
    <row r="2691" spans="1:3" x14ac:dyDescent="0.25">
      <c r="A2691" s="36">
        <v>41213</v>
      </c>
      <c r="B2691" s="122">
        <v>0.95416666666666661</v>
      </c>
      <c r="C2691" s="26" t="s">
        <v>1179</v>
      </c>
    </row>
    <row r="2692" spans="1:3" x14ac:dyDescent="0.25">
      <c r="A2692" s="36">
        <v>41213</v>
      </c>
      <c r="B2692" s="122">
        <v>0.95416666666666661</v>
      </c>
      <c r="C2692" s="26" t="s">
        <v>1180</v>
      </c>
    </row>
    <row r="2693" spans="1:3" x14ac:dyDescent="0.25">
      <c r="A2693" s="36">
        <v>41213</v>
      </c>
      <c r="B2693" s="122">
        <v>0.95421296296296287</v>
      </c>
      <c r="C2693" s="26" t="s">
        <v>1182</v>
      </c>
    </row>
    <row r="2694" spans="1:3" x14ac:dyDescent="0.25">
      <c r="A2694" s="36">
        <v>41213</v>
      </c>
      <c r="B2694" s="122">
        <v>0.9556365740740741</v>
      </c>
      <c r="C2694" s="26" t="s">
        <v>1183</v>
      </c>
    </row>
    <row r="2695" spans="1:3" x14ac:dyDescent="0.25">
      <c r="A2695" s="36">
        <v>41213</v>
      </c>
      <c r="B2695" s="122">
        <v>0.95565972222222229</v>
      </c>
      <c r="C2695" s="26" t="s">
        <v>1183</v>
      </c>
    </row>
    <row r="2696" spans="1:3" x14ac:dyDescent="0.25">
      <c r="A2696" s="36">
        <v>41213</v>
      </c>
      <c r="B2696" s="122">
        <v>0.95570601851851855</v>
      </c>
      <c r="C2696" s="26" t="s">
        <v>1569</v>
      </c>
    </row>
    <row r="2697" spans="1:3" x14ac:dyDescent="0.25">
      <c r="A2697" s="36">
        <v>41213</v>
      </c>
      <c r="B2697" s="122">
        <v>0.95584490740740735</v>
      </c>
      <c r="C2697" s="26" t="s">
        <v>1184</v>
      </c>
    </row>
    <row r="2698" spans="1:3" x14ac:dyDescent="0.25">
      <c r="A2698" s="36">
        <v>41213</v>
      </c>
      <c r="B2698" s="122">
        <v>0.95591435185185192</v>
      </c>
      <c r="C2698" s="26" t="s">
        <v>1209</v>
      </c>
    </row>
    <row r="2699" spans="1:3" x14ac:dyDescent="0.25">
      <c r="A2699" s="36">
        <v>41213</v>
      </c>
      <c r="B2699" s="122">
        <v>0.95591435185185192</v>
      </c>
      <c r="C2699" s="26" t="s">
        <v>1185</v>
      </c>
    </row>
    <row r="2700" spans="1:3" x14ac:dyDescent="0.25">
      <c r="A2700" s="36">
        <v>41213</v>
      </c>
      <c r="B2700" s="122">
        <v>0.95594907407407403</v>
      </c>
      <c r="C2700" s="26" t="s">
        <v>1577</v>
      </c>
    </row>
    <row r="2701" spans="1:3" x14ac:dyDescent="0.25">
      <c r="A2701" s="36">
        <v>41213</v>
      </c>
      <c r="B2701" s="122">
        <v>0.95597222222222233</v>
      </c>
      <c r="C2701" s="26" t="s">
        <v>1170</v>
      </c>
    </row>
    <row r="2702" spans="1:3" x14ac:dyDescent="0.25">
      <c r="A2702" s="36">
        <v>41213</v>
      </c>
      <c r="B2702" s="122">
        <v>0.95600694444444445</v>
      </c>
      <c r="C2702" s="26" t="s">
        <v>1578</v>
      </c>
    </row>
    <row r="2703" spans="1:3" x14ac:dyDescent="0.25">
      <c r="A2703" s="36">
        <v>41213</v>
      </c>
      <c r="B2703" s="122">
        <v>0.95603009259259253</v>
      </c>
      <c r="C2703" s="26" t="s">
        <v>1190</v>
      </c>
    </row>
    <row r="2704" spans="1:3" x14ac:dyDescent="0.25">
      <c r="A2704" s="36">
        <v>41213</v>
      </c>
      <c r="B2704" s="122">
        <v>0.95603009259259253</v>
      </c>
      <c r="C2704" s="26" t="s">
        <v>1191</v>
      </c>
    </row>
    <row r="2705" spans="1:3" x14ac:dyDescent="0.25">
      <c r="A2705" s="36">
        <v>41213</v>
      </c>
      <c r="B2705" s="122">
        <v>0.95606481481481476</v>
      </c>
      <c r="C2705" s="26" t="s">
        <v>1193</v>
      </c>
    </row>
    <row r="2706" spans="1:3" x14ac:dyDescent="0.25">
      <c r="A2706" s="36">
        <v>41213</v>
      </c>
      <c r="B2706" s="122">
        <v>0.95608796296296295</v>
      </c>
      <c r="C2706" s="26" t="s">
        <v>1579</v>
      </c>
    </row>
    <row r="2707" spans="1:3" x14ac:dyDescent="0.25">
      <c r="A2707" s="36">
        <v>41213</v>
      </c>
      <c r="B2707" s="122">
        <v>0.95608796296296295</v>
      </c>
      <c r="C2707" s="26" t="s">
        <v>1580</v>
      </c>
    </row>
    <row r="2708" spans="1:3" x14ac:dyDescent="0.25">
      <c r="A2708" s="36">
        <v>41213</v>
      </c>
      <c r="B2708" s="122">
        <v>0.95611111111111102</v>
      </c>
      <c r="C2708" s="26" t="s">
        <v>1581</v>
      </c>
    </row>
    <row r="2709" spans="1:3" x14ac:dyDescent="0.25">
      <c r="A2709" s="36">
        <v>41213</v>
      </c>
      <c r="B2709" s="122">
        <v>0.95613425925925932</v>
      </c>
      <c r="C2709" s="26" t="s">
        <v>1582</v>
      </c>
    </row>
    <row r="2710" spans="1:3" x14ac:dyDescent="0.25">
      <c r="A2710" s="36">
        <v>41213</v>
      </c>
      <c r="B2710" s="122">
        <v>0.9561574074074074</v>
      </c>
      <c r="C2710" s="26" t="s">
        <v>1583</v>
      </c>
    </row>
    <row r="2711" spans="1:3" x14ac:dyDescent="0.25">
      <c r="A2711" s="36">
        <v>41213</v>
      </c>
      <c r="B2711" s="122">
        <v>0.95620370370370367</v>
      </c>
      <c r="C2711" s="26" t="s">
        <v>1584</v>
      </c>
    </row>
    <row r="2712" spans="1:3" x14ac:dyDescent="0.25">
      <c r="A2712" s="36">
        <v>41213</v>
      </c>
      <c r="B2712" s="122">
        <v>0.95621527777777782</v>
      </c>
      <c r="C2712" s="26" t="s">
        <v>1585</v>
      </c>
    </row>
    <row r="2713" spans="1:3" x14ac:dyDescent="0.25">
      <c r="A2713" s="36">
        <v>41213</v>
      </c>
      <c r="B2713" s="122">
        <v>0.95621527777777782</v>
      </c>
      <c r="C2713" s="26" t="s">
        <v>1586</v>
      </c>
    </row>
    <row r="2714" spans="1:3" x14ac:dyDescent="0.25">
      <c r="A2714" s="36">
        <v>41213</v>
      </c>
      <c r="B2714" s="122">
        <v>0.95624999999999993</v>
      </c>
      <c r="C2714" s="26" t="s">
        <v>1587</v>
      </c>
    </row>
    <row r="2715" spans="1:3" x14ac:dyDescent="0.25">
      <c r="A2715" s="36">
        <v>41213</v>
      </c>
      <c r="B2715" s="122">
        <v>0.95624999999999993</v>
      </c>
      <c r="C2715" s="26" t="s">
        <v>1588</v>
      </c>
    </row>
    <row r="2716" spans="1:3" x14ac:dyDescent="0.25">
      <c r="A2716" s="36">
        <v>41213</v>
      </c>
      <c r="B2716" s="122">
        <v>0.95630787037037035</v>
      </c>
      <c r="C2716" s="26" t="s">
        <v>1190</v>
      </c>
    </row>
    <row r="2717" spans="1:3" x14ac:dyDescent="0.25">
      <c r="A2717" s="36">
        <v>41213</v>
      </c>
      <c r="B2717" s="122">
        <v>0.95630787037037035</v>
      </c>
      <c r="C2717" s="26" t="s">
        <v>1191</v>
      </c>
    </row>
    <row r="2718" spans="1:3" x14ac:dyDescent="0.25">
      <c r="A2718" s="36">
        <v>41213</v>
      </c>
      <c r="B2718" s="122">
        <v>0.95634259259259258</v>
      </c>
      <c r="C2718" s="26" t="s">
        <v>1589</v>
      </c>
    </row>
    <row r="2719" spans="1:3" x14ac:dyDescent="0.25">
      <c r="A2719" s="36">
        <v>41213</v>
      </c>
      <c r="B2719" s="122">
        <v>0.95634259259259258</v>
      </c>
      <c r="C2719" s="26" t="s">
        <v>1590</v>
      </c>
    </row>
    <row r="2720" spans="1:3" x14ac:dyDescent="0.25">
      <c r="A2720" s="36">
        <v>41213</v>
      </c>
      <c r="B2720" s="122">
        <v>0.95634259259259258</v>
      </c>
      <c r="C2720" s="26" t="s">
        <v>1591</v>
      </c>
    </row>
    <row r="2721" spans="1:3" x14ac:dyDescent="0.25">
      <c r="A2721" s="36">
        <v>41213</v>
      </c>
      <c r="B2721" s="122">
        <v>0.95636574074074077</v>
      </c>
      <c r="C2721" s="26" t="s">
        <v>1592</v>
      </c>
    </row>
    <row r="2722" spans="1:3" x14ac:dyDescent="0.25">
      <c r="A2722" s="36">
        <v>41213</v>
      </c>
      <c r="B2722" s="122">
        <v>0.95636574074074077</v>
      </c>
      <c r="C2722" s="26" t="s">
        <v>1589</v>
      </c>
    </row>
    <row r="2723" spans="1:3" x14ac:dyDescent="0.25">
      <c r="A2723" s="36">
        <v>41213</v>
      </c>
      <c r="B2723" s="122">
        <v>0.95636574074074077</v>
      </c>
      <c r="C2723" s="26" t="s">
        <v>1590</v>
      </c>
    </row>
    <row r="2724" spans="1:3" x14ac:dyDescent="0.25">
      <c r="A2724" s="36">
        <v>41213</v>
      </c>
      <c r="B2724" s="122">
        <v>0.95636574074074077</v>
      </c>
      <c r="C2724" s="26" t="s">
        <v>1591</v>
      </c>
    </row>
    <row r="2725" spans="1:3" x14ac:dyDescent="0.25">
      <c r="A2725" s="36">
        <v>41213</v>
      </c>
      <c r="B2725" s="122">
        <v>0.95638888888888884</v>
      </c>
      <c r="C2725" s="26" t="s">
        <v>1593</v>
      </c>
    </row>
    <row r="2726" spans="1:3" x14ac:dyDescent="0.25">
      <c r="A2726" s="36">
        <v>41213</v>
      </c>
      <c r="B2726" s="122">
        <v>0.95638888888888884</v>
      </c>
      <c r="C2726" s="26" t="s">
        <v>1594</v>
      </c>
    </row>
    <row r="2727" spans="1:3" x14ac:dyDescent="0.25">
      <c r="A2727" s="36">
        <v>41213</v>
      </c>
      <c r="B2727" s="122">
        <v>0.95642361111111107</v>
      </c>
      <c r="C2727" s="26" t="s">
        <v>1190</v>
      </c>
    </row>
    <row r="2728" spans="1:3" x14ac:dyDescent="0.25">
      <c r="A2728" s="36">
        <v>41213</v>
      </c>
      <c r="B2728" s="122">
        <v>0.95642361111111107</v>
      </c>
      <c r="C2728" s="26" t="s">
        <v>1191</v>
      </c>
    </row>
    <row r="2729" spans="1:3" x14ac:dyDescent="0.25">
      <c r="A2729" s="36">
        <v>41213</v>
      </c>
      <c r="B2729" s="122">
        <v>0.95644675925925926</v>
      </c>
      <c r="C2729" s="26" t="s">
        <v>1595</v>
      </c>
    </row>
    <row r="2730" spans="1:3" x14ac:dyDescent="0.25">
      <c r="A2730" s="36">
        <v>41213</v>
      </c>
      <c r="B2730" s="122">
        <v>0.95644675925925926</v>
      </c>
      <c r="C2730" s="26" t="s">
        <v>1596</v>
      </c>
    </row>
    <row r="2731" spans="1:3" x14ac:dyDescent="0.25">
      <c r="A2731" s="36">
        <v>41213</v>
      </c>
      <c r="B2731" s="122">
        <v>0.95644675925925926</v>
      </c>
      <c r="C2731" s="26" t="s">
        <v>1597</v>
      </c>
    </row>
    <row r="2732" spans="1:3" x14ac:dyDescent="0.25">
      <c r="A2732" s="36">
        <v>41213</v>
      </c>
      <c r="B2732" s="122">
        <v>0.95656249999999998</v>
      </c>
      <c r="C2732" s="26" t="s">
        <v>1598</v>
      </c>
    </row>
    <row r="2733" spans="1:3" x14ac:dyDescent="0.25">
      <c r="A2733" s="36">
        <v>41213</v>
      </c>
      <c r="B2733" s="122">
        <v>0.95664351851851848</v>
      </c>
      <c r="C2733" s="26" t="s">
        <v>1662</v>
      </c>
    </row>
    <row r="2734" spans="1:3" x14ac:dyDescent="0.25">
      <c r="A2734" s="36">
        <v>41213</v>
      </c>
      <c r="B2734" s="122">
        <v>0.95862268518518512</v>
      </c>
      <c r="C2734" s="26" t="s">
        <v>1663</v>
      </c>
    </row>
    <row r="2735" spans="1:3" x14ac:dyDescent="0.25">
      <c r="A2735" s="36">
        <v>41213</v>
      </c>
      <c r="B2735" s="122">
        <v>0.96083333333333332</v>
      </c>
      <c r="C2735" s="26" t="s">
        <v>1664</v>
      </c>
    </row>
    <row r="2736" spans="1:3" x14ac:dyDescent="0.25">
      <c r="A2736" s="36">
        <v>41213</v>
      </c>
      <c r="B2736" s="122">
        <v>0.96250000000000002</v>
      </c>
      <c r="C2736" s="26" t="s">
        <v>992</v>
      </c>
    </row>
    <row r="2737" spans="1:3" x14ac:dyDescent="0.25">
      <c r="A2737" s="36">
        <v>41213</v>
      </c>
      <c r="B2737" s="122">
        <v>0.96250000000000002</v>
      </c>
      <c r="C2737" s="26" t="s">
        <v>1084</v>
      </c>
    </row>
    <row r="2738" spans="1:3" x14ac:dyDescent="0.25">
      <c r="A2738" s="36">
        <v>41213</v>
      </c>
      <c r="B2738" s="122">
        <v>0.96250000000000002</v>
      </c>
      <c r="C2738" s="26" t="s">
        <v>1085</v>
      </c>
    </row>
    <row r="2739" spans="1:3" x14ac:dyDescent="0.25">
      <c r="A2739" s="36">
        <v>41213</v>
      </c>
      <c r="B2739" s="122">
        <v>0.96250000000000002</v>
      </c>
      <c r="C2739" s="26" t="s">
        <v>1086</v>
      </c>
    </row>
    <row r="2740" spans="1:3" x14ac:dyDescent="0.25">
      <c r="A2740" s="36">
        <v>41213</v>
      </c>
      <c r="B2740" s="122">
        <v>0.96250000000000002</v>
      </c>
      <c r="C2740" s="26" t="s">
        <v>1085</v>
      </c>
    </row>
    <row r="2741" spans="1:3" x14ac:dyDescent="0.25">
      <c r="A2741" s="36">
        <v>41213</v>
      </c>
      <c r="B2741" s="122">
        <v>0.96250000000000002</v>
      </c>
      <c r="C2741" s="26" t="s">
        <v>1087</v>
      </c>
    </row>
    <row r="2742" spans="1:3" x14ac:dyDescent="0.25">
      <c r="A2742" s="36">
        <v>41213</v>
      </c>
      <c r="B2742" s="122">
        <v>0.96250000000000002</v>
      </c>
      <c r="C2742" s="26" t="s">
        <v>1088</v>
      </c>
    </row>
    <row r="2743" spans="1:3" x14ac:dyDescent="0.25">
      <c r="A2743" s="36">
        <v>41213</v>
      </c>
      <c r="B2743" s="122">
        <v>0.96250000000000002</v>
      </c>
      <c r="C2743" s="26" t="s">
        <v>1088</v>
      </c>
    </row>
    <row r="2744" spans="1:3" x14ac:dyDescent="0.25">
      <c r="A2744" s="36">
        <v>41213</v>
      </c>
      <c r="B2744" s="122">
        <v>0.96250000000000002</v>
      </c>
      <c r="C2744" s="26" t="s">
        <v>1092</v>
      </c>
    </row>
    <row r="2745" spans="1:3" x14ac:dyDescent="0.25">
      <c r="A2745" s="36">
        <v>41213</v>
      </c>
      <c r="B2745" s="122">
        <v>0.96250000000000002</v>
      </c>
      <c r="C2745" s="26" t="s">
        <v>1562</v>
      </c>
    </row>
    <row r="2746" spans="1:3" x14ac:dyDescent="0.25">
      <c r="A2746" s="36">
        <v>41213</v>
      </c>
      <c r="B2746" s="122">
        <v>0.96275462962962965</v>
      </c>
      <c r="C2746" s="26" t="s">
        <v>1207</v>
      </c>
    </row>
    <row r="2747" spans="1:3" x14ac:dyDescent="0.25">
      <c r="A2747" s="36">
        <v>41213</v>
      </c>
      <c r="B2747" s="122">
        <v>0.96275462962962965</v>
      </c>
      <c r="C2747" s="26" t="s">
        <v>1177</v>
      </c>
    </row>
    <row r="2748" spans="1:3" x14ac:dyDescent="0.25">
      <c r="A2748" s="36">
        <v>41214</v>
      </c>
      <c r="B2748" s="122">
        <v>0.69578703703703704</v>
      </c>
      <c r="C2748" s="26" t="s">
        <v>1665</v>
      </c>
    </row>
    <row r="2749" spans="1:3" x14ac:dyDescent="0.25">
      <c r="A2749" s="36">
        <v>41214</v>
      </c>
      <c r="B2749" s="122">
        <v>0.76172453703703702</v>
      </c>
      <c r="C2749" s="26" t="s">
        <v>1666</v>
      </c>
    </row>
    <row r="2750" spans="1:3" x14ac:dyDescent="0.25">
      <c r="A2750" s="36">
        <v>41214</v>
      </c>
      <c r="B2750" s="122">
        <v>0.7653240740740741</v>
      </c>
      <c r="C2750" s="26" t="s">
        <v>1667</v>
      </c>
    </row>
    <row r="2751" spans="1:3" x14ac:dyDescent="0.25">
      <c r="A2751" s="36">
        <v>41214</v>
      </c>
      <c r="B2751" s="122">
        <v>0.76685185185185178</v>
      </c>
      <c r="C2751" s="26" t="s">
        <v>1668</v>
      </c>
    </row>
    <row r="2752" spans="1:3" x14ac:dyDescent="0.25">
      <c r="A2752" s="36">
        <v>41214</v>
      </c>
      <c r="B2752" s="122">
        <v>0.76840277777777777</v>
      </c>
      <c r="C2752" s="26" t="s">
        <v>1669</v>
      </c>
    </row>
    <row r="2753" spans="1:3" x14ac:dyDescent="0.25">
      <c r="A2753" s="36">
        <v>41214</v>
      </c>
      <c r="B2753" s="122">
        <v>0.77060185185185182</v>
      </c>
      <c r="C2753" s="26" t="s">
        <v>1670</v>
      </c>
    </row>
    <row r="2754" spans="1:3" x14ac:dyDescent="0.25">
      <c r="A2754" s="36">
        <v>41214</v>
      </c>
      <c r="B2754" s="122">
        <v>0.77121527777777776</v>
      </c>
      <c r="C2754" s="26" t="s">
        <v>992</v>
      </c>
    </row>
    <row r="2755" spans="1:3" x14ac:dyDescent="0.25">
      <c r="A2755" s="36">
        <v>41214</v>
      </c>
      <c r="B2755" s="122">
        <v>0.77121527777777776</v>
      </c>
      <c r="C2755" s="26" t="s">
        <v>1084</v>
      </c>
    </row>
    <row r="2756" spans="1:3" x14ac:dyDescent="0.25">
      <c r="A2756" s="36">
        <v>41214</v>
      </c>
      <c r="B2756" s="122">
        <v>0.77121527777777776</v>
      </c>
      <c r="C2756" s="26" t="s">
        <v>1085</v>
      </c>
    </row>
    <row r="2757" spans="1:3" x14ac:dyDescent="0.25">
      <c r="A2757" s="36">
        <v>41214</v>
      </c>
      <c r="B2757" s="122">
        <v>0.77121527777777776</v>
      </c>
      <c r="C2757" s="26" t="s">
        <v>1086</v>
      </c>
    </row>
    <row r="2758" spans="1:3" x14ac:dyDescent="0.25">
      <c r="A2758" s="36">
        <v>41214</v>
      </c>
      <c r="B2758" s="122">
        <v>0.77121527777777776</v>
      </c>
      <c r="C2758" s="26" t="s">
        <v>1085</v>
      </c>
    </row>
    <row r="2759" spans="1:3" x14ac:dyDescent="0.25">
      <c r="A2759" s="36">
        <v>41214</v>
      </c>
      <c r="B2759" s="122">
        <v>0.77121527777777776</v>
      </c>
      <c r="C2759" s="26" t="s">
        <v>1087</v>
      </c>
    </row>
    <row r="2760" spans="1:3" x14ac:dyDescent="0.25">
      <c r="A2760" s="36">
        <v>41214</v>
      </c>
      <c r="B2760" s="122">
        <v>0.77121527777777776</v>
      </c>
      <c r="C2760" s="26" t="s">
        <v>1088</v>
      </c>
    </row>
    <row r="2761" spans="1:3" x14ac:dyDescent="0.25">
      <c r="A2761" s="36">
        <v>41214</v>
      </c>
      <c r="B2761" s="122">
        <v>0.77121527777777776</v>
      </c>
      <c r="C2761" s="26" t="s">
        <v>1088</v>
      </c>
    </row>
    <row r="2762" spans="1:3" x14ac:dyDescent="0.25">
      <c r="A2762" s="36">
        <v>41214</v>
      </c>
      <c r="B2762" s="122">
        <v>0.77121527777777776</v>
      </c>
      <c r="C2762" s="26" t="s">
        <v>1092</v>
      </c>
    </row>
    <row r="2763" spans="1:3" x14ac:dyDescent="0.25">
      <c r="A2763" s="36">
        <v>41214</v>
      </c>
      <c r="B2763" s="122">
        <v>0.77121527777777776</v>
      </c>
      <c r="C2763" s="26" t="s">
        <v>1094</v>
      </c>
    </row>
    <row r="2764" spans="1:3" x14ac:dyDescent="0.25">
      <c r="A2764" s="36">
        <v>41214</v>
      </c>
      <c r="B2764" s="122">
        <v>0.77622685185185192</v>
      </c>
      <c r="C2764" s="26" t="s">
        <v>1099</v>
      </c>
    </row>
    <row r="2765" spans="1:3" x14ac:dyDescent="0.25">
      <c r="A2765" s="36">
        <v>41214</v>
      </c>
      <c r="B2765" s="122">
        <v>0.77704861111111112</v>
      </c>
      <c r="C2765" s="26" t="s">
        <v>1670</v>
      </c>
    </row>
    <row r="2766" spans="1:3" x14ac:dyDescent="0.25">
      <c r="A2766" s="36">
        <v>41214</v>
      </c>
      <c r="B2766" s="122">
        <v>0.77709490740740739</v>
      </c>
      <c r="C2766" s="26" t="s">
        <v>1182</v>
      </c>
    </row>
    <row r="2767" spans="1:3" x14ac:dyDescent="0.25">
      <c r="A2767" s="36">
        <v>41214</v>
      </c>
      <c r="B2767" s="122">
        <v>0.77724537037037045</v>
      </c>
      <c r="C2767" s="26" t="s">
        <v>1671</v>
      </c>
    </row>
    <row r="2768" spans="1:3" x14ac:dyDescent="0.25">
      <c r="A2768" s="36">
        <v>41214</v>
      </c>
      <c r="B2768" s="122">
        <v>0.7828587962962964</v>
      </c>
      <c r="C2768" s="26" t="s">
        <v>1672</v>
      </c>
    </row>
    <row r="2769" spans="1:3" x14ac:dyDescent="0.25">
      <c r="A2769" s="36">
        <v>41214</v>
      </c>
      <c r="B2769" s="122">
        <v>0.86254629629629631</v>
      </c>
      <c r="C2769" s="26" t="s">
        <v>1673</v>
      </c>
    </row>
    <row r="2770" spans="1:3" x14ac:dyDescent="0.25">
      <c r="A2770" s="36">
        <v>41214</v>
      </c>
      <c r="B2770" s="122">
        <v>0.86307870370370365</v>
      </c>
      <c r="C2770" s="26" t="s">
        <v>1182</v>
      </c>
    </row>
    <row r="2771" spans="1:3" x14ac:dyDescent="0.25">
      <c r="A2771" s="36">
        <v>41214</v>
      </c>
      <c r="B2771" s="122">
        <v>0.86392361111111116</v>
      </c>
      <c r="C2771" s="26" t="s">
        <v>1671</v>
      </c>
    </row>
    <row r="2772" spans="1:3" x14ac:dyDescent="0.25">
      <c r="A2772" s="36">
        <v>41214</v>
      </c>
      <c r="B2772" s="122">
        <v>0.86392361111111116</v>
      </c>
      <c r="C2772" s="26" t="s">
        <v>1662</v>
      </c>
    </row>
    <row r="2773" spans="1:3" x14ac:dyDescent="0.25">
      <c r="A2773" s="36">
        <v>41214</v>
      </c>
      <c r="B2773" s="122">
        <v>0.86844907407407401</v>
      </c>
      <c r="C2773" s="26" t="s">
        <v>1674</v>
      </c>
    </row>
    <row r="2774" spans="1:3" x14ac:dyDescent="0.25">
      <c r="A2774" s="36">
        <v>41215</v>
      </c>
      <c r="B2774" s="122">
        <v>0.44487268518518519</v>
      </c>
      <c r="C2774" s="26" t="s">
        <v>1675</v>
      </c>
    </row>
    <row r="2775" spans="1:3" x14ac:dyDescent="0.25">
      <c r="A2775" s="36">
        <v>41215</v>
      </c>
      <c r="B2775" s="122">
        <v>0.45081018518518517</v>
      </c>
      <c r="C2775" s="26" t="s">
        <v>1676</v>
      </c>
    </row>
    <row r="2776" spans="1:3" x14ac:dyDescent="0.25">
      <c r="A2776" s="36">
        <v>41215</v>
      </c>
      <c r="B2776" s="122">
        <v>0.45172453703703702</v>
      </c>
      <c r="C2776" s="26" t="s">
        <v>1677</v>
      </c>
    </row>
    <row r="2777" spans="1:3" x14ac:dyDescent="0.25">
      <c r="A2777" s="36">
        <v>41215</v>
      </c>
      <c r="B2777" s="122">
        <v>0.47317129629629634</v>
      </c>
      <c r="C2777" s="26" t="s">
        <v>1669</v>
      </c>
    </row>
    <row r="2778" spans="1:3" x14ac:dyDescent="0.25">
      <c r="A2778" s="36">
        <v>41215</v>
      </c>
      <c r="B2778" s="122">
        <v>0.49124999999999996</v>
      </c>
      <c r="C2778" s="26" t="s">
        <v>992</v>
      </c>
    </row>
    <row r="2779" spans="1:3" x14ac:dyDescent="0.25">
      <c r="A2779" s="36">
        <v>41215</v>
      </c>
      <c r="B2779" s="122">
        <v>0.49126157407407406</v>
      </c>
      <c r="C2779" s="26" t="s">
        <v>1084</v>
      </c>
    </row>
    <row r="2780" spans="1:3" x14ac:dyDescent="0.25">
      <c r="A2780" s="36">
        <v>41215</v>
      </c>
      <c r="B2780" s="122">
        <v>0.49126157407407406</v>
      </c>
      <c r="C2780" s="26" t="s">
        <v>1085</v>
      </c>
    </row>
    <row r="2781" spans="1:3" x14ac:dyDescent="0.25">
      <c r="A2781" s="36">
        <v>41215</v>
      </c>
      <c r="B2781" s="122">
        <v>0.49126157407407406</v>
      </c>
      <c r="C2781" s="26" t="s">
        <v>1086</v>
      </c>
    </row>
    <row r="2782" spans="1:3" x14ac:dyDescent="0.25">
      <c r="A2782" s="36">
        <v>41215</v>
      </c>
      <c r="B2782" s="122">
        <v>0.49126157407407406</v>
      </c>
      <c r="C2782" s="26" t="s">
        <v>1085</v>
      </c>
    </row>
    <row r="2783" spans="1:3" x14ac:dyDescent="0.25">
      <c r="A2783" s="36">
        <v>41215</v>
      </c>
      <c r="B2783" s="122">
        <v>0.49126157407407406</v>
      </c>
      <c r="C2783" s="26" t="s">
        <v>1087</v>
      </c>
    </row>
    <row r="2784" spans="1:3" x14ac:dyDescent="0.25">
      <c r="A2784" s="36">
        <v>41215</v>
      </c>
      <c r="B2784" s="122">
        <v>0.49126157407407406</v>
      </c>
      <c r="C2784" s="26" t="s">
        <v>1088</v>
      </c>
    </row>
    <row r="2785" spans="1:3" x14ac:dyDescent="0.25">
      <c r="A2785" s="36">
        <v>41215</v>
      </c>
      <c r="B2785" s="122">
        <v>0.49126157407407406</v>
      </c>
      <c r="C2785" s="26" t="s">
        <v>1088</v>
      </c>
    </row>
    <row r="2786" spans="1:3" x14ac:dyDescent="0.25">
      <c r="A2786" s="36">
        <v>41215</v>
      </c>
      <c r="B2786" s="122">
        <v>0.49126157407407406</v>
      </c>
      <c r="C2786" s="26" t="s">
        <v>1092</v>
      </c>
    </row>
    <row r="2787" spans="1:3" x14ac:dyDescent="0.25">
      <c r="A2787" s="36">
        <v>41215</v>
      </c>
      <c r="B2787" s="122">
        <v>0.49126157407407406</v>
      </c>
      <c r="C2787" s="26" t="s">
        <v>1650</v>
      </c>
    </row>
    <row r="2788" spans="1:3" x14ac:dyDescent="0.25">
      <c r="A2788" s="36">
        <v>41215</v>
      </c>
      <c r="B2788" s="122">
        <v>0.59629629629629632</v>
      </c>
      <c r="C2788" s="26" t="s">
        <v>1678</v>
      </c>
    </row>
    <row r="2789" spans="1:3" x14ac:dyDescent="0.25">
      <c r="A2789" s="36">
        <v>41215</v>
      </c>
      <c r="B2789" s="122">
        <v>0.59695601851851854</v>
      </c>
      <c r="C2789" s="26" t="s">
        <v>1679</v>
      </c>
    </row>
    <row r="2790" spans="1:3" x14ac:dyDescent="0.25">
      <c r="A2790" s="36">
        <v>41215</v>
      </c>
      <c r="B2790" s="122">
        <v>0.59775462962962966</v>
      </c>
      <c r="C2790" s="26" t="s">
        <v>1680</v>
      </c>
    </row>
    <row r="2791" spans="1:3" x14ac:dyDescent="0.25">
      <c r="A2791" s="36">
        <v>41215</v>
      </c>
      <c r="B2791" s="122">
        <v>0.59775462962962966</v>
      </c>
      <c r="C2791" s="26" t="s">
        <v>1681</v>
      </c>
    </row>
    <row r="2792" spans="1:3" x14ac:dyDescent="0.25">
      <c r="A2792" s="36">
        <v>41215</v>
      </c>
      <c r="B2792" s="122">
        <v>0.59780092592592593</v>
      </c>
      <c r="C2792" s="26" t="s">
        <v>1183</v>
      </c>
    </row>
    <row r="2793" spans="1:3" x14ac:dyDescent="0.25">
      <c r="A2793" s="36">
        <v>41215</v>
      </c>
      <c r="B2793" s="122">
        <v>0.59790509259259261</v>
      </c>
      <c r="C2793" s="26" t="s">
        <v>1183</v>
      </c>
    </row>
    <row r="2794" spans="1:3" x14ac:dyDescent="0.25">
      <c r="A2794" s="36">
        <v>41215</v>
      </c>
      <c r="B2794" s="122">
        <v>0.59793981481481484</v>
      </c>
      <c r="C2794" s="26" t="s">
        <v>1569</v>
      </c>
    </row>
    <row r="2795" spans="1:3" x14ac:dyDescent="0.25">
      <c r="A2795" s="36">
        <v>41215</v>
      </c>
      <c r="B2795" s="122">
        <v>0.59798611111111111</v>
      </c>
      <c r="C2795" s="26" t="s">
        <v>1184</v>
      </c>
    </row>
    <row r="2796" spans="1:3" x14ac:dyDescent="0.25">
      <c r="A2796" s="36">
        <v>41215</v>
      </c>
      <c r="B2796" s="122">
        <v>0.5980092592592593</v>
      </c>
      <c r="C2796" s="26" t="s">
        <v>1209</v>
      </c>
    </row>
    <row r="2797" spans="1:3" x14ac:dyDescent="0.25">
      <c r="A2797" s="36">
        <v>41215</v>
      </c>
      <c r="B2797" s="122">
        <v>0.5980092592592593</v>
      </c>
      <c r="C2797" s="26" t="s">
        <v>1185</v>
      </c>
    </row>
    <row r="2798" spans="1:3" x14ac:dyDescent="0.25">
      <c r="A2798" s="36">
        <v>41215</v>
      </c>
      <c r="B2798" s="122">
        <v>0.59803240740740737</v>
      </c>
      <c r="C2798" s="26" t="s">
        <v>1577</v>
      </c>
    </row>
    <row r="2799" spans="1:3" x14ac:dyDescent="0.25">
      <c r="A2799" s="36">
        <v>41215</v>
      </c>
      <c r="B2799" s="122">
        <v>0.59805555555555556</v>
      </c>
      <c r="C2799" s="26" t="s">
        <v>1170</v>
      </c>
    </row>
    <row r="2800" spans="1:3" x14ac:dyDescent="0.25">
      <c r="A2800" s="36">
        <v>41215</v>
      </c>
      <c r="B2800" s="122">
        <v>0.59807870370370375</v>
      </c>
      <c r="C2800" s="26" t="s">
        <v>1578</v>
      </c>
    </row>
    <row r="2801" spans="1:3" x14ac:dyDescent="0.25">
      <c r="A2801" s="36">
        <v>41215</v>
      </c>
      <c r="B2801" s="122">
        <v>0.59811342592592587</v>
      </c>
      <c r="C2801" s="26" t="s">
        <v>1190</v>
      </c>
    </row>
    <row r="2802" spans="1:3" x14ac:dyDescent="0.25">
      <c r="A2802" s="36">
        <v>41215</v>
      </c>
      <c r="B2802" s="122">
        <v>0.59811342592592587</v>
      </c>
      <c r="C2802" s="26" t="s">
        <v>1191</v>
      </c>
    </row>
    <row r="2803" spans="1:3" x14ac:dyDescent="0.25">
      <c r="A2803" s="36">
        <v>41215</v>
      </c>
      <c r="B2803" s="122">
        <v>0.59813657407407406</v>
      </c>
      <c r="C2803" s="26" t="s">
        <v>1193</v>
      </c>
    </row>
    <row r="2804" spans="1:3" x14ac:dyDescent="0.25">
      <c r="A2804" s="36">
        <v>41215</v>
      </c>
      <c r="B2804" s="122">
        <v>0.59815972222222225</v>
      </c>
      <c r="C2804" s="26" t="s">
        <v>1579</v>
      </c>
    </row>
    <row r="2805" spans="1:3" x14ac:dyDescent="0.25">
      <c r="A2805" s="36">
        <v>41215</v>
      </c>
      <c r="B2805" s="122">
        <v>0.59815972222222225</v>
      </c>
      <c r="C2805" s="26" t="s">
        <v>1580</v>
      </c>
    </row>
    <row r="2806" spans="1:3" x14ac:dyDescent="0.25">
      <c r="A2806" s="36">
        <v>41215</v>
      </c>
      <c r="B2806" s="122">
        <v>0.59818287037037032</v>
      </c>
      <c r="C2806" s="26" t="s">
        <v>1581</v>
      </c>
    </row>
    <row r="2807" spans="1:3" x14ac:dyDescent="0.25">
      <c r="A2807" s="36">
        <v>41215</v>
      </c>
      <c r="B2807" s="122">
        <v>0.59820601851851851</v>
      </c>
      <c r="C2807" s="26" t="s">
        <v>1582</v>
      </c>
    </row>
    <row r="2808" spans="1:3" x14ac:dyDescent="0.25">
      <c r="A2808" s="36">
        <v>41215</v>
      </c>
      <c r="B2808" s="122">
        <v>0.5982291666666667</v>
      </c>
      <c r="C2808" s="26" t="s">
        <v>1583</v>
      </c>
    </row>
    <row r="2809" spans="1:3" x14ac:dyDescent="0.25">
      <c r="A2809" s="36">
        <v>41215</v>
      </c>
      <c r="B2809" s="122">
        <v>0.59826388888888882</v>
      </c>
      <c r="C2809" s="26" t="s">
        <v>1584</v>
      </c>
    </row>
    <row r="2810" spans="1:3" x14ac:dyDescent="0.25">
      <c r="A2810" s="36">
        <v>41215</v>
      </c>
      <c r="B2810" s="122">
        <v>0.59826388888888882</v>
      </c>
      <c r="C2810" s="26" t="s">
        <v>1585</v>
      </c>
    </row>
    <row r="2811" spans="1:3" x14ac:dyDescent="0.25">
      <c r="A2811" s="36">
        <v>41215</v>
      </c>
      <c r="B2811" s="122">
        <v>0.59826388888888882</v>
      </c>
      <c r="C2811" s="26" t="s">
        <v>1586</v>
      </c>
    </row>
    <row r="2812" spans="1:3" x14ac:dyDescent="0.25">
      <c r="A2812" s="36">
        <v>41215</v>
      </c>
      <c r="B2812" s="122">
        <v>0.59829861111111116</v>
      </c>
      <c r="C2812" s="26" t="s">
        <v>1587</v>
      </c>
    </row>
    <row r="2813" spans="1:3" x14ac:dyDescent="0.25">
      <c r="A2813" s="36">
        <v>41215</v>
      </c>
      <c r="B2813" s="122">
        <v>0.59829861111111116</v>
      </c>
      <c r="C2813" s="26" t="s">
        <v>1588</v>
      </c>
    </row>
    <row r="2814" spans="1:3" x14ac:dyDescent="0.25">
      <c r="A2814" s="36">
        <v>41215</v>
      </c>
      <c r="B2814" s="122">
        <v>0.59833333333333327</v>
      </c>
      <c r="C2814" s="26" t="s">
        <v>1190</v>
      </c>
    </row>
    <row r="2815" spans="1:3" x14ac:dyDescent="0.25">
      <c r="A2815" s="36">
        <v>41215</v>
      </c>
      <c r="B2815" s="122">
        <v>0.59833333333333327</v>
      </c>
      <c r="C2815" s="26" t="s">
        <v>1191</v>
      </c>
    </row>
    <row r="2816" spans="1:3" x14ac:dyDescent="0.25">
      <c r="A2816" s="36">
        <v>41215</v>
      </c>
      <c r="B2816" s="122">
        <v>0.59835648148148146</v>
      </c>
      <c r="C2816" s="26" t="s">
        <v>1589</v>
      </c>
    </row>
    <row r="2817" spans="1:3" x14ac:dyDescent="0.25">
      <c r="A2817" s="36">
        <v>41215</v>
      </c>
      <c r="B2817" s="122">
        <v>0.59835648148148146</v>
      </c>
      <c r="C2817" s="26" t="s">
        <v>1590</v>
      </c>
    </row>
    <row r="2818" spans="1:3" x14ac:dyDescent="0.25">
      <c r="A2818" s="36">
        <v>41215</v>
      </c>
      <c r="B2818" s="122">
        <v>0.59835648148148146</v>
      </c>
      <c r="C2818" s="26" t="s">
        <v>1591</v>
      </c>
    </row>
    <row r="2819" spans="1:3" x14ac:dyDescent="0.25">
      <c r="A2819" s="36">
        <v>41215</v>
      </c>
      <c r="B2819" s="122">
        <v>0.59837962962962965</v>
      </c>
      <c r="C2819" s="26" t="s">
        <v>1592</v>
      </c>
    </row>
    <row r="2820" spans="1:3" x14ac:dyDescent="0.25">
      <c r="A2820" s="36">
        <v>41215</v>
      </c>
      <c r="B2820" s="122">
        <v>0.59837962962962965</v>
      </c>
      <c r="C2820" s="26" t="s">
        <v>1589</v>
      </c>
    </row>
    <row r="2821" spans="1:3" x14ac:dyDescent="0.25">
      <c r="A2821" s="36">
        <v>41215</v>
      </c>
      <c r="B2821" s="122">
        <v>0.59837962962962965</v>
      </c>
      <c r="C2821" s="26" t="s">
        <v>1590</v>
      </c>
    </row>
    <row r="2822" spans="1:3" x14ac:dyDescent="0.25">
      <c r="A2822" s="36">
        <v>41215</v>
      </c>
      <c r="B2822" s="122">
        <v>0.59837962962962965</v>
      </c>
      <c r="C2822" s="26" t="s">
        <v>1591</v>
      </c>
    </row>
    <row r="2823" spans="1:3" x14ac:dyDescent="0.25">
      <c r="A2823" s="36">
        <v>41215</v>
      </c>
      <c r="B2823" s="122">
        <v>0.59842592592592592</v>
      </c>
      <c r="C2823" s="26" t="s">
        <v>1593</v>
      </c>
    </row>
    <row r="2824" spans="1:3" x14ac:dyDescent="0.25">
      <c r="A2824" s="36">
        <v>41215</v>
      </c>
      <c r="B2824" s="122">
        <v>0.59842592592592592</v>
      </c>
      <c r="C2824" s="26" t="s">
        <v>1594</v>
      </c>
    </row>
    <row r="2825" spans="1:3" x14ac:dyDescent="0.25">
      <c r="A2825" s="36">
        <v>41215</v>
      </c>
      <c r="B2825" s="122">
        <v>0.59847222222222218</v>
      </c>
      <c r="C2825" s="26" t="s">
        <v>1190</v>
      </c>
    </row>
    <row r="2826" spans="1:3" x14ac:dyDescent="0.25">
      <c r="A2826" s="36">
        <v>41215</v>
      </c>
      <c r="B2826" s="122">
        <v>0.59847222222222218</v>
      </c>
      <c r="C2826" s="26" t="s">
        <v>1191</v>
      </c>
    </row>
    <row r="2827" spans="1:3" x14ac:dyDescent="0.25">
      <c r="A2827" s="36">
        <v>41215</v>
      </c>
      <c r="B2827" s="122">
        <v>0.59849537037037037</v>
      </c>
      <c r="C2827" s="26" t="s">
        <v>1595</v>
      </c>
    </row>
    <row r="2828" spans="1:3" x14ac:dyDescent="0.25">
      <c r="A2828" s="36">
        <v>41215</v>
      </c>
      <c r="B2828" s="122">
        <v>0.59849537037037037</v>
      </c>
      <c r="C2828" s="26" t="s">
        <v>1596</v>
      </c>
    </row>
    <row r="2829" spans="1:3" x14ac:dyDescent="0.25">
      <c r="A2829" s="36">
        <v>41215</v>
      </c>
      <c r="B2829" s="122">
        <v>0.59849537037037037</v>
      </c>
      <c r="C2829" s="26" t="s">
        <v>1597</v>
      </c>
    </row>
    <row r="2830" spans="1:3" x14ac:dyDescent="0.25">
      <c r="A2830" s="36">
        <v>41215</v>
      </c>
      <c r="B2830" s="122">
        <v>0.59851851851851856</v>
      </c>
      <c r="C2830" s="26" t="s">
        <v>1598</v>
      </c>
    </row>
    <row r="2831" spans="1:3" x14ac:dyDescent="0.25">
      <c r="A2831" s="36">
        <v>41215</v>
      </c>
      <c r="B2831" s="122">
        <v>0.59855324074074068</v>
      </c>
      <c r="C2831" s="26" t="s">
        <v>1599</v>
      </c>
    </row>
    <row r="2832" spans="1:3" x14ac:dyDescent="0.25">
      <c r="A2832" s="36">
        <v>41215</v>
      </c>
      <c r="B2832" s="122">
        <v>0.59855324074074068</v>
      </c>
      <c r="C2832" s="26" t="s">
        <v>1600</v>
      </c>
    </row>
    <row r="2833" spans="1:3" x14ac:dyDescent="0.25">
      <c r="A2833" s="36">
        <v>41215</v>
      </c>
      <c r="B2833" s="122">
        <v>0.59857638888888887</v>
      </c>
      <c r="C2833" s="26" t="s">
        <v>1577</v>
      </c>
    </row>
    <row r="2834" spans="1:3" x14ac:dyDescent="0.25">
      <c r="A2834" s="36">
        <v>41215</v>
      </c>
      <c r="B2834" s="122">
        <v>0.59861111111111109</v>
      </c>
      <c r="C2834" s="26" t="s">
        <v>1587</v>
      </c>
    </row>
    <row r="2835" spans="1:3" x14ac:dyDescent="0.25">
      <c r="A2835" s="36">
        <v>41215</v>
      </c>
      <c r="B2835" s="122">
        <v>0.59861111111111109</v>
      </c>
      <c r="C2835" s="26" t="s">
        <v>1588</v>
      </c>
    </row>
    <row r="2836" spans="1:3" x14ac:dyDescent="0.25">
      <c r="A2836" s="36">
        <v>41215</v>
      </c>
      <c r="B2836" s="122">
        <v>0.59884259259259254</v>
      </c>
      <c r="C2836" s="26" t="s">
        <v>1602</v>
      </c>
    </row>
    <row r="2837" spans="1:3" x14ac:dyDescent="0.25">
      <c r="A2837" s="36">
        <v>41215</v>
      </c>
      <c r="B2837" s="122">
        <v>0.59884259259259254</v>
      </c>
      <c r="C2837" s="26" t="s">
        <v>1603</v>
      </c>
    </row>
    <row r="2838" spans="1:3" x14ac:dyDescent="0.25">
      <c r="A2838" s="36">
        <v>41215</v>
      </c>
      <c r="B2838" s="122">
        <v>0.59898148148148145</v>
      </c>
      <c r="C2838" s="26" t="s">
        <v>1671</v>
      </c>
    </row>
    <row r="2839" spans="1:3" x14ac:dyDescent="0.25">
      <c r="A2839" s="36">
        <v>41215</v>
      </c>
      <c r="B2839" s="122">
        <v>0.59899305555555549</v>
      </c>
      <c r="C2839" s="26" t="s">
        <v>1682</v>
      </c>
    </row>
    <row r="2840" spans="1:3" x14ac:dyDescent="0.25">
      <c r="A2840" s="36">
        <v>41215</v>
      </c>
      <c r="B2840" s="122">
        <v>0.72423611111111119</v>
      </c>
      <c r="C2840" s="26" t="s">
        <v>1683</v>
      </c>
    </row>
    <row r="2841" spans="1:3" x14ac:dyDescent="0.25">
      <c r="A2841" s="36">
        <v>41215</v>
      </c>
      <c r="B2841" s="122">
        <v>0.72496527777777775</v>
      </c>
      <c r="C2841" s="26" t="s">
        <v>1684</v>
      </c>
    </row>
    <row r="2842" spans="1:3" x14ac:dyDescent="0.25">
      <c r="A2842" s="36">
        <v>41215</v>
      </c>
      <c r="B2842" s="122">
        <v>0.72515046296296293</v>
      </c>
      <c r="C2842" s="26" t="s">
        <v>992</v>
      </c>
    </row>
    <row r="2843" spans="1:3" x14ac:dyDescent="0.25">
      <c r="A2843" s="36">
        <v>41215</v>
      </c>
      <c r="B2843" s="122">
        <v>0.72515046296296293</v>
      </c>
      <c r="C2843" s="26" t="s">
        <v>1084</v>
      </c>
    </row>
    <row r="2844" spans="1:3" x14ac:dyDescent="0.25">
      <c r="A2844" s="36">
        <v>41215</v>
      </c>
      <c r="B2844" s="122">
        <v>0.72515046296296293</v>
      </c>
      <c r="C2844" s="26" t="s">
        <v>1085</v>
      </c>
    </row>
    <row r="2845" spans="1:3" x14ac:dyDescent="0.25">
      <c r="A2845" s="36">
        <v>41215</v>
      </c>
      <c r="B2845" s="122">
        <v>0.72515046296296293</v>
      </c>
      <c r="C2845" s="26" t="s">
        <v>1086</v>
      </c>
    </row>
    <row r="2846" spans="1:3" x14ac:dyDescent="0.25">
      <c r="A2846" s="36">
        <v>41215</v>
      </c>
      <c r="B2846" s="122">
        <v>0.72515046296296293</v>
      </c>
      <c r="C2846" s="26" t="s">
        <v>1085</v>
      </c>
    </row>
    <row r="2847" spans="1:3" x14ac:dyDescent="0.25">
      <c r="A2847" s="36">
        <v>41215</v>
      </c>
      <c r="B2847" s="122">
        <v>0.72515046296296293</v>
      </c>
      <c r="C2847" s="26" t="s">
        <v>1087</v>
      </c>
    </row>
    <row r="2848" spans="1:3" x14ac:dyDescent="0.25">
      <c r="A2848" s="36">
        <v>41215</v>
      </c>
      <c r="B2848" s="122">
        <v>0.72515046296296293</v>
      </c>
      <c r="C2848" s="26" t="s">
        <v>1088</v>
      </c>
    </row>
    <row r="2849" spans="1:3" x14ac:dyDescent="0.25">
      <c r="A2849" s="36">
        <v>41215</v>
      </c>
      <c r="B2849" s="122">
        <v>0.72515046296296293</v>
      </c>
      <c r="C2849" s="26" t="s">
        <v>1088</v>
      </c>
    </row>
    <row r="2850" spans="1:3" x14ac:dyDescent="0.25">
      <c r="A2850" s="36">
        <v>41215</v>
      </c>
      <c r="B2850" s="122">
        <v>0.72515046296296293</v>
      </c>
      <c r="C2850" s="26" t="s">
        <v>1092</v>
      </c>
    </row>
    <row r="2851" spans="1:3" x14ac:dyDescent="0.25">
      <c r="A2851" s="36">
        <v>41215</v>
      </c>
      <c r="B2851" s="122">
        <v>0.72515046296296293</v>
      </c>
      <c r="C2851" s="26" t="s">
        <v>1562</v>
      </c>
    </row>
    <row r="2852" spans="1:3" x14ac:dyDescent="0.25">
      <c r="A2852" s="36">
        <v>41215</v>
      </c>
      <c r="B2852" s="122">
        <v>0.72552083333333339</v>
      </c>
      <c r="C2852" s="26" t="s">
        <v>1680</v>
      </c>
    </row>
    <row r="2853" spans="1:3" x14ac:dyDescent="0.25">
      <c r="A2853" s="36">
        <v>41215</v>
      </c>
      <c r="B2853" s="122">
        <v>0.72552083333333339</v>
      </c>
      <c r="C2853" s="26" t="s">
        <v>1681</v>
      </c>
    </row>
    <row r="2854" spans="1:3" x14ac:dyDescent="0.25">
      <c r="A2854" s="36">
        <v>41215</v>
      </c>
      <c r="B2854" s="122">
        <v>0.72555555555555562</v>
      </c>
      <c r="C2854" s="26" t="s">
        <v>1183</v>
      </c>
    </row>
    <row r="2855" spans="1:3" x14ac:dyDescent="0.25">
      <c r="A2855" s="36">
        <v>41215</v>
      </c>
      <c r="B2855" s="122">
        <v>0.72560185185185189</v>
      </c>
      <c r="C2855" s="26" t="s">
        <v>1662</v>
      </c>
    </row>
    <row r="2856" spans="1:3" x14ac:dyDescent="0.25">
      <c r="A2856" s="36">
        <v>41215</v>
      </c>
      <c r="B2856" s="122">
        <v>0.72865740740740748</v>
      </c>
      <c r="C2856" s="26" t="s">
        <v>1685</v>
      </c>
    </row>
    <row r="2857" spans="1:3" x14ac:dyDescent="0.25">
      <c r="A2857" s="36">
        <v>41215</v>
      </c>
      <c r="B2857" s="122">
        <v>0.73615740740740743</v>
      </c>
      <c r="C2857" s="26" t="s">
        <v>1686</v>
      </c>
    </row>
    <row r="2858" spans="1:3" x14ac:dyDescent="0.25">
      <c r="A2858" s="36">
        <v>41215</v>
      </c>
      <c r="B2858" s="122">
        <v>0.73961805555555549</v>
      </c>
      <c r="C2858" s="26" t="s">
        <v>1687</v>
      </c>
    </row>
    <row r="2859" spans="1:3" x14ac:dyDescent="0.25">
      <c r="A2859" s="36">
        <v>41215</v>
      </c>
      <c r="B2859" s="122">
        <v>0.7409027777777778</v>
      </c>
      <c r="C2859" s="26" t="s">
        <v>1683</v>
      </c>
    </row>
    <row r="2860" spans="1:3" x14ac:dyDescent="0.25">
      <c r="A2860" s="36">
        <v>41215</v>
      </c>
      <c r="B2860" s="122">
        <v>0.74171296296296296</v>
      </c>
      <c r="C2860" s="26" t="s">
        <v>992</v>
      </c>
    </row>
    <row r="2861" spans="1:3" x14ac:dyDescent="0.25">
      <c r="A2861" s="36">
        <v>41215</v>
      </c>
      <c r="B2861" s="122">
        <v>0.74171296296296296</v>
      </c>
      <c r="C2861" s="26" t="s">
        <v>1084</v>
      </c>
    </row>
    <row r="2862" spans="1:3" x14ac:dyDescent="0.25">
      <c r="A2862" s="36">
        <v>41215</v>
      </c>
      <c r="B2862" s="122">
        <v>0.74171296296296296</v>
      </c>
      <c r="C2862" s="26" t="s">
        <v>1085</v>
      </c>
    </row>
    <row r="2863" spans="1:3" x14ac:dyDescent="0.25">
      <c r="A2863" s="36">
        <v>41215</v>
      </c>
      <c r="B2863" s="122">
        <v>0.74171296296296296</v>
      </c>
      <c r="C2863" s="26" t="s">
        <v>1086</v>
      </c>
    </row>
    <row r="2864" spans="1:3" x14ac:dyDescent="0.25">
      <c r="A2864" s="36">
        <v>41215</v>
      </c>
      <c r="B2864" s="122">
        <v>0.74171296296296296</v>
      </c>
      <c r="C2864" s="26" t="s">
        <v>1085</v>
      </c>
    </row>
    <row r="2865" spans="1:3" x14ac:dyDescent="0.25">
      <c r="A2865" s="36">
        <v>41215</v>
      </c>
      <c r="B2865" s="122">
        <v>0.74171296296296296</v>
      </c>
      <c r="C2865" s="26" t="s">
        <v>1087</v>
      </c>
    </row>
    <row r="2866" spans="1:3" x14ac:dyDescent="0.25">
      <c r="A2866" s="36">
        <v>41215</v>
      </c>
      <c r="B2866" s="122">
        <v>0.74171296296296296</v>
      </c>
      <c r="C2866" s="26" t="s">
        <v>1088</v>
      </c>
    </row>
    <row r="2867" spans="1:3" x14ac:dyDescent="0.25">
      <c r="A2867" s="36">
        <v>41215</v>
      </c>
      <c r="B2867" s="122">
        <v>0.74171296296296296</v>
      </c>
      <c r="C2867" s="26" t="s">
        <v>1088</v>
      </c>
    </row>
    <row r="2868" spans="1:3" x14ac:dyDescent="0.25">
      <c r="A2868" s="36">
        <v>41215</v>
      </c>
      <c r="B2868" s="122">
        <v>0.74171296296296296</v>
      </c>
      <c r="C2868" s="26" t="s">
        <v>1092</v>
      </c>
    </row>
    <row r="2869" spans="1:3" x14ac:dyDescent="0.25">
      <c r="A2869" s="36">
        <v>41215</v>
      </c>
      <c r="B2869" s="122">
        <v>0.74171296296296296</v>
      </c>
      <c r="C2869" s="26" t="s">
        <v>1644</v>
      </c>
    </row>
    <row r="2870" spans="1:3" x14ac:dyDescent="0.25">
      <c r="A2870" s="36">
        <v>41215</v>
      </c>
      <c r="B2870" s="122">
        <v>0.74171296296296296</v>
      </c>
      <c r="C2870" s="26" t="s">
        <v>1096</v>
      </c>
    </row>
    <row r="2871" spans="1:3" x14ac:dyDescent="0.25">
      <c r="A2871" s="36">
        <v>41215</v>
      </c>
      <c r="B2871" s="122">
        <v>0.7431712962962963</v>
      </c>
      <c r="C2871" s="26" t="s">
        <v>1688</v>
      </c>
    </row>
    <row r="2872" spans="1:3" x14ac:dyDescent="0.25">
      <c r="A2872" s="36">
        <v>41215</v>
      </c>
      <c r="B2872" s="122">
        <v>0.74368055555555557</v>
      </c>
      <c r="C2872" s="26" t="s">
        <v>1687</v>
      </c>
    </row>
    <row r="2873" spans="1:3" x14ac:dyDescent="0.25">
      <c r="A2873" s="36">
        <v>41215</v>
      </c>
      <c r="B2873" s="122">
        <v>0.74435185185185182</v>
      </c>
      <c r="C2873" s="26" t="s">
        <v>1689</v>
      </c>
    </row>
    <row r="2874" spans="1:3" x14ac:dyDescent="0.25">
      <c r="A2874" s="36">
        <v>41215</v>
      </c>
      <c r="B2874" s="122">
        <v>0.74796296296296294</v>
      </c>
      <c r="C2874" s="26" t="s">
        <v>992</v>
      </c>
    </row>
    <row r="2875" spans="1:3" x14ac:dyDescent="0.25">
      <c r="A2875" s="36">
        <v>41215</v>
      </c>
      <c r="B2875" s="122">
        <v>0.74796296296296294</v>
      </c>
      <c r="C2875" s="26" t="s">
        <v>1084</v>
      </c>
    </row>
    <row r="2876" spans="1:3" x14ac:dyDescent="0.25">
      <c r="A2876" s="36">
        <v>41215</v>
      </c>
      <c r="B2876" s="122">
        <v>0.74796296296296294</v>
      </c>
      <c r="C2876" s="26" t="s">
        <v>1085</v>
      </c>
    </row>
    <row r="2877" spans="1:3" x14ac:dyDescent="0.25">
      <c r="A2877" s="36">
        <v>41215</v>
      </c>
      <c r="B2877" s="122">
        <v>0.74796296296296294</v>
      </c>
      <c r="C2877" s="26" t="s">
        <v>1086</v>
      </c>
    </row>
    <row r="2878" spans="1:3" x14ac:dyDescent="0.25">
      <c r="A2878" s="36">
        <v>41215</v>
      </c>
      <c r="B2878" s="122">
        <v>0.74796296296296294</v>
      </c>
      <c r="C2878" s="26" t="s">
        <v>1085</v>
      </c>
    </row>
    <row r="2879" spans="1:3" x14ac:dyDescent="0.25">
      <c r="A2879" s="36">
        <v>41215</v>
      </c>
      <c r="B2879" s="122">
        <v>0.74796296296296294</v>
      </c>
      <c r="C2879" s="26" t="s">
        <v>1087</v>
      </c>
    </row>
    <row r="2880" spans="1:3" x14ac:dyDescent="0.25">
      <c r="A2880" s="36">
        <v>41215</v>
      </c>
      <c r="B2880" s="122">
        <v>0.74796296296296294</v>
      </c>
      <c r="C2880" s="26" t="s">
        <v>1088</v>
      </c>
    </row>
    <row r="2881" spans="1:3" x14ac:dyDescent="0.25">
      <c r="A2881" s="36">
        <v>41215</v>
      </c>
      <c r="B2881" s="122">
        <v>0.74796296296296294</v>
      </c>
      <c r="C2881" s="26" t="s">
        <v>1088</v>
      </c>
    </row>
    <row r="2882" spans="1:3" x14ac:dyDescent="0.25">
      <c r="A2882" s="36">
        <v>41215</v>
      </c>
      <c r="B2882" s="122">
        <v>0.74796296296296294</v>
      </c>
      <c r="C2882" s="26" t="s">
        <v>1092</v>
      </c>
    </row>
    <row r="2883" spans="1:3" x14ac:dyDescent="0.25">
      <c r="A2883" s="36">
        <v>41215</v>
      </c>
      <c r="B2883" s="122">
        <v>0.74796296296296294</v>
      </c>
      <c r="C2883" s="26" t="s">
        <v>1562</v>
      </c>
    </row>
    <row r="2884" spans="1:3" x14ac:dyDescent="0.25">
      <c r="A2884" s="36">
        <v>41215</v>
      </c>
      <c r="B2884" s="122">
        <v>0.74850694444444443</v>
      </c>
      <c r="C2884" s="26" t="s">
        <v>1690</v>
      </c>
    </row>
    <row r="2885" spans="1:3" x14ac:dyDescent="0.25">
      <c r="A2885" s="36">
        <v>41215</v>
      </c>
      <c r="B2885" s="122">
        <v>0.74850694444444443</v>
      </c>
      <c r="C2885" s="26" t="s">
        <v>1691</v>
      </c>
    </row>
    <row r="2886" spans="1:3" x14ac:dyDescent="0.25">
      <c r="A2886" s="36">
        <v>41215</v>
      </c>
      <c r="B2886" s="122">
        <v>0.74862268518518515</v>
      </c>
      <c r="C2886" s="26" t="s">
        <v>1183</v>
      </c>
    </row>
    <row r="2887" spans="1:3" x14ac:dyDescent="0.25">
      <c r="A2887" s="36">
        <v>41215</v>
      </c>
      <c r="B2887" s="122">
        <v>0.74879629629629629</v>
      </c>
      <c r="C2887" s="26" t="s">
        <v>1655</v>
      </c>
    </row>
    <row r="2888" spans="1:3" x14ac:dyDescent="0.25">
      <c r="A2888" s="36">
        <v>41215</v>
      </c>
      <c r="B2888" s="122">
        <v>0.75112268518518521</v>
      </c>
      <c r="C2888" s="26" t="s">
        <v>1692</v>
      </c>
    </row>
    <row r="2889" spans="1:3" x14ac:dyDescent="0.25">
      <c r="A2889" s="36">
        <v>41215</v>
      </c>
      <c r="B2889" s="122">
        <v>0.75175925925925924</v>
      </c>
      <c r="C2889" s="26" t="s">
        <v>1693</v>
      </c>
    </row>
    <row r="2890" spans="1:3" x14ac:dyDescent="0.25">
      <c r="A2890" s="36">
        <v>41215</v>
      </c>
      <c r="B2890" s="122">
        <v>0.75245370370370368</v>
      </c>
      <c r="C2890" s="26" t="s">
        <v>1690</v>
      </c>
    </row>
    <row r="2891" spans="1:3" x14ac:dyDescent="0.25">
      <c r="A2891" s="36">
        <v>41215</v>
      </c>
      <c r="B2891" s="122">
        <v>0.75245370370370368</v>
      </c>
      <c r="C2891" s="26" t="s">
        <v>1691</v>
      </c>
    </row>
    <row r="2892" spans="1:3" x14ac:dyDescent="0.25">
      <c r="A2892" s="36">
        <v>41215</v>
      </c>
      <c r="B2892" s="122">
        <v>0.75248842592592602</v>
      </c>
      <c r="C2892" s="26" t="s">
        <v>1183</v>
      </c>
    </row>
    <row r="2893" spans="1:3" x14ac:dyDescent="0.25">
      <c r="A2893" s="36">
        <v>41215</v>
      </c>
      <c r="B2893" s="122">
        <v>0.75252314814814814</v>
      </c>
      <c r="C2893" s="26" t="s">
        <v>1183</v>
      </c>
    </row>
    <row r="2894" spans="1:3" x14ac:dyDescent="0.25">
      <c r="A2894" s="36">
        <v>41215</v>
      </c>
      <c r="B2894" s="122">
        <v>0.75255787037037036</v>
      </c>
      <c r="C2894" s="26" t="s">
        <v>1569</v>
      </c>
    </row>
    <row r="2895" spans="1:3" x14ac:dyDescent="0.25">
      <c r="A2895" s="36">
        <v>41215</v>
      </c>
      <c r="B2895" s="122">
        <v>0.75260416666666663</v>
      </c>
      <c r="C2895" s="26" t="s">
        <v>1655</v>
      </c>
    </row>
    <row r="2896" spans="1:3" x14ac:dyDescent="0.25">
      <c r="A2896" s="36">
        <v>41215</v>
      </c>
      <c r="B2896" s="122">
        <v>0.75260416666666663</v>
      </c>
      <c r="C2896" s="26" t="s">
        <v>1694</v>
      </c>
    </row>
    <row r="2897" spans="1:3" x14ac:dyDescent="0.25">
      <c r="A2897" s="36">
        <v>41215</v>
      </c>
      <c r="B2897" s="122">
        <v>0.75557870370370372</v>
      </c>
      <c r="C2897" s="26" t="s">
        <v>1695</v>
      </c>
    </row>
    <row r="2898" spans="1:3" x14ac:dyDescent="0.25">
      <c r="A2898" s="36">
        <v>41215</v>
      </c>
      <c r="B2898" s="122">
        <v>0.77</v>
      </c>
      <c r="C2898" s="26" t="s">
        <v>992</v>
      </c>
    </row>
    <row r="2899" spans="1:3" x14ac:dyDescent="0.25">
      <c r="A2899" s="36">
        <v>41215</v>
      </c>
      <c r="B2899" s="122">
        <v>0.77</v>
      </c>
      <c r="C2899" s="26" t="s">
        <v>1084</v>
      </c>
    </row>
    <row r="2900" spans="1:3" x14ac:dyDescent="0.25">
      <c r="A2900" s="36">
        <v>41215</v>
      </c>
      <c r="B2900" s="122">
        <v>0.77</v>
      </c>
      <c r="C2900" s="26" t="s">
        <v>1085</v>
      </c>
    </row>
    <row r="2901" spans="1:3" x14ac:dyDescent="0.25">
      <c r="A2901" s="36">
        <v>41215</v>
      </c>
      <c r="B2901" s="122">
        <v>0.77</v>
      </c>
      <c r="C2901" s="26" t="s">
        <v>1086</v>
      </c>
    </row>
    <row r="2902" spans="1:3" x14ac:dyDescent="0.25">
      <c r="A2902" s="36">
        <v>41215</v>
      </c>
      <c r="B2902" s="122">
        <v>0.77</v>
      </c>
      <c r="C2902" s="26" t="s">
        <v>1085</v>
      </c>
    </row>
    <row r="2903" spans="1:3" x14ac:dyDescent="0.25">
      <c r="A2903" s="36">
        <v>41215</v>
      </c>
      <c r="B2903" s="122">
        <v>0.77</v>
      </c>
      <c r="C2903" s="26" t="s">
        <v>1087</v>
      </c>
    </row>
    <row r="2904" spans="1:3" x14ac:dyDescent="0.25">
      <c r="A2904" s="36">
        <v>41215</v>
      </c>
      <c r="B2904" s="122">
        <v>0.77</v>
      </c>
      <c r="C2904" s="26" t="s">
        <v>1088</v>
      </c>
    </row>
    <row r="2905" spans="1:3" x14ac:dyDescent="0.25">
      <c r="A2905" s="36">
        <v>41215</v>
      </c>
      <c r="B2905" s="122">
        <v>0.77</v>
      </c>
      <c r="C2905" s="26" t="s">
        <v>1088</v>
      </c>
    </row>
    <row r="2906" spans="1:3" x14ac:dyDescent="0.25">
      <c r="A2906" s="36">
        <v>41215</v>
      </c>
      <c r="B2906" s="122">
        <v>0.77</v>
      </c>
      <c r="C2906" s="26" t="s">
        <v>1092</v>
      </c>
    </row>
    <row r="2907" spans="1:3" x14ac:dyDescent="0.25">
      <c r="A2907" s="36">
        <v>41215</v>
      </c>
      <c r="B2907" s="122">
        <v>0.77</v>
      </c>
      <c r="C2907" s="26" t="s">
        <v>1562</v>
      </c>
    </row>
    <row r="2908" spans="1:3" x14ac:dyDescent="0.25">
      <c r="A2908" s="36">
        <v>41215</v>
      </c>
      <c r="B2908" s="122">
        <v>0.77292824074074085</v>
      </c>
      <c r="C2908" s="26" t="s">
        <v>1696</v>
      </c>
    </row>
    <row r="2909" spans="1:3" x14ac:dyDescent="0.25">
      <c r="A2909" s="36">
        <v>41215</v>
      </c>
      <c r="B2909" s="122">
        <v>0.78357638888888881</v>
      </c>
      <c r="C2909" s="26" t="s">
        <v>1697</v>
      </c>
    </row>
    <row r="2910" spans="1:3" x14ac:dyDescent="0.25">
      <c r="A2910" s="36">
        <v>41215</v>
      </c>
      <c r="B2910" s="122">
        <v>0.78605324074074068</v>
      </c>
      <c r="C2910" s="26" t="s">
        <v>992</v>
      </c>
    </row>
    <row r="2911" spans="1:3" x14ac:dyDescent="0.25">
      <c r="A2911" s="36">
        <v>41215</v>
      </c>
      <c r="B2911" s="122">
        <v>0.78605324074074068</v>
      </c>
      <c r="C2911" s="26" t="s">
        <v>1084</v>
      </c>
    </row>
    <row r="2912" spans="1:3" x14ac:dyDescent="0.25">
      <c r="A2912" s="36">
        <v>41215</v>
      </c>
      <c r="B2912" s="122">
        <v>0.78605324074074068</v>
      </c>
      <c r="C2912" s="26" t="s">
        <v>1085</v>
      </c>
    </row>
    <row r="2913" spans="1:3" x14ac:dyDescent="0.25">
      <c r="A2913" s="36">
        <v>41215</v>
      </c>
      <c r="B2913" s="122">
        <v>0.78606481481481483</v>
      </c>
      <c r="C2913" s="26" t="s">
        <v>1086</v>
      </c>
    </row>
    <row r="2914" spans="1:3" x14ac:dyDescent="0.25">
      <c r="A2914" s="36">
        <v>41215</v>
      </c>
      <c r="B2914" s="122">
        <v>0.78606481481481483</v>
      </c>
      <c r="C2914" s="26" t="s">
        <v>1085</v>
      </c>
    </row>
    <row r="2915" spans="1:3" x14ac:dyDescent="0.25">
      <c r="A2915" s="36">
        <v>41215</v>
      </c>
      <c r="B2915" s="122">
        <v>0.78606481481481483</v>
      </c>
      <c r="C2915" s="26" t="s">
        <v>1087</v>
      </c>
    </row>
    <row r="2916" spans="1:3" x14ac:dyDescent="0.25">
      <c r="A2916" s="36">
        <v>41215</v>
      </c>
      <c r="B2916" s="122">
        <v>0.78606481481481483</v>
      </c>
      <c r="C2916" s="26" t="s">
        <v>1088</v>
      </c>
    </row>
    <row r="2917" spans="1:3" x14ac:dyDescent="0.25">
      <c r="A2917" s="36">
        <v>41215</v>
      </c>
      <c r="B2917" s="122">
        <v>0.78606481481481483</v>
      </c>
      <c r="C2917" s="26" t="s">
        <v>1088</v>
      </c>
    </row>
    <row r="2918" spans="1:3" x14ac:dyDescent="0.25">
      <c r="A2918" s="36">
        <v>41215</v>
      </c>
      <c r="B2918" s="122">
        <v>0.78606481481481483</v>
      </c>
      <c r="C2918" s="26" t="s">
        <v>1698</v>
      </c>
    </row>
    <row r="2919" spans="1:3" x14ac:dyDescent="0.25">
      <c r="A2919" s="36">
        <v>41215</v>
      </c>
      <c r="B2919" s="122">
        <v>0.78606481481481483</v>
      </c>
      <c r="C2919" s="26" t="s">
        <v>1092</v>
      </c>
    </row>
    <row r="2920" spans="1:3" x14ac:dyDescent="0.25">
      <c r="A2920" s="36">
        <v>41215</v>
      </c>
      <c r="B2920" s="122">
        <v>0.78606481481481483</v>
      </c>
      <c r="C2920" s="26" t="s">
        <v>1650</v>
      </c>
    </row>
    <row r="2921" spans="1:3" x14ac:dyDescent="0.25">
      <c r="A2921" s="36">
        <v>41215</v>
      </c>
      <c r="B2921" s="122">
        <v>0.78861111111111104</v>
      </c>
      <c r="C2921" s="26" t="s">
        <v>1699</v>
      </c>
    </row>
    <row r="2922" spans="1:3" x14ac:dyDescent="0.25">
      <c r="A2922" s="36">
        <v>41215</v>
      </c>
      <c r="B2922" s="122">
        <v>0.93055555555555547</v>
      </c>
      <c r="C2922" s="26" t="s">
        <v>1700</v>
      </c>
    </row>
    <row r="2923" spans="1:3" x14ac:dyDescent="0.25">
      <c r="A2923" s="36">
        <v>41215</v>
      </c>
      <c r="B2923" s="122">
        <v>0.93293981481481481</v>
      </c>
      <c r="C2923" s="26" t="s">
        <v>1700</v>
      </c>
    </row>
    <row r="2924" spans="1:3" x14ac:dyDescent="0.25">
      <c r="A2924" s="36">
        <v>41215</v>
      </c>
      <c r="B2924" s="122">
        <v>0.93293981481481481</v>
      </c>
      <c r="C2924" s="26" t="s">
        <v>1701</v>
      </c>
    </row>
    <row r="2925" spans="1:3" x14ac:dyDescent="0.25">
      <c r="A2925" s="36">
        <v>41215</v>
      </c>
      <c r="B2925" s="122">
        <v>0.94112268518518516</v>
      </c>
      <c r="C2925" s="26" t="s">
        <v>1700</v>
      </c>
    </row>
    <row r="2926" spans="1:3" x14ac:dyDescent="0.25">
      <c r="A2926" s="36">
        <v>41215</v>
      </c>
      <c r="B2926" s="122">
        <v>0.94114583333333324</v>
      </c>
      <c r="C2926" s="26" t="s">
        <v>1702</v>
      </c>
    </row>
    <row r="2927" spans="1:3" x14ac:dyDescent="0.25">
      <c r="A2927" s="36">
        <v>41215</v>
      </c>
      <c r="B2927" s="122">
        <v>0.94537037037037042</v>
      </c>
      <c r="C2927" s="26" t="s">
        <v>1700</v>
      </c>
    </row>
    <row r="2928" spans="1:3" x14ac:dyDescent="0.25">
      <c r="A2928" s="36">
        <v>41215</v>
      </c>
      <c r="B2928" s="122">
        <v>0.94538194444444434</v>
      </c>
      <c r="C2928" s="26" t="s">
        <v>1702</v>
      </c>
    </row>
    <row r="2929" spans="1:3" x14ac:dyDescent="0.25">
      <c r="A2929" s="36">
        <v>41215</v>
      </c>
      <c r="B2929" s="122">
        <v>0.94572916666666673</v>
      </c>
      <c r="C2929" s="26" t="s">
        <v>1128</v>
      </c>
    </row>
    <row r="2930" spans="1:3" x14ac:dyDescent="0.25">
      <c r="A2930" s="36">
        <v>41215</v>
      </c>
      <c r="B2930" s="122">
        <v>0.94702546296296297</v>
      </c>
      <c r="C2930" s="26" t="s">
        <v>1700</v>
      </c>
    </row>
    <row r="2931" spans="1:3" x14ac:dyDescent="0.25">
      <c r="A2931" s="36">
        <v>41215</v>
      </c>
      <c r="B2931" s="122">
        <v>0.94702546296296297</v>
      </c>
      <c r="C2931" s="26" t="s">
        <v>1703</v>
      </c>
    </row>
    <row r="2932" spans="1:3" x14ac:dyDescent="0.25">
      <c r="A2932" s="36">
        <v>41215</v>
      </c>
      <c r="B2932" s="122">
        <v>0.94708333333333339</v>
      </c>
      <c r="C2932" s="26" t="s">
        <v>1704</v>
      </c>
    </row>
    <row r="2933" spans="1:3" x14ac:dyDescent="0.25">
      <c r="A2933" s="36">
        <v>41215</v>
      </c>
      <c r="B2933" s="122">
        <v>0.94795138888888886</v>
      </c>
      <c r="C2933" s="26" t="s">
        <v>1700</v>
      </c>
    </row>
    <row r="2934" spans="1:3" x14ac:dyDescent="0.25">
      <c r="A2934" s="36">
        <v>41215</v>
      </c>
      <c r="B2934" s="122">
        <v>0.95112268518518517</v>
      </c>
      <c r="C2934" s="26" t="s">
        <v>992</v>
      </c>
    </row>
    <row r="2935" spans="1:3" x14ac:dyDescent="0.25">
      <c r="A2935" s="36">
        <v>41215</v>
      </c>
      <c r="B2935" s="122">
        <v>0.95112268518518517</v>
      </c>
      <c r="C2935" s="26" t="s">
        <v>1084</v>
      </c>
    </row>
    <row r="2936" spans="1:3" x14ac:dyDescent="0.25">
      <c r="A2936" s="36">
        <v>41215</v>
      </c>
      <c r="B2936" s="122">
        <v>0.95112268518518517</v>
      </c>
      <c r="C2936" s="26" t="s">
        <v>1085</v>
      </c>
    </row>
    <row r="2937" spans="1:3" x14ac:dyDescent="0.25">
      <c r="A2937" s="36">
        <v>41215</v>
      </c>
      <c r="B2937" s="122">
        <v>0.95112268518518517</v>
      </c>
      <c r="C2937" s="26" t="s">
        <v>1086</v>
      </c>
    </row>
    <row r="2938" spans="1:3" x14ac:dyDescent="0.25">
      <c r="A2938" s="36">
        <v>41215</v>
      </c>
      <c r="B2938" s="122">
        <v>0.95112268518518517</v>
      </c>
      <c r="C2938" s="26" t="s">
        <v>1085</v>
      </c>
    </row>
    <row r="2939" spans="1:3" x14ac:dyDescent="0.25">
      <c r="A2939" s="36">
        <v>41215</v>
      </c>
      <c r="B2939" s="122">
        <v>0.95112268518518517</v>
      </c>
      <c r="C2939" s="26" t="s">
        <v>1087</v>
      </c>
    </row>
    <row r="2940" spans="1:3" x14ac:dyDescent="0.25">
      <c r="A2940" s="36">
        <v>41215</v>
      </c>
      <c r="B2940" s="122">
        <v>0.95112268518518517</v>
      </c>
      <c r="C2940" s="26" t="s">
        <v>1088</v>
      </c>
    </row>
    <row r="2941" spans="1:3" x14ac:dyDescent="0.25">
      <c r="A2941" s="36">
        <v>41215</v>
      </c>
      <c r="B2941" s="122">
        <v>0.95112268518518517</v>
      </c>
      <c r="C2941" s="26" t="s">
        <v>1088</v>
      </c>
    </row>
    <row r="2942" spans="1:3" x14ac:dyDescent="0.25">
      <c r="A2942" s="36">
        <v>41215</v>
      </c>
      <c r="B2942" s="122">
        <v>0.95112268518518517</v>
      </c>
      <c r="C2942" s="26" t="s">
        <v>1092</v>
      </c>
    </row>
    <row r="2943" spans="1:3" x14ac:dyDescent="0.25">
      <c r="A2943" s="36">
        <v>41215</v>
      </c>
      <c r="B2943" s="122">
        <v>0.95112268518518517</v>
      </c>
      <c r="C2943" s="26" t="s">
        <v>1644</v>
      </c>
    </row>
    <row r="2944" spans="1:3" x14ac:dyDescent="0.25">
      <c r="A2944" s="36">
        <v>41215</v>
      </c>
      <c r="B2944" s="122">
        <v>0.95306712962962958</v>
      </c>
      <c r="C2944" s="26" t="s">
        <v>992</v>
      </c>
    </row>
    <row r="2945" spans="1:3" x14ac:dyDescent="0.25">
      <c r="A2945" s="36">
        <v>41215</v>
      </c>
      <c r="B2945" s="122">
        <v>0.95306712962962958</v>
      </c>
      <c r="C2945" s="26" t="s">
        <v>1084</v>
      </c>
    </row>
    <row r="2946" spans="1:3" x14ac:dyDescent="0.25">
      <c r="A2946" s="36">
        <v>41215</v>
      </c>
      <c r="B2946" s="122">
        <v>0.95306712962962958</v>
      </c>
      <c r="C2946" s="26" t="s">
        <v>1085</v>
      </c>
    </row>
    <row r="2947" spans="1:3" x14ac:dyDescent="0.25">
      <c r="A2947" s="36">
        <v>41215</v>
      </c>
      <c r="B2947" s="122">
        <v>0.95306712962962958</v>
      </c>
      <c r="C2947" s="26" t="s">
        <v>1086</v>
      </c>
    </row>
    <row r="2948" spans="1:3" x14ac:dyDescent="0.25">
      <c r="A2948" s="36">
        <v>41215</v>
      </c>
      <c r="B2948" s="122">
        <v>0.95306712962962958</v>
      </c>
      <c r="C2948" s="26" t="s">
        <v>1085</v>
      </c>
    </row>
    <row r="2949" spans="1:3" x14ac:dyDescent="0.25">
      <c r="A2949" s="36">
        <v>41215</v>
      </c>
      <c r="B2949" s="122">
        <v>0.95306712962962958</v>
      </c>
      <c r="C2949" s="26" t="s">
        <v>1087</v>
      </c>
    </row>
    <row r="2950" spans="1:3" x14ac:dyDescent="0.25">
      <c r="A2950" s="36">
        <v>41215</v>
      </c>
      <c r="B2950" s="122">
        <v>0.95306712962962958</v>
      </c>
      <c r="C2950" s="26" t="s">
        <v>1088</v>
      </c>
    </row>
    <row r="2951" spans="1:3" x14ac:dyDescent="0.25">
      <c r="A2951" s="36">
        <v>41215</v>
      </c>
      <c r="B2951" s="122">
        <v>0.95306712962962958</v>
      </c>
      <c r="C2951" s="26" t="s">
        <v>1088</v>
      </c>
    </row>
    <row r="2952" spans="1:3" x14ac:dyDescent="0.25">
      <c r="A2952" s="36">
        <v>41215</v>
      </c>
      <c r="B2952" s="122">
        <v>0.95307870370370373</v>
      </c>
      <c r="C2952" s="26" t="s">
        <v>1092</v>
      </c>
    </row>
    <row r="2953" spans="1:3" x14ac:dyDescent="0.25">
      <c r="A2953" s="36">
        <v>41215</v>
      </c>
      <c r="B2953" s="122">
        <v>0.95307870370370373</v>
      </c>
      <c r="C2953" s="26" t="s">
        <v>1644</v>
      </c>
    </row>
    <row r="2954" spans="1:3" x14ac:dyDescent="0.25">
      <c r="A2954" s="36">
        <v>41215</v>
      </c>
      <c r="B2954" s="122">
        <v>0.95307870370370373</v>
      </c>
      <c r="C2954" s="26" t="s">
        <v>1096</v>
      </c>
    </row>
    <row r="2955" spans="1:3" x14ac:dyDescent="0.25">
      <c r="A2955" s="36">
        <v>41215</v>
      </c>
      <c r="B2955" s="122">
        <v>0.95407407407407396</v>
      </c>
      <c r="C2955" s="26" t="s">
        <v>1705</v>
      </c>
    </row>
    <row r="2956" spans="1:3" x14ac:dyDescent="0.25">
      <c r="A2956" s="36">
        <v>41215</v>
      </c>
      <c r="B2956" s="122">
        <v>0.95474537037037033</v>
      </c>
      <c r="C2956" s="26" t="s">
        <v>992</v>
      </c>
    </row>
    <row r="2957" spans="1:3" x14ac:dyDescent="0.25">
      <c r="A2957" s="36">
        <v>41215</v>
      </c>
      <c r="B2957" s="122">
        <v>0.95474537037037033</v>
      </c>
      <c r="C2957" s="26" t="s">
        <v>1084</v>
      </c>
    </row>
    <row r="2958" spans="1:3" x14ac:dyDescent="0.25">
      <c r="A2958" s="36">
        <v>41215</v>
      </c>
      <c r="B2958" s="122">
        <v>0.95474537037037033</v>
      </c>
      <c r="C2958" s="26" t="s">
        <v>1085</v>
      </c>
    </row>
    <row r="2959" spans="1:3" x14ac:dyDescent="0.25">
      <c r="A2959" s="36">
        <v>41215</v>
      </c>
      <c r="B2959" s="122">
        <v>0.95474537037037033</v>
      </c>
      <c r="C2959" s="26" t="s">
        <v>1086</v>
      </c>
    </row>
    <row r="2960" spans="1:3" x14ac:dyDescent="0.25">
      <c r="A2960" s="36">
        <v>41215</v>
      </c>
      <c r="B2960" s="122">
        <v>0.95474537037037033</v>
      </c>
      <c r="C2960" s="26" t="s">
        <v>1085</v>
      </c>
    </row>
    <row r="2961" spans="1:3" x14ac:dyDescent="0.25">
      <c r="A2961" s="36">
        <v>41215</v>
      </c>
      <c r="B2961" s="122">
        <v>0.95474537037037033</v>
      </c>
      <c r="C2961" s="26" t="s">
        <v>1087</v>
      </c>
    </row>
    <row r="2962" spans="1:3" x14ac:dyDescent="0.25">
      <c r="A2962" s="36">
        <v>41215</v>
      </c>
      <c r="B2962" s="122">
        <v>0.95474537037037033</v>
      </c>
      <c r="C2962" s="26" t="s">
        <v>1088</v>
      </c>
    </row>
    <row r="2963" spans="1:3" x14ac:dyDescent="0.25">
      <c r="A2963" s="36">
        <v>41215</v>
      </c>
      <c r="B2963" s="122">
        <v>0.95474537037037033</v>
      </c>
      <c r="C2963" s="26" t="s">
        <v>1088</v>
      </c>
    </row>
    <row r="2964" spans="1:3" x14ac:dyDescent="0.25">
      <c r="A2964" s="36">
        <v>41215</v>
      </c>
      <c r="B2964" s="122">
        <v>0.95474537037037033</v>
      </c>
      <c r="C2964" s="26" t="s">
        <v>1092</v>
      </c>
    </row>
    <row r="2965" spans="1:3" x14ac:dyDescent="0.25">
      <c r="A2965" s="36">
        <v>41215</v>
      </c>
      <c r="B2965" s="122">
        <v>0.95475694444444448</v>
      </c>
      <c r="C2965" s="26" t="s">
        <v>1644</v>
      </c>
    </row>
    <row r="2966" spans="1:3" x14ac:dyDescent="0.25">
      <c r="A2966" s="36">
        <v>41215</v>
      </c>
      <c r="B2966" s="122">
        <v>0.95487268518518509</v>
      </c>
      <c r="C2966" s="26" t="s">
        <v>992</v>
      </c>
    </row>
    <row r="2967" spans="1:3" x14ac:dyDescent="0.25">
      <c r="A2967" s="36">
        <v>41215</v>
      </c>
      <c r="B2967" s="122">
        <v>0.95487268518518509</v>
      </c>
      <c r="C2967" s="26" t="s">
        <v>1084</v>
      </c>
    </row>
    <row r="2968" spans="1:3" x14ac:dyDescent="0.25">
      <c r="A2968" s="36">
        <v>41215</v>
      </c>
      <c r="B2968" s="122">
        <v>0.95487268518518509</v>
      </c>
      <c r="C2968" s="26" t="s">
        <v>1085</v>
      </c>
    </row>
    <row r="2969" spans="1:3" x14ac:dyDescent="0.25">
      <c r="A2969" s="36">
        <v>41215</v>
      </c>
      <c r="B2969" s="122">
        <v>0.95487268518518509</v>
      </c>
      <c r="C2969" s="26" t="s">
        <v>1086</v>
      </c>
    </row>
    <row r="2970" spans="1:3" x14ac:dyDescent="0.25">
      <c r="A2970" s="36">
        <v>41215</v>
      </c>
      <c r="B2970" s="122">
        <v>0.95487268518518509</v>
      </c>
      <c r="C2970" s="26" t="s">
        <v>1085</v>
      </c>
    </row>
    <row r="2971" spans="1:3" x14ac:dyDescent="0.25">
      <c r="A2971" s="36">
        <v>41215</v>
      </c>
      <c r="B2971" s="122">
        <v>0.95488425925925924</v>
      </c>
      <c r="C2971" s="26" t="s">
        <v>1087</v>
      </c>
    </row>
    <row r="2972" spans="1:3" x14ac:dyDescent="0.25">
      <c r="A2972" s="36">
        <v>41215</v>
      </c>
      <c r="B2972" s="122">
        <v>0.95488425925925924</v>
      </c>
      <c r="C2972" s="26" t="s">
        <v>1088</v>
      </c>
    </row>
    <row r="2973" spans="1:3" x14ac:dyDescent="0.25">
      <c r="A2973" s="36">
        <v>41215</v>
      </c>
      <c r="B2973" s="122">
        <v>0.95488425925925924</v>
      </c>
      <c r="C2973" s="26" t="s">
        <v>1088</v>
      </c>
    </row>
    <row r="2974" spans="1:3" x14ac:dyDescent="0.25">
      <c r="A2974" s="36">
        <v>41215</v>
      </c>
      <c r="B2974" s="122">
        <v>0.95488425925925924</v>
      </c>
      <c r="C2974" s="26" t="s">
        <v>1092</v>
      </c>
    </row>
    <row r="2975" spans="1:3" x14ac:dyDescent="0.25">
      <c r="A2975" s="36">
        <v>41215</v>
      </c>
      <c r="B2975" s="122">
        <v>0.95516203703703706</v>
      </c>
      <c r="C2975" s="26" t="s">
        <v>992</v>
      </c>
    </row>
    <row r="2976" spans="1:3" x14ac:dyDescent="0.25">
      <c r="A2976" s="36">
        <v>41215</v>
      </c>
      <c r="B2976" s="122">
        <v>0.95516203703703706</v>
      </c>
      <c r="C2976" s="26" t="s">
        <v>1084</v>
      </c>
    </row>
    <row r="2977" spans="1:3" x14ac:dyDescent="0.25">
      <c r="A2977" s="36">
        <v>41215</v>
      </c>
      <c r="B2977" s="122">
        <v>0.95516203703703706</v>
      </c>
      <c r="C2977" s="26" t="s">
        <v>1085</v>
      </c>
    </row>
    <row r="2978" spans="1:3" x14ac:dyDescent="0.25">
      <c r="A2978" s="36">
        <v>41215</v>
      </c>
      <c r="B2978" s="122">
        <v>0.95516203703703706</v>
      </c>
      <c r="C2978" s="26" t="s">
        <v>1086</v>
      </c>
    </row>
    <row r="2979" spans="1:3" x14ac:dyDescent="0.25">
      <c r="A2979" s="36">
        <v>41215</v>
      </c>
      <c r="B2979" s="122">
        <v>0.95516203703703706</v>
      </c>
      <c r="C2979" s="26" t="s">
        <v>1085</v>
      </c>
    </row>
    <row r="2980" spans="1:3" x14ac:dyDescent="0.25">
      <c r="A2980" s="36">
        <v>41215</v>
      </c>
      <c r="B2980" s="122">
        <v>0.95516203703703706</v>
      </c>
      <c r="C2980" s="26" t="s">
        <v>1087</v>
      </c>
    </row>
    <row r="2981" spans="1:3" x14ac:dyDescent="0.25">
      <c r="A2981" s="36">
        <v>41215</v>
      </c>
      <c r="B2981" s="122">
        <v>0.95516203703703706</v>
      </c>
      <c r="C2981" s="26" t="s">
        <v>1088</v>
      </c>
    </row>
    <row r="2982" spans="1:3" x14ac:dyDescent="0.25">
      <c r="A2982" s="36">
        <v>41215</v>
      </c>
      <c r="B2982" s="122">
        <v>0.95516203703703706</v>
      </c>
      <c r="C2982" s="26" t="s">
        <v>1088</v>
      </c>
    </row>
    <row r="2983" spans="1:3" x14ac:dyDescent="0.25">
      <c r="A2983" s="36">
        <v>41215</v>
      </c>
      <c r="B2983" s="122">
        <v>0.95516203703703706</v>
      </c>
      <c r="C2983" s="26" t="s">
        <v>1092</v>
      </c>
    </row>
    <row r="2984" spans="1:3" x14ac:dyDescent="0.25">
      <c r="A2984" s="36">
        <v>41215</v>
      </c>
      <c r="B2984" s="122">
        <v>0.95517361111111121</v>
      </c>
      <c r="C2984" s="26" t="s">
        <v>1562</v>
      </c>
    </row>
    <row r="2985" spans="1:3" x14ac:dyDescent="0.25">
      <c r="A2985" s="36">
        <v>41215</v>
      </c>
      <c r="B2985" s="122">
        <v>0.95545138888888881</v>
      </c>
      <c r="C2985" s="26" t="s">
        <v>1706</v>
      </c>
    </row>
    <row r="2986" spans="1:3" x14ac:dyDescent="0.25">
      <c r="A2986" s="36">
        <v>41215</v>
      </c>
      <c r="B2986" s="122">
        <v>0.95545138888888881</v>
      </c>
      <c r="C2986" s="26" t="s">
        <v>1707</v>
      </c>
    </row>
    <row r="2987" spans="1:3" x14ac:dyDescent="0.25">
      <c r="A2987" s="36">
        <v>41215</v>
      </c>
      <c r="B2987" s="122">
        <v>0.95559027777777772</v>
      </c>
      <c r="C2987" s="26" t="s">
        <v>1708</v>
      </c>
    </row>
    <row r="2988" spans="1:3" x14ac:dyDescent="0.25">
      <c r="A2988" s="36">
        <v>41215</v>
      </c>
      <c r="B2988" s="122">
        <v>0.96744212962962972</v>
      </c>
      <c r="C2988" s="26" t="s">
        <v>1706</v>
      </c>
    </row>
    <row r="2989" spans="1:3" x14ac:dyDescent="0.25">
      <c r="A2989" s="36">
        <v>41215</v>
      </c>
      <c r="B2989" s="122">
        <v>0.96744212962962972</v>
      </c>
      <c r="C2989" s="26" t="s">
        <v>1707</v>
      </c>
    </row>
    <row r="2990" spans="1:3" x14ac:dyDescent="0.25">
      <c r="A2990" s="36">
        <v>41215</v>
      </c>
      <c r="B2990" s="122">
        <v>0.96747685185185184</v>
      </c>
      <c r="C2990" s="26" t="s">
        <v>1708</v>
      </c>
    </row>
    <row r="2991" spans="1:3" x14ac:dyDescent="0.25">
      <c r="A2991" s="36">
        <v>41215</v>
      </c>
      <c r="B2991" s="122">
        <v>0.9692708333333333</v>
      </c>
      <c r="C2991" s="26" t="s">
        <v>1706</v>
      </c>
    </row>
    <row r="2992" spans="1:3" x14ac:dyDescent="0.25">
      <c r="A2992" s="36">
        <v>41215</v>
      </c>
      <c r="B2992" s="122">
        <v>0.9692708333333333</v>
      </c>
      <c r="C2992" s="26" t="s">
        <v>1707</v>
      </c>
    </row>
    <row r="2993" spans="1:3" x14ac:dyDescent="0.25">
      <c r="A2993" s="36">
        <v>41215</v>
      </c>
      <c r="B2993" s="122">
        <v>0.96929398148148149</v>
      </c>
      <c r="C2993" s="26" t="s">
        <v>1708</v>
      </c>
    </row>
    <row r="2994" spans="1:3" x14ac:dyDescent="0.25">
      <c r="A2994" s="36">
        <v>41215</v>
      </c>
      <c r="B2994" s="122">
        <v>0.97097222222222224</v>
      </c>
      <c r="C2994" s="26" t="s">
        <v>1706</v>
      </c>
    </row>
    <row r="2995" spans="1:3" x14ac:dyDescent="0.25">
      <c r="A2995" s="36">
        <v>41215</v>
      </c>
      <c r="B2995" s="122">
        <v>0.97097222222222224</v>
      </c>
      <c r="C2995" s="26" t="s">
        <v>1707</v>
      </c>
    </row>
    <row r="2996" spans="1:3" x14ac:dyDescent="0.25">
      <c r="A2996" s="36">
        <v>41215</v>
      </c>
      <c r="B2996" s="122">
        <v>0.97099537037037031</v>
      </c>
      <c r="C2996" s="26" t="s">
        <v>1708</v>
      </c>
    </row>
    <row r="2997" spans="1:3" x14ac:dyDescent="0.25">
      <c r="A2997" s="36">
        <v>41215</v>
      </c>
      <c r="B2997" s="122">
        <v>0.98099537037037043</v>
      </c>
      <c r="C2997" s="26" t="s">
        <v>1706</v>
      </c>
    </row>
    <row r="2998" spans="1:3" x14ac:dyDescent="0.25">
      <c r="A2998" s="36">
        <v>41215</v>
      </c>
      <c r="B2998" s="122">
        <v>0.98099537037037043</v>
      </c>
      <c r="C2998" s="26" t="s">
        <v>1707</v>
      </c>
    </row>
    <row r="2999" spans="1:3" x14ac:dyDescent="0.25">
      <c r="A2999" s="36">
        <v>41215</v>
      </c>
      <c r="B2999" s="122">
        <v>0.98101851851851851</v>
      </c>
      <c r="C2999" s="26" t="s">
        <v>1708</v>
      </c>
    </row>
    <row r="3000" spans="1:3" x14ac:dyDescent="0.25">
      <c r="A3000" s="36">
        <v>41215</v>
      </c>
      <c r="B3000" s="122">
        <v>0.98163194444444446</v>
      </c>
      <c r="C3000" s="26" t="s">
        <v>1706</v>
      </c>
    </row>
    <row r="3001" spans="1:3" x14ac:dyDescent="0.25">
      <c r="A3001" s="36">
        <v>41215</v>
      </c>
      <c r="B3001" s="122">
        <v>0.98163194444444446</v>
      </c>
      <c r="C3001" s="26" t="s">
        <v>1707</v>
      </c>
    </row>
    <row r="3002" spans="1:3" x14ac:dyDescent="0.25">
      <c r="A3002" s="36">
        <v>41215</v>
      </c>
      <c r="B3002" s="122">
        <v>0.98175925925925922</v>
      </c>
      <c r="C3002" s="26" t="s">
        <v>1708</v>
      </c>
    </row>
    <row r="3003" spans="1:3" x14ac:dyDescent="0.25">
      <c r="A3003" s="36">
        <v>41215</v>
      </c>
      <c r="B3003" s="122">
        <v>0.98454861111111114</v>
      </c>
      <c r="C3003" s="26" t="s">
        <v>1706</v>
      </c>
    </row>
    <row r="3004" spans="1:3" x14ac:dyDescent="0.25">
      <c r="A3004" s="36">
        <v>41215</v>
      </c>
      <c r="B3004" s="122">
        <v>0.98454861111111114</v>
      </c>
      <c r="C3004" s="26" t="s">
        <v>1707</v>
      </c>
    </row>
    <row r="3005" spans="1:3" x14ac:dyDescent="0.25">
      <c r="A3005" s="36">
        <v>41215</v>
      </c>
      <c r="B3005" s="122">
        <v>0.98458333333333325</v>
      </c>
      <c r="C3005" s="26" t="s">
        <v>1708</v>
      </c>
    </row>
    <row r="3006" spans="1:3" x14ac:dyDescent="0.25">
      <c r="A3006" s="36">
        <v>41215</v>
      </c>
      <c r="B3006" s="122">
        <v>0.98616898148148147</v>
      </c>
      <c r="C3006" s="26" t="s">
        <v>1706</v>
      </c>
    </row>
    <row r="3007" spans="1:3" x14ac:dyDescent="0.25">
      <c r="A3007" s="36">
        <v>41215</v>
      </c>
      <c r="B3007" s="122">
        <v>0.98616898148148147</v>
      </c>
      <c r="C3007" s="26" t="s">
        <v>1707</v>
      </c>
    </row>
    <row r="3008" spans="1:3" x14ac:dyDescent="0.25">
      <c r="A3008" s="36">
        <v>41215</v>
      </c>
      <c r="B3008" s="122">
        <v>0.98641203703703706</v>
      </c>
      <c r="C3008" s="26" t="s">
        <v>1708</v>
      </c>
    </row>
    <row r="3009" spans="1:3" x14ac:dyDescent="0.25">
      <c r="A3009" s="36">
        <v>41215</v>
      </c>
      <c r="B3009" s="122">
        <v>0.98677083333333337</v>
      </c>
      <c r="C3009" s="26" t="s">
        <v>1569</v>
      </c>
    </row>
    <row r="3010" spans="1:3" x14ac:dyDescent="0.25">
      <c r="A3010" s="36">
        <v>41215</v>
      </c>
      <c r="B3010" s="122">
        <v>0.99055555555555552</v>
      </c>
      <c r="C3010" s="26" t="s">
        <v>992</v>
      </c>
    </row>
    <row r="3011" spans="1:3" x14ac:dyDescent="0.25">
      <c r="A3011" s="36">
        <v>41215</v>
      </c>
      <c r="B3011" s="122">
        <v>0.99056712962962967</v>
      </c>
      <c r="C3011" s="26" t="s">
        <v>1084</v>
      </c>
    </row>
    <row r="3012" spans="1:3" x14ac:dyDescent="0.25">
      <c r="A3012" s="36">
        <v>41215</v>
      </c>
      <c r="B3012" s="122">
        <v>0.99056712962962967</v>
      </c>
      <c r="C3012" s="26" t="s">
        <v>1085</v>
      </c>
    </row>
    <row r="3013" spans="1:3" x14ac:dyDescent="0.25">
      <c r="A3013" s="36">
        <v>41215</v>
      </c>
      <c r="B3013" s="122">
        <v>0.99056712962962967</v>
      </c>
      <c r="C3013" s="26" t="s">
        <v>1086</v>
      </c>
    </row>
    <row r="3014" spans="1:3" x14ac:dyDescent="0.25">
      <c r="A3014" s="36">
        <v>41215</v>
      </c>
      <c r="B3014" s="122">
        <v>0.99056712962962967</v>
      </c>
      <c r="C3014" s="26" t="s">
        <v>1085</v>
      </c>
    </row>
    <row r="3015" spans="1:3" x14ac:dyDescent="0.25">
      <c r="A3015" s="36">
        <v>41215</v>
      </c>
      <c r="B3015" s="122">
        <v>0.99056712962962967</v>
      </c>
      <c r="C3015" s="26" t="s">
        <v>1087</v>
      </c>
    </row>
    <row r="3016" spans="1:3" x14ac:dyDescent="0.25">
      <c r="A3016" s="36">
        <v>41215</v>
      </c>
      <c r="B3016" s="122">
        <v>0.99056712962962967</v>
      </c>
      <c r="C3016" s="26" t="s">
        <v>1088</v>
      </c>
    </row>
    <row r="3017" spans="1:3" x14ac:dyDescent="0.25">
      <c r="A3017" s="36">
        <v>41215</v>
      </c>
      <c r="B3017" s="122">
        <v>0.99056712962962967</v>
      </c>
      <c r="C3017" s="26" t="s">
        <v>1088</v>
      </c>
    </row>
    <row r="3018" spans="1:3" x14ac:dyDescent="0.25">
      <c r="A3018" s="36">
        <v>41215</v>
      </c>
      <c r="B3018" s="122">
        <v>0.99056712962962967</v>
      </c>
      <c r="C3018" s="26" t="s">
        <v>1092</v>
      </c>
    </row>
    <row r="3019" spans="1:3" x14ac:dyDescent="0.25">
      <c r="A3019" s="36">
        <v>41215</v>
      </c>
      <c r="B3019" s="122">
        <v>0.99056712962962967</v>
      </c>
      <c r="C3019" s="26" t="s">
        <v>1562</v>
      </c>
    </row>
    <row r="3020" spans="1:3" x14ac:dyDescent="0.25">
      <c r="A3020" s="36">
        <v>41215</v>
      </c>
      <c r="B3020" s="122">
        <v>0.99079861111111101</v>
      </c>
      <c r="C3020" s="26" t="s">
        <v>1706</v>
      </c>
    </row>
    <row r="3021" spans="1:3" x14ac:dyDescent="0.25">
      <c r="A3021" s="36">
        <v>41215</v>
      </c>
      <c r="B3021" s="122">
        <v>0.99079861111111101</v>
      </c>
      <c r="C3021" s="26" t="s">
        <v>1708</v>
      </c>
    </row>
    <row r="3022" spans="1:3" x14ac:dyDescent="0.25">
      <c r="A3022" s="36">
        <v>41215</v>
      </c>
      <c r="B3022" s="122">
        <v>0.99086805555555557</v>
      </c>
      <c r="C3022" s="26" t="s">
        <v>1569</v>
      </c>
    </row>
    <row r="3023" spans="1:3" x14ac:dyDescent="0.25">
      <c r="A3023" s="36">
        <v>41215</v>
      </c>
      <c r="B3023" s="122">
        <v>0.99630787037037039</v>
      </c>
      <c r="C3023" s="26" t="s">
        <v>1706</v>
      </c>
    </row>
    <row r="3024" spans="1:3" x14ac:dyDescent="0.25">
      <c r="A3024" s="36">
        <v>41215</v>
      </c>
      <c r="B3024" s="122">
        <v>0.99630787037037039</v>
      </c>
      <c r="C3024" s="26" t="s">
        <v>1708</v>
      </c>
    </row>
    <row r="3025" spans="1:3" x14ac:dyDescent="0.25">
      <c r="A3025" s="36">
        <v>41215</v>
      </c>
      <c r="B3025" s="122">
        <v>0.9974884259259259</v>
      </c>
      <c r="C3025" s="26" t="s">
        <v>1706</v>
      </c>
    </row>
    <row r="3026" spans="1:3" x14ac:dyDescent="0.25">
      <c r="A3026" s="36">
        <v>41215</v>
      </c>
      <c r="B3026" s="122">
        <v>0.9974884259259259</v>
      </c>
      <c r="C3026" s="26" t="s">
        <v>1708</v>
      </c>
    </row>
    <row r="3027" spans="1:3" x14ac:dyDescent="0.25">
      <c r="A3027" s="36">
        <v>41215</v>
      </c>
      <c r="B3027" s="122">
        <v>0.99782407407407403</v>
      </c>
      <c r="C3027" s="26" t="s">
        <v>1706</v>
      </c>
    </row>
    <row r="3028" spans="1:3" x14ac:dyDescent="0.25">
      <c r="A3028" s="36">
        <v>41215</v>
      </c>
      <c r="B3028" s="122">
        <v>0.99782407407407403</v>
      </c>
      <c r="C3028" s="26" t="s">
        <v>1708</v>
      </c>
    </row>
    <row r="3029" spans="1:3" x14ac:dyDescent="0.25">
      <c r="A3029" s="36">
        <v>41215</v>
      </c>
      <c r="B3029" s="122">
        <v>0.99792824074074071</v>
      </c>
      <c r="C3029" s="26" t="s">
        <v>1569</v>
      </c>
    </row>
    <row r="3030" spans="1:3" x14ac:dyDescent="0.25">
      <c r="A3030" s="36">
        <v>41215</v>
      </c>
      <c r="B3030" s="122">
        <v>0.99850694444444443</v>
      </c>
      <c r="C3030" s="26" t="s">
        <v>1184</v>
      </c>
    </row>
    <row r="3031" spans="1:3" x14ac:dyDescent="0.25">
      <c r="A3031" s="36">
        <v>41216</v>
      </c>
      <c r="B3031" s="122">
        <v>2.1180555555555553E-3</v>
      </c>
      <c r="C3031" s="26" t="s">
        <v>1209</v>
      </c>
    </row>
    <row r="3032" spans="1:3" x14ac:dyDescent="0.25">
      <c r="A3032" s="36">
        <v>41216</v>
      </c>
      <c r="B3032" s="122">
        <v>2.1180555555555553E-3</v>
      </c>
      <c r="C3032" s="26" t="s">
        <v>1185</v>
      </c>
    </row>
    <row r="3033" spans="1:3" x14ac:dyDescent="0.25">
      <c r="A3033" s="36">
        <v>41216</v>
      </c>
      <c r="B3033" s="122">
        <v>2.1990740740740742E-3</v>
      </c>
      <c r="C3033" s="26" t="s">
        <v>1577</v>
      </c>
    </row>
    <row r="3034" spans="1:3" x14ac:dyDescent="0.25">
      <c r="A3034" s="36">
        <v>41216</v>
      </c>
      <c r="B3034" s="122">
        <v>2.2337962962962967E-3</v>
      </c>
      <c r="C3034" s="26" t="s">
        <v>1170</v>
      </c>
    </row>
    <row r="3035" spans="1:3" x14ac:dyDescent="0.25">
      <c r="A3035" s="36">
        <v>41216</v>
      </c>
      <c r="B3035" s="122">
        <v>2.2800925925925927E-3</v>
      </c>
      <c r="C3035" s="26" t="s">
        <v>1578</v>
      </c>
    </row>
    <row r="3036" spans="1:3" x14ac:dyDescent="0.25">
      <c r="A3036" s="36">
        <v>41216</v>
      </c>
      <c r="B3036" s="122">
        <v>2.3611111111111111E-3</v>
      </c>
      <c r="C3036" s="26" t="s">
        <v>1190</v>
      </c>
    </row>
    <row r="3037" spans="1:3" x14ac:dyDescent="0.25">
      <c r="A3037" s="36">
        <v>41216</v>
      </c>
      <c r="B3037" s="122">
        <v>2.3611111111111111E-3</v>
      </c>
      <c r="C3037" s="26" t="s">
        <v>1191</v>
      </c>
    </row>
    <row r="3038" spans="1:3" x14ac:dyDescent="0.25">
      <c r="A3038" s="36">
        <v>41216</v>
      </c>
      <c r="B3038" s="122">
        <v>1.8993055555555558E-2</v>
      </c>
      <c r="C3038" s="26" t="s">
        <v>992</v>
      </c>
    </row>
    <row r="3039" spans="1:3" x14ac:dyDescent="0.25">
      <c r="A3039" s="36">
        <v>41216</v>
      </c>
      <c r="B3039" s="122">
        <v>1.8993055555555558E-2</v>
      </c>
      <c r="C3039" s="26" t="s">
        <v>1084</v>
      </c>
    </row>
    <row r="3040" spans="1:3" x14ac:dyDescent="0.25">
      <c r="A3040" s="36">
        <v>41216</v>
      </c>
      <c r="B3040" s="122">
        <v>1.8993055555555558E-2</v>
      </c>
      <c r="C3040" s="26" t="s">
        <v>1085</v>
      </c>
    </row>
    <row r="3041" spans="1:3" x14ac:dyDescent="0.25">
      <c r="A3041" s="36">
        <v>41216</v>
      </c>
      <c r="B3041" s="122">
        <v>1.9004629629629632E-2</v>
      </c>
      <c r="C3041" s="26" t="s">
        <v>1086</v>
      </c>
    </row>
    <row r="3042" spans="1:3" x14ac:dyDescent="0.25">
      <c r="A3042" s="36">
        <v>41216</v>
      </c>
      <c r="B3042" s="122">
        <v>1.9004629629629632E-2</v>
      </c>
      <c r="C3042" s="26" t="s">
        <v>1085</v>
      </c>
    </row>
    <row r="3043" spans="1:3" x14ac:dyDescent="0.25">
      <c r="A3043" s="36">
        <v>41216</v>
      </c>
      <c r="B3043" s="122">
        <v>1.9004629629629632E-2</v>
      </c>
      <c r="C3043" s="26" t="s">
        <v>1087</v>
      </c>
    </row>
    <row r="3044" spans="1:3" x14ac:dyDescent="0.25">
      <c r="A3044" s="36">
        <v>41216</v>
      </c>
      <c r="B3044" s="122">
        <v>1.9004629629629632E-2</v>
      </c>
      <c r="C3044" s="26" t="s">
        <v>1088</v>
      </c>
    </row>
    <row r="3045" spans="1:3" x14ac:dyDescent="0.25">
      <c r="A3045" s="36">
        <v>41216</v>
      </c>
      <c r="B3045" s="122">
        <v>1.9004629629629632E-2</v>
      </c>
      <c r="C3045" s="26" t="s">
        <v>1088</v>
      </c>
    </row>
    <row r="3046" spans="1:3" x14ac:dyDescent="0.25">
      <c r="A3046" s="36">
        <v>41216</v>
      </c>
      <c r="B3046" s="122">
        <v>1.9004629629629632E-2</v>
      </c>
      <c r="C3046" s="26" t="s">
        <v>1092</v>
      </c>
    </row>
    <row r="3047" spans="1:3" x14ac:dyDescent="0.25">
      <c r="A3047" s="36">
        <v>41216</v>
      </c>
      <c r="B3047" s="122">
        <v>1.9004629629629632E-2</v>
      </c>
      <c r="C3047" s="26" t="s">
        <v>1562</v>
      </c>
    </row>
    <row r="3048" spans="1:3" x14ac:dyDescent="0.25">
      <c r="A3048" s="36">
        <v>41216</v>
      </c>
      <c r="B3048" s="122">
        <v>1.954861111111111E-2</v>
      </c>
      <c r="C3048" s="26" t="s">
        <v>1706</v>
      </c>
    </row>
    <row r="3049" spans="1:3" x14ac:dyDescent="0.25">
      <c r="A3049" s="36">
        <v>41216</v>
      </c>
      <c r="B3049" s="122">
        <v>1.954861111111111E-2</v>
      </c>
      <c r="C3049" s="26" t="s">
        <v>1708</v>
      </c>
    </row>
    <row r="3050" spans="1:3" x14ac:dyDescent="0.25">
      <c r="A3050" s="36">
        <v>41216</v>
      </c>
      <c r="B3050" s="122">
        <v>1.9618055555555555E-2</v>
      </c>
      <c r="C3050" s="26" t="s">
        <v>1569</v>
      </c>
    </row>
    <row r="3051" spans="1:3" x14ac:dyDescent="0.25">
      <c r="A3051" s="36">
        <v>41216</v>
      </c>
      <c r="B3051" s="122">
        <v>1.9722222222222221E-2</v>
      </c>
      <c r="C3051" s="26" t="s">
        <v>1184</v>
      </c>
    </row>
    <row r="3052" spans="1:3" x14ac:dyDescent="0.25">
      <c r="A3052" s="36">
        <v>41216</v>
      </c>
      <c r="B3052" s="122">
        <v>1.9768518518518515E-2</v>
      </c>
      <c r="C3052" s="26" t="s">
        <v>1209</v>
      </c>
    </row>
    <row r="3053" spans="1:3" x14ac:dyDescent="0.25">
      <c r="A3053" s="36">
        <v>41216</v>
      </c>
      <c r="B3053" s="122">
        <v>1.9768518518518515E-2</v>
      </c>
      <c r="C3053" s="26" t="s">
        <v>1185</v>
      </c>
    </row>
    <row r="3054" spans="1:3" x14ac:dyDescent="0.25">
      <c r="A3054" s="36">
        <v>41216</v>
      </c>
      <c r="B3054" s="122">
        <v>1.9814814814814816E-2</v>
      </c>
      <c r="C3054" s="26" t="s">
        <v>1577</v>
      </c>
    </row>
    <row r="3055" spans="1:3" x14ac:dyDescent="0.25">
      <c r="A3055" s="36">
        <v>41216</v>
      </c>
      <c r="B3055" s="122">
        <v>1.9849537037037037E-2</v>
      </c>
      <c r="C3055" s="26" t="s">
        <v>1170</v>
      </c>
    </row>
    <row r="3056" spans="1:3" x14ac:dyDescent="0.25">
      <c r="A3056" s="36">
        <v>41216</v>
      </c>
      <c r="B3056" s="122">
        <v>1.9884259259259258E-2</v>
      </c>
      <c r="C3056" s="26" t="s">
        <v>1578</v>
      </c>
    </row>
    <row r="3057" spans="1:3" x14ac:dyDescent="0.25">
      <c r="A3057" s="36">
        <v>41216</v>
      </c>
      <c r="B3057" s="122">
        <v>1.9930555555555556E-2</v>
      </c>
      <c r="C3057" s="26" t="s">
        <v>1190</v>
      </c>
    </row>
    <row r="3058" spans="1:3" x14ac:dyDescent="0.25">
      <c r="A3058" s="36">
        <v>41216</v>
      </c>
      <c r="B3058" s="122">
        <v>1.9930555555555556E-2</v>
      </c>
      <c r="C3058" s="26" t="s">
        <v>1191</v>
      </c>
    </row>
    <row r="3059" spans="1:3" x14ac:dyDescent="0.25">
      <c r="A3059" s="36">
        <v>41216</v>
      </c>
      <c r="B3059" s="122">
        <v>1.9988425925925927E-2</v>
      </c>
      <c r="C3059" s="26" t="s">
        <v>1193</v>
      </c>
    </row>
    <row r="3060" spans="1:3" x14ac:dyDescent="0.25">
      <c r="A3060" s="36">
        <v>41216</v>
      </c>
      <c r="B3060" s="122">
        <v>2.0034722222222221E-2</v>
      </c>
      <c r="C3060" s="26" t="s">
        <v>1579</v>
      </c>
    </row>
    <row r="3061" spans="1:3" x14ac:dyDescent="0.25">
      <c r="A3061" s="36">
        <v>41216</v>
      </c>
      <c r="B3061" s="122">
        <v>2.0034722222222221E-2</v>
      </c>
      <c r="C3061" s="26" t="s">
        <v>1580</v>
      </c>
    </row>
    <row r="3062" spans="1:3" x14ac:dyDescent="0.25">
      <c r="A3062" s="36">
        <v>41216</v>
      </c>
      <c r="B3062" s="122">
        <v>2.0057870370370368E-2</v>
      </c>
      <c r="C3062" s="26" t="s">
        <v>1708</v>
      </c>
    </row>
    <row r="3063" spans="1:3" x14ac:dyDescent="0.25">
      <c r="A3063" s="36">
        <v>41216</v>
      </c>
      <c r="B3063" s="122">
        <v>2.0092592592592592E-2</v>
      </c>
      <c r="C3063" s="26" t="s">
        <v>1581</v>
      </c>
    </row>
    <row r="3064" spans="1:3" x14ac:dyDescent="0.25">
      <c r="A3064" s="36">
        <v>41216</v>
      </c>
      <c r="B3064" s="122">
        <v>2.013888888888889E-2</v>
      </c>
      <c r="C3064" s="26" t="s">
        <v>1582</v>
      </c>
    </row>
    <row r="3065" spans="1:3" x14ac:dyDescent="0.25">
      <c r="A3065" s="36">
        <v>41216</v>
      </c>
      <c r="B3065" s="122">
        <v>2.0173611111111111E-2</v>
      </c>
      <c r="C3065" s="26" t="s">
        <v>1583</v>
      </c>
    </row>
    <row r="3066" spans="1:3" x14ac:dyDescent="0.25">
      <c r="A3066" s="36">
        <v>41216</v>
      </c>
      <c r="B3066" s="122">
        <v>2.0208333333333335E-2</v>
      </c>
      <c r="C3066" s="26" t="s">
        <v>1584</v>
      </c>
    </row>
    <row r="3067" spans="1:3" x14ac:dyDescent="0.25">
      <c r="A3067" s="36">
        <v>41216</v>
      </c>
      <c r="B3067" s="122">
        <v>2.0219907407407409E-2</v>
      </c>
      <c r="C3067" s="26" t="s">
        <v>1585</v>
      </c>
    </row>
    <row r="3068" spans="1:3" x14ac:dyDescent="0.25">
      <c r="A3068" s="36">
        <v>41216</v>
      </c>
      <c r="B3068" s="122">
        <v>2.0219907407407409E-2</v>
      </c>
      <c r="C3068" s="26" t="s">
        <v>1586</v>
      </c>
    </row>
    <row r="3069" spans="1:3" x14ac:dyDescent="0.25">
      <c r="A3069" s="36">
        <v>41216</v>
      </c>
      <c r="B3069" s="122">
        <v>2.0254629629629629E-2</v>
      </c>
      <c r="C3069" s="26" t="s">
        <v>1587</v>
      </c>
    </row>
    <row r="3070" spans="1:3" x14ac:dyDescent="0.25">
      <c r="A3070" s="36">
        <v>41216</v>
      </c>
      <c r="B3070" s="122">
        <v>2.0254629629629629E-2</v>
      </c>
      <c r="C3070" s="26" t="s">
        <v>1588</v>
      </c>
    </row>
    <row r="3071" spans="1:3" x14ac:dyDescent="0.25">
      <c r="A3071" s="36">
        <v>41216</v>
      </c>
      <c r="B3071" s="122">
        <v>2.0277777777777777E-2</v>
      </c>
      <c r="C3071" s="26" t="s">
        <v>1190</v>
      </c>
    </row>
    <row r="3072" spans="1:3" x14ac:dyDescent="0.25">
      <c r="A3072" s="36">
        <v>41216</v>
      </c>
      <c r="B3072" s="122">
        <v>2.0277777777777777E-2</v>
      </c>
      <c r="C3072" s="26" t="s">
        <v>1191</v>
      </c>
    </row>
    <row r="3073" spans="1:3" x14ac:dyDescent="0.25">
      <c r="A3073" s="36">
        <v>41216</v>
      </c>
      <c r="B3073" s="122">
        <v>2.0347222222222221E-2</v>
      </c>
      <c r="C3073" s="26" t="s">
        <v>1589</v>
      </c>
    </row>
    <row r="3074" spans="1:3" x14ac:dyDescent="0.25">
      <c r="A3074" s="36">
        <v>41216</v>
      </c>
      <c r="B3074" s="122">
        <v>2.0347222222222221E-2</v>
      </c>
      <c r="C3074" s="26" t="s">
        <v>1590</v>
      </c>
    </row>
    <row r="3075" spans="1:3" x14ac:dyDescent="0.25">
      <c r="A3075" s="36">
        <v>41216</v>
      </c>
      <c r="B3075" s="122">
        <v>2.0347222222222221E-2</v>
      </c>
      <c r="C3075" s="26" t="s">
        <v>1591</v>
      </c>
    </row>
    <row r="3076" spans="1:3" x14ac:dyDescent="0.25">
      <c r="A3076" s="36">
        <v>41216</v>
      </c>
      <c r="B3076" s="122">
        <v>2.0416666666666666E-2</v>
      </c>
      <c r="C3076" s="26" t="s">
        <v>1592</v>
      </c>
    </row>
    <row r="3077" spans="1:3" x14ac:dyDescent="0.25">
      <c r="A3077" s="36">
        <v>41216</v>
      </c>
      <c r="B3077" s="122">
        <v>2.0428240740740743E-2</v>
      </c>
      <c r="C3077" s="26" t="s">
        <v>1589</v>
      </c>
    </row>
    <row r="3078" spans="1:3" x14ac:dyDescent="0.25">
      <c r="A3078" s="36">
        <v>41216</v>
      </c>
      <c r="B3078" s="122">
        <v>2.0428240740740743E-2</v>
      </c>
      <c r="C3078" s="26" t="s">
        <v>1590</v>
      </c>
    </row>
    <row r="3079" spans="1:3" x14ac:dyDescent="0.25">
      <c r="A3079" s="36">
        <v>41216</v>
      </c>
      <c r="B3079" s="122">
        <v>2.0428240740740743E-2</v>
      </c>
      <c r="C3079" s="26" t="s">
        <v>1591</v>
      </c>
    </row>
    <row r="3080" spans="1:3" x14ac:dyDescent="0.25">
      <c r="A3080" s="36">
        <v>41216</v>
      </c>
      <c r="B3080" s="122">
        <v>2.0462962962962964E-2</v>
      </c>
      <c r="C3080" s="26" t="s">
        <v>1593</v>
      </c>
    </row>
    <row r="3081" spans="1:3" x14ac:dyDescent="0.25">
      <c r="A3081" s="36">
        <v>41216</v>
      </c>
      <c r="B3081" s="122">
        <v>2.0462962962962964E-2</v>
      </c>
      <c r="C3081" s="26" t="s">
        <v>1594</v>
      </c>
    </row>
    <row r="3082" spans="1:3" x14ac:dyDescent="0.25">
      <c r="A3082" s="36">
        <v>41216</v>
      </c>
      <c r="B3082" s="122">
        <v>2.0543981481481479E-2</v>
      </c>
      <c r="C3082" s="26" t="s">
        <v>1190</v>
      </c>
    </row>
    <row r="3083" spans="1:3" x14ac:dyDescent="0.25">
      <c r="A3083" s="36">
        <v>41216</v>
      </c>
      <c r="B3083" s="122">
        <v>2.0543981481481479E-2</v>
      </c>
      <c r="C3083" s="26" t="s">
        <v>1191</v>
      </c>
    </row>
    <row r="3084" spans="1:3" x14ac:dyDescent="0.25">
      <c r="A3084" s="36">
        <v>41216</v>
      </c>
      <c r="B3084" s="122">
        <v>2.0659722222222222E-2</v>
      </c>
      <c r="C3084" s="26" t="s">
        <v>1595</v>
      </c>
    </row>
    <row r="3085" spans="1:3" x14ac:dyDescent="0.25">
      <c r="A3085" s="36">
        <v>41216</v>
      </c>
      <c r="B3085" s="122">
        <v>2.0659722222222222E-2</v>
      </c>
      <c r="C3085" s="26" t="s">
        <v>1596</v>
      </c>
    </row>
    <row r="3086" spans="1:3" x14ac:dyDescent="0.25">
      <c r="A3086" s="36">
        <v>41216</v>
      </c>
      <c r="B3086" s="122">
        <v>2.0659722222222222E-2</v>
      </c>
      <c r="C3086" s="26" t="s">
        <v>1597</v>
      </c>
    </row>
    <row r="3087" spans="1:3" x14ac:dyDescent="0.25">
      <c r="A3087" s="36">
        <v>41216</v>
      </c>
      <c r="B3087" s="122">
        <v>2.0821759259259259E-2</v>
      </c>
      <c r="C3087" s="26" t="s">
        <v>1598</v>
      </c>
    </row>
    <row r="3088" spans="1:3" x14ac:dyDescent="0.25">
      <c r="A3088" s="36">
        <v>41216</v>
      </c>
      <c r="B3088" s="122">
        <v>2.0925925925925928E-2</v>
      </c>
      <c r="C3088" s="26" t="s">
        <v>1599</v>
      </c>
    </row>
    <row r="3089" spans="1:3" x14ac:dyDescent="0.25">
      <c r="A3089" s="36">
        <v>41216</v>
      </c>
      <c r="B3089" s="122">
        <v>2.0925925925925928E-2</v>
      </c>
      <c r="C3089" s="26" t="s">
        <v>1600</v>
      </c>
    </row>
    <row r="3090" spans="1:3" x14ac:dyDescent="0.25">
      <c r="A3090" s="36">
        <v>41216</v>
      </c>
      <c r="B3090" s="122">
        <v>2.0949074074074075E-2</v>
      </c>
      <c r="C3090" s="26" t="s">
        <v>1577</v>
      </c>
    </row>
    <row r="3091" spans="1:3" x14ac:dyDescent="0.25">
      <c r="A3091" s="36">
        <v>41216</v>
      </c>
      <c r="B3091" s="122">
        <v>2.0972222222222222E-2</v>
      </c>
      <c r="C3091" s="26" t="s">
        <v>1601</v>
      </c>
    </row>
    <row r="3092" spans="1:3" x14ac:dyDescent="0.25">
      <c r="A3092" s="36">
        <v>41216</v>
      </c>
      <c r="B3092" s="122">
        <v>2.1006944444444443E-2</v>
      </c>
      <c r="C3092" s="26" t="s">
        <v>1173</v>
      </c>
    </row>
    <row r="3093" spans="1:3" x14ac:dyDescent="0.25">
      <c r="A3093" s="36">
        <v>41216</v>
      </c>
      <c r="B3093" s="122">
        <v>2.1041666666666667E-2</v>
      </c>
      <c r="C3093" s="26" t="s">
        <v>1587</v>
      </c>
    </row>
    <row r="3094" spans="1:3" x14ac:dyDescent="0.25">
      <c r="A3094" s="36">
        <v>41216</v>
      </c>
      <c r="B3094" s="122">
        <v>2.1041666666666667E-2</v>
      </c>
      <c r="C3094" s="26" t="s">
        <v>1588</v>
      </c>
    </row>
    <row r="3095" spans="1:3" x14ac:dyDescent="0.25">
      <c r="A3095" s="36">
        <v>41216</v>
      </c>
      <c r="B3095" s="122">
        <v>2.1076388888888891E-2</v>
      </c>
      <c r="C3095" s="26" t="s">
        <v>1602</v>
      </c>
    </row>
    <row r="3096" spans="1:3" x14ac:dyDescent="0.25">
      <c r="A3096" s="36">
        <v>41216</v>
      </c>
      <c r="B3096" s="122">
        <v>2.1076388888888891E-2</v>
      </c>
      <c r="C3096" s="26" t="s">
        <v>1603</v>
      </c>
    </row>
    <row r="3097" spans="1:3" x14ac:dyDescent="0.25">
      <c r="A3097" s="36">
        <v>41216</v>
      </c>
      <c r="B3097" s="122">
        <v>2.1145833333333332E-2</v>
      </c>
      <c r="C3097" s="26" t="s">
        <v>1184</v>
      </c>
    </row>
    <row r="3098" spans="1:3" x14ac:dyDescent="0.25">
      <c r="A3098" s="36">
        <v>41216</v>
      </c>
      <c r="B3098" s="122">
        <v>2.1215277777777777E-2</v>
      </c>
      <c r="C3098" s="26" t="s">
        <v>1181</v>
      </c>
    </row>
    <row r="3099" spans="1:3" x14ac:dyDescent="0.25">
      <c r="A3099" s="36">
        <v>41216</v>
      </c>
      <c r="B3099" s="122">
        <v>2.1284722222222222E-2</v>
      </c>
      <c r="C3099" s="26" t="s">
        <v>1604</v>
      </c>
    </row>
    <row r="3100" spans="1:3" x14ac:dyDescent="0.25">
      <c r="A3100" s="36">
        <v>41216</v>
      </c>
      <c r="B3100" s="122">
        <v>2.1284722222222222E-2</v>
      </c>
      <c r="C3100" s="26" t="s">
        <v>1605</v>
      </c>
    </row>
    <row r="3101" spans="1:3" x14ac:dyDescent="0.25">
      <c r="A3101" s="36">
        <v>41216</v>
      </c>
      <c r="B3101" s="122">
        <v>2.1284722222222222E-2</v>
      </c>
      <c r="C3101" s="26" t="s">
        <v>1606</v>
      </c>
    </row>
    <row r="3102" spans="1:3" x14ac:dyDescent="0.25">
      <c r="A3102" s="36">
        <v>41216</v>
      </c>
      <c r="B3102" s="122">
        <v>2.1284722222222222E-2</v>
      </c>
      <c r="C3102" s="26" t="s">
        <v>1607</v>
      </c>
    </row>
    <row r="3103" spans="1:3" x14ac:dyDescent="0.25">
      <c r="A3103" s="36">
        <v>41216</v>
      </c>
      <c r="B3103" s="122">
        <v>2.1284722222222222E-2</v>
      </c>
      <c r="C3103" s="26" t="s">
        <v>1608</v>
      </c>
    </row>
    <row r="3104" spans="1:3" x14ac:dyDescent="0.25">
      <c r="A3104" s="36">
        <v>41216</v>
      </c>
      <c r="B3104" s="122">
        <v>2.1435185185185186E-2</v>
      </c>
      <c r="C3104" s="26" t="s">
        <v>1604</v>
      </c>
    </row>
    <row r="3105" spans="1:3" x14ac:dyDescent="0.25">
      <c r="A3105" s="36">
        <v>41216</v>
      </c>
      <c r="B3105" s="122">
        <v>2.1435185185185186E-2</v>
      </c>
      <c r="C3105" s="26" t="s">
        <v>1605</v>
      </c>
    </row>
    <row r="3106" spans="1:3" x14ac:dyDescent="0.25">
      <c r="A3106" s="36">
        <v>41216</v>
      </c>
      <c r="B3106" s="122">
        <v>2.1435185185185186E-2</v>
      </c>
      <c r="C3106" s="26" t="s">
        <v>1606</v>
      </c>
    </row>
    <row r="3107" spans="1:3" x14ac:dyDescent="0.25">
      <c r="A3107" s="36">
        <v>41216</v>
      </c>
      <c r="B3107" s="122">
        <v>2.1435185185185186E-2</v>
      </c>
      <c r="C3107" s="26" t="s">
        <v>1607</v>
      </c>
    </row>
    <row r="3108" spans="1:3" x14ac:dyDescent="0.25">
      <c r="A3108" s="36">
        <v>41216</v>
      </c>
      <c r="B3108" s="122">
        <v>2.1435185185185186E-2</v>
      </c>
      <c r="C3108" s="26" t="s">
        <v>1608</v>
      </c>
    </row>
    <row r="3109" spans="1:3" x14ac:dyDescent="0.25">
      <c r="A3109" s="36">
        <v>41216</v>
      </c>
      <c r="B3109" s="122">
        <v>2.1516203703703704E-2</v>
      </c>
      <c r="C3109" s="26" t="s">
        <v>1609</v>
      </c>
    </row>
    <row r="3110" spans="1:3" x14ac:dyDescent="0.25">
      <c r="A3110" s="36">
        <v>41216</v>
      </c>
      <c r="B3110" s="122">
        <v>2.1516203703703704E-2</v>
      </c>
      <c r="C3110" s="26" t="s">
        <v>1610</v>
      </c>
    </row>
    <row r="3111" spans="1:3" x14ac:dyDescent="0.25">
      <c r="A3111" s="36">
        <v>41216</v>
      </c>
      <c r="B3111" s="122">
        <v>2.1562499999999998E-2</v>
      </c>
      <c r="C3111" s="26" t="s">
        <v>1611</v>
      </c>
    </row>
    <row r="3112" spans="1:3" x14ac:dyDescent="0.25">
      <c r="A3112" s="36">
        <v>41216</v>
      </c>
      <c r="B3112" s="122">
        <v>2.1562499999999998E-2</v>
      </c>
      <c r="C3112" s="26" t="s">
        <v>1186</v>
      </c>
    </row>
    <row r="3113" spans="1:3" x14ac:dyDescent="0.25">
      <c r="A3113" s="36">
        <v>41216</v>
      </c>
      <c r="B3113" s="122">
        <v>2.1562499999999998E-2</v>
      </c>
      <c r="C3113" s="26" t="s">
        <v>1187</v>
      </c>
    </row>
    <row r="3114" spans="1:3" x14ac:dyDescent="0.25">
      <c r="A3114" s="36">
        <v>41216</v>
      </c>
      <c r="B3114" s="122">
        <v>2.1712962962962962E-2</v>
      </c>
      <c r="C3114" s="26" t="s">
        <v>1593</v>
      </c>
    </row>
    <row r="3115" spans="1:3" x14ac:dyDescent="0.25">
      <c r="A3115" s="36">
        <v>41216</v>
      </c>
      <c r="B3115" s="122">
        <v>2.1712962962962962E-2</v>
      </c>
      <c r="C3115" s="26" t="s">
        <v>1594</v>
      </c>
    </row>
    <row r="3116" spans="1:3" x14ac:dyDescent="0.25">
      <c r="A3116" s="36">
        <v>41216</v>
      </c>
      <c r="B3116" s="122">
        <v>2.179398148148148E-2</v>
      </c>
      <c r="C3116" s="26" t="s">
        <v>1612</v>
      </c>
    </row>
    <row r="3117" spans="1:3" x14ac:dyDescent="0.25">
      <c r="A3117" s="36">
        <v>41216</v>
      </c>
      <c r="B3117" s="122">
        <v>2.179398148148148E-2</v>
      </c>
      <c r="C3117" s="26" t="s">
        <v>1613</v>
      </c>
    </row>
    <row r="3118" spans="1:3" x14ac:dyDescent="0.25">
      <c r="A3118" s="36">
        <v>41216</v>
      </c>
      <c r="B3118" s="122">
        <v>2.1840277777777778E-2</v>
      </c>
      <c r="C3118" s="26" t="s">
        <v>1602</v>
      </c>
    </row>
    <row r="3119" spans="1:3" x14ac:dyDescent="0.25">
      <c r="A3119" s="36">
        <v>41216</v>
      </c>
      <c r="B3119" s="122">
        <v>2.1840277777777778E-2</v>
      </c>
      <c r="C3119" s="26" t="s">
        <v>1603</v>
      </c>
    </row>
    <row r="3120" spans="1:3" x14ac:dyDescent="0.25">
      <c r="A3120" s="36">
        <v>41216</v>
      </c>
      <c r="B3120" s="122">
        <v>2.1875000000000002E-2</v>
      </c>
      <c r="C3120" s="26" t="s">
        <v>1614</v>
      </c>
    </row>
    <row r="3121" spans="1:3" x14ac:dyDescent="0.25">
      <c r="A3121" s="36">
        <v>41216</v>
      </c>
      <c r="B3121" s="122">
        <v>2.1875000000000002E-2</v>
      </c>
      <c r="C3121" s="26" t="s">
        <v>1615</v>
      </c>
    </row>
    <row r="3122" spans="1:3" x14ac:dyDescent="0.25">
      <c r="A3122" s="36">
        <v>41216</v>
      </c>
      <c r="B3122" s="122">
        <v>2.1875000000000002E-2</v>
      </c>
      <c r="C3122" s="26" t="s">
        <v>1616</v>
      </c>
    </row>
    <row r="3123" spans="1:3" x14ac:dyDescent="0.25">
      <c r="A3123" s="36">
        <v>41216</v>
      </c>
      <c r="B3123" s="122">
        <v>2.1875000000000002E-2</v>
      </c>
      <c r="C3123" s="26" t="s">
        <v>1617</v>
      </c>
    </row>
    <row r="3124" spans="1:3" x14ac:dyDescent="0.25">
      <c r="A3124" s="36">
        <v>41216</v>
      </c>
      <c r="B3124" s="122">
        <v>2.1921296296296296E-2</v>
      </c>
      <c r="C3124" s="26" t="s">
        <v>1602</v>
      </c>
    </row>
    <row r="3125" spans="1:3" x14ac:dyDescent="0.25">
      <c r="A3125" s="36">
        <v>41216</v>
      </c>
      <c r="B3125" s="122">
        <v>2.1921296296296296E-2</v>
      </c>
      <c r="C3125" s="26" t="s">
        <v>1603</v>
      </c>
    </row>
    <row r="3126" spans="1:3" x14ac:dyDescent="0.25">
      <c r="A3126" s="36">
        <v>41216</v>
      </c>
      <c r="B3126" s="122">
        <v>2.2060185185185183E-2</v>
      </c>
      <c r="C3126" s="26" t="s">
        <v>1618</v>
      </c>
    </row>
    <row r="3127" spans="1:3" x14ac:dyDescent="0.25">
      <c r="A3127" s="36">
        <v>41216</v>
      </c>
      <c r="B3127" s="122">
        <v>2.210648148148148E-2</v>
      </c>
      <c r="C3127" s="26" t="s">
        <v>1619</v>
      </c>
    </row>
    <row r="3128" spans="1:3" x14ac:dyDescent="0.25">
      <c r="A3128" s="36">
        <v>41216</v>
      </c>
      <c r="B3128" s="122">
        <v>2.2129629629629628E-2</v>
      </c>
      <c r="C3128" s="26" t="s">
        <v>1620</v>
      </c>
    </row>
    <row r="3129" spans="1:3" x14ac:dyDescent="0.25">
      <c r="A3129" s="36">
        <v>41216</v>
      </c>
      <c r="B3129" s="122">
        <v>2.2199074074074076E-2</v>
      </c>
      <c r="C3129" s="26" t="s">
        <v>1710</v>
      </c>
    </row>
    <row r="3130" spans="1:3" x14ac:dyDescent="0.25">
      <c r="A3130" s="36">
        <v>41216</v>
      </c>
      <c r="B3130" s="122">
        <v>4.7071759259259265E-2</v>
      </c>
      <c r="C3130" s="26" t="s">
        <v>1711</v>
      </c>
    </row>
    <row r="3131" spans="1:3" x14ac:dyDescent="0.25">
      <c r="A3131" s="36">
        <v>41216</v>
      </c>
      <c r="B3131" s="122">
        <v>4.7511574074074074E-2</v>
      </c>
      <c r="C3131" s="26" t="s">
        <v>1712</v>
      </c>
    </row>
    <row r="3132" spans="1:3" x14ac:dyDescent="0.25">
      <c r="A3132" s="36">
        <v>41216</v>
      </c>
      <c r="B3132" s="122">
        <v>4.8159722222222222E-2</v>
      </c>
      <c r="C3132" s="26" t="s">
        <v>992</v>
      </c>
    </row>
    <row r="3133" spans="1:3" x14ac:dyDescent="0.25">
      <c r="A3133" s="36">
        <v>41216</v>
      </c>
      <c r="B3133" s="122">
        <v>4.8159722222222222E-2</v>
      </c>
      <c r="C3133" s="26" t="s">
        <v>1084</v>
      </c>
    </row>
    <row r="3134" spans="1:3" x14ac:dyDescent="0.25">
      <c r="A3134" s="36">
        <v>41216</v>
      </c>
      <c r="B3134" s="122">
        <v>4.8159722222222222E-2</v>
      </c>
      <c r="C3134" s="26" t="s">
        <v>1085</v>
      </c>
    </row>
    <row r="3135" spans="1:3" x14ac:dyDescent="0.25">
      <c r="A3135" s="36">
        <v>41216</v>
      </c>
      <c r="B3135" s="122">
        <v>4.8159722222222222E-2</v>
      </c>
      <c r="C3135" s="26" t="s">
        <v>1086</v>
      </c>
    </row>
    <row r="3136" spans="1:3" x14ac:dyDescent="0.25">
      <c r="A3136" s="36">
        <v>41216</v>
      </c>
      <c r="B3136" s="122">
        <v>4.8159722222222222E-2</v>
      </c>
      <c r="C3136" s="26" t="s">
        <v>1085</v>
      </c>
    </row>
    <row r="3137" spans="1:3" x14ac:dyDescent="0.25">
      <c r="A3137" s="36">
        <v>41216</v>
      </c>
      <c r="B3137" s="122">
        <v>4.8159722222222222E-2</v>
      </c>
      <c r="C3137" s="26" t="s">
        <v>1087</v>
      </c>
    </row>
    <row r="3138" spans="1:3" x14ac:dyDescent="0.25">
      <c r="A3138" s="36">
        <v>41216</v>
      </c>
      <c r="B3138" s="122">
        <v>4.8159722222222222E-2</v>
      </c>
      <c r="C3138" s="26" t="s">
        <v>1088</v>
      </c>
    </row>
    <row r="3139" spans="1:3" x14ac:dyDescent="0.25">
      <c r="A3139" s="36">
        <v>41216</v>
      </c>
      <c r="B3139" s="122">
        <v>4.8159722222222222E-2</v>
      </c>
      <c r="C3139" s="26" t="s">
        <v>1088</v>
      </c>
    </row>
    <row r="3140" spans="1:3" x14ac:dyDescent="0.25">
      <c r="A3140" s="36">
        <v>41216</v>
      </c>
      <c r="B3140" s="122">
        <v>4.8159722222222222E-2</v>
      </c>
      <c r="C3140" s="26" t="s">
        <v>1092</v>
      </c>
    </row>
    <row r="3141" spans="1:3" x14ac:dyDescent="0.25">
      <c r="A3141" s="36">
        <v>41216</v>
      </c>
      <c r="B3141" s="122">
        <v>4.8159722222222222E-2</v>
      </c>
      <c r="C3141" s="26" t="s">
        <v>1562</v>
      </c>
    </row>
    <row r="3142" spans="1:3" x14ac:dyDescent="0.25">
      <c r="A3142" s="36">
        <v>41216</v>
      </c>
      <c r="B3142" s="122">
        <v>4.836805555555556E-2</v>
      </c>
      <c r="C3142" s="26" t="s">
        <v>1706</v>
      </c>
    </row>
    <row r="3143" spans="1:3" x14ac:dyDescent="0.25">
      <c r="A3143" s="36">
        <v>41216</v>
      </c>
      <c r="B3143" s="122">
        <v>4.836805555555556E-2</v>
      </c>
      <c r="C3143" s="26" t="s">
        <v>1708</v>
      </c>
    </row>
    <row r="3144" spans="1:3" x14ac:dyDescent="0.25">
      <c r="A3144" s="36">
        <v>41216</v>
      </c>
      <c r="B3144" s="122">
        <v>4.8599537037037038E-2</v>
      </c>
      <c r="C3144" s="26" t="s">
        <v>1569</v>
      </c>
    </row>
    <row r="3145" spans="1:3" x14ac:dyDescent="0.25">
      <c r="A3145" s="36">
        <v>41216</v>
      </c>
      <c r="B3145" s="122">
        <v>4.8657407407407406E-2</v>
      </c>
      <c r="C3145" s="26" t="s">
        <v>1184</v>
      </c>
    </row>
    <row r="3146" spans="1:3" x14ac:dyDescent="0.25">
      <c r="A3146" s="36">
        <v>41216</v>
      </c>
      <c r="B3146" s="122">
        <v>4.8773148148148149E-2</v>
      </c>
      <c r="C3146" s="26" t="s">
        <v>1209</v>
      </c>
    </row>
    <row r="3147" spans="1:3" x14ac:dyDescent="0.25">
      <c r="A3147" s="36">
        <v>41216</v>
      </c>
      <c r="B3147" s="122">
        <v>4.8773148148148149E-2</v>
      </c>
      <c r="C3147" s="26" t="s">
        <v>1185</v>
      </c>
    </row>
    <row r="3148" spans="1:3" x14ac:dyDescent="0.25">
      <c r="A3148" s="36">
        <v>41216</v>
      </c>
      <c r="B3148" s="122">
        <v>4.8831018518518517E-2</v>
      </c>
      <c r="C3148" s="26" t="s">
        <v>1577</v>
      </c>
    </row>
    <row r="3149" spans="1:3" x14ac:dyDescent="0.25">
      <c r="A3149" s="36">
        <v>41216</v>
      </c>
      <c r="B3149" s="122">
        <v>4.8854166666666664E-2</v>
      </c>
      <c r="C3149" s="26" t="s">
        <v>1170</v>
      </c>
    </row>
    <row r="3150" spans="1:3" x14ac:dyDescent="0.25">
      <c r="A3150" s="36">
        <v>41216</v>
      </c>
      <c r="B3150" s="122">
        <v>4.8877314814814811E-2</v>
      </c>
      <c r="C3150" s="26" t="s">
        <v>1578</v>
      </c>
    </row>
    <row r="3151" spans="1:3" x14ac:dyDescent="0.25">
      <c r="A3151" s="36">
        <v>41216</v>
      </c>
      <c r="B3151" s="122">
        <v>4.8900462962962965E-2</v>
      </c>
      <c r="C3151" s="26" t="s">
        <v>1190</v>
      </c>
    </row>
    <row r="3152" spans="1:3" x14ac:dyDescent="0.25">
      <c r="A3152" s="36">
        <v>41216</v>
      </c>
      <c r="B3152" s="122">
        <v>4.8900462962962965E-2</v>
      </c>
      <c r="C3152" s="26" t="s">
        <v>1191</v>
      </c>
    </row>
    <row r="3153" spans="1:3" x14ac:dyDescent="0.25">
      <c r="A3153" s="36">
        <v>41216</v>
      </c>
      <c r="B3153" s="122">
        <v>4.8923611111111105E-2</v>
      </c>
      <c r="C3153" s="26" t="s">
        <v>1193</v>
      </c>
    </row>
    <row r="3154" spans="1:3" x14ac:dyDescent="0.25">
      <c r="A3154" s="36">
        <v>41216</v>
      </c>
      <c r="B3154" s="122">
        <v>4.8946759259259259E-2</v>
      </c>
      <c r="C3154" s="26" t="s">
        <v>1579</v>
      </c>
    </row>
    <row r="3155" spans="1:3" x14ac:dyDescent="0.25">
      <c r="A3155" s="36">
        <v>41216</v>
      </c>
      <c r="B3155" s="122">
        <v>4.8946759259259259E-2</v>
      </c>
      <c r="C3155" s="26" t="s">
        <v>1580</v>
      </c>
    </row>
    <row r="3156" spans="1:3" x14ac:dyDescent="0.25">
      <c r="A3156" s="36">
        <v>41216</v>
      </c>
      <c r="B3156" s="122">
        <v>4.8969907407407413E-2</v>
      </c>
      <c r="C3156" s="26" t="s">
        <v>1708</v>
      </c>
    </row>
    <row r="3157" spans="1:3" x14ac:dyDescent="0.25">
      <c r="A3157" s="36">
        <v>41216</v>
      </c>
      <c r="B3157" s="122">
        <v>4.8993055555555554E-2</v>
      </c>
      <c r="C3157" s="26" t="s">
        <v>1581</v>
      </c>
    </row>
    <row r="3158" spans="1:3" x14ac:dyDescent="0.25">
      <c r="A3158" s="36">
        <v>41216</v>
      </c>
      <c r="B3158" s="122">
        <v>4.9039351851851855E-2</v>
      </c>
      <c r="C3158" s="26" t="s">
        <v>1582</v>
      </c>
    </row>
    <row r="3159" spans="1:3" x14ac:dyDescent="0.25">
      <c r="A3159" s="36">
        <v>41216</v>
      </c>
      <c r="B3159" s="122">
        <v>4.9062500000000002E-2</v>
      </c>
      <c r="C3159" s="26" t="s">
        <v>1583</v>
      </c>
    </row>
    <row r="3160" spans="1:3" x14ac:dyDescent="0.25">
      <c r="A3160" s="36">
        <v>41216</v>
      </c>
      <c r="B3160" s="122">
        <v>4.9085648148148149E-2</v>
      </c>
      <c r="C3160" s="26" t="s">
        <v>1584</v>
      </c>
    </row>
    <row r="3161" spans="1:3" x14ac:dyDescent="0.25">
      <c r="A3161" s="36">
        <v>41216</v>
      </c>
      <c r="B3161" s="122">
        <v>4.9097222222222216E-2</v>
      </c>
      <c r="C3161" s="26" t="s">
        <v>1585</v>
      </c>
    </row>
    <row r="3162" spans="1:3" x14ac:dyDescent="0.25">
      <c r="A3162" s="36">
        <v>41216</v>
      </c>
      <c r="B3162" s="122">
        <v>4.9097222222222216E-2</v>
      </c>
      <c r="C3162" s="26" t="s">
        <v>1586</v>
      </c>
    </row>
    <row r="3163" spans="1:3" x14ac:dyDescent="0.25">
      <c r="A3163" s="36">
        <v>41216</v>
      </c>
      <c r="B3163" s="122">
        <v>4.9108796296296296E-2</v>
      </c>
      <c r="C3163" s="26" t="s">
        <v>1587</v>
      </c>
    </row>
    <row r="3164" spans="1:3" x14ac:dyDescent="0.25">
      <c r="A3164" s="36">
        <v>41216</v>
      </c>
      <c r="B3164" s="122">
        <v>4.9108796296296296E-2</v>
      </c>
      <c r="C3164" s="26" t="s">
        <v>1588</v>
      </c>
    </row>
    <row r="3165" spans="1:3" x14ac:dyDescent="0.25">
      <c r="A3165" s="36">
        <v>41216</v>
      </c>
      <c r="B3165" s="122">
        <v>4.9131944444444443E-2</v>
      </c>
      <c r="C3165" s="26" t="s">
        <v>1190</v>
      </c>
    </row>
    <row r="3166" spans="1:3" x14ac:dyDescent="0.25">
      <c r="A3166" s="36">
        <v>41216</v>
      </c>
      <c r="B3166" s="122">
        <v>4.9131944444444443E-2</v>
      </c>
      <c r="C3166" s="26" t="s">
        <v>1191</v>
      </c>
    </row>
    <row r="3167" spans="1:3" x14ac:dyDescent="0.25">
      <c r="A3167" s="36">
        <v>41216</v>
      </c>
      <c r="B3167" s="122">
        <v>4.9155092592592597E-2</v>
      </c>
      <c r="C3167" s="26" t="s">
        <v>1589</v>
      </c>
    </row>
    <row r="3168" spans="1:3" x14ac:dyDescent="0.25">
      <c r="A3168" s="36">
        <v>41216</v>
      </c>
      <c r="B3168" s="122">
        <v>4.9155092592592597E-2</v>
      </c>
      <c r="C3168" s="26" t="s">
        <v>1590</v>
      </c>
    </row>
    <row r="3169" spans="1:3" x14ac:dyDescent="0.25">
      <c r="A3169" s="36">
        <v>41216</v>
      </c>
      <c r="B3169" s="122">
        <v>4.9155092592592597E-2</v>
      </c>
      <c r="C3169" s="26" t="s">
        <v>1591</v>
      </c>
    </row>
    <row r="3170" spans="1:3" x14ac:dyDescent="0.25">
      <c r="A3170" s="36">
        <v>41216</v>
      </c>
      <c r="B3170" s="122">
        <v>4.9178240740740738E-2</v>
      </c>
      <c r="C3170" s="26" t="s">
        <v>1592</v>
      </c>
    </row>
    <row r="3171" spans="1:3" x14ac:dyDescent="0.25">
      <c r="A3171" s="36">
        <v>41216</v>
      </c>
      <c r="B3171" s="122">
        <v>4.9178240740740738E-2</v>
      </c>
      <c r="C3171" s="26" t="s">
        <v>1589</v>
      </c>
    </row>
    <row r="3172" spans="1:3" x14ac:dyDescent="0.25">
      <c r="A3172" s="36">
        <v>41216</v>
      </c>
      <c r="B3172" s="122">
        <v>4.9178240740740738E-2</v>
      </c>
      <c r="C3172" s="26" t="s">
        <v>1590</v>
      </c>
    </row>
    <row r="3173" spans="1:3" x14ac:dyDescent="0.25">
      <c r="A3173" s="36">
        <v>41216</v>
      </c>
      <c r="B3173" s="122">
        <v>4.9178240740740738E-2</v>
      </c>
      <c r="C3173" s="26" t="s">
        <v>1591</v>
      </c>
    </row>
    <row r="3174" spans="1:3" x14ac:dyDescent="0.25">
      <c r="A3174" s="36">
        <v>41216</v>
      </c>
      <c r="B3174" s="122">
        <v>4.9201388888888892E-2</v>
      </c>
      <c r="C3174" s="26" t="s">
        <v>1593</v>
      </c>
    </row>
    <row r="3175" spans="1:3" x14ac:dyDescent="0.25">
      <c r="A3175" s="36">
        <v>41216</v>
      </c>
      <c r="B3175" s="122">
        <v>4.9201388888888892E-2</v>
      </c>
      <c r="C3175" s="26" t="s">
        <v>1594</v>
      </c>
    </row>
    <row r="3176" spans="1:3" x14ac:dyDescent="0.25">
      <c r="A3176" s="36">
        <v>41216</v>
      </c>
      <c r="B3176" s="122">
        <v>4.9247685185185186E-2</v>
      </c>
      <c r="C3176" s="26" t="s">
        <v>1190</v>
      </c>
    </row>
    <row r="3177" spans="1:3" x14ac:dyDescent="0.25">
      <c r="A3177" s="36">
        <v>41216</v>
      </c>
      <c r="B3177" s="122">
        <v>4.9247685185185186E-2</v>
      </c>
      <c r="C3177" s="26" t="s">
        <v>1191</v>
      </c>
    </row>
    <row r="3178" spans="1:3" x14ac:dyDescent="0.25">
      <c r="A3178" s="36">
        <v>41216</v>
      </c>
      <c r="B3178" s="122">
        <v>4.927083333333334E-2</v>
      </c>
      <c r="C3178" s="26" t="s">
        <v>1595</v>
      </c>
    </row>
    <row r="3179" spans="1:3" x14ac:dyDescent="0.25">
      <c r="A3179" s="36">
        <v>41216</v>
      </c>
      <c r="B3179" s="122">
        <v>4.927083333333334E-2</v>
      </c>
      <c r="C3179" s="26" t="s">
        <v>1596</v>
      </c>
    </row>
    <row r="3180" spans="1:3" x14ac:dyDescent="0.25">
      <c r="A3180" s="36">
        <v>41216</v>
      </c>
      <c r="B3180" s="122">
        <v>4.927083333333334E-2</v>
      </c>
      <c r="C3180" s="26" t="s">
        <v>1597</v>
      </c>
    </row>
    <row r="3181" spans="1:3" x14ac:dyDescent="0.25">
      <c r="A3181" s="36">
        <v>41216</v>
      </c>
      <c r="B3181" s="122">
        <v>4.9305555555555554E-2</v>
      </c>
      <c r="C3181" s="26" t="s">
        <v>1598</v>
      </c>
    </row>
    <row r="3182" spans="1:3" x14ac:dyDescent="0.25">
      <c r="A3182" s="36">
        <v>41216</v>
      </c>
      <c r="B3182" s="122">
        <v>4.9340277777777775E-2</v>
      </c>
      <c r="C3182" s="26" t="s">
        <v>1599</v>
      </c>
    </row>
    <row r="3183" spans="1:3" x14ac:dyDescent="0.25">
      <c r="A3183" s="36">
        <v>41216</v>
      </c>
      <c r="B3183" s="122">
        <v>4.9340277777777775E-2</v>
      </c>
      <c r="C3183" s="26" t="s">
        <v>1600</v>
      </c>
    </row>
    <row r="3184" spans="1:3" x14ac:dyDescent="0.25">
      <c r="A3184" s="36">
        <v>41216</v>
      </c>
      <c r="B3184" s="122">
        <v>4.9363425925925929E-2</v>
      </c>
      <c r="C3184" s="26" t="s">
        <v>1577</v>
      </c>
    </row>
    <row r="3185" spans="1:3" x14ac:dyDescent="0.25">
      <c r="A3185" s="36">
        <v>41216</v>
      </c>
      <c r="B3185" s="122">
        <v>4.9375000000000002E-2</v>
      </c>
      <c r="C3185" s="26" t="s">
        <v>1601</v>
      </c>
    </row>
    <row r="3186" spans="1:3" x14ac:dyDescent="0.25">
      <c r="A3186" s="36">
        <v>41216</v>
      </c>
      <c r="B3186" s="122">
        <v>4.9398148148148142E-2</v>
      </c>
      <c r="C3186" s="26" t="s">
        <v>1173</v>
      </c>
    </row>
    <row r="3187" spans="1:3" x14ac:dyDescent="0.25">
      <c r="A3187" s="36">
        <v>41216</v>
      </c>
      <c r="B3187" s="122">
        <v>4.943287037037037E-2</v>
      </c>
      <c r="C3187" s="26" t="s">
        <v>1587</v>
      </c>
    </row>
    <row r="3188" spans="1:3" x14ac:dyDescent="0.25">
      <c r="A3188" s="36">
        <v>41216</v>
      </c>
      <c r="B3188" s="122">
        <v>4.943287037037037E-2</v>
      </c>
      <c r="C3188" s="26" t="s">
        <v>1588</v>
      </c>
    </row>
    <row r="3189" spans="1:3" x14ac:dyDescent="0.25">
      <c r="A3189" s="36">
        <v>41216</v>
      </c>
      <c r="B3189" s="122">
        <v>4.9444444444444437E-2</v>
      </c>
      <c r="C3189" s="26" t="s">
        <v>1602</v>
      </c>
    </row>
    <row r="3190" spans="1:3" x14ac:dyDescent="0.25">
      <c r="A3190" s="36">
        <v>41216</v>
      </c>
      <c r="B3190" s="122">
        <v>4.9444444444444437E-2</v>
      </c>
      <c r="C3190" s="26" t="s">
        <v>1603</v>
      </c>
    </row>
    <row r="3191" spans="1:3" x14ac:dyDescent="0.25">
      <c r="A3191" s="36">
        <v>41216</v>
      </c>
      <c r="B3191" s="122">
        <v>4.9467592592592591E-2</v>
      </c>
      <c r="C3191" s="26" t="s">
        <v>1184</v>
      </c>
    </row>
    <row r="3192" spans="1:3" x14ac:dyDescent="0.25">
      <c r="A3192" s="36">
        <v>41216</v>
      </c>
      <c r="B3192" s="122">
        <v>4.9490740740740745E-2</v>
      </c>
      <c r="C3192" s="26" t="s">
        <v>1181</v>
      </c>
    </row>
    <row r="3193" spans="1:3" x14ac:dyDescent="0.25">
      <c r="A3193" s="36">
        <v>41216</v>
      </c>
      <c r="B3193" s="122">
        <v>4.9502314814814818E-2</v>
      </c>
      <c r="C3193" s="26" t="s">
        <v>1604</v>
      </c>
    </row>
    <row r="3194" spans="1:3" x14ac:dyDescent="0.25">
      <c r="A3194" s="36">
        <v>41216</v>
      </c>
      <c r="B3194" s="122">
        <v>4.9502314814814818E-2</v>
      </c>
      <c r="C3194" s="26" t="s">
        <v>1605</v>
      </c>
    </row>
    <row r="3195" spans="1:3" x14ac:dyDescent="0.25">
      <c r="A3195" s="36">
        <v>41216</v>
      </c>
      <c r="B3195" s="122">
        <v>4.9502314814814818E-2</v>
      </c>
      <c r="C3195" s="26" t="s">
        <v>1606</v>
      </c>
    </row>
    <row r="3196" spans="1:3" x14ac:dyDescent="0.25">
      <c r="A3196" s="36">
        <v>41216</v>
      </c>
      <c r="B3196" s="122">
        <v>4.9502314814814818E-2</v>
      </c>
      <c r="C3196" s="26" t="s">
        <v>1607</v>
      </c>
    </row>
    <row r="3197" spans="1:3" x14ac:dyDescent="0.25">
      <c r="A3197" s="36">
        <v>41216</v>
      </c>
      <c r="B3197" s="122">
        <v>4.9502314814814818E-2</v>
      </c>
      <c r="C3197" s="26" t="s">
        <v>1608</v>
      </c>
    </row>
    <row r="3198" spans="1:3" x14ac:dyDescent="0.25">
      <c r="A3198" s="36">
        <v>41216</v>
      </c>
      <c r="B3198" s="122">
        <v>4.9525462962962959E-2</v>
      </c>
      <c r="C3198" s="26" t="s">
        <v>1604</v>
      </c>
    </row>
    <row r="3199" spans="1:3" x14ac:dyDescent="0.25">
      <c r="A3199" s="36">
        <v>41216</v>
      </c>
      <c r="B3199" s="122">
        <v>4.9525462962962959E-2</v>
      </c>
      <c r="C3199" s="26" t="s">
        <v>1605</v>
      </c>
    </row>
    <row r="3200" spans="1:3" x14ac:dyDescent="0.25">
      <c r="A3200" s="36">
        <v>41216</v>
      </c>
      <c r="B3200" s="122">
        <v>4.9525462962962959E-2</v>
      </c>
      <c r="C3200" s="26" t="s">
        <v>1606</v>
      </c>
    </row>
    <row r="3201" spans="1:3" x14ac:dyDescent="0.25">
      <c r="A3201" s="36">
        <v>41216</v>
      </c>
      <c r="B3201" s="122">
        <v>4.9525462962962959E-2</v>
      </c>
      <c r="C3201" s="26" t="s">
        <v>1607</v>
      </c>
    </row>
    <row r="3202" spans="1:3" x14ac:dyDescent="0.25">
      <c r="A3202" s="36">
        <v>41216</v>
      </c>
      <c r="B3202" s="122">
        <v>4.9525462962962959E-2</v>
      </c>
      <c r="C3202" s="26" t="s">
        <v>1608</v>
      </c>
    </row>
    <row r="3203" spans="1:3" x14ac:dyDescent="0.25">
      <c r="A3203" s="36">
        <v>41216</v>
      </c>
      <c r="B3203" s="122">
        <v>4.9548611111111113E-2</v>
      </c>
      <c r="C3203" s="26" t="s">
        <v>1609</v>
      </c>
    </row>
    <row r="3204" spans="1:3" x14ac:dyDescent="0.25">
      <c r="A3204" s="36">
        <v>41216</v>
      </c>
      <c r="B3204" s="122">
        <v>4.9548611111111113E-2</v>
      </c>
      <c r="C3204" s="26" t="s">
        <v>1610</v>
      </c>
    </row>
    <row r="3205" spans="1:3" x14ac:dyDescent="0.25">
      <c r="A3205" s="36">
        <v>41216</v>
      </c>
      <c r="B3205" s="122">
        <v>4.9560185185185186E-2</v>
      </c>
      <c r="C3205" s="26" t="s">
        <v>1611</v>
      </c>
    </row>
    <row r="3206" spans="1:3" x14ac:dyDescent="0.25">
      <c r="A3206" s="36">
        <v>41216</v>
      </c>
      <c r="B3206" s="122">
        <v>4.9560185185185186E-2</v>
      </c>
      <c r="C3206" s="26" t="s">
        <v>1186</v>
      </c>
    </row>
    <row r="3207" spans="1:3" x14ac:dyDescent="0.25">
      <c r="A3207" s="36">
        <v>41216</v>
      </c>
      <c r="B3207" s="122">
        <v>4.9560185185185186E-2</v>
      </c>
      <c r="C3207" s="26" t="s">
        <v>1187</v>
      </c>
    </row>
    <row r="3208" spans="1:3" x14ac:dyDescent="0.25">
      <c r="A3208" s="36">
        <v>41216</v>
      </c>
      <c r="B3208" s="122">
        <v>4.9583333333333333E-2</v>
      </c>
      <c r="C3208" s="26" t="s">
        <v>1593</v>
      </c>
    </row>
    <row r="3209" spans="1:3" x14ac:dyDescent="0.25">
      <c r="A3209" s="36">
        <v>41216</v>
      </c>
      <c r="B3209" s="122">
        <v>4.9583333333333333E-2</v>
      </c>
      <c r="C3209" s="26" t="s">
        <v>1594</v>
      </c>
    </row>
    <row r="3210" spans="1:3" x14ac:dyDescent="0.25">
      <c r="A3210" s="36">
        <v>41216</v>
      </c>
      <c r="B3210" s="122">
        <v>4.9641203703703701E-2</v>
      </c>
      <c r="C3210" s="26" t="s">
        <v>1612</v>
      </c>
    </row>
    <row r="3211" spans="1:3" x14ac:dyDescent="0.25">
      <c r="A3211" s="36">
        <v>41216</v>
      </c>
      <c r="B3211" s="122">
        <v>4.9641203703703701E-2</v>
      </c>
      <c r="C3211" s="26" t="s">
        <v>1613</v>
      </c>
    </row>
    <row r="3212" spans="1:3" x14ac:dyDescent="0.25">
      <c r="A3212" s="36">
        <v>41216</v>
      </c>
      <c r="B3212" s="122">
        <v>4.9675925925925929E-2</v>
      </c>
      <c r="C3212" s="26" t="s">
        <v>1602</v>
      </c>
    </row>
    <row r="3213" spans="1:3" x14ac:dyDescent="0.25">
      <c r="A3213" s="36">
        <v>41216</v>
      </c>
      <c r="B3213" s="122">
        <v>4.9675925925925929E-2</v>
      </c>
      <c r="C3213" s="26" t="s">
        <v>1603</v>
      </c>
    </row>
    <row r="3214" spans="1:3" x14ac:dyDescent="0.25">
      <c r="A3214" s="36">
        <v>41216</v>
      </c>
      <c r="B3214" s="122">
        <v>4.971064814814815E-2</v>
      </c>
      <c r="C3214" s="26" t="s">
        <v>1614</v>
      </c>
    </row>
    <row r="3215" spans="1:3" x14ac:dyDescent="0.25">
      <c r="A3215" s="36">
        <v>41216</v>
      </c>
      <c r="B3215" s="122">
        <v>4.971064814814815E-2</v>
      </c>
      <c r="C3215" s="26" t="s">
        <v>1615</v>
      </c>
    </row>
    <row r="3216" spans="1:3" x14ac:dyDescent="0.25">
      <c r="A3216" s="36">
        <v>41216</v>
      </c>
      <c r="B3216" s="122">
        <v>4.971064814814815E-2</v>
      </c>
      <c r="C3216" s="26" t="s">
        <v>1616</v>
      </c>
    </row>
    <row r="3217" spans="1:3" x14ac:dyDescent="0.25">
      <c r="A3217" s="36">
        <v>41216</v>
      </c>
      <c r="B3217" s="122">
        <v>4.971064814814815E-2</v>
      </c>
      <c r="C3217" s="26" t="s">
        <v>1617</v>
      </c>
    </row>
    <row r="3218" spans="1:3" x14ac:dyDescent="0.25">
      <c r="A3218" s="36">
        <v>41216</v>
      </c>
      <c r="B3218" s="122">
        <v>4.9722222222222223E-2</v>
      </c>
      <c r="C3218" s="26" t="s">
        <v>1602</v>
      </c>
    </row>
    <row r="3219" spans="1:3" x14ac:dyDescent="0.25">
      <c r="A3219" s="36">
        <v>41216</v>
      </c>
      <c r="B3219" s="122">
        <v>4.9722222222222223E-2</v>
      </c>
      <c r="C3219" s="26" t="s">
        <v>1603</v>
      </c>
    </row>
    <row r="3220" spans="1:3" x14ac:dyDescent="0.25">
      <c r="A3220" s="36">
        <v>41216</v>
      </c>
      <c r="B3220" s="122">
        <v>4.9745370370370377E-2</v>
      </c>
      <c r="C3220" s="26" t="s">
        <v>1618</v>
      </c>
    </row>
    <row r="3221" spans="1:3" x14ac:dyDescent="0.25">
      <c r="A3221" s="36">
        <v>41216</v>
      </c>
      <c r="B3221" s="122">
        <v>4.9768518518518517E-2</v>
      </c>
      <c r="C3221" s="26" t="s">
        <v>1619</v>
      </c>
    </row>
    <row r="3222" spans="1:3" x14ac:dyDescent="0.25">
      <c r="A3222" s="36">
        <v>41216</v>
      </c>
      <c r="B3222" s="122">
        <v>4.9791666666666672E-2</v>
      </c>
      <c r="C3222" s="26" t="s">
        <v>1620</v>
      </c>
    </row>
    <row r="3223" spans="1:3" x14ac:dyDescent="0.25">
      <c r="A3223" s="36">
        <v>41216</v>
      </c>
      <c r="B3223" s="122">
        <v>4.9814814814814812E-2</v>
      </c>
      <c r="C3223" s="26" t="s">
        <v>1621</v>
      </c>
    </row>
    <row r="3224" spans="1:3" x14ac:dyDescent="0.25">
      <c r="A3224" s="36">
        <v>41216</v>
      </c>
      <c r="B3224" s="122">
        <v>4.9814814814814812E-2</v>
      </c>
      <c r="C3224" s="26" t="s">
        <v>1622</v>
      </c>
    </row>
    <row r="3225" spans="1:3" x14ac:dyDescent="0.25">
      <c r="A3225" s="36">
        <v>41216</v>
      </c>
      <c r="B3225" s="122">
        <v>4.9814814814814812E-2</v>
      </c>
      <c r="C3225" s="26" t="s">
        <v>1623</v>
      </c>
    </row>
    <row r="3226" spans="1:3" x14ac:dyDescent="0.25">
      <c r="A3226" s="36">
        <v>41216</v>
      </c>
      <c r="B3226" s="122">
        <v>4.9942129629629628E-2</v>
      </c>
      <c r="C3226" s="26" t="s">
        <v>1621</v>
      </c>
    </row>
    <row r="3227" spans="1:3" x14ac:dyDescent="0.25">
      <c r="A3227" s="36">
        <v>41216</v>
      </c>
      <c r="B3227" s="122">
        <v>4.9942129629629628E-2</v>
      </c>
      <c r="C3227" s="26" t="s">
        <v>1622</v>
      </c>
    </row>
    <row r="3228" spans="1:3" x14ac:dyDescent="0.25">
      <c r="A3228" s="36">
        <v>41216</v>
      </c>
      <c r="B3228" s="122">
        <v>4.9942129629629628E-2</v>
      </c>
      <c r="C3228" s="26" t="s">
        <v>1623</v>
      </c>
    </row>
    <row r="3229" spans="1:3" x14ac:dyDescent="0.25">
      <c r="A3229" s="36">
        <v>41217</v>
      </c>
      <c r="B3229" s="122">
        <v>0.62898148148148147</v>
      </c>
      <c r="C3229" s="26" t="s">
        <v>1713</v>
      </c>
    </row>
    <row r="3230" spans="1:3" x14ac:dyDescent="0.25">
      <c r="A3230" s="36">
        <v>41217</v>
      </c>
      <c r="B3230" s="122">
        <v>0.63130787037037039</v>
      </c>
      <c r="C3230" s="26" t="s">
        <v>1714</v>
      </c>
    </row>
    <row r="3231" spans="1:3" x14ac:dyDescent="0.25">
      <c r="A3231" s="36">
        <v>41217</v>
      </c>
      <c r="B3231" s="122">
        <v>0.63365740740740739</v>
      </c>
      <c r="C3231" s="26" t="s">
        <v>1715</v>
      </c>
    </row>
    <row r="3232" spans="1:3" x14ac:dyDescent="0.25">
      <c r="A3232" s="36">
        <v>41217</v>
      </c>
      <c r="B3232" s="122">
        <v>0.63680555555555551</v>
      </c>
      <c r="C3232" s="26" t="s">
        <v>1715</v>
      </c>
    </row>
    <row r="3233" spans="1:3" x14ac:dyDescent="0.25">
      <c r="A3233" s="36">
        <v>41217</v>
      </c>
      <c r="B3233" s="122">
        <v>0.63684027777777785</v>
      </c>
      <c r="C3233" s="26" t="s">
        <v>1715</v>
      </c>
    </row>
    <row r="3234" spans="1:3" x14ac:dyDescent="0.25">
      <c r="A3234" s="36">
        <v>41217</v>
      </c>
      <c r="B3234" s="122">
        <v>0.63685185185185189</v>
      </c>
      <c r="C3234" s="26" t="s">
        <v>1715</v>
      </c>
    </row>
    <row r="3235" spans="1:3" x14ac:dyDescent="0.25">
      <c r="A3235" s="36">
        <v>41217</v>
      </c>
      <c r="B3235" s="122">
        <v>0.63686342592592593</v>
      </c>
      <c r="C3235" s="26" t="s">
        <v>1715</v>
      </c>
    </row>
    <row r="3236" spans="1:3" x14ac:dyDescent="0.25">
      <c r="A3236" s="36">
        <v>41217</v>
      </c>
      <c r="B3236" s="122">
        <v>0.64645833333333336</v>
      </c>
      <c r="C3236" s="26" t="s">
        <v>1716</v>
      </c>
    </row>
    <row r="3237" spans="1:3" x14ac:dyDescent="0.25">
      <c r="A3237" s="36">
        <v>41217</v>
      </c>
      <c r="B3237" s="122">
        <v>0.67091435185185189</v>
      </c>
      <c r="C3237" s="26" t="s">
        <v>1718</v>
      </c>
    </row>
    <row r="3238" spans="1:3" x14ac:dyDescent="0.25">
      <c r="A3238" s="36">
        <v>41217</v>
      </c>
      <c r="B3238" s="122">
        <v>0.68225694444444451</v>
      </c>
      <c r="C3238" s="26" t="s">
        <v>1718</v>
      </c>
    </row>
    <row r="3239" spans="1:3" x14ac:dyDescent="0.25">
      <c r="A3239" s="36">
        <v>41217</v>
      </c>
      <c r="B3239" s="122">
        <v>0.68420138888888893</v>
      </c>
      <c r="C3239" s="26" t="s">
        <v>1718</v>
      </c>
    </row>
    <row r="3240" spans="1:3" x14ac:dyDescent="0.25">
      <c r="A3240" s="36">
        <v>41217</v>
      </c>
      <c r="B3240" s="122">
        <v>0.68978009259259254</v>
      </c>
      <c r="C3240" s="26" t="s">
        <v>1719</v>
      </c>
    </row>
    <row r="3241" spans="1:3" x14ac:dyDescent="0.25">
      <c r="A3241" s="36">
        <v>41217</v>
      </c>
      <c r="B3241" s="122">
        <v>0.69416666666666671</v>
      </c>
      <c r="C3241" s="26" t="s">
        <v>1720</v>
      </c>
    </row>
    <row r="3242" spans="1:3" x14ac:dyDescent="0.25">
      <c r="A3242" s="36">
        <v>41217</v>
      </c>
      <c r="B3242" s="122">
        <v>0.69427083333333339</v>
      </c>
      <c r="C3242" s="26" t="s">
        <v>1721</v>
      </c>
    </row>
    <row r="3243" spans="1:3" x14ac:dyDescent="0.25">
      <c r="A3243" s="36">
        <v>41217</v>
      </c>
      <c r="B3243" s="122">
        <v>0.69427083333333339</v>
      </c>
      <c r="C3243" s="26" t="s">
        <v>992</v>
      </c>
    </row>
    <row r="3244" spans="1:3" x14ac:dyDescent="0.25">
      <c r="A3244" s="36">
        <v>41217</v>
      </c>
      <c r="B3244" s="122">
        <v>0.69427083333333339</v>
      </c>
      <c r="C3244" s="26" t="s">
        <v>1084</v>
      </c>
    </row>
    <row r="3245" spans="1:3" x14ac:dyDescent="0.25">
      <c r="A3245" s="36">
        <v>41217</v>
      </c>
      <c r="B3245" s="122">
        <v>0.69427083333333339</v>
      </c>
      <c r="C3245" s="26" t="s">
        <v>1085</v>
      </c>
    </row>
    <row r="3246" spans="1:3" x14ac:dyDescent="0.25">
      <c r="A3246" s="36">
        <v>41217</v>
      </c>
      <c r="B3246" s="122">
        <v>0.69427083333333339</v>
      </c>
      <c r="C3246" s="26" t="s">
        <v>1086</v>
      </c>
    </row>
    <row r="3247" spans="1:3" x14ac:dyDescent="0.25">
      <c r="A3247" s="36">
        <v>41217</v>
      </c>
      <c r="B3247" s="122">
        <v>0.69427083333333339</v>
      </c>
      <c r="C3247" s="26" t="s">
        <v>1085</v>
      </c>
    </row>
    <row r="3248" spans="1:3" x14ac:dyDescent="0.25">
      <c r="A3248" s="36">
        <v>41217</v>
      </c>
      <c r="B3248" s="122">
        <v>0.69427083333333339</v>
      </c>
      <c r="C3248" s="26" t="s">
        <v>1087</v>
      </c>
    </row>
    <row r="3249" spans="1:3" x14ac:dyDescent="0.25">
      <c r="A3249" s="36">
        <v>41217</v>
      </c>
      <c r="B3249" s="122">
        <v>0.69427083333333339</v>
      </c>
      <c r="C3249" s="26" t="s">
        <v>1088</v>
      </c>
    </row>
    <row r="3250" spans="1:3" x14ac:dyDescent="0.25">
      <c r="A3250" s="36">
        <v>41217</v>
      </c>
      <c r="B3250" s="122">
        <v>0.69427083333333339</v>
      </c>
      <c r="C3250" s="26" t="s">
        <v>1088</v>
      </c>
    </row>
    <row r="3251" spans="1:3" x14ac:dyDescent="0.25">
      <c r="A3251" s="36">
        <v>41217</v>
      </c>
      <c r="B3251" s="122">
        <v>0.69427083333333339</v>
      </c>
      <c r="C3251" s="26" t="s">
        <v>1092</v>
      </c>
    </row>
    <row r="3252" spans="1:3" x14ac:dyDescent="0.25">
      <c r="A3252" s="36">
        <v>41217</v>
      </c>
      <c r="B3252" s="122">
        <v>0.69427083333333339</v>
      </c>
      <c r="C3252" s="26" t="s">
        <v>1722</v>
      </c>
    </row>
    <row r="3253" spans="1:3" x14ac:dyDescent="0.25">
      <c r="A3253" s="36">
        <v>41217</v>
      </c>
      <c r="B3253" s="122">
        <v>0.69427083333333339</v>
      </c>
      <c r="C3253" s="26" t="s">
        <v>1723</v>
      </c>
    </row>
    <row r="3254" spans="1:3" x14ac:dyDescent="0.25">
      <c r="A3254" s="36">
        <v>41217</v>
      </c>
      <c r="B3254" s="122">
        <v>0.69427083333333339</v>
      </c>
      <c r="C3254" s="26" t="s">
        <v>1722</v>
      </c>
    </row>
    <row r="3255" spans="1:3" x14ac:dyDescent="0.25">
      <c r="A3255" s="36">
        <v>41217</v>
      </c>
      <c r="B3255" s="122">
        <v>0.69427083333333339</v>
      </c>
      <c r="C3255" s="26" t="s">
        <v>1724</v>
      </c>
    </row>
    <row r="3256" spans="1:3" x14ac:dyDescent="0.25">
      <c r="A3256" s="36">
        <v>41217</v>
      </c>
      <c r="B3256" s="122">
        <v>0.69428240740740732</v>
      </c>
      <c r="C3256" s="26" t="s">
        <v>1725</v>
      </c>
    </row>
    <row r="3257" spans="1:3" x14ac:dyDescent="0.25">
      <c r="A3257" s="36">
        <v>41217</v>
      </c>
      <c r="B3257" s="122">
        <v>0.69428240740740732</v>
      </c>
      <c r="C3257" s="26" t="s">
        <v>1726</v>
      </c>
    </row>
    <row r="3258" spans="1:3" x14ac:dyDescent="0.25">
      <c r="A3258" s="36">
        <v>41217</v>
      </c>
      <c r="B3258" s="122">
        <v>0.69748842592592597</v>
      </c>
      <c r="C3258" s="26" t="s">
        <v>1721</v>
      </c>
    </row>
    <row r="3259" spans="1:3" x14ac:dyDescent="0.25">
      <c r="A3259" s="36">
        <v>41217</v>
      </c>
      <c r="B3259" s="122">
        <v>0.69748842592592597</v>
      </c>
      <c r="C3259" s="26" t="s">
        <v>992</v>
      </c>
    </row>
    <row r="3260" spans="1:3" x14ac:dyDescent="0.25">
      <c r="A3260" s="36">
        <v>41217</v>
      </c>
      <c r="B3260" s="122">
        <v>0.69748842592592597</v>
      </c>
      <c r="C3260" s="26" t="s">
        <v>1084</v>
      </c>
    </row>
    <row r="3261" spans="1:3" x14ac:dyDescent="0.25">
      <c r="A3261" s="36">
        <v>41217</v>
      </c>
      <c r="B3261" s="122">
        <v>0.69748842592592597</v>
      </c>
      <c r="C3261" s="26" t="s">
        <v>1085</v>
      </c>
    </row>
    <row r="3262" spans="1:3" x14ac:dyDescent="0.25">
      <c r="A3262" s="36">
        <v>41217</v>
      </c>
      <c r="B3262" s="122">
        <v>0.69748842592592597</v>
      </c>
      <c r="C3262" s="26" t="s">
        <v>1086</v>
      </c>
    </row>
    <row r="3263" spans="1:3" x14ac:dyDescent="0.25">
      <c r="A3263" s="36">
        <v>41217</v>
      </c>
      <c r="B3263" s="122">
        <v>0.69748842592592597</v>
      </c>
      <c r="C3263" s="26" t="s">
        <v>1085</v>
      </c>
    </row>
    <row r="3264" spans="1:3" x14ac:dyDescent="0.25">
      <c r="A3264" s="36">
        <v>41217</v>
      </c>
      <c r="B3264" s="122">
        <v>0.69748842592592597</v>
      </c>
      <c r="C3264" s="26" t="s">
        <v>1087</v>
      </c>
    </row>
    <row r="3265" spans="1:3" x14ac:dyDescent="0.25">
      <c r="A3265" s="36">
        <v>41217</v>
      </c>
      <c r="B3265" s="122">
        <v>0.69748842592592597</v>
      </c>
      <c r="C3265" s="26" t="s">
        <v>1088</v>
      </c>
    </row>
    <row r="3266" spans="1:3" x14ac:dyDescent="0.25">
      <c r="A3266" s="36">
        <v>41217</v>
      </c>
      <c r="B3266" s="122">
        <v>0.69748842592592597</v>
      </c>
      <c r="C3266" s="26" t="s">
        <v>1088</v>
      </c>
    </row>
    <row r="3267" spans="1:3" x14ac:dyDescent="0.25">
      <c r="A3267" s="36">
        <v>41217</v>
      </c>
      <c r="B3267" s="122">
        <v>0.69748842592592597</v>
      </c>
      <c r="C3267" s="26" t="s">
        <v>1092</v>
      </c>
    </row>
    <row r="3268" spans="1:3" x14ac:dyDescent="0.25">
      <c r="A3268" s="36">
        <v>41217</v>
      </c>
      <c r="B3268" s="122">
        <v>0.6974999999999999</v>
      </c>
      <c r="C3268" s="26" t="s">
        <v>1722</v>
      </c>
    </row>
    <row r="3269" spans="1:3" x14ac:dyDescent="0.25">
      <c r="A3269" s="36">
        <v>41217</v>
      </c>
      <c r="B3269" s="122">
        <v>0.6974999999999999</v>
      </c>
      <c r="C3269" s="26" t="s">
        <v>1723</v>
      </c>
    </row>
    <row r="3270" spans="1:3" x14ac:dyDescent="0.25">
      <c r="A3270" s="36">
        <v>41217</v>
      </c>
      <c r="B3270" s="122">
        <v>0.6974999999999999</v>
      </c>
      <c r="C3270" s="26" t="s">
        <v>1722</v>
      </c>
    </row>
    <row r="3271" spans="1:3" x14ac:dyDescent="0.25">
      <c r="A3271" s="36">
        <v>41217</v>
      </c>
      <c r="B3271" s="122">
        <v>0.6974999999999999</v>
      </c>
      <c r="C3271" s="26" t="s">
        <v>1724</v>
      </c>
    </row>
    <row r="3272" spans="1:3" x14ac:dyDescent="0.25">
      <c r="A3272" s="36">
        <v>41217</v>
      </c>
      <c r="B3272" s="122">
        <v>0.6974999999999999</v>
      </c>
      <c r="C3272" s="26" t="s">
        <v>1725</v>
      </c>
    </row>
    <row r="3273" spans="1:3" x14ac:dyDescent="0.25">
      <c r="A3273" s="36">
        <v>41217</v>
      </c>
      <c r="B3273" s="122">
        <v>0.6974999999999999</v>
      </c>
      <c r="C3273" s="26" t="s">
        <v>1726</v>
      </c>
    </row>
    <row r="3274" spans="1:3" x14ac:dyDescent="0.25">
      <c r="A3274" s="36">
        <v>41217</v>
      </c>
      <c r="B3274" s="122">
        <v>0.70568287037037036</v>
      </c>
      <c r="C3274" s="26" t="s">
        <v>1727</v>
      </c>
    </row>
    <row r="3275" spans="1:3" ht="45" x14ac:dyDescent="0.25">
      <c r="A3275" s="36">
        <v>41217</v>
      </c>
      <c r="B3275" s="122">
        <v>0.70575231481481471</v>
      </c>
      <c r="C3275" s="585" t="s">
        <v>1728</v>
      </c>
    </row>
    <row r="3276" spans="1:3" ht="45" x14ac:dyDescent="0.25">
      <c r="A3276" s="36">
        <v>41217</v>
      </c>
      <c r="B3276" s="122">
        <v>0.7533333333333333</v>
      </c>
      <c r="C3276" s="585" t="s">
        <v>1728</v>
      </c>
    </row>
    <row r="3277" spans="1:3" x14ac:dyDescent="0.25">
      <c r="A3277" s="36">
        <v>41217</v>
      </c>
      <c r="B3277" s="122">
        <v>0.75453703703703701</v>
      </c>
      <c r="C3277" s="26" t="s">
        <v>1283</v>
      </c>
    </row>
    <row r="3278" spans="1:3" x14ac:dyDescent="0.25">
      <c r="A3278" s="36">
        <v>41217</v>
      </c>
      <c r="B3278" s="122">
        <v>0.75468750000000007</v>
      </c>
      <c r="C3278" s="26" t="s">
        <v>1226</v>
      </c>
    </row>
    <row r="3279" spans="1:3" x14ac:dyDescent="0.25">
      <c r="A3279" s="36">
        <v>41217</v>
      </c>
      <c r="B3279" s="122">
        <v>0.75578703703703709</v>
      </c>
      <c r="C3279" s="26" t="s">
        <v>1731</v>
      </c>
    </row>
    <row r="3280" spans="1:3" x14ac:dyDescent="0.25">
      <c r="A3280" s="36">
        <v>41217</v>
      </c>
      <c r="B3280" s="122">
        <v>0.75578703703703709</v>
      </c>
      <c r="C3280" s="26" t="s">
        <v>1222</v>
      </c>
    </row>
    <row r="3281" spans="1:3" x14ac:dyDescent="0.25">
      <c r="A3281" s="36">
        <v>41217</v>
      </c>
      <c r="B3281" s="122">
        <v>0.75581018518518517</v>
      </c>
      <c r="C3281" s="26" t="s">
        <v>1223</v>
      </c>
    </row>
    <row r="3282" spans="1:3" x14ac:dyDescent="0.25">
      <c r="A3282" s="36">
        <v>41217</v>
      </c>
      <c r="B3282" s="122">
        <v>0.77718750000000003</v>
      </c>
      <c r="C3282" s="26" t="s">
        <v>1225</v>
      </c>
    </row>
    <row r="3283" spans="1:3" x14ac:dyDescent="0.25">
      <c r="A3283" s="36">
        <v>41217</v>
      </c>
      <c r="B3283" s="122">
        <v>0.7778356481481481</v>
      </c>
      <c r="C3283" s="26" t="s">
        <v>1226</v>
      </c>
    </row>
    <row r="3284" spans="1:3" x14ac:dyDescent="0.25">
      <c r="A3284" s="36">
        <v>41217</v>
      </c>
      <c r="B3284" s="122">
        <v>0.79295138888888894</v>
      </c>
      <c r="C3284" s="26" t="s">
        <v>1731</v>
      </c>
    </row>
    <row r="3285" spans="1:3" x14ac:dyDescent="0.25">
      <c r="A3285" s="36">
        <v>41217</v>
      </c>
      <c r="B3285" s="122">
        <v>0.79295138888888894</v>
      </c>
      <c r="C3285" s="26" t="s">
        <v>1222</v>
      </c>
    </row>
    <row r="3286" spans="1:3" x14ac:dyDescent="0.25">
      <c r="A3286" s="36">
        <v>41217</v>
      </c>
      <c r="B3286" s="122">
        <v>0.79309027777777785</v>
      </c>
      <c r="C3286" s="26" t="s">
        <v>1223</v>
      </c>
    </row>
    <row r="3287" spans="1:3" x14ac:dyDescent="0.25">
      <c r="A3287" s="36">
        <v>41217</v>
      </c>
      <c r="B3287" s="122">
        <v>0.796412037037037</v>
      </c>
      <c r="C3287" s="26" t="s">
        <v>1731</v>
      </c>
    </row>
    <row r="3288" spans="1:3" x14ac:dyDescent="0.25">
      <c r="A3288" s="36">
        <v>41217</v>
      </c>
      <c r="B3288" s="122">
        <v>0.796412037037037</v>
      </c>
      <c r="C3288" s="26" t="s">
        <v>1222</v>
      </c>
    </row>
    <row r="3289" spans="1:3" x14ac:dyDescent="0.25">
      <c r="A3289" s="36">
        <v>41217</v>
      </c>
      <c r="B3289" s="122">
        <v>0.79644675925925934</v>
      </c>
      <c r="C3289" s="26" t="s">
        <v>1223</v>
      </c>
    </row>
    <row r="3290" spans="1:3" x14ac:dyDescent="0.25">
      <c r="A3290" s="36">
        <v>41217</v>
      </c>
      <c r="B3290" s="122">
        <v>0.80321759259259251</v>
      </c>
      <c r="C3290" s="26" t="s">
        <v>1731</v>
      </c>
    </row>
    <row r="3291" spans="1:3" x14ac:dyDescent="0.25">
      <c r="A3291" s="36">
        <v>41217</v>
      </c>
      <c r="B3291" s="122">
        <v>0.80321759259259251</v>
      </c>
      <c r="C3291" s="26" t="s">
        <v>1222</v>
      </c>
    </row>
    <row r="3292" spans="1:3" x14ac:dyDescent="0.25">
      <c r="A3292" s="36">
        <v>41217</v>
      </c>
      <c r="B3292" s="122">
        <v>0.80325231481481485</v>
      </c>
      <c r="C3292" s="26" t="s">
        <v>1223</v>
      </c>
    </row>
    <row r="3293" spans="1:3" x14ac:dyDescent="0.25">
      <c r="A3293" s="36">
        <v>41217</v>
      </c>
      <c r="B3293" s="122">
        <v>0.81162037037037038</v>
      </c>
      <c r="C3293" s="26" t="s">
        <v>1731</v>
      </c>
    </row>
    <row r="3294" spans="1:3" x14ac:dyDescent="0.25">
      <c r="A3294" s="36">
        <v>41217</v>
      </c>
      <c r="B3294" s="122">
        <v>0.81162037037037038</v>
      </c>
      <c r="C3294" s="26" t="s">
        <v>1222</v>
      </c>
    </row>
    <row r="3295" spans="1:3" x14ac:dyDescent="0.25">
      <c r="A3295" s="36">
        <v>41217</v>
      </c>
      <c r="B3295" s="122">
        <v>0.8116782407407408</v>
      </c>
      <c r="C3295" s="26" t="s">
        <v>1223</v>
      </c>
    </row>
    <row r="3296" spans="1:3" x14ac:dyDescent="0.25">
      <c r="A3296" s="36">
        <v>41217</v>
      </c>
      <c r="B3296" s="122">
        <v>0.81202546296296296</v>
      </c>
      <c r="C3296" s="26" t="s">
        <v>1225</v>
      </c>
    </row>
    <row r="3297" spans="1:3" x14ac:dyDescent="0.25">
      <c r="A3297" s="36">
        <v>41217</v>
      </c>
      <c r="B3297" s="122">
        <v>0.81429398148148147</v>
      </c>
      <c r="C3297" s="26" t="s">
        <v>1731</v>
      </c>
    </row>
    <row r="3298" spans="1:3" x14ac:dyDescent="0.25">
      <c r="A3298" s="36">
        <v>41217</v>
      </c>
      <c r="B3298" s="122">
        <v>0.81429398148148147</v>
      </c>
      <c r="C3298" s="26" t="s">
        <v>1222</v>
      </c>
    </row>
    <row r="3299" spans="1:3" x14ac:dyDescent="0.25">
      <c r="A3299" s="36">
        <v>41217</v>
      </c>
      <c r="B3299" s="122">
        <v>0.8143287037037038</v>
      </c>
      <c r="C3299" s="26" t="s">
        <v>1223</v>
      </c>
    </row>
    <row r="3300" spans="1:3" x14ac:dyDescent="0.25">
      <c r="A3300" s="36">
        <v>41217</v>
      </c>
      <c r="B3300" s="122">
        <v>0.81931712962962966</v>
      </c>
      <c r="C3300" s="26" t="s">
        <v>1731</v>
      </c>
    </row>
    <row r="3301" spans="1:3" x14ac:dyDescent="0.25">
      <c r="A3301" s="36">
        <v>41217</v>
      </c>
      <c r="B3301" s="122">
        <v>0.81931712962962966</v>
      </c>
      <c r="C3301" s="26" t="s">
        <v>1222</v>
      </c>
    </row>
    <row r="3302" spans="1:3" x14ac:dyDescent="0.25">
      <c r="A3302" s="36">
        <v>41217</v>
      </c>
      <c r="B3302" s="122">
        <v>0.81934027777777774</v>
      </c>
      <c r="C3302" s="26" t="s">
        <v>1223</v>
      </c>
    </row>
    <row r="3303" spans="1:3" x14ac:dyDescent="0.25">
      <c r="A3303" s="36">
        <v>41217</v>
      </c>
      <c r="B3303" s="122">
        <v>0.82348379629629631</v>
      </c>
      <c r="C3303" s="26" t="s">
        <v>1731</v>
      </c>
    </row>
    <row r="3304" spans="1:3" x14ac:dyDescent="0.25">
      <c r="A3304" s="36">
        <v>41217</v>
      </c>
      <c r="B3304" s="122">
        <v>0.82348379629629631</v>
      </c>
      <c r="C3304" s="26" t="s">
        <v>1222</v>
      </c>
    </row>
    <row r="3305" spans="1:3" x14ac:dyDescent="0.25">
      <c r="A3305" s="36">
        <v>41217</v>
      </c>
      <c r="B3305" s="122">
        <v>0.82351851851851843</v>
      </c>
      <c r="C3305" s="26" t="s">
        <v>1223</v>
      </c>
    </row>
    <row r="3306" spans="1:3" x14ac:dyDescent="0.25">
      <c r="A3306" s="36">
        <v>41217</v>
      </c>
      <c r="B3306" s="122">
        <v>0.82495370370370369</v>
      </c>
      <c r="C3306" s="26" t="s">
        <v>1731</v>
      </c>
    </row>
    <row r="3307" spans="1:3" x14ac:dyDescent="0.25">
      <c r="A3307" s="36">
        <v>41217</v>
      </c>
      <c r="B3307" s="122">
        <v>0.82495370370370369</v>
      </c>
      <c r="C3307" s="26" t="s">
        <v>1222</v>
      </c>
    </row>
    <row r="3308" spans="1:3" x14ac:dyDescent="0.25">
      <c r="A3308" s="36">
        <v>41217</v>
      </c>
      <c r="B3308" s="122">
        <v>0.82497685185185177</v>
      </c>
      <c r="C3308" s="26" t="s">
        <v>1223</v>
      </c>
    </row>
    <row r="3309" spans="1:3" x14ac:dyDescent="0.25">
      <c r="A3309" s="36">
        <v>41217</v>
      </c>
      <c r="B3309" s="122">
        <v>0.86166666666666669</v>
      </c>
      <c r="C3309" s="26" t="s">
        <v>1731</v>
      </c>
    </row>
    <row r="3310" spans="1:3" x14ac:dyDescent="0.25">
      <c r="A3310" s="36">
        <v>41217</v>
      </c>
      <c r="B3310" s="122">
        <v>0.86166666666666669</v>
      </c>
      <c r="C3310" s="26" t="s">
        <v>1222</v>
      </c>
    </row>
    <row r="3311" spans="1:3" x14ac:dyDescent="0.25">
      <c r="A3311" s="36">
        <v>41217</v>
      </c>
      <c r="B3311" s="122">
        <v>0.86168981481481488</v>
      </c>
      <c r="C3311" s="26" t="s">
        <v>1223</v>
      </c>
    </row>
    <row r="3312" spans="1:3" x14ac:dyDescent="0.25">
      <c r="A3312" s="36">
        <v>41217</v>
      </c>
      <c r="B3312" s="122">
        <v>0.8618865740740741</v>
      </c>
      <c r="C3312" s="26" t="s">
        <v>1225</v>
      </c>
    </row>
    <row r="3313" spans="1:3" x14ac:dyDescent="0.25">
      <c r="A3313" s="36">
        <v>41217</v>
      </c>
      <c r="B3313" s="122">
        <v>0.86195601851851855</v>
      </c>
      <c r="C3313" s="26" t="s">
        <v>1226</v>
      </c>
    </row>
    <row r="3314" spans="1:3" ht="45" x14ac:dyDescent="0.25">
      <c r="A3314" s="36">
        <v>41217</v>
      </c>
      <c r="B3314" s="122">
        <v>0.86201388888888886</v>
      </c>
      <c r="C3314" s="585" t="s">
        <v>1728</v>
      </c>
    </row>
    <row r="3315" spans="1:3" x14ac:dyDescent="0.25">
      <c r="A3315" s="36">
        <v>41217</v>
      </c>
      <c r="B3315" s="122">
        <v>0.86322916666666671</v>
      </c>
      <c r="C3315" s="26" t="s">
        <v>1731</v>
      </c>
    </row>
    <row r="3316" spans="1:3" ht="45" x14ac:dyDescent="0.25">
      <c r="A3316" s="36">
        <v>41217</v>
      </c>
      <c r="B3316" s="122">
        <v>0.86326388888888894</v>
      </c>
      <c r="C3316" s="585" t="s">
        <v>1728</v>
      </c>
    </row>
    <row r="3317" spans="1:3" ht="45" x14ac:dyDescent="0.25">
      <c r="A3317" s="36">
        <v>41217</v>
      </c>
      <c r="B3317" s="122">
        <v>0.97436342592592595</v>
      </c>
      <c r="C3317" s="585" t="s">
        <v>1728</v>
      </c>
    </row>
    <row r="3318" spans="1:3" x14ac:dyDescent="0.25">
      <c r="A3318" s="36">
        <v>41217</v>
      </c>
      <c r="B3318" s="122">
        <v>0.99637731481481484</v>
      </c>
      <c r="C3318" s="26" t="s">
        <v>1714</v>
      </c>
    </row>
    <row r="3319" spans="1:3" x14ac:dyDescent="0.25">
      <c r="A3319" s="36">
        <v>41218</v>
      </c>
      <c r="B3319" s="122">
        <v>1.5624999999999999E-3</v>
      </c>
      <c r="C3319" s="26" t="s">
        <v>1714</v>
      </c>
    </row>
    <row r="3320" spans="1:3" x14ac:dyDescent="0.25">
      <c r="A3320" s="36">
        <v>41218</v>
      </c>
      <c r="B3320" s="122">
        <v>1.5624999999999999E-3</v>
      </c>
      <c r="C3320" s="26" t="s">
        <v>1735</v>
      </c>
    </row>
    <row r="3321" spans="1:3" x14ac:dyDescent="0.25">
      <c r="A3321" s="36">
        <v>41218</v>
      </c>
      <c r="B3321" s="122">
        <v>2.7546296296296294E-3</v>
      </c>
      <c r="C3321" s="26" t="s">
        <v>1714</v>
      </c>
    </row>
    <row r="3322" spans="1:3" x14ac:dyDescent="0.25">
      <c r="A3322" s="36">
        <v>41218</v>
      </c>
      <c r="B3322" s="122">
        <v>2.7546296296296294E-3</v>
      </c>
      <c r="C3322" s="26" t="s">
        <v>1735</v>
      </c>
    </row>
    <row r="3323" spans="1:3" x14ac:dyDescent="0.25">
      <c r="A3323" s="36">
        <v>41218</v>
      </c>
      <c r="B3323" s="122">
        <v>3.7384259259259263E-3</v>
      </c>
      <c r="C3323" s="26" t="s">
        <v>1736</v>
      </c>
    </row>
    <row r="3324" spans="1:3" x14ac:dyDescent="0.25">
      <c r="A3324" s="36">
        <v>41218</v>
      </c>
      <c r="B3324" s="122">
        <v>3.8773148148148143E-3</v>
      </c>
      <c r="C3324" s="26" t="s">
        <v>1737</v>
      </c>
    </row>
    <row r="3325" spans="1:3" x14ac:dyDescent="0.25">
      <c r="A3325" s="36">
        <v>41218</v>
      </c>
      <c r="B3325" s="122">
        <v>6.6435185185185182E-3</v>
      </c>
      <c r="C3325" s="26" t="s">
        <v>1736</v>
      </c>
    </row>
    <row r="3326" spans="1:3" x14ac:dyDescent="0.25">
      <c r="A3326" s="36">
        <v>41218</v>
      </c>
      <c r="B3326" s="122">
        <v>6.6666666666666671E-3</v>
      </c>
      <c r="C3326" s="26" t="s">
        <v>1737</v>
      </c>
    </row>
    <row r="3327" spans="1:3" x14ac:dyDescent="0.25">
      <c r="A3327" s="36">
        <v>41218</v>
      </c>
      <c r="B3327" s="122">
        <v>7.6620370370370366E-3</v>
      </c>
      <c r="C3327" s="26" t="s">
        <v>1074</v>
      </c>
    </row>
    <row r="3328" spans="1:3" x14ac:dyDescent="0.25">
      <c r="A3328" s="36">
        <v>41218</v>
      </c>
      <c r="B3328" s="122">
        <v>7.905092592592592E-3</v>
      </c>
      <c r="C3328" s="26" t="s">
        <v>1738</v>
      </c>
    </row>
    <row r="3329" spans="1:3" x14ac:dyDescent="0.25">
      <c r="A3329" s="36">
        <v>41218</v>
      </c>
      <c r="B3329" s="122">
        <v>8.0208333333333329E-3</v>
      </c>
      <c r="C3329" s="26" t="s">
        <v>1075</v>
      </c>
    </row>
    <row r="3330" spans="1:3" x14ac:dyDescent="0.25">
      <c r="A3330" s="36">
        <v>41218</v>
      </c>
      <c r="B3330" s="122">
        <v>8.2523148148148148E-3</v>
      </c>
      <c r="C3330" s="26" t="s">
        <v>1076</v>
      </c>
    </row>
    <row r="3331" spans="1:3" x14ac:dyDescent="0.25">
      <c r="A3331" s="36">
        <v>41218</v>
      </c>
      <c r="B3331" s="122">
        <v>9.4212962962962957E-3</v>
      </c>
      <c r="C3331" s="26" t="s">
        <v>1714</v>
      </c>
    </row>
    <row r="3332" spans="1:3" x14ac:dyDescent="0.25">
      <c r="A3332" s="36">
        <v>41218</v>
      </c>
      <c r="B3332" s="122">
        <v>9.4212962962962957E-3</v>
      </c>
      <c r="C3332" s="26" t="s">
        <v>1736</v>
      </c>
    </row>
    <row r="3333" spans="1:3" x14ac:dyDescent="0.25">
      <c r="A3333" s="36">
        <v>41218</v>
      </c>
      <c r="B3333" s="122">
        <v>9.4560185185185181E-3</v>
      </c>
      <c r="C3333" s="26" t="s">
        <v>1737</v>
      </c>
    </row>
    <row r="3334" spans="1:3" x14ac:dyDescent="0.25">
      <c r="A3334" s="36">
        <v>41218</v>
      </c>
      <c r="B3334" s="122">
        <v>1.0254629629629629E-2</v>
      </c>
      <c r="C3334" s="26" t="s">
        <v>1714</v>
      </c>
    </row>
    <row r="3335" spans="1:3" x14ac:dyDescent="0.25">
      <c r="A3335" s="36">
        <v>41218</v>
      </c>
      <c r="B3335" s="122">
        <v>2.207175925925926E-2</v>
      </c>
      <c r="C3335" s="26" t="s">
        <v>1718</v>
      </c>
    </row>
    <row r="3336" spans="1:3" x14ac:dyDescent="0.25">
      <c r="A3336" s="36">
        <v>41218</v>
      </c>
      <c r="B3336" s="122">
        <v>2.2175925925925929E-2</v>
      </c>
      <c r="C3336" s="26" t="s">
        <v>1735</v>
      </c>
    </row>
    <row r="3337" spans="1:3" x14ac:dyDescent="0.25">
      <c r="A3337" s="36">
        <v>41218</v>
      </c>
      <c r="B3337" s="122">
        <v>2.4560185185185185E-2</v>
      </c>
      <c r="C3337" s="26" t="s">
        <v>1718</v>
      </c>
    </row>
    <row r="3338" spans="1:3" x14ac:dyDescent="0.25">
      <c r="A3338" s="36">
        <v>41218</v>
      </c>
      <c r="B3338" s="122">
        <v>2.4664351851851851E-2</v>
      </c>
      <c r="C3338" s="26" t="s">
        <v>1735</v>
      </c>
    </row>
    <row r="3339" spans="1:3" x14ac:dyDescent="0.25">
      <c r="A3339" s="36">
        <v>41218</v>
      </c>
      <c r="B3339" s="122">
        <v>2.6215277777777778E-2</v>
      </c>
      <c r="C3339" s="26" t="s">
        <v>1057</v>
      </c>
    </row>
    <row r="3340" spans="1:3" x14ac:dyDescent="0.25">
      <c r="A3340" s="36">
        <v>41218</v>
      </c>
      <c r="B3340" s="122">
        <v>2.8935185185185185E-2</v>
      </c>
      <c r="C3340" s="26" t="s">
        <v>1731</v>
      </c>
    </row>
    <row r="3341" spans="1:3" x14ac:dyDescent="0.25">
      <c r="A3341" s="36">
        <v>41218</v>
      </c>
      <c r="B3341" s="122">
        <v>3.4004629629629628E-2</v>
      </c>
      <c r="C3341" s="26" t="s">
        <v>1718</v>
      </c>
    </row>
    <row r="3342" spans="1:3" x14ac:dyDescent="0.25">
      <c r="A3342" s="36">
        <v>41218</v>
      </c>
      <c r="B3342" s="122">
        <v>3.4108796296296297E-2</v>
      </c>
      <c r="C3342" s="26" t="s">
        <v>1057</v>
      </c>
    </row>
    <row r="3343" spans="1:3" x14ac:dyDescent="0.25">
      <c r="A3343" s="36">
        <v>41218</v>
      </c>
      <c r="B3343" s="122">
        <v>3.4247685185185187E-2</v>
      </c>
      <c r="C3343" s="26" t="s">
        <v>1063</v>
      </c>
    </row>
    <row r="3344" spans="1:3" x14ac:dyDescent="0.25">
      <c r="A3344" s="36">
        <v>41218</v>
      </c>
      <c r="B3344" s="122">
        <v>3.4305555555555554E-2</v>
      </c>
      <c r="C3344" s="26" t="s">
        <v>1064</v>
      </c>
    </row>
    <row r="3345" spans="1:3" x14ac:dyDescent="0.25">
      <c r="A3345" s="36">
        <v>41218</v>
      </c>
      <c r="B3345" s="122">
        <v>3.4363425925925929E-2</v>
      </c>
      <c r="C3345" s="26" t="s">
        <v>1065</v>
      </c>
    </row>
    <row r="3346" spans="1:3" x14ac:dyDescent="0.25">
      <c r="A3346" s="36">
        <v>41218</v>
      </c>
      <c r="B3346" s="122">
        <v>3.9004629629629632E-2</v>
      </c>
      <c r="C3346" s="26" t="s">
        <v>1225</v>
      </c>
    </row>
    <row r="3347" spans="1:3" x14ac:dyDescent="0.25">
      <c r="A3347" s="36">
        <v>41218</v>
      </c>
      <c r="B3347" s="122">
        <v>4.0439814814814817E-2</v>
      </c>
      <c r="C3347" s="26" t="s">
        <v>1226</v>
      </c>
    </row>
    <row r="3348" spans="1:3" x14ac:dyDescent="0.25">
      <c r="A3348" s="36">
        <v>41218</v>
      </c>
      <c r="B3348" s="122">
        <v>4.1863425925925929E-2</v>
      </c>
      <c r="C3348" s="26" t="s">
        <v>1225</v>
      </c>
    </row>
    <row r="3349" spans="1:3" x14ac:dyDescent="0.25">
      <c r="A3349" s="36">
        <v>41218</v>
      </c>
      <c r="B3349" s="122">
        <v>4.4062500000000004E-2</v>
      </c>
      <c r="C3349" s="26" t="s">
        <v>1226</v>
      </c>
    </row>
    <row r="3350" spans="1:3" x14ac:dyDescent="0.25">
      <c r="A3350" s="36">
        <v>41218</v>
      </c>
      <c r="B3350" s="122">
        <v>4.7361111111111111E-2</v>
      </c>
      <c r="C3350" s="26" t="s">
        <v>1718</v>
      </c>
    </row>
    <row r="3351" spans="1:3" x14ac:dyDescent="0.25">
      <c r="A3351" s="36">
        <v>41218</v>
      </c>
      <c r="B3351" s="122">
        <v>4.7361111111111111E-2</v>
      </c>
      <c r="C3351" s="26" t="s">
        <v>1058</v>
      </c>
    </row>
    <row r="3352" spans="1:3" x14ac:dyDescent="0.25">
      <c r="A3352" s="36">
        <v>41218</v>
      </c>
      <c r="B3352" s="122">
        <v>4.8009259259259258E-2</v>
      </c>
      <c r="C3352" s="26" t="s">
        <v>1059</v>
      </c>
    </row>
    <row r="3353" spans="1:3" x14ac:dyDescent="0.25">
      <c r="A3353" s="36">
        <v>41218</v>
      </c>
      <c r="B3353" s="122">
        <v>4.8854166666666664E-2</v>
      </c>
      <c r="C3353" s="26" t="s">
        <v>1718</v>
      </c>
    </row>
    <row r="3354" spans="1:3" x14ac:dyDescent="0.25">
      <c r="A3354" s="36">
        <v>41218</v>
      </c>
      <c r="B3354" s="122">
        <v>4.925925925925926E-2</v>
      </c>
      <c r="C3354" s="26" t="s">
        <v>1731</v>
      </c>
    </row>
    <row r="3355" spans="1:3" x14ac:dyDescent="0.25">
      <c r="A3355" s="36">
        <v>41218</v>
      </c>
      <c r="B3355" s="122">
        <v>5.0995370370370365E-2</v>
      </c>
      <c r="C3355" s="26" t="s">
        <v>1731</v>
      </c>
    </row>
    <row r="3356" spans="1:3" x14ac:dyDescent="0.25">
      <c r="A3356" s="36">
        <v>41218</v>
      </c>
      <c r="B3356" s="122">
        <v>5.1018518518518519E-2</v>
      </c>
      <c r="C3356" s="26" t="s">
        <v>1225</v>
      </c>
    </row>
    <row r="3357" spans="1:3" x14ac:dyDescent="0.25">
      <c r="A3357" s="36">
        <v>41218</v>
      </c>
      <c r="B3357" s="122">
        <v>5.151620370370371E-2</v>
      </c>
      <c r="C3357" s="26" t="s">
        <v>1226</v>
      </c>
    </row>
    <row r="3358" spans="1:3" x14ac:dyDescent="0.25">
      <c r="A3358" s="36">
        <v>41218</v>
      </c>
      <c r="B3358" s="122">
        <v>5.1562500000000004E-2</v>
      </c>
      <c r="C3358" s="26" t="s">
        <v>1057</v>
      </c>
    </row>
    <row r="3359" spans="1:3" x14ac:dyDescent="0.25">
      <c r="A3359" s="36">
        <v>41218</v>
      </c>
      <c r="B3359" s="122">
        <v>5.1643518518518526E-2</v>
      </c>
      <c r="C3359" s="26" t="s">
        <v>1063</v>
      </c>
    </row>
    <row r="3360" spans="1:3" x14ac:dyDescent="0.25">
      <c r="A3360" s="36">
        <v>41218</v>
      </c>
      <c r="B3360" s="122">
        <v>5.1724537037037034E-2</v>
      </c>
      <c r="C3360" s="26" t="s">
        <v>1064</v>
      </c>
    </row>
    <row r="3361" spans="1:3" x14ac:dyDescent="0.25">
      <c r="A3361" s="36">
        <v>41218</v>
      </c>
      <c r="B3361" s="122">
        <v>5.2164351851851858E-2</v>
      </c>
      <c r="C3361" s="26" t="s">
        <v>1065</v>
      </c>
    </row>
    <row r="3362" spans="1:3" x14ac:dyDescent="0.25">
      <c r="A3362" s="36">
        <v>41218</v>
      </c>
      <c r="B3362" s="122">
        <v>5.2812500000000005E-2</v>
      </c>
      <c r="C3362" s="26" t="s">
        <v>1714</v>
      </c>
    </row>
    <row r="3363" spans="1:3" x14ac:dyDescent="0.25">
      <c r="A3363" s="36">
        <v>41218</v>
      </c>
      <c r="B3363" s="122">
        <v>5.2812500000000005E-2</v>
      </c>
      <c r="C3363" s="26" t="s">
        <v>1736</v>
      </c>
    </row>
    <row r="3364" spans="1:3" x14ac:dyDescent="0.25">
      <c r="A3364" s="36">
        <v>41218</v>
      </c>
      <c r="B3364" s="122">
        <v>5.2847222222222219E-2</v>
      </c>
      <c r="C3364" s="26" t="s">
        <v>1737</v>
      </c>
    </row>
    <row r="3365" spans="1:3" x14ac:dyDescent="0.25">
      <c r="A3365" s="36">
        <v>41218</v>
      </c>
      <c r="B3365" s="122">
        <v>5.3055555555555557E-2</v>
      </c>
      <c r="C3365" s="26" t="s">
        <v>1074</v>
      </c>
    </row>
    <row r="3366" spans="1:3" x14ac:dyDescent="0.25">
      <c r="A3366" s="36">
        <v>41218</v>
      </c>
      <c r="B3366" s="122">
        <v>5.3298611111111116E-2</v>
      </c>
      <c r="C3366" s="26" t="s">
        <v>1738</v>
      </c>
    </row>
    <row r="3367" spans="1:3" x14ac:dyDescent="0.25">
      <c r="A3367" s="36">
        <v>41218</v>
      </c>
      <c r="B3367" s="122">
        <v>5.3356481481481477E-2</v>
      </c>
      <c r="C3367" s="26" t="s">
        <v>1075</v>
      </c>
    </row>
    <row r="3368" spans="1:3" x14ac:dyDescent="0.25">
      <c r="A3368" s="36">
        <v>41218</v>
      </c>
      <c r="B3368" s="122">
        <v>5.3495370370370367E-2</v>
      </c>
      <c r="C3368" s="26" t="s">
        <v>1076</v>
      </c>
    </row>
    <row r="3369" spans="1:3" x14ac:dyDescent="0.25">
      <c r="A3369" s="36">
        <v>41218</v>
      </c>
      <c r="B3369" s="122">
        <v>5.4745370370370368E-2</v>
      </c>
      <c r="C3369" s="26" t="s">
        <v>1721</v>
      </c>
    </row>
    <row r="3370" spans="1:3" x14ac:dyDescent="0.25">
      <c r="A3370" s="36">
        <v>41218</v>
      </c>
      <c r="B3370" s="122">
        <v>5.4745370370370368E-2</v>
      </c>
      <c r="C3370" s="26" t="s">
        <v>992</v>
      </c>
    </row>
    <row r="3371" spans="1:3" x14ac:dyDescent="0.25">
      <c r="A3371" s="36">
        <v>41218</v>
      </c>
      <c r="B3371" s="122">
        <v>5.4745370370370368E-2</v>
      </c>
      <c r="C3371" s="26" t="s">
        <v>1084</v>
      </c>
    </row>
    <row r="3372" spans="1:3" x14ac:dyDescent="0.25">
      <c r="A3372" s="36">
        <v>41218</v>
      </c>
      <c r="B3372" s="122">
        <v>5.4745370370370368E-2</v>
      </c>
      <c r="C3372" s="26" t="s">
        <v>1085</v>
      </c>
    </row>
    <row r="3373" spans="1:3" x14ac:dyDescent="0.25">
      <c r="A3373" s="36">
        <v>41218</v>
      </c>
      <c r="B3373" s="122">
        <v>5.4745370370370368E-2</v>
      </c>
      <c r="C3373" s="26" t="s">
        <v>1086</v>
      </c>
    </row>
    <row r="3374" spans="1:3" x14ac:dyDescent="0.25">
      <c r="A3374" s="36">
        <v>41218</v>
      </c>
      <c r="B3374" s="122">
        <v>5.4745370370370368E-2</v>
      </c>
      <c r="C3374" s="26" t="s">
        <v>1085</v>
      </c>
    </row>
    <row r="3375" spans="1:3" x14ac:dyDescent="0.25">
      <c r="A3375" s="36">
        <v>41218</v>
      </c>
      <c r="B3375" s="122">
        <v>5.4745370370370368E-2</v>
      </c>
      <c r="C3375" s="26" t="s">
        <v>1087</v>
      </c>
    </row>
    <row r="3376" spans="1:3" x14ac:dyDescent="0.25">
      <c r="A3376" s="36">
        <v>41218</v>
      </c>
      <c r="B3376" s="122">
        <v>5.4745370370370368E-2</v>
      </c>
      <c r="C3376" s="26" t="s">
        <v>1088</v>
      </c>
    </row>
    <row r="3377" spans="1:3" x14ac:dyDescent="0.25">
      <c r="A3377" s="36">
        <v>41218</v>
      </c>
      <c r="B3377" s="122">
        <v>5.4745370370370368E-2</v>
      </c>
      <c r="C3377" s="26" t="s">
        <v>1088</v>
      </c>
    </row>
    <row r="3378" spans="1:3" x14ac:dyDescent="0.25">
      <c r="A3378" s="36">
        <v>41218</v>
      </c>
      <c r="B3378" s="122">
        <v>5.4745370370370368E-2</v>
      </c>
      <c r="C3378" s="26" t="s">
        <v>1092</v>
      </c>
    </row>
    <row r="3379" spans="1:3" x14ac:dyDescent="0.25">
      <c r="A3379" s="36">
        <v>41218</v>
      </c>
      <c r="B3379" s="122">
        <v>5.4745370370370368E-2</v>
      </c>
      <c r="C3379" s="26" t="s">
        <v>1722</v>
      </c>
    </row>
    <row r="3380" spans="1:3" x14ac:dyDescent="0.25">
      <c r="A3380" s="36">
        <v>41218</v>
      </c>
      <c r="B3380" s="122">
        <v>5.4745370370370368E-2</v>
      </c>
      <c r="C3380" s="26" t="s">
        <v>1723</v>
      </c>
    </row>
    <row r="3381" spans="1:3" x14ac:dyDescent="0.25">
      <c r="A3381" s="36">
        <v>41218</v>
      </c>
      <c r="B3381" s="122">
        <v>5.4745370370370368E-2</v>
      </c>
      <c r="C3381" s="26" t="s">
        <v>1722</v>
      </c>
    </row>
    <row r="3382" spans="1:3" x14ac:dyDescent="0.25">
      <c r="A3382" s="36">
        <v>41218</v>
      </c>
      <c r="B3382" s="122">
        <v>5.4745370370370368E-2</v>
      </c>
      <c r="C3382" s="26" t="s">
        <v>1724</v>
      </c>
    </row>
    <row r="3383" spans="1:3" x14ac:dyDescent="0.25">
      <c r="A3383" s="36">
        <v>41218</v>
      </c>
      <c r="B3383" s="122">
        <v>5.4745370370370368E-2</v>
      </c>
      <c r="C3383" s="26" t="s">
        <v>1725</v>
      </c>
    </row>
    <row r="3384" spans="1:3" x14ac:dyDescent="0.25">
      <c r="A3384" s="36">
        <v>41218</v>
      </c>
      <c r="B3384" s="122">
        <v>5.5509259259259258E-2</v>
      </c>
      <c r="C3384" s="26" t="s">
        <v>1721</v>
      </c>
    </row>
    <row r="3385" spans="1:3" x14ac:dyDescent="0.25">
      <c r="A3385" s="36">
        <v>41218</v>
      </c>
      <c r="B3385" s="122">
        <v>5.5509259259259258E-2</v>
      </c>
      <c r="C3385" s="26" t="s">
        <v>992</v>
      </c>
    </row>
    <row r="3386" spans="1:3" x14ac:dyDescent="0.25">
      <c r="A3386" s="36">
        <v>41218</v>
      </c>
      <c r="B3386" s="122">
        <v>5.5509259259259258E-2</v>
      </c>
      <c r="C3386" s="26" t="s">
        <v>1084</v>
      </c>
    </row>
    <row r="3387" spans="1:3" x14ac:dyDescent="0.25">
      <c r="A3387" s="36">
        <v>41218</v>
      </c>
      <c r="B3387" s="122">
        <v>5.5509259259259258E-2</v>
      </c>
      <c r="C3387" s="26" t="s">
        <v>1085</v>
      </c>
    </row>
    <row r="3388" spans="1:3" x14ac:dyDescent="0.25">
      <c r="A3388" s="36">
        <v>41218</v>
      </c>
      <c r="B3388" s="122">
        <v>5.5509259259259258E-2</v>
      </c>
      <c r="C3388" s="26" t="s">
        <v>1086</v>
      </c>
    </row>
    <row r="3389" spans="1:3" x14ac:dyDescent="0.25">
      <c r="A3389" s="36">
        <v>41218</v>
      </c>
      <c r="B3389" s="122">
        <v>5.5509259259259258E-2</v>
      </c>
      <c r="C3389" s="26" t="s">
        <v>1085</v>
      </c>
    </row>
    <row r="3390" spans="1:3" x14ac:dyDescent="0.25">
      <c r="A3390" s="36">
        <v>41218</v>
      </c>
      <c r="B3390" s="122">
        <v>5.5509259259259258E-2</v>
      </c>
      <c r="C3390" s="26" t="s">
        <v>1087</v>
      </c>
    </row>
    <row r="3391" spans="1:3" x14ac:dyDescent="0.25">
      <c r="A3391" s="36">
        <v>41218</v>
      </c>
      <c r="B3391" s="122">
        <v>5.5509259259259258E-2</v>
      </c>
      <c r="C3391" s="26" t="s">
        <v>1088</v>
      </c>
    </row>
    <row r="3392" spans="1:3" x14ac:dyDescent="0.25">
      <c r="A3392" s="36">
        <v>41218</v>
      </c>
      <c r="B3392" s="122">
        <v>5.5509259259259258E-2</v>
      </c>
      <c r="C3392" s="26" t="s">
        <v>1088</v>
      </c>
    </row>
    <row r="3393" spans="1:3" x14ac:dyDescent="0.25">
      <c r="A3393" s="36">
        <v>41218</v>
      </c>
      <c r="B3393" s="122">
        <v>5.5509259259259258E-2</v>
      </c>
      <c r="C3393" s="26" t="s">
        <v>1092</v>
      </c>
    </row>
    <row r="3394" spans="1:3" x14ac:dyDescent="0.25">
      <c r="A3394" s="36">
        <v>41218</v>
      </c>
      <c r="B3394" s="122">
        <v>5.5509259259259258E-2</v>
      </c>
      <c r="C3394" s="26" t="s">
        <v>1722</v>
      </c>
    </row>
    <row r="3395" spans="1:3" x14ac:dyDescent="0.25">
      <c r="A3395" s="36">
        <v>41218</v>
      </c>
      <c r="B3395" s="122">
        <v>5.5509259259259258E-2</v>
      </c>
      <c r="C3395" s="26" t="s">
        <v>1723</v>
      </c>
    </row>
    <row r="3396" spans="1:3" x14ac:dyDescent="0.25">
      <c r="A3396" s="36">
        <v>41218</v>
      </c>
      <c r="B3396" s="122">
        <v>5.5509259259259258E-2</v>
      </c>
      <c r="C3396" s="26" t="s">
        <v>1722</v>
      </c>
    </row>
    <row r="3397" spans="1:3" x14ac:dyDescent="0.25">
      <c r="A3397" s="36">
        <v>41218</v>
      </c>
      <c r="B3397" s="122">
        <v>5.5509259259259258E-2</v>
      </c>
      <c r="C3397" s="26" t="s">
        <v>1724</v>
      </c>
    </row>
    <row r="3398" spans="1:3" x14ac:dyDescent="0.25">
      <c r="A3398" s="36">
        <v>41218</v>
      </c>
      <c r="B3398" s="122">
        <v>5.5509259259259258E-2</v>
      </c>
      <c r="C3398" s="26" t="s">
        <v>1725</v>
      </c>
    </row>
    <row r="3399" spans="1:3" x14ac:dyDescent="0.25">
      <c r="A3399" s="36">
        <v>41218</v>
      </c>
      <c r="B3399" s="122">
        <v>5.5509259259259258E-2</v>
      </c>
      <c r="C3399" s="26" t="s">
        <v>1562</v>
      </c>
    </row>
    <row r="3400" spans="1:3" x14ac:dyDescent="0.25">
      <c r="A3400" s="36">
        <v>41218</v>
      </c>
      <c r="B3400" s="122">
        <v>5.5787037037037031E-2</v>
      </c>
      <c r="C3400" s="26" t="s">
        <v>1122</v>
      </c>
    </row>
    <row r="3401" spans="1:3" x14ac:dyDescent="0.25">
      <c r="A3401" s="36">
        <v>41218</v>
      </c>
      <c r="B3401" s="122">
        <v>9.0740740740740733E-2</v>
      </c>
      <c r="C3401" s="26" t="s">
        <v>1122</v>
      </c>
    </row>
    <row r="3402" spans="1:3" x14ac:dyDescent="0.25">
      <c r="A3402" s="36">
        <v>41218</v>
      </c>
      <c r="B3402" s="122">
        <v>9.6458333333333326E-2</v>
      </c>
      <c r="C3402" s="26" t="s">
        <v>1122</v>
      </c>
    </row>
    <row r="3403" spans="1:3" x14ac:dyDescent="0.25">
      <c r="A3403" s="36">
        <v>41218</v>
      </c>
      <c r="B3403" s="122">
        <v>0.10002314814814815</v>
      </c>
      <c r="C3403" s="26" t="s">
        <v>1122</v>
      </c>
    </row>
    <row r="3404" spans="1:3" x14ac:dyDescent="0.25">
      <c r="A3404" s="36">
        <v>41218</v>
      </c>
      <c r="B3404" s="122">
        <v>0.10097222222222223</v>
      </c>
      <c r="C3404" s="26" t="s">
        <v>1122</v>
      </c>
    </row>
    <row r="3405" spans="1:3" x14ac:dyDescent="0.25">
      <c r="A3405" s="36">
        <v>41218</v>
      </c>
      <c r="B3405" s="122">
        <v>0.10234953703703703</v>
      </c>
      <c r="C3405" s="26" t="s">
        <v>1122</v>
      </c>
    </row>
    <row r="3406" spans="1:3" x14ac:dyDescent="0.25">
      <c r="A3406" s="36">
        <v>41218</v>
      </c>
      <c r="B3406" s="122">
        <v>0.10332175925925925</v>
      </c>
      <c r="C3406" s="26" t="s">
        <v>1122</v>
      </c>
    </row>
    <row r="3407" spans="1:3" x14ac:dyDescent="0.25">
      <c r="A3407" s="36">
        <v>41218</v>
      </c>
      <c r="B3407" s="122">
        <v>0.10547453703703703</v>
      </c>
      <c r="C3407" s="26" t="s">
        <v>1122</v>
      </c>
    </row>
    <row r="3408" spans="1:3" x14ac:dyDescent="0.25">
      <c r="A3408" s="36">
        <v>41218</v>
      </c>
      <c r="B3408" s="122">
        <v>0.10876157407407407</v>
      </c>
      <c r="C3408" s="26" t="s">
        <v>1122</v>
      </c>
    </row>
    <row r="3409" spans="1:3" x14ac:dyDescent="0.25">
      <c r="A3409" s="36">
        <v>41218</v>
      </c>
      <c r="B3409" s="122">
        <v>0.13343750000000001</v>
      </c>
      <c r="C3409" s="26" t="s">
        <v>1122</v>
      </c>
    </row>
    <row r="3410" spans="1:3" x14ac:dyDescent="0.25">
      <c r="A3410" s="36">
        <v>41218</v>
      </c>
      <c r="B3410" s="122">
        <v>0.13723379629629631</v>
      </c>
      <c r="C3410" s="26" t="s">
        <v>1122</v>
      </c>
    </row>
    <row r="3411" spans="1:3" x14ac:dyDescent="0.25">
      <c r="A3411" s="36">
        <v>41218</v>
      </c>
      <c r="B3411" s="122">
        <v>0.13755787037037037</v>
      </c>
      <c r="C3411" s="26" t="s">
        <v>1740</v>
      </c>
    </row>
    <row r="3412" spans="1:3" x14ac:dyDescent="0.25">
      <c r="A3412" s="36">
        <v>41218</v>
      </c>
      <c r="B3412" s="122">
        <v>0.13755787037037037</v>
      </c>
      <c r="C3412" s="26" t="s">
        <v>1741</v>
      </c>
    </row>
    <row r="3413" spans="1:3" x14ac:dyDescent="0.25">
      <c r="A3413" s="36">
        <v>41218</v>
      </c>
      <c r="B3413" s="122">
        <v>0.13756944444444444</v>
      </c>
      <c r="C3413" s="26" t="s">
        <v>1742</v>
      </c>
    </row>
    <row r="3414" spans="1:3" x14ac:dyDescent="0.25">
      <c r="A3414" s="36">
        <v>41218</v>
      </c>
      <c r="B3414" s="122">
        <v>0.13756944444444444</v>
      </c>
      <c r="C3414" s="26" t="s">
        <v>1743</v>
      </c>
    </row>
    <row r="3415" spans="1:3" x14ac:dyDescent="0.25">
      <c r="A3415" s="36">
        <v>41218</v>
      </c>
      <c r="B3415" s="122">
        <v>0.1375925925925926</v>
      </c>
      <c r="C3415" s="26" t="s">
        <v>1744</v>
      </c>
    </row>
    <row r="3416" spans="1:3" x14ac:dyDescent="0.25">
      <c r="A3416" s="36">
        <v>41218</v>
      </c>
      <c r="B3416" s="122">
        <v>0.1375925925925926</v>
      </c>
      <c r="C3416" s="26" t="s">
        <v>1745</v>
      </c>
    </row>
    <row r="3417" spans="1:3" x14ac:dyDescent="0.25">
      <c r="A3417" s="36">
        <v>41218</v>
      </c>
      <c r="B3417" s="122">
        <v>0.13793981481481482</v>
      </c>
      <c r="C3417" s="26" t="s">
        <v>1637</v>
      </c>
    </row>
    <row r="3418" spans="1:3" x14ac:dyDescent="0.25">
      <c r="A3418" s="36">
        <v>41218</v>
      </c>
      <c r="B3418" s="122">
        <v>0.13793981481481482</v>
      </c>
      <c r="C3418" s="26" t="s">
        <v>1638</v>
      </c>
    </row>
    <row r="3419" spans="1:3" x14ac:dyDescent="0.25">
      <c r="A3419" s="36">
        <v>41218</v>
      </c>
      <c r="B3419" s="122">
        <v>0.13795138888888889</v>
      </c>
      <c r="C3419" s="26" t="s">
        <v>1746</v>
      </c>
    </row>
    <row r="3420" spans="1:3" x14ac:dyDescent="0.25">
      <c r="A3420" s="36">
        <v>41218</v>
      </c>
      <c r="B3420" s="122">
        <v>0.13795138888888889</v>
      </c>
      <c r="C3420" s="26" t="s">
        <v>1747</v>
      </c>
    </row>
    <row r="3421" spans="1:3" x14ac:dyDescent="0.25">
      <c r="A3421" s="36">
        <v>41218</v>
      </c>
      <c r="B3421" s="122">
        <v>0.63010416666666669</v>
      </c>
      <c r="C3421" s="26" t="s">
        <v>1748</v>
      </c>
    </row>
    <row r="3422" spans="1:3" x14ac:dyDescent="0.25">
      <c r="A3422" s="36">
        <v>41218</v>
      </c>
      <c r="B3422" s="122">
        <v>0.63103009259259257</v>
      </c>
      <c r="C3422" s="26" t="s">
        <v>1749</v>
      </c>
    </row>
    <row r="3423" spans="1:3" x14ac:dyDescent="0.25">
      <c r="A3423" s="36">
        <v>41218</v>
      </c>
      <c r="B3423" s="122">
        <v>0.67944444444444441</v>
      </c>
      <c r="C3423" s="26" t="s">
        <v>1750</v>
      </c>
    </row>
    <row r="3424" spans="1:3" x14ac:dyDescent="0.25">
      <c r="A3424" s="36">
        <v>41218</v>
      </c>
      <c r="B3424" s="122">
        <v>0.67983796296296306</v>
      </c>
      <c r="C3424" s="26" t="s">
        <v>1751</v>
      </c>
    </row>
    <row r="3425" spans="1:3" x14ac:dyDescent="0.25">
      <c r="A3425" s="36">
        <v>41218</v>
      </c>
      <c r="B3425" s="122">
        <v>0.77629629629629626</v>
      </c>
      <c r="C3425" s="26" t="s">
        <v>1122</v>
      </c>
    </row>
    <row r="3426" spans="1:3" x14ac:dyDescent="0.25">
      <c r="A3426" s="36">
        <v>41218</v>
      </c>
      <c r="B3426" s="122">
        <v>0.78168981481481481</v>
      </c>
      <c r="C3426" s="26" t="s">
        <v>1740</v>
      </c>
    </row>
    <row r="3427" spans="1:3" x14ac:dyDescent="0.25">
      <c r="A3427" s="36">
        <v>41218</v>
      </c>
      <c r="B3427" s="122">
        <v>0.78168981481481481</v>
      </c>
      <c r="C3427" s="26" t="s">
        <v>1741</v>
      </c>
    </row>
    <row r="3428" spans="1:3" x14ac:dyDescent="0.25">
      <c r="A3428" s="36">
        <v>41218</v>
      </c>
      <c r="B3428" s="122">
        <v>0.78170138888888896</v>
      </c>
      <c r="C3428" s="26" t="s">
        <v>1742</v>
      </c>
    </row>
    <row r="3429" spans="1:3" x14ac:dyDescent="0.25">
      <c r="A3429" s="36">
        <v>41218</v>
      </c>
      <c r="B3429" s="122">
        <v>0.78170138888888896</v>
      </c>
      <c r="C3429" s="26" t="s">
        <v>1743</v>
      </c>
    </row>
    <row r="3430" spans="1:3" x14ac:dyDescent="0.25">
      <c r="A3430" s="36">
        <v>41218</v>
      </c>
      <c r="B3430" s="122">
        <v>0.781712962962963</v>
      </c>
      <c r="C3430" s="26" t="s">
        <v>1744</v>
      </c>
    </row>
    <row r="3431" spans="1:3" x14ac:dyDescent="0.25">
      <c r="A3431" s="36">
        <v>41218</v>
      </c>
      <c r="B3431" s="122">
        <v>0.781712962962963</v>
      </c>
      <c r="C3431" s="26" t="s">
        <v>1745</v>
      </c>
    </row>
    <row r="3432" spans="1:3" x14ac:dyDescent="0.25">
      <c r="A3432" s="36">
        <v>41218</v>
      </c>
      <c r="B3432" s="122">
        <v>0.79281250000000003</v>
      </c>
      <c r="C3432" s="26" t="s">
        <v>1753</v>
      </c>
    </row>
    <row r="3433" spans="1:3" x14ac:dyDescent="0.25">
      <c r="A3433" s="36">
        <v>41218</v>
      </c>
      <c r="B3433" s="122">
        <v>0.79394675925925917</v>
      </c>
      <c r="C3433" s="26" t="s">
        <v>1122</v>
      </c>
    </row>
    <row r="3434" spans="1:3" x14ac:dyDescent="0.25">
      <c r="A3434" s="36">
        <v>41218</v>
      </c>
      <c r="B3434" s="122">
        <v>0.79603009259259261</v>
      </c>
      <c r="C3434" s="26" t="s">
        <v>1721</v>
      </c>
    </row>
    <row r="3435" spans="1:3" x14ac:dyDescent="0.25">
      <c r="A3435" s="36">
        <v>41218</v>
      </c>
      <c r="B3435" s="122">
        <v>0.79603009259259261</v>
      </c>
      <c r="C3435" s="26" t="s">
        <v>992</v>
      </c>
    </row>
    <row r="3436" spans="1:3" x14ac:dyDescent="0.25">
      <c r="A3436" s="36">
        <v>41218</v>
      </c>
      <c r="B3436" s="122">
        <v>0.79603009259259261</v>
      </c>
      <c r="C3436" s="26" t="s">
        <v>1084</v>
      </c>
    </row>
    <row r="3437" spans="1:3" x14ac:dyDescent="0.25">
      <c r="A3437" s="36">
        <v>41218</v>
      </c>
      <c r="B3437" s="122">
        <v>0.79603009259259261</v>
      </c>
      <c r="C3437" s="26" t="s">
        <v>1085</v>
      </c>
    </row>
    <row r="3438" spans="1:3" x14ac:dyDescent="0.25">
      <c r="A3438" s="36">
        <v>41218</v>
      </c>
      <c r="B3438" s="122">
        <v>0.79603009259259261</v>
      </c>
      <c r="C3438" s="26" t="s">
        <v>1086</v>
      </c>
    </row>
    <row r="3439" spans="1:3" x14ac:dyDescent="0.25">
      <c r="A3439" s="36">
        <v>41218</v>
      </c>
      <c r="B3439" s="122">
        <v>0.79603009259259261</v>
      </c>
      <c r="C3439" s="26" t="s">
        <v>1085</v>
      </c>
    </row>
    <row r="3440" spans="1:3" x14ac:dyDescent="0.25">
      <c r="A3440" s="36">
        <v>41218</v>
      </c>
      <c r="B3440" s="122">
        <v>0.79603009259259261</v>
      </c>
      <c r="C3440" s="26" t="s">
        <v>1087</v>
      </c>
    </row>
    <row r="3441" spans="1:3" x14ac:dyDescent="0.25">
      <c r="A3441" s="36">
        <v>41218</v>
      </c>
      <c r="B3441" s="122">
        <v>0.79603009259259261</v>
      </c>
      <c r="C3441" s="26" t="s">
        <v>1088</v>
      </c>
    </row>
    <row r="3442" spans="1:3" x14ac:dyDescent="0.25">
      <c r="A3442" s="36">
        <v>41218</v>
      </c>
      <c r="B3442" s="122">
        <v>0.79603009259259261</v>
      </c>
      <c r="C3442" s="26" t="s">
        <v>1088</v>
      </c>
    </row>
    <row r="3443" spans="1:3" x14ac:dyDescent="0.25">
      <c r="A3443" s="36">
        <v>41218</v>
      </c>
      <c r="B3443" s="122">
        <v>0.79603009259259261</v>
      </c>
      <c r="C3443" s="26" t="s">
        <v>1092</v>
      </c>
    </row>
    <row r="3444" spans="1:3" x14ac:dyDescent="0.25">
      <c r="A3444" s="36">
        <v>41218</v>
      </c>
      <c r="B3444" s="122">
        <v>0.79603009259259261</v>
      </c>
      <c r="C3444" s="26" t="s">
        <v>1722</v>
      </c>
    </row>
    <row r="3445" spans="1:3" x14ac:dyDescent="0.25">
      <c r="A3445" s="36">
        <v>41218</v>
      </c>
      <c r="B3445" s="122">
        <v>0.79603009259259261</v>
      </c>
      <c r="C3445" s="26" t="s">
        <v>1723</v>
      </c>
    </row>
    <row r="3446" spans="1:3" x14ac:dyDescent="0.25">
      <c r="A3446" s="36">
        <v>41218</v>
      </c>
      <c r="B3446" s="122">
        <v>0.79603009259259261</v>
      </c>
      <c r="C3446" s="26" t="s">
        <v>1722</v>
      </c>
    </row>
    <row r="3447" spans="1:3" x14ac:dyDescent="0.25">
      <c r="A3447" s="36">
        <v>41218</v>
      </c>
      <c r="B3447" s="122">
        <v>0.79603009259259261</v>
      </c>
      <c r="C3447" s="26" t="s">
        <v>1724</v>
      </c>
    </row>
    <row r="3448" spans="1:3" x14ac:dyDescent="0.25">
      <c r="A3448" s="36">
        <v>41218</v>
      </c>
      <c r="B3448" s="122">
        <v>0.79603009259259261</v>
      </c>
      <c r="C3448" s="26" t="s">
        <v>1725</v>
      </c>
    </row>
    <row r="3449" spans="1:3" x14ac:dyDescent="0.25">
      <c r="A3449" s="36">
        <v>41218</v>
      </c>
      <c r="B3449" s="122">
        <v>0.79603009259259261</v>
      </c>
      <c r="C3449" s="26" t="s">
        <v>1562</v>
      </c>
    </row>
    <row r="3450" spans="1:3" x14ac:dyDescent="0.25">
      <c r="A3450" s="36">
        <v>41218</v>
      </c>
      <c r="B3450" s="122">
        <v>0.79626157407407405</v>
      </c>
      <c r="C3450" s="26" t="s">
        <v>1122</v>
      </c>
    </row>
    <row r="3451" spans="1:3" x14ac:dyDescent="0.25">
      <c r="A3451" s="36">
        <v>41218</v>
      </c>
      <c r="B3451" s="122">
        <v>0.79706018518518518</v>
      </c>
      <c r="C3451" s="26" t="s">
        <v>1122</v>
      </c>
    </row>
    <row r="3452" spans="1:3" x14ac:dyDescent="0.25">
      <c r="A3452" s="36">
        <v>41218</v>
      </c>
      <c r="B3452" s="122">
        <v>0.79768518518518527</v>
      </c>
      <c r="C3452" s="26" t="s">
        <v>1740</v>
      </c>
    </row>
    <row r="3453" spans="1:3" x14ac:dyDescent="0.25">
      <c r="A3453" s="36">
        <v>41218</v>
      </c>
      <c r="B3453" s="122">
        <v>0.79768518518518527</v>
      </c>
      <c r="C3453" s="26" t="s">
        <v>1741</v>
      </c>
    </row>
    <row r="3454" spans="1:3" x14ac:dyDescent="0.25">
      <c r="A3454" s="36">
        <v>41218</v>
      </c>
      <c r="B3454" s="122">
        <v>0.7976967592592592</v>
      </c>
      <c r="C3454" s="26" t="s">
        <v>1742</v>
      </c>
    </row>
    <row r="3455" spans="1:3" x14ac:dyDescent="0.25">
      <c r="A3455" s="36">
        <v>41218</v>
      </c>
      <c r="B3455" s="122">
        <v>0.7976967592592592</v>
      </c>
      <c r="C3455" s="26" t="s">
        <v>1743</v>
      </c>
    </row>
    <row r="3456" spans="1:3" x14ac:dyDescent="0.25">
      <c r="A3456" s="36">
        <v>41218</v>
      </c>
      <c r="B3456" s="122">
        <v>0.79770833333333335</v>
      </c>
      <c r="C3456" s="26" t="s">
        <v>1744</v>
      </c>
    </row>
    <row r="3457" spans="1:3" x14ac:dyDescent="0.25">
      <c r="A3457" s="36">
        <v>41218</v>
      </c>
      <c r="B3457" s="122">
        <v>0.79770833333333335</v>
      </c>
      <c r="C3457" s="26" t="s">
        <v>1745</v>
      </c>
    </row>
    <row r="3458" spans="1:3" x14ac:dyDescent="0.25">
      <c r="A3458" s="36">
        <v>41218</v>
      </c>
      <c r="B3458" s="122">
        <v>0.79797453703703702</v>
      </c>
      <c r="C3458" s="26" t="s">
        <v>1637</v>
      </c>
    </row>
    <row r="3459" spans="1:3" x14ac:dyDescent="0.25">
      <c r="A3459" s="36">
        <v>41218</v>
      </c>
      <c r="B3459" s="122">
        <v>0.79797453703703702</v>
      </c>
      <c r="C3459" s="26" t="s">
        <v>1638</v>
      </c>
    </row>
    <row r="3460" spans="1:3" x14ac:dyDescent="0.25">
      <c r="A3460" s="36">
        <v>41218</v>
      </c>
      <c r="B3460" s="122">
        <v>0.79798611111111117</v>
      </c>
      <c r="C3460" s="26" t="s">
        <v>1746</v>
      </c>
    </row>
    <row r="3461" spans="1:3" x14ac:dyDescent="0.25">
      <c r="A3461" s="36">
        <v>41218</v>
      </c>
      <c r="B3461" s="122">
        <v>0.79798611111111117</v>
      </c>
      <c r="C3461" s="26" t="s">
        <v>1747</v>
      </c>
    </row>
    <row r="3462" spans="1:3" x14ac:dyDescent="0.25">
      <c r="A3462" s="36">
        <v>41218</v>
      </c>
      <c r="B3462" s="122">
        <v>0.79842592592592598</v>
      </c>
      <c r="C3462" s="26" t="s">
        <v>1754</v>
      </c>
    </row>
    <row r="3463" spans="1:3" x14ac:dyDescent="0.25">
      <c r="A3463" s="36">
        <v>41218</v>
      </c>
      <c r="B3463" s="122">
        <v>0.79842592592592598</v>
      </c>
      <c r="C3463" s="26" t="s">
        <v>1755</v>
      </c>
    </row>
    <row r="3464" spans="1:3" x14ac:dyDescent="0.25">
      <c r="A3464" s="36">
        <v>41218</v>
      </c>
      <c r="B3464" s="122">
        <v>0.79891203703703706</v>
      </c>
      <c r="C3464" s="26" t="s">
        <v>1756</v>
      </c>
    </row>
    <row r="3465" spans="1:3" x14ac:dyDescent="0.25">
      <c r="A3465" s="36">
        <v>41218</v>
      </c>
      <c r="B3465" s="122">
        <v>0.80347222222222225</v>
      </c>
      <c r="C3465" s="26" t="s">
        <v>1721</v>
      </c>
    </row>
    <row r="3466" spans="1:3" x14ac:dyDescent="0.25">
      <c r="A3466" s="36">
        <v>41218</v>
      </c>
      <c r="B3466" s="122">
        <v>0.80347222222222225</v>
      </c>
      <c r="C3466" s="26" t="s">
        <v>992</v>
      </c>
    </row>
    <row r="3467" spans="1:3" x14ac:dyDescent="0.25">
      <c r="A3467" s="36">
        <v>41218</v>
      </c>
      <c r="B3467" s="122">
        <v>0.80347222222222225</v>
      </c>
      <c r="C3467" s="26" t="s">
        <v>1084</v>
      </c>
    </row>
    <row r="3468" spans="1:3" x14ac:dyDescent="0.25">
      <c r="A3468" s="36">
        <v>41218</v>
      </c>
      <c r="B3468" s="122">
        <v>0.80347222222222225</v>
      </c>
      <c r="C3468" s="26" t="s">
        <v>1085</v>
      </c>
    </row>
    <row r="3469" spans="1:3" x14ac:dyDescent="0.25">
      <c r="A3469" s="36">
        <v>41218</v>
      </c>
      <c r="B3469" s="122">
        <v>0.80347222222222225</v>
      </c>
      <c r="C3469" s="26" t="s">
        <v>1086</v>
      </c>
    </row>
    <row r="3470" spans="1:3" x14ac:dyDescent="0.25">
      <c r="A3470" s="36">
        <v>41218</v>
      </c>
      <c r="B3470" s="122">
        <v>0.80347222222222225</v>
      </c>
      <c r="C3470" s="26" t="s">
        <v>1085</v>
      </c>
    </row>
    <row r="3471" spans="1:3" x14ac:dyDescent="0.25">
      <c r="A3471" s="36">
        <v>41218</v>
      </c>
      <c r="B3471" s="122">
        <v>0.80347222222222225</v>
      </c>
      <c r="C3471" s="26" t="s">
        <v>1087</v>
      </c>
    </row>
    <row r="3472" spans="1:3" x14ac:dyDescent="0.25">
      <c r="A3472" s="36">
        <v>41218</v>
      </c>
      <c r="B3472" s="122">
        <v>0.80347222222222225</v>
      </c>
      <c r="C3472" s="26" t="s">
        <v>1088</v>
      </c>
    </row>
    <row r="3473" spans="1:3" x14ac:dyDescent="0.25">
      <c r="A3473" s="36">
        <v>41218</v>
      </c>
      <c r="B3473" s="122">
        <v>0.80347222222222225</v>
      </c>
      <c r="C3473" s="26" t="s">
        <v>1088</v>
      </c>
    </row>
    <row r="3474" spans="1:3" x14ac:dyDescent="0.25">
      <c r="A3474" s="36">
        <v>41218</v>
      </c>
      <c r="B3474" s="122">
        <v>0.80347222222222225</v>
      </c>
      <c r="C3474" s="26" t="s">
        <v>1092</v>
      </c>
    </row>
    <row r="3475" spans="1:3" x14ac:dyDescent="0.25">
      <c r="A3475" s="36">
        <v>41218</v>
      </c>
      <c r="B3475" s="122">
        <v>0.80347222222222225</v>
      </c>
      <c r="C3475" s="26" t="s">
        <v>1722</v>
      </c>
    </row>
    <row r="3476" spans="1:3" x14ac:dyDescent="0.25">
      <c r="A3476" s="36">
        <v>41218</v>
      </c>
      <c r="B3476" s="122">
        <v>0.80347222222222225</v>
      </c>
      <c r="C3476" s="26" t="s">
        <v>1723</v>
      </c>
    </row>
    <row r="3477" spans="1:3" x14ac:dyDescent="0.25">
      <c r="A3477" s="36">
        <v>41218</v>
      </c>
      <c r="B3477" s="122">
        <v>0.80347222222222225</v>
      </c>
      <c r="C3477" s="26" t="s">
        <v>1722</v>
      </c>
    </row>
    <row r="3478" spans="1:3" x14ac:dyDescent="0.25">
      <c r="A3478" s="36">
        <v>41218</v>
      </c>
      <c r="B3478" s="122">
        <v>0.80347222222222225</v>
      </c>
      <c r="C3478" s="26" t="s">
        <v>1724</v>
      </c>
    </row>
    <row r="3479" spans="1:3" x14ac:dyDescent="0.25">
      <c r="A3479" s="36">
        <v>41218</v>
      </c>
      <c r="B3479" s="122">
        <v>0.80347222222222225</v>
      </c>
      <c r="C3479" s="26" t="s">
        <v>1725</v>
      </c>
    </row>
    <row r="3480" spans="1:3" x14ac:dyDescent="0.25">
      <c r="A3480" s="36">
        <v>41218</v>
      </c>
      <c r="B3480" s="122">
        <v>0.80347222222222225</v>
      </c>
      <c r="C3480" s="26" t="s">
        <v>1562</v>
      </c>
    </row>
    <row r="3481" spans="1:3" x14ac:dyDescent="0.25">
      <c r="A3481" s="36">
        <v>41218</v>
      </c>
      <c r="B3481" s="122">
        <v>0.80378472222222219</v>
      </c>
      <c r="C3481" s="26" t="s">
        <v>1122</v>
      </c>
    </row>
    <row r="3482" spans="1:3" x14ac:dyDescent="0.25">
      <c r="A3482" s="36">
        <v>41218</v>
      </c>
      <c r="B3482" s="122">
        <v>0.80394675925925929</v>
      </c>
      <c r="C3482" s="26" t="s">
        <v>1740</v>
      </c>
    </row>
    <row r="3483" spans="1:3" x14ac:dyDescent="0.25">
      <c r="A3483" s="36">
        <v>41218</v>
      </c>
      <c r="B3483" s="122">
        <v>0.80394675925925929</v>
      </c>
      <c r="C3483" s="26" t="s">
        <v>1741</v>
      </c>
    </row>
    <row r="3484" spans="1:3" x14ac:dyDescent="0.25">
      <c r="A3484" s="36">
        <v>41218</v>
      </c>
      <c r="B3484" s="122">
        <v>0.80395833333333344</v>
      </c>
      <c r="C3484" s="26" t="s">
        <v>1742</v>
      </c>
    </row>
    <row r="3485" spans="1:3" x14ac:dyDescent="0.25">
      <c r="A3485" s="36">
        <v>41218</v>
      </c>
      <c r="B3485" s="122">
        <v>0.80395833333333344</v>
      </c>
      <c r="C3485" s="26" t="s">
        <v>1743</v>
      </c>
    </row>
    <row r="3486" spans="1:3" x14ac:dyDescent="0.25">
      <c r="A3486" s="36">
        <v>41218</v>
      </c>
      <c r="B3486" s="122">
        <v>0.80395833333333344</v>
      </c>
      <c r="C3486" s="26" t="s">
        <v>1744</v>
      </c>
    </row>
    <row r="3487" spans="1:3" x14ac:dyDescent="0.25">
      <c r="A3487" s="36">
        <v>41218</v>
      </c>
      <c r="B3487" s="122">
        <v>0.80395833333333344</v>
      </c>
      <c r="C3487" s="26" t="s">
        <v>1745</v>
      </c>
    </row>
    <row r="3488" spans="1:3" x14ac:dyDescent="0.25">
      <c r="A3488" s="36">
        <v>41218</v>
      </c>
      <c r="B3488" s="122">
        <v>0.80429398148148146</v>
      </c>
      <c r="C3488" s="26" t="s">
        <v>1637</v>
      </c>
    </row>
    <row r="3489" spans="1:3" x14ac:dyDescent="0.25">
      <c r="A3489" s="36">
        <v>41218</v>
      </c>
      <c r="B3489" s="122">
        <v>0.80429398148148146</v>
      </c>
      <c r="C3489" s="26" t="s">
        <v>1638</v>
      </c>
    </row>
    <row r="3490" spans="1:3" x14ac:dyDescent="0.25">
      <c r="A3490" s="36">
        <v>41218</v>
      </c>
      <c r="B3490" s="122">
        <v>0.80430555555555561</v>
      </c>
      <c r="C3490" s="26" t="s">
        <v>1746</v>
      </c>
    </row>
    <row r="3491" spans="1:3" x14ac:dyDescent="0.25">
      <c r="A3491" s="36">
        <v>41218</v>
      </c>
      <c r="B3491" s="122">
        <v>0.80430555555555561</v>
      </c>
      <c r="C3491" s="26" t="s">
        <v>1747</v>
      </c>
    </row>
    <row r="3492" spans="1:3" x14ac:dyDescent="0.25">
      <c r="A3492" s="36">
        <v>41218</v>
      </c>
      <c r="B3492" s="122">
        <v>0.80473379629629627</v>
      </c>
      <c r="C3492" s="26" t="s">
        <v>1754</v>
      </c>
    </row>
    <row r="3493" spans="1:3" x14ac:dyDescent="0.25">
      <c r="A3493" s="36">
        <v>41218</v>
      </c>
      <c r="B3493" s="122">
        <v>0.80473379629629627</v>
      </c>
      <c r="C3493" s="26" t="s">
        <v>1755</v>
      </c>
    </row>
    <row r="3494" spans="1:3" x14ac:dyDescent="0.25">
      <c r="A3494" s="36">
        <v>41218</v>
      </c>
      <c r="B3494" s="122">
        <v>0.80828703703703697</v>
      </c>
      <c r="C3494" s="26" t="s">
        <v>1553</v>
      </c>
    </row>
    <row r="3495" spans="1:3" x14ac:dyDescent="0.25">
      <c r="A3495" s="36">
        <v>41218</v>
      </c>
      <c r="B3495" s="122">
        <v>0.80952546296296291</v>
      </c>
      <c r="C3495" s="26" t="s">
        <v>1553</v>
      </c>
    </row>
    <row r="3496" spans="1:3" x14ac:dyDescent="0.25">
      <c r="A3496" s="36">
        <v>41218</v>
      </c>
      <c r="B3496" s="122">
        <v>0.81159722222222219</v>
      </c>
      <c r="C3496" s="26" t="s">
        <v>1757</v>
      </c>
    </row>
    <row r="3497" spans="1:3" x14ac:dyDescent="0.25">
      <c r="A3497" s="36">
        <v>41218</v>
      </c>
      <c r="B3497" s="122">
        <v>0.81229166666666675</v>
      </c>
      <c r="C3497" s="26" t="s">
        <v>1758</v>
      </c>
    </row>
    <row r="3498" spans="1:3" x14ac:dyDescent="0.25">
      <c r="A3498" s="36">
        <v>41218</v>
      </c>
      <c r="B3498" s="122">
        <v>0.81233796296296301</v>
      </c>
      <c r="C3498" s="26" t="s">
        <v>1179</v>
      </c>
    </row>
    <row r="3499" spans="1:3" x14ac:dyDescent="0.25">
      <c r="A3499" s="36">
        <v>41218</v>
      </c>
      <c r="B3499" s="122">
        <v>0.81233796296296301</v>
      </c>
      <c r="C3499" s="26" t="s">
        <v>1180</v>
      </c>
    </row>
    <row r="3500" spans="1:3" x14ac:dyDescent="0.25">
      <c r="A3500" s="36">
        <v>41218</v>
      </c>
      <c r="B3500" s="122">
        <v>0.8127199074074074</v>
      </c>
      <c r="C3500" s="26" t="s">
        <v>1759</v>
      </c>
    </row>
    <row r="3501" spans="1:3" x14ac:dyDescent="0.25">
      <c r="A3501" s="36">
        <v>41218</v>
      </c>
      <c r="B3501" s="122">
        <v>0.82143518518518521</v>
      </c>
      <c r="C3501" s="26" t="s">
        <v>1751</v>
      </c>
    </row>
    <row r="3502" spans="1:3" x14ac:dyDescent="0.25">
      <c r="A3502" s="36">
        <v>41218</v>
      </c>
      <c r="B3502" s="122">
        <v>0.8225231481481482</v>
      </c>
      <c r="C3502" s="26" t="s">
        <v>1760</v>
      </c>
    </row>
    <row r="3503" spans="1:3" x14ac:dyDescent="0.25">
      <c r="A3503" s="36">
        <v>41218</v>
      </c>
      <c r="B3503" s="122">
        <v>0.82267361111111104</v>
      </c>
      <c r="C3503" s="26" t="s">
        <v>1721</v>
      </c>
    </row>
    <row r="3504" spans="1:3" x14ac:dyDescent="0.25">
      <c r="A3504" s="36">
        <v>41218</v>
      </c>
      <c r="B3504" s="122">
        <v>0.82267361111111104</v>
      </c>
      <c r="C3504" s="26" t="s">
        <v>992</v>
      </c>
    </row>
    <row r="3505" spans="1:3" x14ac:dyDescent="0.25">
      <c r="A3505" s="36">
        <v>41218</v>
      </c>
      <c r="B3505" s="122">
        <v>0.82267361111111104</v>
      </c>
      <c r="C3505" s="26" t="s">
        <v>1084</v>
      </c>
    </row>
    <row r="3506" spans="1:3" x14ac:dyDescent="0.25">
      <c r="A3506" s="36">
        <v>41218</v>
      </c>
      <c r="B3506" s="122">
        <v>0.82267361111111104</v>
      </c>
      <c r="C3506" s="26" t="s">
        <v>1085</v>
      </c>
    </row>
    <row r="3507" spans="1:3" x14ac:dyDescent="0.25">
      <c r="A3507" s="36">
        <v>41218</v>
      </c>
      <c r="B3507" s="122">
        <v>0.82267361111111104</v>
      </c>
      <c r="C3507" s="26" t="s">
        <v>1086</v>
      </c>
    </row>
    <row r="3508" spans="1:3" x14ac:dyDescent="0.25">
      <c r="A3508" s="36">
        <v>41218</v>
      </c>
      <c r="B3508" s="122">
        <v>0.82267361111111104</v>
      </c>
      <c r="C3508" s="26" t="s">
        <v>1085</v>
      </c>
    </row>
    <row r="3509" spans="1:3" x14ac:dyDescent="0.25">
      <c r="A3509" s="36">
        <v>41218</v>
      </c>
      <c r="B3509" s="122">
        <v>0.82267361111111104</v>
      </c>
      <c r="C3509" s="26" t="s">
        <v>1087</v>
      </c>
    </row>
    <row r="3510" spans="1:3" x14ac:dyDescent="0.25">
      <c r="A3510" s="36">
        <v>41218</v>
      </c>
      <c r="B3510" s="122">
        <v>0.82267361111111104</v>
      </c>
      <c r="C3510" s="26" t="s">
        <v>1088</v>
      </c>
    </row>
    <row r="3511" spans="1:3" x14ac:dyDescent="0.25">
      <c r="A3511" s="36">
        <v>41218</v>
      </c>
      <c r="B3511" s="122">
        <v>0.82267361111111104</v>
      </c>
      <c r="C3511" s="26" t="s">
        <v>1088</v>
      </c>
    </row>
    <row r="3512" spans="1:3" x14ac:dyDescent="0.25">
      <c r="A3512" s="36">
        <v>41218</v>
      </c>
      <c r="B3512" s="122">
        <v>0.82267361111111104</v>
      </c>
      <c r="C3512" s="26" t="s">
        <v>1092</v>
      </c>
    </row>
    <row r="3513" spans="1:3" x14ac:dyDescent="0.25">
      <c r="A3513" s="36">
        <v>41218</v>
      </c>
      <c r="B3513" s="122">
        <v>0.82267361111111104</v>
      </c>
      <c r="C3513" s="26" t="s">
        <v>1722</v>
      </c>
    </row>
    <row r="3514" spans="1:3" x14ac:dyDescent="0.25">
      <c r="A3514" s="36">
        <v>41218</v>
      </c>
      <c r="B3514" s="122">
        <v>0.82267361111111104</v>
      </c>
      <c r="C3514" s="26" t="s">
        <v>1723</v>
      </c>
    </row>
    <row r="3515" spans="1:3" x14ac:dyDescent="0.25">
      <c r="A3515" s="36">
        <v>41218</v>
      </c>
      <c r="B3515" s="122">
        <v>0.82267361111111104</v>
      </c>
      <c r="C3515" s="26" t="s">
        <v>1722</v>
      </c>
    </row>
    <row r="3516" spans="1:3" x14ac:dyDescent="0.25">
      <c r="A3516" s="36">
        <v>41218</v>
      </c>
      <c r="B3516" s="122">
        <v>0.82267361111111104</v>
      </c>
      <c r="C3516" s="26" t="s">
        <v>1724</v>
      </c>
    </row>
    <row r="3517" spans="1:3" x14ac:dyDescent="0.25">
      <c r="A3517" s="36">
        <v>41218</v>
      </c>
      <c r="B3517" s="122">
        <v>0.82267361111111104</v>
      </c>
      <c r="C3517" s="26" t="s">
        <v>1725</v>
      </c>
    </row>
    <row r="3518" spans="1:3" x14ac:dyDescent="0.25">
      <c r="A3518" s="36">
        <v>41218</v>
      </c>
      <c r="B3518" s="122">
        <v>0.82267361111111104</v>
      </c>
      <c r="C3518" s="26" t="s">
        <v>1562</v>
      </c>
    </row>
    <row r="3519" spans="1:3" x14ac:dyDescent="0.25">
      <c r="A3519" s="36">
        <v>41218</v>
      </c>
      <c r="B3519" s="122">
        <v>0.82288194444444451</v>
      </c>
      <c r="C3519" s="26" t="s">
        <v>1553</v>
      </c>
    </row>
    <row r="3520" spans="1:3" x14ac:dyDescent="0.25">
      <c r="A3520" s="36">
        <v>41218</v>
      </c>
      <c r="B3520" s="122">
        <v>0.82314814814814818</v>
      </c>
      <c r="C3520" s="26" t="s">
        <v>1553</v>
      </c>
    </row>
    <row r="3521" spans="1:3" x14ac:dyDescent="0.25">
      <c r="A3521" s="36">
        <v>41218</v>
      </c>
      <c r="B3521" s="122">
        <v>0.82325231481481476</v>
      </c>
      <c r="C3521" s="26" t="s">
        <v>1757</v>
      </c>
    </row>
    <row r="3522" spans="1:3" x14ac:dyDescent="0.25">
      <c r="A3522" s="36">
        <v>41218</v>
      </c>
      <c r="B3522" s="122">
        <v>0.82327546296296295</v>
      </c>
      <c r="C3522" s="26" t="s">
        <v>1758</v>
      </c>
    </row>
    <row r="3523" spans="1:3" x14ac:dyDescent="0.25">
      <c r="A3523" s="36">
        <v>41218</v>
      </c>
      <c r="B3523" s="122">
        <v>0.82336805555555559</v>
      </c>
      <c r="C3523" s="26" t="s">
        <v>1179</v>
      </c>
    </row>
    <row r="3524" spans="1:3" x14ac:dyDescent="0.25">
      <c r="A3524" s="36">
        <v>41218</v>
      </c>
      <c r="B3524" s="122">
        <v>0.82336805555555559</v>
      </c>
      <c r="C3524" s="26" t="s">
        <v>1180</v>
      </c>
    </row>
    <row r="3525" spans="1:3" x14ac:dyDescent="0.25">
      <c r="A3525" s="36">
        <v>41218</v>
      </c>
      <c r="B3525" s="122">
        <v>0.82343749999999993</v>
      </c>
      <c r="C3525" s="26" t="s">
        <v>1680</v>
      </c>
    </row>
    <row r="3526" spans="1:3" x14ac:dyDescent="0.25">
      <c r="A3526" s="36">
        <v>41218</v>
      </c>
      <c r="B3526" s="122">
        <v>0.82343749999999993</v>
      </c>
      <c r="C3526" s="26" t="s">
        <v>1681</v>
      </c>
    </row>
    <row r="3527" spans="1:3" x14ac:dyDescent="0.25">
      <c r="A3527" s="36">
        <v>41218</v>
      </c>
      <c r="B3527" s="122">
        <v>0.82355324074074077</v>
      </c>
      <c r="C3527" s="26" t="s">
        <v>1706</v>
      </c>
    </row>
    <row r="3528" spans="1:3" x14ac:dyDescent="0.25">
      <c r="A3528" s="36">
        <v>41218</v>
      </c>
      <c r="B3528" s="122">
        <v>0.82355324074074077</v>
      </c>
      <c r="C3528" s="26" t="s">
        <v>1708</v>
      </c>
    </row>
    <row r="3529" spans="1:3" x14ac:dyDescent="0.25">
      <c r="A3529" s="36">
        <v>41218</v>
      </c>
      <c r="B3529" s="122">
        <v>0.82359953703703714</v>
      </c>
      <c r="C3529" s="26" t="s">
        <v>1179</v>
      </c>
    </row>
    <row r="3530" spans="1:3" x14ac:dyDescent="0.25">
      <c r="A3530" s="36">
        <v>41218</v>
      </c>
      <c r="B3530" s="122">
        <v>0.82359953703703714</v>
      </c>
      <c r="C3530" s="26" t="s">
        <v>1180</v>
      </c>
    </row>
    <row r="3531" spans="1:3" x14ac:dyDescent="0.25">
      <c r="A3531" s="36">
        <v>41218</v>
      </c>
      <c r="B3531" s="122">
        <v>0.82363425925925926</v>
      </c>
      <c r="C3531" s="26" t="s">
        <v>1761</v>
      </c>
    </row>
    <row r="3532" spans="1:3" x14ac:dyDescent="0.25">
      <c r="A3532" s="36">
        <v>41218</v>
      </c>
      <c r="B3532" s="122">
        <v>0.82369212962962957</v>
      </c>
      <c r="C3532" s="26" t="s">
        <v>1619</v>
      </c>
    </row>
    <row r="3533" spans="1:3" x14ac:dyDescent="0.25">
      <c r="A3533" s="36">
        <v>41218</v>
      </c>
      <c r="B3533" s="122">
        <v>0.82373842592592583</v>
      </c>
      <c r="C3533" s="26" t="s">
        <v>1569</v>
      </c>
    </row>
    <row r="3534" spans="1:3" x14ac:dyDescent="0.25">
      <c r="A3534" s="36">
        <v>41218</v>
      </c>
      <c r="B3534" s="122">
        <v>0.82379629629629625</v>
      </c>
      <c r="C3534" s="26" t="s">
        <v>1184</v>
      </c>
    </row>
    <row r="3535" spans="1:3" x14ac:dyDescent="0.25">
      <c r="A3535" s="36">
        <v>41218</v>
      </c>
      <c r="B3535" s="122">
        <v>0.82385416666666667</v>
      </c>
      <c r="C3535" s="26" t="s">
        <v>1209</v>
      </c>
    </row>
    <row r="3536" spans="1:3" x14ac:dyDescent="0.25">
      <c r="A3536" s="36">
        <v>41218</v>
      </c>
      <c r="B3536" s="122">
        <v>0.82385416666666667</v>
      </c>
      <c r="C3536" s="26" t="s">
        <v>1185</v>
      </c>
    </row>
    <row r="3537" spans="1:3" x14ac:dyDescent="0.25">
      <c r="A3537" s="36">
        <v>41218</v>
      </c>
      <c r="B3537" s="122">
        <v>0.82390046296296304</v>
      </c>
      <c r="C3537" s="26" t="s">
        <v>1619</v>
      </c>
    </row>
    <row r="3538" spans="1:3" x14ac:dyDescent="0.25">
      <c r="A3538" s="36">
        <v>41218</v>
      </c>
      <c r="B3538" s="122">
        <v>0.82393518518518516</v>
      </c>
      <c r="C3538" s="26" t="s">
        <v>1577</v>
      </c>
    </row>
    <row r="3539" spans="1:3" x14ac:dyDescent="0.25">
      <c r="A3539" s="36">
        <v>41218</v>
      </c>
      <c r="B3539" s="122">
        <v>0.82395833333333324</v>
      </c>
      <c r="C3539" s="26" t="s">
        <v>1170</v>
      </c>
    </row>
    <row r="3540" spans="1:3" x14ac:dyDescent="0.25">
      <c r="A3540" s="36">
        <v>41218</v>
      </c>
      <c r="B3540" s="122">
        <v>0.82398148148148154</v>
      </c>
      <c r="C3540" s="26" t="s">
        <v>1761</v>
      </c>
    </row>
    <row r="3541" spans="1:3" x14ac:dyDescent="0.25">
      <c r="A3541" s="36">
        <v>41218</v>
      </c>
      <c r="B3541" s="122">
        <v>0.8240277777777778</v>
      </c>
      <c r="C3541" s="26" t="s">
        <v>1578</v>
      </c>
    </row>
    <row r="3542" spans="1:3" x14ac:dyDescent="0.25">
      <c r="A3542" s="36">
        <v>41218</v>
      </c>
      <c r="B3542" s="122">
        <v>0.82409722222222215</v>
      </c>
      <c r="C3542" s="26" t="s">
        <v>1762</v>
      </c>
    </row>
    <row r="3543" spans="1:3" x14ac:dyDescent="0.25">
      <c r="A3543" s="36">
        <v>41218</v>
      </c>
      <c r="B3543" s="122">
        <v>0.82409722222222215</v>
      </c>
      <c r="C3543" s="26" t="s">
        <v>1632</v>
      </c>
    </row>
    <row r="3544" spans="1:3" x14ac:dyDescent="0.25">
      <c r="A3544" s="36">
        <v>41218</v>
      </c>
      <c r="B3544" s="122">
        <v>0.82412037037037045</v>
      </c>
      <c r="C3544" s="26" t="s">
        <v>1190</v>
      </c>
    </row>
    <row r="3545" spans="1:3" x14ac:dyDescent="0.25">
      <c r="A3545" s="36">
        <v>41218</v>
      </c>
      <c r="B3545" s="122">
        <v>0.82412037037037045</v>
      </c>
      <c r="C3545" s="26" t="s">
        <v>1191</v>
      </c>
    </row>
    <row r="3546" spans="1:3" x14ac:dyDescent="0.25">
      <c r="A3546" s="36">
        <v>41218</v>
      </c>
      <c r="B3546" s="122">
        <v>0.82415509259259256</v>
      </c>
      <c r="C3546" s="26" t="s">
        <v>1193</v>
      </c>
    </row>
    <row r="3547" spans="1:3" x14ac:dyDescent="0.25">
      <c r="A3547" s="36">
        <v>41218</v>
      </c>
      <c r="B3547" s="122">
        <v>0.82417824074074064</v>
      </c>
      <c r="C3547" s="26" t="s">
        <v>1579</v>
      </c>
    </row>
    <row r="3548" spans="1:3" x14ac:dyDescent="0.25">
      <c r="A3548" s="36">
        <v>41218</v>
      </c>
      <c r="B3548" s="122">
        <v>0.82417824074074064</v>
      </c>
      <c r="C3548" s="26" t="s">
        <v>1580</v>
      </c>
    </row>
    <row r="3549" spans="1:3" x14ac:dyDescent="0.25">
      <c r="A3549" s="36">
        <v>41218</v>
      </c>
      <c r="B3549" s="122">
        <v>0.82420138888888894</v>
      </c>
      <c r="C3549" s="26" t="s">
        <v>1708</v>
      </c>
    </row>
    <row r="3550" spans="1:3" x14ac:dyDescent="0.25">
      <c r="A3550" s="36">
        <v>41218</v>
      </c>
      <c r="B3550" s="122">
        <v>0.82424768518518521</v>
      </c>
      <c r="C3550" s="26" t="s">
        <v>1581</v>
      </c>
    </row>
    <row r="3551" spans="1:3" x14ac:dyDescent="0.25">
      <c r="A3551" s="36">
        <v>41218</v>
      </c>
      <c r="B3551" s="122">
        <v>0.82429398148148147</v>
      </c>
      <c r="C3551" s="26" t="s">
        <v>1763</v>
      </c>
    </row>
    <row r="3552" spans="1:3" x14ac:dyDescent="0.25">
      <c r="A3552" s="36">
        <v>41218</v>
      </c>
      <c r="B3552" s="122">
        <v>0.8365393518518518</v>
      </c>
      <c r="C3552" s="26" t="s">
        <v>1764</v>
      </c>
    </row>
    <row r="3553" spans="1:3" x14ac:dyDescent="0.25">
      <c r="A3553" s="36">
        <v>41218</v>
      </c>
      <c r="B3553" s="122">
        <v>0.85215277777777787</v>
      </c>
      <c r="C3553" s="26" t="s">
        <v>1765</v>
      </c>
    </row>
    <row r="3554" spans="1:3" x14ac:dyDescent="0.25">
      <c r="A3554" s="36">
        <v>41218</v>
      </c>
      <c r="B3554" s="122">
        <v>0.85372685185185182</v>
      </c>
      <c r="C3554" s="26" t="s">
        <v>1766</v>
      </c>
    </row>
    <row r="3555" spans="1:3" x14ac:dyDescent="0.25">
      <c r="A3555" s="36">
        <v>41218</v>
      </c>
      <c r="B3555" s="122">
        <v>0.85438657407407403</v>
      </c>
      <c r="C3555" s="26" t="s">
        <v>1751</v>
      </c>
    </row>
    <row r="3556" spans="1:3" x14ac:dyDescent="0.25">
      <c r="A3556" s="36">
        <v>41218</v>
      </c>
      <c r="B3556" s="122">
        <v>0.94510416666666675</v>
      </c>
      <c r="C3556" s="26" t="s">
        <v>1767</v>
      </c>
    </row>
    <row r="3557" spans="1:3" x14ac:dyDescent="0.25">
      <c r="A3557" s="36">
        <v>41221</v>
      </c>
      <c r="B3557" s="122">
        <v>0.56399305555555557</v>
      </c>
      <c r="C3557" s="26" t="s">
        <v>1775</v>
      </c>
    </row>
    <row r="3558" spans="1:3" x14ac:dyDescent="0.25">
      <c r="A3558" s="36">
        <v>41221</v>
      </c>
      <c r="B3558" s="122">
        <v>0.56716435185185188</v>
      </c>
      <c r="C3558" s="26" t="s">
        <v>1776</v>
      </c>
    </row>
    <row r="3559" spans="1:3" x14ac:dyDescent="0.25">
      <c r="A3559" s="36">
        <v>41221</v>
      </c>
      <c r="B3559" s="122">
        <v>0.59248842592592588</v>
      </c>
      <c r="C3559" s="26" t="s">
        <v>1777</v>
      </c>
    </row>
    <row r="3560" spans="1:3" x14ac:dyDescent="0.25">
      <c r="A3560" s="36">
        <v>41221</v>
      </c>
      <c r="B3560" s="122">
        <v>0.59415509259259258</v>
      </c>
      <c r="C3560" s="26" t="s">
        <v>1778</v>
      </c>
    </row>
    <row r="3561" spans="1:3" x14ac:dyDescent="0.25">
      <c r="A3561" s="36">
        <v>41221</v>
      </c>
      <c r="B3561" s="122">
        <v>0.59622685185185187</v>
      </c>
      <c r="C3561" s="26" t="s">
        <v>1751</v>
      </c>
    </row>
    <row r="3562" spans="1:3" x14ac:dyDescent="0.25">
      <c r="A3562" s="36">
        <v>41221</v>
      </c>
      <c r="B3562" s="122">
        <v>0.59924768518518523</v>
      </c>
      <c r="C3562" s="26" t="s">
        <v>1779</v>
      </c>
    </row>
    <row r="3563" spans="1:3" x14ac:dyDescent="0.25">
      <c r="A3563" s="36">
        <v>41221</v>
      </c>
      <c r="B3563" s="122">
        <v>0.60003472222222221</v>
      </c>
      <c r="C3563" s="26" t="s">
        <v>1780</v>
      </c>
    </row>
    <row r="3564" spans="1:3" x14ac:dyDescent="0.25">
      <c r="A3564" s="36">
        <v>41221</v>
      </c>
      <c r="B3564" s="122">
        <v>0.71673611111111113</v>
      </c>
      <c r="C3564" s="26" t="s">
        <v>1433</v>
      </c>
    </row>
    <row r="3565" spans="1:3" x14ac:dyDescent="0.25">
      <c r="A3565" s="36">
        <v>41221</v>
      </c>
      <c r="B3565" s="122">
        <v>0.71912037037037047</v>
      </c>
      <c r="C3565" s="26" t="s">
        <v>1721</v>
      </c>
    </row>
    <row r="3566" spans="1:3" x14ac:dyDescent="0.25">
      <c r="A3566" s="36">
        <v>41221</v>
      </c>
      <c r="B3566" s="122">
        <v>0.71912037037037047</v>
      </c>
      <c r="C3566" s="26" t="s">
        <v>992</v>
      </c>
    </row>
    <row r="3567" spans="1:3" x14ac:dyDescent="0.25">
      <c r="A3567" s="36">
        <v>41221</v>
      </c>
      <c r="B3567" s="122">
        <v>0.71912037037037047</v>
      </c>
      <c r="C3567" s="26" t="s">
        <v>1084</v>
      </c>
    </row>
    <row r="3568" spans="1:3" x14ac:dyDescent="0.25">
      <c r="A3568" s="36">
        <v>41221</v>
      </c>
      <c r="B3568" s="122">
        <v>0.71912037037037047</v>
      </c>
      <c r="C3568" s="26" t="s">
        <v>1085</v>
      </c>
    </row>
    <row r="3569" spans="1:3" x14ac:dyDescent="0.25">
      <c r="A3569" s="36">
        <v>41221</v>
      </c>
      <c r="B3569" s="122">
        <v>0.71913194444444439</v>
      </c>
      <c r="C3569" s="26" t="s">
        <v>1086</v>
      </c>
    </row>
    <row r="3570" spans="1:3" x14ac:dyDescent="0.25">
      <c r="A3570" s="36">
        <v>41221</v>
      </c>
      <c r="B3570" s="122">
        <v>0.71913194444444439</v>
      </c>
      <c r="C3570" s="26" t="s">
        <v>1085</v>
      </c>
    </row>
    <row r="3571" spans="1:3" x14ac:dyDescent="0.25">
      <c r="A3571" s="36">
        <v>41221</v>
      </c>
      <c r="B3571" s="122">
        <v>0.71913194444444439</v>
      </c>
      <c r="C3571" s="26" t="s">
        <v>1087</v>
      </c>
    </row>
    <row r="3572" spans="1:3" x14ac:dyDescent="0.25">
      <c r="A3572" s="36">
        <v>41221</v>
      </c>
      <c r="B3572" s="122">
        <v>0.71913194444444439</v>
      </c>
      <c r="C3572" s="26" t="s">
        <v>1088</v>
      </c>
    </row>
    <row r="3573" spans="1:3" x14ac:dyDescent="0.25">
      <c r="A3573" s="36">
        <v>41221</v>
      </c>
      <c r="B3573" s="122">
        <v>0.71913194444444439</v>
      </c>
      <c r="C3573" s="26" t="s">
        <v>1088</v>
      </c>
    </row>
    <row r="3574" spans="1:3" x14ac:dyDescent="0.25">
      <c r="A3574" s="36">
        <v>41221</v>
      </c>
      <c r="B3574" s="122">
        <v>0.71913194444444439</v>
      </c>
      <c r="C3574" s="26" t="s">
        <v>1092</v>
      </c>
    </row>
    <row r="3575" spans="1:3" x14ac:dyDescent="0.25">
      <c r="A3575" s="36">
        <v>41221</v>
      </c>
      <c r="B3575" s="122">
        <v>0.71913194444444439</v>
      </c>
      <c r="C3575" s="26" t="s">
        <v>1722</v>
      </c>
    </row>
    <row r="3576" spans="1:3" x14ac:dyDescent="0.25">
      <c r="A3576" s="36">
        <v>41221</v>
      </c>
      <c r="B3576" s="122">
        <v>0.71913194444444439</v>
      </c>
      <c r="C3576" s="26" t="s">
        <v>1723</v>
      </c>
    </row>
    <row r="3577" spans="1:3" x14ac:dyDescent="0.25">
      <c r="A3577" s="36">
        <v>41221</v>
      </c>
      <c r="B3577" s="122">
        <v>0.71913194444444439</v>
      </c>
      <c r="C3577" s="26" t="s">
        <v>1722</v>
      </c>
    </row>
    <row r="3578" spans="1:3" x14ac:dyDescent="0.25">
      <c r="A3578" s="36">
        <v>41221</v>
      </c>
      <c r="B3578" s="122">
        <v>0.71914351851851854</v>
      </c>
      <c r="C3578" s="26" t="s">
        <v>1724</v>
      </c>
    </row>
    <row r="3579" spans="1:3" x14ac:dyDescent="0.25">
      <c r="A3579" s="36">
        <v>41221</v>
      </c>
      <c r="B3579" s="122">
        <v>0.71914351851851854</v>
      </c>
      <c r="C3579" s="26" t="s">
        <v>1725</v>
      </c>
    </row>
    <row r="3580" spans="1:3" x14ac:dyDescent="0.25">
      <c r="A3580" s="36">
        <v>41221</v>
      </c>
      <c r="B3580" s="122">
        <v>0.71914351851851854</v>
      </c>
      <c r="C3580" s="26" t="s">
        <v>1644</v>
      </c>
    </row>
    <row r="3581" spans="1:3" x14ac:dyDescent="0.25">
      <c r="A3581" s="36">
        <v>41221</v>
      </c>
      <c r="B3581" s="122">
        <v>0.72177083333333336</v>
      </c>
      <c r="C3581" s="26" t="s">
        <v>1781</v>
      </c>
    </row>
    <row r="3582" spans="1:3" x14ac:dyDescent="0.25">
      <c r="A3582" s="36">
        <v>41221</v>
      </c>
      <c r="B3582" s="122">
        <v>0.96092592592592585</v>
      </c>
      <c r="C3582" s="26" t="s">
        <v>1782</v>
      </c>
    </row>
    <row r="3583" spans="1:3" x14ac:dyDescent="0.25">
      <c r="A3583" s="36">
        <v>41221</v>
      </c>
      <c r="B3583" s="122">
        <v>0.96481481481481479</v>
      </c>
      <c r="C3583" s="26" t="s">
        <v>1735</v>
      </c>
    </row>
    <row r="3584" spans="1:3" x14ac:dyDescent="0.25">
      <c r="A3584" s="36">
        <v>41221</v>
      </c>
      <c r="B3584" s="122">
        <v>0.9795949074074074</v>
      </c>
      <c r="C3584" s="26" t="s">
        <v>1735</v>
      </c>
    </row>
    <row r="3585" spans="1:3" x14ac:dyDescent="0.25">
      <c r="A3585" s="36">
        <v>41221</v>
      </c>
      <c r="B3585" s="122">
        <v>0.98340277777777774</v>
      </c>
      <c r="C3585" s="26" t="s">
        <v>1735</v>
      </c>
    </row>
    <row r="3586" spans="1:3" x14ac:dyDescent="0.25">
      <c r="A3586" s="36">
        <v>41221</v>
      </c>
      <c r="B3586" s="122">
        <v>0.98375000000000001</v>
      </c>
      <c r="C3586" s="26" t="s">
        <v>1735</v>
      </c>
    </row>
    <row r="3587" spans="1:3" x14ac:dyDescent="0.25">
      <c r="A3587" s="36">
        <v>41221</v>
      </c>
      <c r="B3587" s="122">
        <v>0.98457175925925933</v>
      </c>
      <c r="C3587" s="26" t="s">
        <v>1735</v>
      </c>
    </row>
    <row r="3588" spans="1:3" x14ac:dyDescent="0.25">
      <c r="A3588" s="36">
        <v>41221</v>
      </c>
      <c r="B3588" s="122">
        <v>0.9878703703703704</v>
      </c>
      <c r="C3588" s="26" t="s">
        <v>1735</v>
      </c>
    </row>
    <row r="3589" spans="1:3" x14ac:dyDescent="0.25">
      <c r="A3589" s="36">
        <v>41222</v>
      </c>
      <c r="B3589" s="122">
        <v>4.2939814814814811E-3</v>
      </c>
      <c r="C3589" s="26" t="s">
        <v>1735</v>
      </c>
    </row>
    <row r="3590" spans="1:3" ht="45" x14ac:dyDescent="0.25">
      <c r="A3590" s="36">
        <v>41222</v>
      </c>
      <c r="B3590" s="122">
        <v>2.4583333333333332E-2</v>
      </c>
      <c r="C3590" s="585" t="s">
        <v>1783</v>
      </c>
    </row>
    <row r="3591" spans="1:3" x14ac:dyDescent="0.25">
      <c r="A3591" s="36">
        <v>41222</v>
      </c>
      <c r="B3591" s="122">
        <v>2.6747685185185183E-2</v>
      </c>
      <c r="C3591" s="26" t="s">
        <v>1731</v>
      </c>
    </row>
    <row r="3592" spans="1:3" x14ac:dyDescent="0.25">
      <c r="A3592" s="36">
        <v>41222</v>
      </c>
      <c r="B3592" s="122">
        <v>2.884259259259259E-2</v>
      </c>
      <c r="C3592" s="26" t="s">
        <v>1721</v>
      </c>
    </row>
    <row r="3593" spans="1:3" x14ac:dyDescent="0.25">
      <c r="A3593" s="36">
        <v>41222</v>
      </c>
      <c r="B3593" s="122">
        <v>2.884259259259259E-2</v>
      </c>
      <c r="C3593" s="26" t="s">
        <v>992</v>
      </c>
    </row>
    <row r="3594" spans="1:3" x14ac:dyDescent="0.25">
      <c r="A3594" s="36">
        <v>41222</v>
      </c>
      <c r="B3594" s="122">
        <v>2.884259259259259E-2</v>
      </c>
      <c r="C3594" s="26" t="s">
        <v>1084</v>
      </c>
    </row>
    <row r="3595" spans="1:3" x14ac:dyDescent="0.25">
      <c r="A3595" s="36">
        <v>41222</v>
      </c>
      <c r="B3595" s="122">
        <v>2.8854166666666667E-2</v>
      </c>
      <c r="C3595" s="26" t="s">
        <v>1085</v>
      </c>
    </row>
    <row r="3596" spans="1:3" x14ac:dyDescent="0.25">
      <c r="A3596" s="36">
        <v>41222</v>
      </c>
      <c r="B3596" s="122">
        <v>2.8854166666666667E-2</v>
      </c>
      <c r="C3596" s="26" t="s">
        <v>1086</v>
      </c>
    </row>
    <row r="3597" spans="1:3" x14ac:dyDescent="0.25">
      <c r="A3597" s="36">
        <v>41222</v>
      </c>
      <c r="B3597" s="122">
        <v>2.8854166666666667E-2</v>
      </c>
      <c r="C3597" s="26" t="s">
        <v>1085</v>
      </c>
    </row>
    <row r="3598" spans="1:3" x14ac:dyDescent="0.25">
      <c r="A3598" s="36">
        <v>41222</v>
      </c>
      <c r="B3598" s="122">
        <v>2.8854166666666667E-2</v>
      </c>
      <c r="C3598" s="26" t="s">
        <v>1087</v>
      </c>
    </row>
    <row r="3599" spans="1:3" x14ac:dyDescent="0.25">
      <c r="A3599" s="36">
        <v>41222</v>
      </c>
      <c r="B3599" s="122">
        <v>2.8854166666666667E-2</v>
      </c>
      <c r="C3599" s="26" t="s">
        <v>1088</v>
      </c>
    </row>
    <row r="3600" spans="1:3" x14ac:dyDescent="0.25">
      <c r="A3600" s="36">
        <v>41222</v>
      </c>
      <c r="B3600" s="122">
        <v>2.8854166666666667E-2</v>
      </c>
      <c r="C3600" s="26" t="s">
        <v>1088</v>
      </c>
    </row>
    <row r="3601" spans="1:3" x14ac:dyDescent="0.25">
      <c r="A3601" s="36">
        <v>41222</v>
      </c>
      <c r="B3601" s="122">
        <v>2.8854166666666667E-2</v>
      </c>
      <c r="C3601" s="26" t="s">
        <v>1092</v>
      </c>
    </row>
    <row r="3602" spans="1:3" x14ac:dyDescent="0.25">
      <c r="A3602" s="36">
        <v>41222</v>
      </c>
      <c r="B3602" s="122">
        <v>2.8854166666666667E-2</v>
      </c>
      <c r="C3602" s="26" t="s">
        <v>1722</v>
      </c>
    </row>
    <row r="3603" spans="1:3" x14ac:dyDescent="0.25">
      <c r="A3603" s="36">
        <v>41222</v>
      </c>
      <c r="B3603" s="122">
        <v>2.8854166666666667E-2</v>
      </c>
      <c r="C3603" s="26" t="s">
        <v>1723</v>
      </c>
    </row>
    <row r="3604" spans="1:3" x14ac:dyDescent="0.25">
      <c r="A3604" s="36">
        <v>41222</v>
      </c>
      <c r="B3604" s="122">
        <v>2.8854166666666667E-2</v>
      </c>
      <c r="C3604" s="26" t="s">
        <v>1722</v>
      </c>
    </row>
    <row r="3605" spans="1:3" x14ac:dyDescent="0.25">
      <c r="A3605" s="36">
        <v>41222</v>
      </c>
      <c r="B3605" s="122">
        <v>2.8854166666666667E-2</v>
      </c>
      <c r="C3605" s="26" t="s">
        <v>1724</v>
      </c>
    </row>
    <row r="3606" spans="1:3" x14ac:dyDescent="0.25">
      <c r="A3606" s="36">
        <v>41222</v>
      </c>
      <c r="B3606" s="122">
        <v>2.8854166666666667E-2</v>
      </c>
      <c r="C3606" s="26" t="s">
        <v>1725</v>
      </c>
    </row>
    <row r="3607" spans="1:3" x14ac:dyDescent="0.25">
      <c r="A3607" s="36">
        <v>41222</v>
      </c>
      <c r="B3607" s="122">
        <v>2.8865740740740744E-2</v>
      </c>
      <c r="C3607" s="26" t="s">
        <v>1644</v>
      </c>
    </row>
    <row r="3608" spans="1:3" x14ac:dyDescent="0.25">
      <c r="A3608" s="36">
        <v>41222</v>
      </c>
      <c r="B3608" s="122">
        <v>3.1747685185185184E-2</v>
      </c>
      <c r="C3608" s="26" t="s">
        <v>1721</v>
      </c>
    </row>
    <row r="3609" spans="1:3" x14ac:dyDescent="0.25">
      <c r="A3609" s="36">
        <v>41222</v>
      </c>
      <c r="B3609" s="122">
        <v>3.1747685185185184E-2</v>
      </c>
      <c r="C3609" s="26" t="s">
        <v>992</v>
      </c>
    </row>
    <row r="3610" spans="1:3" x14ac:dyDescent="0.25">
      <c r="A3610" s="36">
        <v>41222</v>
      </c>
      <c r="B3610" s="122">
        <v>3.1747685185185184E-2</v>
      </c>
      <c r="C3610" s="26" t="s">
        <v>1084</v>
      </c>
    </row>
    <row r="3611" spans="1:3" x14ac:dyDescent="0.25">
      <c r="A3611" s="36">
        <v>41222</v>
      </c>
      <c r="B3611" s="122">
        <v>3.1747685185185184E-2</v>
      </c>
      <c r="C3611" s="26" t="s">
        <v>1085</v>
      </c>
    </row>
    <row r="3612" spans="1:3" x14ac:dyDescent="0.25">
      <c r="A3612" s="36">
        <v>41222</v>
      </c>
      <c r="B3612" s="122">
        <v>3.1747685185185184E-2</v>
      </c>
      <c r="C3612" s="26" t="s">
        <v>1086</v>
      </c>
    </row>
    <row r="3613" spans="1:3" x14ac:dyDescent="0.25">
      <c r="A3613" s="36">
        <v>41222</v>
      </c>
      <c r="B3613" s="122">
        <v>3.1747685185185184E-2</v>
      </c>
      <c r="C3613" s="26" t="s">
        <v>1085</v>
      </c>
    </row>
    <row r="3614" spans="1:3" x14ac:dyDescent="0.25">
      <c r="A3614" s="36">
        <v>41222</v>
      </c>
      <c r="B3614" s="122">
        <v>3.1747685185185184E-2</v>
      </c>
      <c r="C3614" s="26" t="s">
        <v>1087</v>
      </c>
    </row>
    <row r="3615" spans="1:3" x14ac:dyDescent="0.25">
      <c r="A3615" s="36">
        <v>41222</v>
      </c>
      <c r="B3615" s="122">
        <v>3.1747685185185184E-2</v>
      </c>
      <c r="C3615" s="26" t="s">
        <v>1088</v>
      </c>
    </row>
    <row r="3616" spans="1:3" x14ac:dyDescent="0.25">
      <c r="A3616" s="36">
        <v>41222</v>
      </c>
      <c r="B3616" s="122">
        <v>3.1747685185185184E-2</v>
      </c>
      <c r="C3616" s="26" t="s">
        <v>1088</v>
      </c>
    </row>
    <row r="3617" spans="1:3" x14ac:dyDescent="0.25">
      <c r="A3617" s="36">
        <v>41222</v>
      </c>
      <c r="B3617" s="122">
        <v>3.1747685185185184E-2</v>
      </c>
      <c r="C3617" s="26" t="s">
        <v>1092</v>
      </c>
    </row>
    <row r="3618" spans="1:3" x14ac:dyDescent="0.25">
      <c r="A3618" s="36">
        <v>41222</v>
      </c>
      <c r="B3618" s="122">
        <v>3.1747685185185184E-2</v>
      </c>
      <c r="C3618" s="26" t="s">
        <v>1722</v>
      </c>
    </row>
    <row r="3619" spans="1:3" x14ac:dyDescent="0.25">
      <c r="A3619" s="36">
        <v>41222</v>
      </c>
      <c r="B3619" s="122">
        <v>3.1747685185185184E-2</v>
      </c>
      <c r="C3619" s="26" t="s">
        <v>1723</v>
      </c>
    </row>
    <row r="3620" spans="1:3" x14ac:dyDescent="0.25">
      <c r="A3620" s="36">
        <v>41222</v>
      </c>
      <c r="B3620" s="122">
        <v>3.1759259259259258E-2</v>
      </c>
      <c r="C3620" s="26" t="s">
        <v>1722</v>
      </c>
    </row>
    <row r="3621" spans="1:3" x14ac:dyDescent="0.25">
      <c r="A3621" s="36">
        <v>41222</v>
      </c>
      <c r="B3621" s="122">
        <v>3.1759259259259258E-2</v>
      </c>
      <c r="C3621" s="26" t="s">
        <v>1724</v>
      </c>
    </row>
    <row r="3622" spans="1:3" x14ac:dyDescent="0.25">
      <c r="A3622" s="36">
        <v>41222</v>
      </c>
      <c r="B3622" s="122">
        <v>3.1759259259259258E-2</v>
      </c>
      <c r="C3622" s="26" t="s">
        <v>1725</v>
      </c>
    </row>
    <row r="3623" spans="1:3" x14ac:dyDescent="0.25">
      <c r="A3623" s="36">
        <v>41222</v>
      </c>
      <c r="B3623" s="122">
        <v>3.9699074074074074E-2</v>
      </c>
      <c r="C3623" s="26" t="s">
        <v>1721</v>
      </c>
    </row>
    <row r="3624" spans="1:3" x14ac:dyDescent="0.25">
      <c r="A3624" s="36">
        <v>41222</v>
      </c>
      <c r="B3624" s="122">
        <v>3.9699074074074074E-2</v>
      </c>
      <c r="C3624" s="26" t="s">
        <v>992</v>
      </c>
    </row>
    <row r="3625" spans="1:3" x14ac:dyDescent="0.25">
      <c r="A3625" s="36">
        <v>41222</v>
      </c>
      <c r="B3625" s="122">
        <v>3.9710648148148148E-2</v>
      </c>
      <c r="C3625" s="26" t="s">
        <v>1084</v>
      </c>
    </row>
    <row r="3626" spans="1:3" x14ac:dyDescent="0.25">
      <c r="A3626" s="36">
        <v>41222</v>
      </c>
      <c r="B3626" s="122">
        <v>3.9710648148148148E-2</v>
      </c>
      <c r="C3626" s="26" t="s">
        <v>1085</v>
      </c>
    </row>
    <row r="3627" spans="1:3" x14ac:dyDescent="0.25">
      <c r="A3627" s="36">
        <v>41222</v>
      </c>
      <c r="B3627" s="122">
        <v>3.9710648148148148E-2</v>
      </c>
      <c r="C3627" s="26" t="s">
        <v>1086</v>
      </c>
    </row>
    <row r="3628" spans="1:3" x14ac:dyDescent="0.25">
      <c r="A3628" s="36">
        <v>41222</v>
      </c>
      <c r="B3628" s="122">
        <v>3.9710648148148148E-2</v>
      </c>
      <c r="C3628" s="26" t="s">
        <v>1085</v>
      </c>
    </row>
    <row r="3629" spans="1:3" x14ac:dyDescent="0.25">
      <c r="A3629" s="36">
        <v>41222</v>
      </c>
      <c r="B3629" s="122">
        <v>3.9710648148148148E-2</v>
      </c>
      <c r="C3629" s="26" t="s">
        <v>1087</v>
      </c>
    </row>
    <row r="3630" spans="1:3" x14ac:dyDescent="0.25">
      <c r="A3630" s="36">
        <v>41222</v>
      </c>
      <c r="B3630" s="122">
        <v>3.9710648148148148E-2</v>
      </c>
      <c r="C3630" s="26" t="s">
        <v>1088</v>
      </c>
    </row>
    <row r="3631" spans="1:3" x14ac:dyDescent="0.25">
      <c r="A3631" s="36">
        <v>41222</v>
      </c>
      <c r="B3631" s="122">
        <v>3.9710648148148148E-2</v>
      </c>
      <c r="C3631" s="26" t="s">
        <v>1088</v>
      </c>
    </row>
    <row r="3632" spans="1:3" x14ac:dyDescent="0.25">
      <c r="A3632" s="36">
        <v>41222</v>
      </c>
      <c r="B3632" s="122">
        <v>3.9710648148148148E-2</v>
      </c>
      <c r="C3632" s="26" t="s">
        <v>1092</v>
      </c>
    </row>
    <row r="3633" spans="1:3" x14ac:dyDescent="0.25">
      <c r="A3633" s="36">
        <v>41222</v>
      </c>
      <c r="B3633" s="122">
        <v>3.9710648148148148E-2</v>
      </c>
      <c r="C3633" s="26" t="s">
        <v>1722</v>
      </c>
    </row>
    <row r="3634" spans="1:3" x14ac:dyDescent="0.25">
      <c r="A3634" s="36">
        <v>41222</v>
      </c>
      <c r="B3634" s="122">
        <v>3.9710648148148148E-2</v>
      </c>
      <c r="C3634" s="26" t="s">
        <v>1723</v>
      </c>
    </row>
    <row r="3635" spans="1:3" x14ac:dyDescent="0.25">
      <c r="A3635" s="36">
        <v>41222</v>
      </c>
      <c r="B3635" s="122">
        <v>3.9710648148148148E-2</v>
      </c>
      <c r="C3635" s="26" t="s">
        <v>1722</v>
      </c>
    </row>
    <row r="3636" spans="1:3" x14ac:dyDescent="0.25">
      <c r="A3636" s="36">
        <v>41222</v>
      </c>
      <c r="B3636" s="122">
        <v>3.9710648148148148E-2</v>
      </c>
      <c r="C3636" s="26" t="s">
        <v>1724</v>
      </c>
    </row>
    <row r="3637" spans="1:3" x14ac:dyDescent="0.25">
      <c r="A3637" s="36">
        <v>41222</v>
      </c>
      <c r="B3637" s="122">
        <v>3.9710648148148148E-2</v>
      </c>
      <c r="C3637" s="26" t="s">
        <v>1725</v>
      </c>
    </row>
    <row r="3638" spans="1:3" x14ac:dyDescent="0.25">
      <c r="A3638" s="36">
        <v>41222</v>
      </c>
      <c r="B3638" s="122">
        <v>4.0289351851851847E-2</v>
      </c>
      <c r="C3638" s="26" t="s">
        <v>1122</v>
      </c>
    </row>
    <row r="3639" spans="1:3" x14ac:dyDescent="0.25">
      <c r="A3639" s="36">
        <v>41222</v>
      </c>
      <c r="B3639" s="122">
        <v>4.0289351851851847E-2</v>
      </c>
      <c r="C3639" s="26" t="s">
        <v>1111</v>
      </c>
    </row>
    <row r="3640" spans="1:3" x14ac:dyDescent="0.25">
      <c r="A3640" s="36">
        <v>41222</v>
      </c>
      <c r="B3640" s="122">
        <v>4.0682870370370376E-2</v>
      </c>
      <c r="C3640" s="26" t="s">
        <v>1784</v>
      </c>
    </row>
    <row r="3641" spans="1:3" x14ac:dyDescent="0.25">
      <c r="A3641" s="36">
        <v>41222</v>
      </c>
      <c r="B3641" s="122">
        <v>4.3090277777777776E-2</v>
      </c>
      <c r="C3641" s="26" t="s">
        <v>1721</v>
      </c>
    </row>
    <row r="3642" spans="1:3" x14ac:dyDescent="0.25">
      <c r="A3642" s="36">
        <v>41222</v>
      </c>
      <c r="B3642" s="122">
        <v>4.3090277777777776E-2</v>
      </c>
      <c r="C3642" s="26" t="s">
        <v>992</v>
      </c>
    </row>
    <row r="3643" spans="1:3" x14ac:dyDescent="0.25">
      <c r="A3643" s="36">
        <v>41222</v>
      </c>
      <c r="B3643" s="122">
        <v>4.3090277777777776E-2</v>
      </c>
      <c r="C3643" s="26" t="s">
        <v>1084</v>
      </c>
    </row>
    <row r="3644" spans="1:3" x14ac:dyDescent="0.25">
      <c r="A3644" s="36">
        <v>41222</v>
      </c>
      <c r="B3644" s="122">
        <v>4.3090277777777776E-2</v>
      </c>
      <c r="C3644" s="26" t="s">
        <v>1085</v>
      </c>
    </row>
    <row r="3645" spans="1:3" x14ac:dyDescent="0.25">
      <c r="A3645" s="36">
        <v>41222</v>
      </c>
      <c r="B3645" s="122">
        <v>4.3090277777777776E-2</v>
      </c>
      <c r="C3645" s="26" t="s">
        <v>1086</v>
      </c>
    </row>
    <row r="3646" spans="1:3" x14ac:dyDescent="0.25">
      <c r="A3646" s="36">
        <v>41222</v>
      </c>
      <c r="B3646" s="122">
        <v>4.3090277777777776E-2</v>
      </c>
      <c r="C3646" s="26" t="s">
        <v>1085</v>
      </c>
    </row>
    <row r="3647" spans="1:3" x14ac:dyDescent="0.25">
      <c r="A3647" s="36">
        <v>41222</v>
      </c>
      <c r="B3647" s="122">
        <v>4.3090277777777776E-2</v>
      </c>
      <c r="C3647" s="26" t="s">
        <v>1087</v>
      </c>
    </row>
    <row r="3648" spans="1:3" x14ac:dyDescent="0.25">
      <c r="A3648" s="36">
        <v>41222</v>
      </c>
      <c r="B3648" s="122">
        <v>4.3090277777777776E-2</v>
      </c>
      <c r="C3648" s="26" t="s">
        <v>1088</v>
      </c>
    </row>
    <row r="3649" spans="1:3" x14ac:dyDescent="0.25">
      <c r="A3649" s="36">
        <v>41222</v>
      </c>
      <c r="B3649" s="122">
        <v>4.3090277777777776E-2</v>
      </c>
      <c r="C3649" s="26" t="s">
        <v>1088</v>
      </c>
    </row>
    <row r="3650" spans="1:3" x14ac:dyDescent="0.25">
      <c r="A3650" s="36">
        <v>41222</v>
      </c>
      <c r="B3650" s="122">
        <v>4.3090277777777776E-2</v>
      </c>
      <c r="C3650" s="26" t="s">
        <v>1092</v>
      </c>
    </row>
    <row r="3651" spans="1:3" x14ac:dyDescent="0.25">
      <c r="A3651" s="36">
        <v>41222</v>
      </c>
      <c r="B3651" s="122">
        <v>4.3101851851851856E-2</v>
      </c>
      <c r="C3651" s="26" t="s">
        <v>1722</v>
      </c>
    </row>
    <row r="3652" spans="1:3" x14ac:dyDescent="0.25">
      <c r="A3652" s="36">
        <v>41222</v>
      </c>
      <c r="B3652" s="122">
        <v>4.3101851851851856E-2</v>
      </c>
      <c r="C3652" s="26" t="s">
        <v>1723</v>
      </c>
    </row>
    <row r="3653" spans="1:3" x14ac:dyDescent="0.25">
      <c r="A3653" s="36">
        <v>41222</v>
      </c>
      <c r="B3653" s="122">
        <v>4.3101851851851856E-2</v>
      </c>
      <c r="C3653" s="26" t="s">
        <v>1722</v>
      </c>
    </row>
    <row r="3654" spans="1:3" x14ac:dyDescent="0.25">
      <c r="A3654" s="36">
        <v>41222</v>
      </c>
      <c r="B3654" s="122">
        <v>4.3101851851851856E-2</v>
      </c>
      <c r="C3654" s="26" t="s">
        <v>1724</v>
      </c>
    </row>
    <row r="3655" spans="1:3" x14ac:dyDescent="0.25">
      <c r="A3655" s="36">
        <v>41222</v>
      </c>
      <c r="B3655" s="122">
        <v>4.3101851851851856E-2</v>
      </c>
      <c r="C3655" s="26" t="s">
        <v>1725</v>
      </c>
    </row>
    <row r="3656" spans="1:3" ht="45" x14ac:dyDescent="0.25">
      <c r="A3656" s="36">
        <v>41222</v>
      </c>
      <c r="B3656" s="122">
        <v>4.311342592592593E-2</v>
      </c>
      <c r="C3656" s="585" t="s">
        <v>1785</v>
      </c>
    </row>
    <row r="3657" spans="1:3" x14ac:dyDescent="0.25">
      <c r="A3657" s="36">
        <v>41222</v>
      </c>
      <c r="B3657" s="122">
        <v>5.1550925925925924E-2</v>
      </c>
      <c r="C3657" s="26" t="s">
        <v>1721</v>
      </c>
    </row>
    <row r="3658" spans="1:3" x14ac:dyDescent="0.25">
      <c r="A3658" s="36">
        <v>41222</v>
      </c>
      <c r="B3658" s="122">
        <v>5.1550925925925924E-2</v>
      </c>
      <c r="C3658" s="26" t="s">
        <v>992</v>
      </c>
    </row>
    <row r="3659" spans="1:3" x14ac:dyDescent="0.25">
      <c r="A3659" s="36">
        <v>41222</v>
      </c>
      <c r="B3659" s="122">
        <v>5.1550925925925924E-2</v>
      </c>
      <c r="C3659" s="26" t="s">
        <v>1084</v>
      </c>
    </row>
    <row r="3660" spans="1:3" x14ac:dyDescent="0.25">
      <c r="A3660" s="36">
        <v>41222</v>
      </c>
      <c r="B3660" s="122">
        <v>5.1550925925925924E-2</v>
      </c>
      <c r="C3660" s="26" t="s">
        <v>1085</v>
      </c>
    </row>
    <row r="3661" spans="1:3" x14ac:dyDescent="0.25">
      <c r="A3661" s="36">
        <v>41222</v>
      </c>
      <c r="B3661" s="122">
        <v>5.1550925925925924E-2</v>
      </c>
      <c r="C3661" s="26" t="s">
        <v>1086</v>
      </c>
    </row>
    <row r="3662" spans="1:3" x14ac:dyDescent="0.25">
      <c r="A3662" s="36">
        <v>41222</v>
      </c>
      <c r="B3662" s="122">
        <v>5.1550925925925924E-2</v>
      </c>
      <c r="C3662" s="26" t="s">
        <v>1085</v>
      </c>
    </row>
    <row r="3663" spans="1:3" x14ac:dyDescent="0.25">
      <c r="A3663" s="36">
        <v>41222</v>
      </c>
      <c r="B3663" s="122">
        <v>5.1550925925925924E-2</v>
      </c>
      <c r="C3663" s="26" t="s">
        <v>1087</v>
      </c>
    </row>
    <row r="3664" spans="1:3" x14ac:dyDescent="0.25">
      <c r="A3664" s="36">
        <v>41222</v>
      </c>
      <c r="B3664" s="122">
        <v>5.1550925925925924E-2</v>
      </c>
      <c r="C3664" s="26" t="s">
        <v>1088</v>
      </c>
    </row>
    <row r="3665" spans="1:3" x14ac:dyDescent="0.25">
      <c r="A3665" s="36">
        <v>41222</v>
      </c>
      <c r="B3665" s="122">
        <v>5.1550925925925924E-2</v>
      </c>
      <c r="C3665" s="26" t="s">
        <v>1088</v>
      </c>
    </row>
    <row r="3666" spans="1:3" x14ac:dyDescent="0.25">
      <c r="A3666" s="36">
        <v>41222</v>
      </c>
      <c r="B3666" s="122">
        <v>5.1550925925925924E-2</v>
      </c>
      <c r="C3666" s="26" t="s">
        <v>1092</v>
      </c>
    </row>
    <row r="3667" spans="1:3" x14ac:dyDescent="0.25">
      <c r="A3667" s="36">
        <v>41222</v>
      </c>
      <c r="B3667" s="122">
        <v>5.1562500000000004E-2</v>
      </c>
      <c r="C3667" s="26" t="s">
        <v>1722</v>
      </c>
    </row>
    <row r="3668" spans="1:3" x14ac:dyDescent="0.25">
      <c r="A3668" s="36">
        <v>41222</v>
      </c>
      <c r="B3668" s="122">
        <v>5.1562500000000004E-2</v>
      </c>
      <c r="C3668" s="26" t="s">
        <v>1723</v>
      </c>
    </row>
    <row r="3669" spans="1:3" x14ac:dyDescent="0.25">
      <c r="A3669" s="36">
        <v>41222</v>
      </c>
      <c r="B3669" s="122">
        <v>5.1562500000000004E-2</v>
      </c>
      <c r="C3669" s="26" t="s">
        <v>1722</v>
      </c>
    </row>
    <row r="3670" spans="1:3" x14ac:dyDescent="0.25">
      <c r="A3670" s="36">
        <v>41222</v>
      </c>
      <c r="B3670" s="122">
        <v>5.1562500000000004E-2</v>
      </c>
      <c r="C3670" s="26" t="s">
        <v>1724</v>
      </c>
    </row>
    <row r="3671" spans="1:3" x14ac:dyDescent="0.25">
      <c r="A3671" s="36">
        <v>41222</v>
      </c>
      <c r="B3671" s="122">
        <v>5.1562500000000004E-2</v>
      </c>
      <c r="C3671" s="26" t="s">
        <v>1725</v>
      </c>
    </row>
    <row r="3672" spans="1:3" x14ac:dyDescent="0.25">
      <c r="A3672" s="36">
        <v>41222</v>
      </c>
      <c r="B3672" s="122">
        <v>5.1597222222222218E-2</v>
      </c>
      <c r="C3672" s="26" t="s">
        <v>1122</v>
      </c>
    </row>
    <row r="3673" spans="1:3" x14ac:dyDescent="0.25">
      <c r="A3673" s="36">
        <v>41222</v>
      </c>
      <c r="B3673" s="122">
        <v>5.1608796296296298E-2</v>
      </c>
      <c r="C3673" s="26" t="s">
        <v>1111</v>
      </c>
    </row>
    <row r="3674" spans="1:3" x14ac:dyDescent="0.25">
      <c r="A3674" s="36">
        <v>41222</v>
      </c>
      <c r="B3674" s="122">
        <v>5.2060185185185182E-2</v>
      </c>
      <c r="C3674" s="26" t="s">
        <v>1784</v>
      </c>
    </row>
    <row r="3675" spans="1:3" x14ac:dyDescent="0.25">
      <c r="A3675" s="36">
        <v>41222</v>
      </c>
      <c r="B3675" s="122">
        <v>5.3622685185185183E-2</v>
      </c>
      <c r="C3675" s="26" t="s">
        <v>1721</v>
      </c>
    </row>
    <row r="3676" spans="1:3" x14ac:dyDescent="0.25">
      <c r="A3676" s="36">
        <v>41222</v>
      </c>
      <c r="B3676" s="122">
        <v>5.3622685185185183E-2</v>
      </c>
      <c r="C3676" s="26" t="s">
        <v>992</v>
      </c>
    </row>
    <row r="3677" spans="1:3" x14ac:dyDescent="0.25">
      <c r="A3677" s="36">
        <v>41222</v>
      </c>
      <c r="B3677" s="122">
        <v>5.3622685185185183E-2</v>
      </c>
      <c r="C3677" s="26" t="s">
        <v>1084</v>
      </c>
    </row>
    <row r="3678" spans="1:3" x14ac:dyDescent="0.25">
      <c r="A3678" s="36">
        <v>41222</v>
      </c>
      <c r="B3678" s="122">
        <v>5.3622685185185183E-2</v>
      </c>
      <c r="C3678" s="26" t="s">
        <v>1085</v>
      </c>
    </row>
    <row r="3679" spans="1:3" x14ac:dyDescent="0.25">
      <c r="A3679" s="36">
        <v>41222</v>
      </c>
      <c r="B3679" s="122">
        <v>5.3622685185185183E-2</v>
      </c>
      <c r="C3679" s="26" t="s">
        <v>1086</v>
      </c>
    </row>
    <row r="3680" spans="1:3" x14ac:dyDescent="0.25">
      <c r="A3680" s="36">
        <v>41222</v>
      </c>
      <c r="B3680" s="122">
        <v>5.3622685185185183E-2</v>
      </c>
      <c r="C3680" s="26" t="s">
        <v>1085</v>
      </c>
    </row>
    <row r="3681" spans="1:3" x14ac:dyDescent="0.25">
      <c r="A3681" s="36">
        <v>41222</v>
      </c>
      <c r="B3681" s="122">
        <v>5.3622685185185183E-2</v>
      </c>
      <c r="C3681" s="26" t="s">
        <v>1087</v>
      </c>
    </row>
    <row r="3682" spans="1:3" x14ac:dyDescent="0.25">
      <c r="A3682" s="36">
        <v>41222</v>
      </c>
      <c r="B3682" s="122">
        <v>5.3622685185185183E-2</v>
      </c>
      <c r="C3682" s="26" t="s">
        <v>1088</v>
      </c>
    </row>
    <row r="3683" spans="1:3" x14ac:dyDescent="0.25">
      <c r="A3683" s="36">
        <v>41222</v>
      </c>
      <c r="B3683" s="122">
        <v>5.3622685185185183E-2</v>
      </c>
      <c r="C3683" s="26" t="s">
        <v>1088</v>
      </c>
    </row>
    <row r="3684" spans="1:3" x14ac:dyDescent="0.25">
      <c r="A3684" s="36">
        <v>41222</v>
      </c>
      <c r="B3684" s="122">
        <v>5.3622685185185183E-2</v>
      </c>
      <c r="C3684" s="26" t="s">
        <v>1092</v>
      </c>
    </row>
    <row r="3685" spans="1:3" x14ac:dyDescent="0.25">
      <c r="A3685" s="36">
        <v>41222</v>
      </c>
      <c r="B3685" s="122">
        <v>5.3634259259259263E-2</v>
      </c>
      <c r="C3685" s="26" t="s">
        <v>1722</v>
      </c>
    </row>
    <row r="3686" spans="1:3" x14ac:dyDescent="0.25">
      <c r="A3686" s="36">
        <v>41222</v>
      </c>
      <c r="B3686" s="122">
        <v>5.3634259259259263E-2</v>
      </c>
      <c r="C3686" s="26" t="s">
        <v>1723</v>
      </c>
    </row>
    <row r="3687" spans="1:3" x14ac:dyDescent="0.25">
      <c r="A3687" s="36">
        <v>41222</v>
      </c>
      <c r="B3687" s="122">
        <v>5.3634259259259263E-2</v>
      </c>
      <c r="C3687" s="26" t="s">
        <v>1722</v>
      </c>
    </row>
    <row r="3688" spans="1:3" x14ac:dyDescent="0.25">
      <c r="A3688" s="36">
        <v>41222</v>
      </c>
      <c r="B3688" s="122">
        <v>5.3634259259259263E-2</v>
      </c>
      <c r="C3688" s="26" t="s">
        <v>1724</v>
      </c>
    </row>
    <row r="3689" spans="1:3" x14ac:dyDescent="0.25">
      <c r="A3689" s="36">
        <v>41222</v>
      </c>
      <c r="B3689" s="122">
        <v>5.3634259259259263E-2</v>
      </c>
      <c r="C3689" s="26" t="s">
        <v>1725</v>
      </c>
    </row>
    <row r="3690" spans="1:3" x14ac:dyDescent="0.25">
      <c r="A3690" s="36">
        <v>41222</v>
      </c>
      <c r="B3690" s="122">
        <v>5.3668981481481477E-2</v>
      </c>
      <c r="C3690" s="26" t="s">
        <v>1122</v>
      </c>
    </row>
    <row r="3691" spans="1:3" x14ac:dyDescent="0.25">
      <c r="A3691" s="36">
        <v>41222</v>
      </c>
      <c r="B3691" s="122">
        <v>5.3668981481481477E-2</v>
      </c>
      <c r="C3691" s="26" t="s">
        <v>1111</v>
      </c>
    </row>
    <row r="3692" spans="1:3" x14ac:dyDescent="0.25">
      <c r="A3692" s="36">
        <v>41222</v>
      </c>
      <c r="B3692" s="122">
        <v>5.4398148148148147E-2</v>
      </c>
      <c r="C3692" s="26" t="s">
        <v>1784</v>
      </c>
    </row>
    <row r="3693" spans="1:3" x14ac:dyDescent="0.25">
      <c r="A3693" s="36">
        <v>41222</v>
      </c>
      <c r="B3693" s="122">
        <v>5.7476851851851855E-2</v>
      </c>
      <c r="C3693" s="26" t="s">
        <v>1721</v>
      </c>
    </row>
    <row r="3694" spans="1:3" x14ac:dyDescent="0.25">
      <c r="A3694" s="36">
        <v>41222</v>
      </c>
      <c r="B3694" s="122">
        <v>5.7476851851851855E-2</v>
      </c>
      <c r="C3694" s="26" t="s">
        <v>992</v>
      </c>
    </row>
    <row r="3695" spans="1:3" x14ac:dyDescent="0.25">
      <c r="A3695" s="36">
        <v>41222</v>
      </c>
      <c r="B3695" s="122">
        <v>5.7476851851851855E-2</v>
      </c>
      <c r="C3695" s="26" t="s">
        <v>1084</v>
      </c>
    </row>
    <row r="3696" spans="1:3" x14ac:dyDescent="0.25">
      <c r="A3696" s="36">
        <v>41222</v>
      </c>
      <c r="B3696" s="122">
        <v>5.7488425925925929E-2</v>
      </c>
      <c r="C3696" s="26" t="s">
        <v>1085</v>
      </c>
    </row>
    <row r="3697" spans="1:3" x14ac:dyDescent="0.25">
      <c r="A3697" s="36">
        <v>41222</v>
      </c>
      <c r="B3697" s="122">
        <v>5.7488425925925929E-2</v>
      </c>
      <c r="C3697" s="26" t="s">
        <v>1086</v>
      </c>
    </row>
    <row r="3698" spans="1:3" x14ac:dyDescent="0.25">
      <c r="A3698" s="36">
        <v>41222</v>
      </c>
      <c r="B3698" s="122">
        <v>5.7488425925925929E-2</v>
      </c>
      <c r="C3698" s="26" t="s">
        <v>1085</v>
      </c>
    </row>
    <row r="3699" spans="1:3" x14ac:dyDescent="0.25">
      <c r="A3699" s="36">
        <v>41222</v>
      </c>
      <c r="B3699" s="122">
        <v>5.7488425925925929E-2</v>
      </c>
      <c r="C3699" s="26" t="s">
        <v>1087</v>
      </c>
    </row>
    <row r="3700" spans="1:3" x14ac:dyDescent="0.25">
      <c r="A3700" s="36">
        <v>41222</v>
      </c>
      <c r="B3700" s="122">
        <v>5.7488425925925929E-2</v>
      </c>
      <c r="C3700" s="26" t="s">
        <v>1088</v>
      </c>
    </row>
    <row r="3701" spans="1:3" x14ac:dyDescent="0.25">
      <c r="A3701" s="36">
        <v>41222</v>
      </c>
      <c r="B3701" s="122">
        <v>5.7488425925925929E-2</v>
      </c>
      <c r="C3701" s="26" t="s">
        <v>1088</v>
      </c>
    </row>
    <row r="3702" spans="1:3" x14ac:dyDescent="0.25">
      <c r="A3702" s="36">
        <v>41222</v>
      </c>
      <c r="B3702" s="122">
        <v>5.7488425925925929E-2</v>
      </c>
      <c r="C3702" s="26" t="s">
        <v>1092</v>
      </c>
    </row>
    <row r="3703" spans="1:3" x14ac:dyDescent="0.25">
      <c r="A3703" s="36">
        <v>41222</v>
      </c>
      <c r="B3703" s="122">
        <v>5.7488425925925929E-2</v>
      </c>
      <c r="C3703" s="26" t="s">
        <v>1722</v>
      </c>
    </row>
    <row r="3704" spans="1:3" x14ac:dyDescent="0.25">
      <c r="A3704" s="36">
        <v>41222</v>
      </c>
      <c r="B3704" s="122">
        <v>5.7488425925925929E-2</v>
      </c>
      <c r="C3704" s="26" t="s">
        <v>1723</v>
      </c>
    </row>
    <row r="3705" spans="1:3" x14ac:dyDescent="0.25">
      <c r="A3705" s="36">
        <v>41222</v>
      </c>
      <c r="B3705" s="122">
        <v>5.7488425925925929E-2</v>
      </c>
      <c r="C3705" s="26" t="s">
        <v>1722</v>
      </c>
    </row>
    <row r="3706" spans="1:3" x14ac:dyDescent="0.25">
      <c r="A3706" s="36">
        <v>41222</v>
      </c>
      <c r="B3706" s="122">
        <v>5.7488425925925929E-2</v>
      </c>
      <c r="C3706" s="26" t="s">
        <v>1724</v>
      </c>
    </row>
    <row r="3707" spans="1:3" x14ac:dyDescent="0.25">
      <c r="A3707" s="36">
        <v>41222</v>
      </c>
      <c r="B3707" s="122">
        <v>5.7488425925925929E-2</v>
      </c>
      <c r="C3707" s="26" t="s">
        <v>1725</v>
      </c>
    </row>
    <row r="3708" spans="1:3" x14ac:dyDescent="0.25">
      <c r="A3708" s="36">
        <v>41222</v>
      </c>
      <c r="B3708" s="122">
        <v>5.752314814814815E-2</v>
      </c>
      <c r="C3708" s="26" t="s">
        <v>1122</v>
      </c>
    </row>
    <row r="3709" spans="1:3" x14ac:dyDescent="0.25">
      <c r="A3709" s="36">
        <v>41222</v>
      </c>
      <c r="B3709" s="122">
        <v>5.7534722222222223E-2</v>
      </c>
      <c r="C3709" s="26" t="s">
        <v>1111</v>
      </c>
    </row>
    <row r="3710" spans="1:3" x14ac:dyDescent="0.25">
      <c r="A3710" s="36">
        <v>41222</v>
      </c>
      <c r="B3710" s="122">
        <v>9.8287037037037048E-2</v>
      </c>
      <c r="C3710" s="26" t="s">
        <v>1122</v>
      </c>
    </row>
    <row r="3711" spans="1:3" x14ac:dyDescent="0.25">
      <c r="A3711" s="36">
        <v>41222</v>
      </c>
      <c r="B3711" s="122">
        <v>0.11372685185185184</v>
      </c>
      <c r="C3711" s="26" t="s">
        <v>1122</v>
      </c>
    </row>
    <row r="3712" spans="1:3" x14ac:dyDescent="0.25">
      <c r="A3712" s="36">
        <v>41222</v>
      </c>
      <c r="B3712" s="122">
        <v>0.11465277777777778</v>
      </c>
      <c r="C3712" s="26" t="s">
        <v>1122</v>
      </c>
    </row>
    <row r="3713" spans="1:3" x14ac:dyDescent="0.25">
      <c r="A3713" s="36">
        <v>41222</v>
      </c>
      <c r="B3713" s="122">
        <v>0.11957175925925927</v>
      </c>
      <c r="C3713" s="26" t="s">
        <v>1786</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31"/>
  <sheetViews>
    <sheetView workbookViewId="0">
      <selection activeCell="F14" sqref="F14"/>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15" customFormat="1" ht="15.75" thickBot="1" x14ac:dyDescent="0.3">
      <c r="A1" s="424">
        <v>41208</v>
      </c>
    </row>
    <row r="2" spans="1:30" s="315" customFormat="1" ht="19.5" x14ac:dyDescent="0.3">
      <c r="C2" s="316" t="s">
        <v>705</v>
      </c>
    </row>
    <row r="3" spans="1:30" s="315" customFormat="1" x14ac:dyDescent="0.25"/>
    <row r="4" spans="1:30" s="315" customFormat="1" ht="15.75" thickBot="1" x14ac:dyDescent="0.3">
      <c r="A4" s="315" t="s">
        <v>785</v>
      </c>
    </row>
    <row r="5" spans="1:30" s="315" customFormat="1" ht="23.25" thickBot="1" x14ac:dyDescent="0.3">
      <c r="A5" s="254" t="s">
        <v>792</v>
      </c>
      <c r="B5" s="317" t="s">
        <v>706</v>
      </c>
      <c r="C5" s="318" t="s">
        <v>576</v>
      </c>
      <c r="D5" s="318" t="s">
        <v>707</v>
      </c>
      <c r="E5" s="318" t="s">
        <v>587</v>
      </c>
      <c r="F5" s="319"/>
      <c r="G5" s="320" t="s">
        <v>68</v>
      </c>
      <c r="H5" s="321" t="s">
        <v>67</v>
      </c>
      <c r="I5" s="320" t="s">
        <v>66</v>
      </c>
      <c r="J5" s="322" t="s">
        <v>65</v>
      </c>
      <c r="K5" s="323" t="s">
        <v>708</v>
      </c>
      <c r="L5" s="323" t="s">
        <v>709</v>
      </c>
      <c r="M5" s="323" t="s">
        <v>710</v>
      </c>
      <c r="N5" s="324" t="s">
        <v>711</v>
      </c>
      <c r="O5" s="324" t="s">
        <v>712</v>
      </c>
      <c r="P5" s="324" t="s">
        <v>713</v>
      </c>
      <c r="Q5" s="324" t="s">
        <v>714</v>
      </c>
      <c r="R5" s="324" t="s">
        <v>715</v>
      </c>
      <c r="S5" s="323" t="s">
        <v>0</v>
      </c>
      <c r="T5" s="322" t="s">
        <v>2</v>
      </c>
      <c r="U5" s="322" t="s">
        <v>716</v>
      </c>
      <c r="V5" s="322" t="s">
        <v>717</v>
      </c>
      <c r="W5" s="322" t="s">
        <v>1</v>
      </c>
      <c r="X5" s="322" t="s">
        <v>718</v>
      </c>
      <c r="Y5" s="322" t="s">
        <v>719</v>
      </c>
      <c r="Z5" s="320" t="s">
        <v>62</v>
      </c>
      <c r="AA5" s="322" t="s">
        <v>64</v>
      </c>
      <c r="AB5" s="323" t="s">
        <v>61</v>
      </c>
      <c r="AC5" s="322" t="s">
        <v>63</v>
      </c>
      <c r="AD5" s="322" t="s">
        <v>57</v>
      </c>
    </row>
    <row r="6" spans="1:30" s="315" customFormat="1" x14ac:dyDescent="0.25">
      <c r="A6" s="255" t="s">
        <v>793</v>
      </c>
      <c r="B6" s="325" t="s">
        <v>201</v>
      </c>
      <c r="C6" s="326" t="str">
        <f>IF(D6="","",1)</f>
        <v/>
      </c>
      <c r="D6" s="508"/>
      <c r="E6" s="508"/>
      <c r="F6" s="327" t="str">
        <f>TRIM(G6)&amp;TRIM(J6)&amp;ROUND(S6/1000,0)</f>
        <v>0</v>
      </c>
    </row>
    <row r="7" spans="1:30" s="315" customFormat="1" x14ac:dyDescent="0.25">
      <c r="A7" s="254" t="s">
        <v>794</v>
      </c>
      <c r="B7" s="328">
        <v>0.5</v>
      </c>
      <c r="C7" s="328">
        <v>1.2</v>
      </c>
      <c r="D7" s="328">
        <v>0.5</v>
      </c>
      <c r="E7" s="328">
        <v>0.5</v>
      </c>
      <c r="F7" s="329">
        <v>0.3</v>
      </c>
      <c r="G7" s="330">
        <v>14</v>
      </c>
      <c r="H7" s="330">
        <v>8</v>
      </c>
      <c r="I7" s="330">
        <v>12.8</v>
      </c>
      <c r="J7" s="330">
        <v>22</v>
      </c>
      <c r="K7" s="330">
        <v>0</v>
      </c>
      <c r="L7" s="330">
        <v>0</v>
      </c>
      <c r="M7" s="330">
        <v>0</v>
      </c>
      <c r="N7" s="330">
        <v>0</v>
      </c>
      <c r="O7" s="330">
        <v>0</v>
      </c>
      <c r="P7" s="330">
        <v>0</v>
      </c>
      <c r="Q7" s="330">
        <v>0</v>
      </c>
      <c r="R7" s="330">
        <v>0</v>
      </c>
      <c r="S7" s="330">
        <v>10</v>
      </c>
      <c r="T7" s="330">
        <v>40</v>
      </c>
      <c r="U7" s="330">
        <v>0</v>
      </c>
      <c r="V7" s="330">
        <v>0</v>
      </c>
      <c r="W7" s="330">
        <v>10</v>
      </c>
      <c r="X7" s="330">
        <v>0</v>
      </c>
      <c r="Y7" s="330">
        <v>0</v>
      </c>
      <c r="Z7" s="330">
        <v>8</v>
      </c>
      <c r="AA7" s="330">
        <v>8</v>
      </c>
      <c r="AB7" s="330">
        <v>10</v>
      </c>
      <c r="AC7" s="330">
        <v>5</v>
      </c>
      <c r="AD7" s="330">
        <v>15</v>
      </c>
    </row>
    <row r="8" spans="1:30" s="315" customFormat="1" x14ac:dyDescent="0.25">
      <c r="A8" s="254" t="s">
        <v>795</v>
      </c>
      <c r="B8" s="328">
        <v>9</v>
      </c>
      <c r="C8" s="328"/>
      <c r="D8" s="328">
        <v>5</v>
      </c>
      <c r="E8" s="328">
        <v>3</v>
      </c>
      <c r="F8" s="329">
        <v>-1</v>
      </c>
      <c r="G8" s="328"/>
      <c r="H8" s="328"/>
      <c r="K8" s="328"/>
      <c r="L8" s="330"/>
      <c r="M8" s="330"/>
      <c r="N8" s="330"/>
      <c r="O8" s="330"/>
      <c r="P8" s="330"/>
      <c r="Q8" s="330"/>
      <c r="R8" s="330"/>
      <c r="S8" s="330"/>
      <c r="T8" s="330"/>
      <c r="U8" s="363"/>
      <c r="V8" s="330"/>
      <c r="W8" s="330"/>
      <c r="X8" s="330"/>
      <c r="Y8" s="330"/>
      <c r="Z8" s="330"/>
      <c r="AA8" s="330"/>
    </row>
    <row r="9" spans="1:30" s="315" customFormat="1" x14ac:dyDescent="0.25">
      <c r="A9" s="254" t="s">
        <v>796</v>
      </c>
      <c r="B9" s="328"/>
      <c r="C9" s="328"/>
      <c r="D9" s="328"/>
      <c r="E9" s="328"/>
      <c r="F9" s="329"/>
      <c r="G9" s="328"/>
      <c r="H9" s="328"/>
      <c r="K9" s="328"/>
      <c r="L9" s="330"/>
      <c r="M9" s="330"/>
      <c r="N9" s="330"/>
      <c r="O9" s="330"/>
      <c r="P9" s="330"/>
      <c r="Q9" s="330"/>
      <c r="R9" s="330"/>
      <c r="S9" s="330"/>
      <c r="T9" s="330"/>
      <c r="U9" s="363"/>
      <c r="V9" s="330"/>
      <c r="W9" s="330"/>
      <c r="X9" s="330"/>
      <c r="Y9" s="330"/>
      <c r="Z9" s="330"/>
      <c r="AA9" s="330"/>
    </row>
    <row r="10" spans="1:30" s="315" customFormat="1" x14ac:dyDescent="0.25">
      <c r="A10" s="254" t="s">
        <v>797</v>
      </c>
      <c r="B10" s="481" t="s">
        <v>788</v>
      </c>
      <c r="C10" s="481"/>
      <c r="D10" s="481" t="s">
        <v>826</v>
      </c>
      <c r="E10" s="481" t="s">
        <v>827</v>
      </c>
      <c r="F10" s="329"/>
      <c r="G10" s="328"/>
      <c r="H10" s="328"/>
      <c r="K10" s="328"/>
      <c r="L10" s="330"/>
      <c r="M10" s="330"/>
      <c r="N10" s="330"/>
      <c r="O10" s="330"/>
      <c r="P10" s="330"/>
      <c r="Q10" s="330"/>
      <c r="R10" s="330"/>
      <c r="S10" s="330"/>
      <c r="T10" s="330"/>
      <c r="U10" s="363"/>
      <c r="V10" s="330"/>
      <c r="W10" s="330"/>
      <c r="X10" s="330"/>
      <c r="Y10" s="330"/>
      <c r="Z10" s="330"/>
      <c r="AA10" s="330"/>
    </row>
    <row r="11" spans="1:30" s="315" customFormat="1" x14ac:dyDescent="0.25"/>
    <row r="12" spans="1:30" s="315" customFormat="1" x14ac:dyDescent="0.25">
      <c r="A12" s="315" t="s">
        <v>784</v>
      </c>
    </row>
    <row r="13" spans="1:30" s="315" customFormat="1" ht="15.75" thickBot="1" x14ac:dyDescent="0.3">
      <c r="B13" s="315" t="s">
        <v>720</v>
      </c>
      <c r="C13" s="315" t="s">
        <v>721</v>
      </c>
      <c r="D13" s="315" t="s">
        <v>721</v>
      </c>
      <c r="E13" s="315" t="s">
        <v>721</v>
      </c>
      <c r="F13" s="315" t="s">
        <v>721</v>
      </c>
      <c r="H13" s="315" t="s">
        <v>721</v>
      </c>
      <c r="I13" s="315" t="s">
        <v>721</v>
      </c>
      <c r="J13" s="315" t="s">
        <v>721</v>
      </c>
      <c r="K13" s="315" t="s">
        <v>721</v>
      </c>
      <c r="R13" s="331" t="s">
        <v>720</v>
      </c>
    </row>
    <row r="14" spans="1:30" s="315" customFormat="1" ht="15.75" thickBot="1" x14ac:dyDescent="0.3">
      <c r="A14" s="726">
        <f>1 - COUNTIF(A$3:A12,"")/COUNTA(A$3:A12)</f>
        <v>0.75</v>
      </c>
      <c r="B14" s="727"/>
      <c r="C14" s="727"/>
      <c r="D14" s="728"/>
      <c r="E14" s="332"/>
      <c r="F14" s="333">
        <f>SUMIF(B$1:B7,"1",R$1:R7)</f>
        <v>0</v>
      </c>
      <c r="G14" s="334" t="e">
        <f>F14/R14</f>
        <v>#DIV/0!</v>
      </c>
      <c r="H14" s="335" t="e">
        <f>1-G14</f>
        <v>#DIV/0!</v>
      </c>
      <c r="I14" s="336" t="s">
        <v>722</v>
      </c>
      <c r="J14" s="337"/>
      <c r="K14" s="338"/>
      <c r="L14" s="339"/>
      <c r="M14" s="339"/>
      <c r="N14" s="339"/>
      <c r="O14" s="339"/>
      <c r="P14" s="339"/>
      <c r="Q14" s="339"/>
      <c r="R14" s="333">
        <f>SUM(R$3:R12)</f>
        <v>0</v>
      </c>
    </row>
    <row r="15" spans="1:30" s="315" customFormat="1" x14ac:dyDescent="0.25"/>
    <row r="16" spans="1:30" s="315" customFormat="1" x14ac:dyDescent="0.25">
      <c r="A16" s="315" t="s">
        <v>786</v>
      </c>
    </row>
    <row r="17" spans="1:27" s="315" customFormat="1" ht="15.75" thickBot="1" x14ac:dyDescent="0.3">
      <c r="B17" s="315" t="s">
        <v>1717</v>
      </c>
    </row>
    <row r="18" spans="1:27" s="351" customFormat="1" ht="60" thickBot="1" x14ac:dyDescent="0.3">
      <c r="A18" s="254" t="s">
        <v>792</v>
      </c>
      <c r="B18" s="340" t="s">
        <v>723</v>
      </c>
      <c r="C18" s="341" t="s">
        <v>724</v>
      </c>
      <c r="D18" s="341" t="s">
        <v>725</v>
      </c>
      <c r="E18" s="342" t="s">
        <v>726</v>
      </c>
      <c r="F18" s="343" t="s">
        <v>727</v>
      </c>
      <c r="G18" s="344" t="s">
        <v>728</v>
      </c>
      <c r="H18" s="345" t="s">
        <v>729</v>
      </c>
      <c r="I18" s="346"/>
      <c r="J18" s="347"/>
      <c r="K18" s="348" t="s">
        <v>602</v>
      </c>
      <c r="L18" s="348"/>
      <c r="M18" s="349" t="s">
        <v>603</v>
      </c>
      <c r="N18" s="347" t="s">
        <v>716</v>
      </c>
      <c r="O18" s="347" t="s">
        <v>1</v>
      </c>
      <c r="P18" s="347" t="s">
        <v>58</v>
      </c>
      <c r="Q18" s="347" t="s">
        <v>730</v>
      </c>
      <c r="R18" s="347" t="s">
        <v>731</v>
      </c>
      <c r="S18" s="347" t="s">
        <v>732</v>
      </c>
      <c r="T18" s="348" t="s">
        <v>733</v>
      </c>
      <c r="U18" s="350" t="s">
        <v>734</v>
      </c>
      <c r="V18" s="350" t="s">
        <v>735</v>
      </c>
      <c r="W18" s="350" t="s">
        <v>736</v>
      </c>
      <c r="X18" s="347" t="s">
        <v>737</v>
      </c>
      <c r="Y18" s="347" t="s">
        <v>738</v>
      </c>
      <c r="Z18" s="347" t="s">
        <v>57</v>
      </c>
      <c r="AA18" s="347" t="s">
        <v>739</v>
      </c>
    </row>
    <row r="19" spans="1:27" s="315" customFormat="1" ht="18" customHeight="1" x14ac:dyDescent="0.25">
      <c r="A19" s="255" t="s">
        <v>793</v>
      </c>
      <c r="B19" s="352" t="s">
        <v>70</v>
      </c>
      <c r="C19" s="353" t="s">
        <v>750</v>
      </c>
      <c r="D19" s="354"/>
      <c r="E19" s="355">
        <v>1</v>
      </c>
      <c r="F19" s="356" t="str">
        <f>IF(AND(U19=W19,W19&gt;0),"1","")</f>
        <v/>
      </c>
      <c r="G19" s="357" t="str">
        <f>IF(U19=V19,"1","")</f>
        <v/>
      </c>
      <c r="H19" s="679"/>
      <c r="I19" s="678" t="str">
        <f>IF(S19="",TRIM(K19),TRIM(MID(S19,9,55))&amp;"/"&amp;TRIM(K19))</f>
        <v>2009-1-065</v>
      </c>
      <c r="J19" s="358"/>
      <c r="K19" s="359" t="s">
        <v>740</v>
      </c>
      <c r="L19" s="359"/>
      <c r="M19" s="360">
        <v>40058</v>
      </c>
      <c r="N19" s="358" t="s">
        <v>11</v>
      </c>
      <c r="O19" s="358" t="s">
        <v>80</v>
      </c>
      <c r="P19" s="358" t="s">
        <v>741</v>
      </c>
      <c r="Q19" s="358"/>
      <c r="R19" s="358" t="s">
        <v>742</v>
      </c>
      <c r="S19" s="358"/>
      <c r="T19" s="359" t="s">
        <v>100</v>
      </c>
      <c r="U19" s="361">
        <v>324000</v>
      </c>
      <c r="V19" s="361">
        <v>0</v>
      </c>
      <c r="W19" s="361">
        <v>0</v>
      </c>
      <c r="X19" s="358" t="s">
        <v>45</v>
      </c>
      <c r="Y19" s="362"/>
      <c r="Z19" s="362" t="s">
        <v>743</v>
      </c>
      <c r="AA19" s="358" t="s">
        <v>744</v>
      </c>
    </row>
    <row r="20" spans="1:27" s="315" customFormat="1" x14ac:dyDescent="0.25">
      <c r="A20" s="254" t="s">
        <v>794</v>
      </c>
      <c r="B20" s="328">
        <v>0.5</v>
      </c>
      <c r="C20" s="328">
        <v>8</v>
      </c>
      <c r="D20" s="315">
        <v>6</v>
      </c>
      <c r="E20" s="328">
        <v>5</v>
      </c>
      <c r="F20" s="329">
        <v>2</v>
      </c>
      <c r="G20" s="328">
        <v>2</v>
      </c>
      <c r="H20" s="328">
        <v>2</v>
      </c>
      <c r="I20" s="315">
        <v>0.5</v>
      </c>
      <c r="J20" s="315">
        <v>0.5</v>
      </c>
      <c r="K20" s="328">
        <v>10</v>
      </c>
      <c r="L20" s="330">
        <v>0.7</v>
      </c>
      <c r="M20" s="330">
        <v>10</v>
      </c>
      <c r="N20" s="330">
        <v>7</v>
      </c>
      <c r="O20" s="330">
        <v>10</v>
      </c>
      <c r="P20" s="330">
        <v>20</v>
      </c>
      <c r="Q20" s="330">
        <v>12</v>
      </c>
      <c r="R20" s="330">
        <v>12</v>
      </c>
      <c r="S20" s="330">
        <v>10</v>
      </c>
      <c r="T20" s="330">
        <v>8</v>
      </c>
      <c r="U20" s="363">
        <v>12</v>
      </c>
      <c r="V20" s="330">
        <v>11</v>
      </c>
      <c r="W20" s="330">
        <v>11</v>
      </c>
      <c r="X20" s="330">
        <v>10</v>
      </c>
      <c r="Y20" s="330">
        <v>12</v>
      </c>
      <c r="Z20" s="330">
        <v>20</v>
      </c>
      <c r="AA20" s="330">
        <v>10</v>
      </c>
    </row>
    <row r="21" spans="1:27" s="315" customFormat="1" x14ac:dyDescent="0.25">
      <c r="A21" s="254" t="s">
        <v>795</v>
      </c>
      <c r="B21" s="328">
        <v>15</v>
      </c>
      <c r="C21" s="328">
        <v>8</v>
      </c>
      <c r="D21" s="315">
        <v>8</v>
      </c>
      <c r="E21" s="328"/>
      <c r="F21" s="329"/>
      <c r="G21" s="328"/>
      <c r="H21" s="328">
        <v>8</v>
      </c>
      <c r="K21" s="328"/>
      <c r="L21" s="330"/>
      <c r="M21" s="330"/>
      <c r="N21" s="330"/>
      <c r="O21" s="330"/>
      <c r="P21" s="330"/>
      <c r="Q21" s="330"/>
      <c r="R21" s="330"/>
      <c r="S21" s="330"/>
      <c r="T21" s="330"/>
      <c r="U21" s="363"/>
      <c r="V21" s="330"/>
      <c r="W21" s="330"/>
      <c r="X21" s="330"/>
      <c r="Y21" s="330"/>
      <c r="Z21" s="330"/>
      <c r="AA21" s="330"/>
    </row>
    <row r="22" spans="1:27" s="315" customFormat="1" x14ac:dyDescent="0.25">
      <c r="A22" s="254" t="s">
        <v>796</v>
      </c>
      <c r="B22" s="328"/>
      <c r="C22" s="328"/>
      <c r="E22" s="328"/>
      <c r="F22" s="329"/>
      <c r="G22" s="328"/>
      <c r="H22" s="328"/>
      <c r="K22" s="328"/>
      <c r="L22" s="330"/>
      <c r="M22" s="330"/>
      <c r="N22" s="330"/>
      <c r="O22" s="330"/>
      <c r="P22" s="330"/>
      <c r="Q22" s="330"/>
      <c r="R22" s="330"/>
      <c r="S22" s="330"/>
      <c r="T22" s="330"/>
      <c r="U22" s="363"/>
      <c r="V22" s="330"/>
      <c r="W22" s="330"/>
      <c r="X22" s="330"/>
      <c r="Y22" s="330"/>
      <c r="Z22" s="330"/>
      <c r="AA22" s="330"/>
    </row>
    <row r="23" spans="1:27" s="315" customFormat="1" x14ac:dyDescent="0.25">
      <c r="A23" s="254" t="s">
        <v>797</v>
      </c>
      <c r="B23" s="328" t="s">
        <v>788</v>
      </c>
      <c r="C23" s="328" t="s">
        <v>800</v>
      </c>
      <c r="D23" s="315" t="s">
        <v>798</v>
      </c>
      <c r="E23" s="328"/>
      <c r="F23" s="329"/>
      <c r="G23" s="328"/>
      <c r="H23" s="328" t="s">
        <v>799</v>
      </c>
      <c r="K23" s="328"/>
      <c r="L23" s="330"/>
      <c r="M23" s="330"/>
      <c r="N23" s="330"/>
      <c r="O23" s="330"/>
      <c r="P23" s="330"/>
      <c r="Q23" s="330"/>
      <c r="R23" s="330"/>
      <c r="S23" s="330"/>
      <c r="T23" s="330"/>
      <c r="U23" s="363"/>
      <c r="V23" s="330"/>
      <c r="W23" s="330"/>
      <c r="X23" s="330"/>
      <c r="Y23" s="330"/>
      <c r="Z23" s="330"/>
      <c r="AA23" s="330"/>
    </row>
    <row r="24" spans="1:27" s="315" customFormat="1" x14ac:dyDescent="0.25">
      <c r="A24" s="328"/>
      <c r="B24" s="328"/>
      <c r="D24" s="328"/>
      <c r="E24" s="329"/>
      <c r="F24" s="330"/>
      <c r="G24" s="330"/>
      <c r="H24" s="330"/>
      <c r="I24" s="330"/>
      <c r="J24" s="330"/>
      <c r="K24" s="330"/>
      <c r="L24" s="330"/>
      <c r="M24" s="330"/>
      <c r="N24" s="330"/>
      <c r="O24" s="330"/>
      <c r="P24" s="330"/>
      <c r="Q24" s="330"/>
      <c r="R24" s="330"/>
      <c r="S24" s="330"/>
      <c r="T24" s="330"/>
      <c r="U24" s="330"/>
      <c r="V24" s="330"/>
      <c r="W24" s="330"/>
      <c r="X24" s="330"/>
      <c r="Y24" s="330"/>
      <c r="Z24" s="330"/>
    </row>
    <row r="25" spans="1:27" s="315" customFormat="1" x14ac:dyDescent="0.25">
      <c r="A25" s="315" t="s">
        <v>787</v>
      </c>
    </row>
    <row r="26" spans="1:27" s="378" customFormat="1" ht="15" customHeight="1" thickBot="1" x14ac:dyDescent="0.3">
      <c r="A26" s="364"/>
      <c r="B26" s="365"/>
      <c r="C26" s="366"/>
      <c r="D26" s="366"/>
      <c r="E26" s="367"/>
      <c r="F26" s="368"/>
      <c r="G26" s="369"/>
      <c r="H26" s="369"/>
      <c r="I26" s="370"/>
      <c r="J26" s="371"/>
      <c r="K26" s="371"/>
      <c r="L26" s="372"/>
      <c r="M26" s="370"/>
      <c r="N26" s="373"/>
      <c r="O26" s="373"/>
      <c r="P26" s="374"/>
      <c r="Q26" s="374"/>
      <c r="R26" s="374"/>
      <c r="S26" s="375"/>
      <c r="T26" s="376"/>
      <c r="U26" s="376"/>
      <c r="V26" s="376"/>
      <c r="W26" s="374"/>
      <c r="X26" s="377"/>
      <c r="Y26" s="377"/>
      <c r="Z26" s="374"/>
    </row>
    <row r="27" spans="1:27" s="378" customFormat="1" ht="15" customHeight="1" x14ac:dyDescent="0.25">
      <c r="A27" s="364"/>
      <c r="B27" s="379" t="s">
        <v>745</v>
      </c>
      <c r="C27" s="429">
        <f>COUNTIF(B$1:B24,B27)</f>
        <v>0</v>
      </c>
      <c r="D27" s="437" t="e">
        <f>C27/C32</f>
        <v>#DIV/0!</v>
      </c>
      <c r="E27" s="380"/>
      <c r="F27" s="368"/>
      <c r="G27" s="369"/>
      <c r="H27" s="369"/>
      <c r="I27" s="381"/>
      <c r="J27" s="430">
        <f>SUMIF(B$3:B24,B27,T$3:T31)</f>
        <v>0</v>
      </c>
      <c r="K27" s="441"/>
      <c r="L27" s="442" t="e">
        <f>J27/J32</f>
        <v>#DIV/0!</v>
      </c>
      <c r="M27" s="373"/>
      <c r="N27" s="373"/>
      <c r="O27" s="373"/>
      <c r="P27" s="374"/>
      <c r="Q27" s="374"/>
      <c r="R27" s="374"/>
      <c r="S27" s="375" t="s">
        <v>722</v>
      </c>
      <c r="T27" s="383">
        <f>SUM(T$1:T26)</f>
        <v>48</v>
      </c>
      <c r="U27" s="383">
        <f>SUM(U$1:U26)</f>
        <v>324012</v>
      </c>
      <c r="V27" s="383">
        <f>SUM(V$1:V26)</f>
        <v>11</v>
      </c>
      <c r="W27" s="374" t="s">
        <v>746</v>
      </c>
      <c r="X27" s="377"/>
      <c r="Y27" s="377"/>
      <c r="Z27" s="374"/>
    </row>
    <row r="28" spans="1:27" s="378" customFormat="1" ht="15" customHeight="1" x14ac:dyDescent="0.25">
      <c r="A28" s="364"/>
      <c r="B28" s="384" t="s">
        <v>747</v>
      </c>
      <c r="C28" s="431">
        <f>COUNTIF(B$1:B24,B28)</f>
        <v>0</v>
      </c>
      <c r="D28" s="438" t="e">
        <f>C28/C32</f>
        <v>#DIV/0!</v>
      </c>
      <c r="E28" s="380"/>
      <c r="F28" s="368"/>
      <c r="G28" s="369"/>
      <c r="H28" s="369"/>
      <c r="I28" s="381"/>
      <c r="J28" s="432">
        <f>SUMIF(B$3:B27,B28,T$3:T32)</f>
        <v>0</v>
      </c>
      <c r="K28" s="443"/>
      <c r="L28" s="444" t="e">
        <f>J28/J32</f>
        <v>#DIV/0!</v>
      </c>
      <c r="M28" s="373"/>
      <c r="N28" s="373"/>
      <c r="O28" s="373"/>
      <c r="S28" s="385"/>
      <c r="T28" s="386"/>
      <c r="U28" s="386"/>
      <c r="V28" s="386"/>
      <c r="X28" s="387"/>
      <c r="Y28" s="387"/>
    </row>
    <row r="29" spans="1:27" s="378" customFormat="1" ht="15" customHeight="1" x14ac:dyDescent="0.25">
      <c r="A29" s="364"/>
      <c r="B29" s="388" t="s">
        <v>748</v>
      </c>
      <c r="C29" s="433">
        <f>COUNTIF(B$1:B24,B29)</f>
        <v>0</v>
      </c>
      <c r="D29" s="439" t="e">
        <f>C29/C32</f>
        <v>#DIV/0!</v>
      </c>
      <c r="E29" s="380"/>
      <c r="F29" s="368"/>
      <c r="G29" s="369"/>
      <c r="H29" s="369"/>
      <c r="I29" s="381"/>
      <c r="J29" s="434">
        <f>SUMIF(B$3:B28,B29,T$3:T32)</f>
        <v>0</v>
      </c>
      <c r="K29" s="445"/>
      <c r="L29" s="446" t="e">
        <f>J29/J32</f>
        <v>#DIV/0!</v>
      </c>
      <c r="M29" s="370"/>
      <c r="N29" s="373"/>
      <c r="O29" s="373"/>
      <c r="S29" s="385"/>
      <c r="T29" s="386"/>
      <c r="U29" s="386"/>
      <c r="V29" s="386"/>
      <c r="X29" s="387"/>
      <c r="Y29" s="387"/>
    </row>
    <row r="30" spans="1:27" s="378" customFormat="1" ht="15" customHeight="1" thickBot="1" x14ac:dyDescent="0.3">
      <c r="A30" s="364"/>
      <c r="B30" s="389" t="s">
        <v>749</v>
      </c>
      <c r="C30" s="435">
        <f>COUNTIF(B$1:B27,B30)</f>
        <v>0</v>
      </c>
      <c r="D30" s="440" t="e">
        <f>C30/C32</f>
        <v>#DIV/0!</v>
      </c>
      <c r="E30" s="380"/>
      <c r="F30" s="368"/>
      <c r="G30" s="369"/>
      <c r="H30" s="369"/>
      <c r="I30" s="381"/>
      <c r="J30" s="436">
        <f>SUMIF(B$3:B29,B30,T$3:T32)</f>
        <v>0</v>
      </c>
      <c r="K30" s="447"/>
      <c r="L30" s="448" t="e">
        <f>J30/J32</f>
        <v>#DIV/0!</v>
      </c>
      <c r="M30" s="370"/>
      <c r="N30" s="373"/>
      <c r="O30" s="373"/>
      <c r="S30" s="385"/>
      <c r="T30" s="386"/>
      <c r="U30" s="386"/>
      <c r="V30" s="386"/>
      <c r="X30" s="387"/>
      <c r="Y30" s="387"/>
    </row>
    <row r="31" spans="1:27" s="378" customFormat="1" ht="15" customHeight="1" thickTop="1" thickBot="1" x14ac:dyDescent="0.3">
      <c r="A31" s="390"/>
      <c r="B31" s="391" t="s">
        <v>750</v>
      </c>
      <c r="C31" s="392">
        <f>COUNTIF(B$1:B24,B31)</f>
        <v>0</v>
      </c>
      <c r="D31" s="393" t="e">
        <f>C31/C32</f>
        <v>#DIV/0!</v>
      </c>
      <c r="E31" s="394"/>
      <c r="F31" s="395"/>
      <c r="G31" s="396"/>
      <c r="H31" s="396"/>
      <c r="I31" s="397"/>
      <c r="J31" s="449">
        <f>SUMIF(B$3:B30,B31,T$3:T32)</f>
        <v>0</v>
      </c>
      <c r="K31" s="450"/>
      <c r="L31" s="451" t="e">
        <f>J31/J32</f>
        <v>#DIV/0!</v>
      </c>
      <c r="M31" s="398"/>
      <c r="N31" s="398"/>
      <c r="O31" s="398"/>
      <c r="S31" s="385"/>
      <c r="T31" s="386"/>
      <c r="U31" s="386"/>
      <c r="V31" s="386"/>
      <c r="X31" s="387"/>
      <c r="Y31" s="387"/>
    </row>
    <row r="32" spans="1:27" s="378" customFormat="1" ht="15" customHeight="1" x14ac:dyDescent="0.25">
      <c r="A32" s="364"/>
      <c r="B32" s="399"/>
      <c r="C32" s="400">
        <f>SUM(C27:C31)</f>
        <v>0</v>
      </c>
      <c r="D32" s="366"/>
      <c r="E32" s="380"/>
      <c r="F32" s="368"/>
      <c r="G32" s="369"/>
      <c r="H32" s="369"/>
      <c r="I32" s="381"/>
      <c r="J32" s="401">
        <f>SUM(J27:J31)</f>
        <v>0</v>
      </c>
      <c r="K32" s="382"/>
      <c r="L32" s="402"/>
      <c r="M32" s="370"/>
      <c r="N32" s="373"/>
      <c r="O32" s="373"/>
      <c r="S32" s="385"/>
      <c r="T32" s="386"/>
      <c r="U32" s="386"/>
      <c r="V32" s="386"/>
      <c r="X32" s="387"/>
      <c r="Y32" s="387"/>
    </row>
    <row r="33" spans="1:26" s="315" customFormat="1" x14ac:dyDescent="0.25">
      <c r="A33" s="328"/>
      <c r="B33" s="328"/>
      <c r="D33" s="328"/>
      <c r="E33" s="329"/>
      <c r="F33" s="330"/>
      <c r="G33" s="330"/>
      <c r="H33" s="330"/>
      <c r="I33" s="330"/>
      <c r="J33" s="330"/>
      <c r="K33" s="330"/>
      <c r="L33" s="330"/>
      <c r="M33" s="330"/>
      <c r="N33" s="330"/>
      <c r="O33" s="330"/>
      <c r="P33" s="330"/>
      <c r="Q33" s="330"/>
      <c r="R33" s="330"/>
      <c r="S33" s="330"/>
      <c r="T33" s="330"/>
      <c r="U33" s="330"/>
      <c r="V33" s="330"/>
      <c r="W33" s="330"/>
      <c r="X33" s="330"/>
      <c r="Y33" s="330"/>
      <c r="Z33" s="330"/>
    </row>
    <row r="34" spans="1:26" s="315" customFormat="1" x14ac:dyDescent="0.25">
      <c r="A34" s="403" t="s">
        <v>751</v>
      </c>
    </row>
    <row r="35" spans="1:26" s="315" customFormat="1" ht="17.25" x14ac:dyDescent="0.4">
      <c r="A35" s="254" t="s">
        <v>792</v>
      </c>
      <c r="B35" s="404" t="s">
        <v>706</v>
      </c>
      <c r="C35" s="405"/>
    </row>
    <row r="36" spans="1:26" s="315" customFormat="1" ht="17.25" x14ac:dyDescent="0.4">
      <c r="A36" s="255" t="s">
        <v>793</v>
      </c>
      <c r="B36" s="406"/>
      <c r="C36" s="405"/>
    </row>
    <row r="37" spans="1:26" s="315" customFormat="1" x14ac:dyDescent="0.25">
      <c r="A37" s="254" t="s">
        <v>794</v>
      </c>
      <c r="B37" s="328">
        <v>0.5</v>
      </c>
      <c r="C37" s="328"/>
    </row>
    <row r="38" spans="1:26" s="315" customFormat="1" x14ac:dyDescent="0.25">
      <c r="A38" s="254" t="s">
        <v>795</v>
      </c>
      <c r="B38" s="328">
        <v>3</v>
      </c>
      <c r="C38" s="328"/>
    </row>
    <row r="39" spans="1:26" s="315" customFormat="1" x14ac:dyDescent="0.25">
      <c r="A39" s="254" t="s">
        <v>796</v>
      </c>
      <c r="B39" s="328"/>
      <c r="C39" s="328"/>
    </row>
    <row r="40" spans="1:26" s="315" customFormat="1" x14ac:dyDescent="0.25">
      <c r="A40" s="254" t="s">
        <v>797</v>
      </c>
      <c r="B40" s="328" t="s">
        <v>788</v>
      </c>
      <c r="C40" s="328"/>
    </row>
    <row r="41" spans="1:26" s="315" customFormat="1" x14ac:dyDescent="0.25"/>
    <row r="42" spans="1:26" s="425" customFormat="1" ht="7.5" customHeight="1" x14ac:dyDescent="0.25">
      <c r="D42" s="426"/>
      <c r="E42" s="426"/>
    </row>
    <row r="43" spans="1:26" s="410" customFormat="1" ht="19.5" x14ac:dyDescent="0.3">
      <c r="A43" s="315"/>
      <c r="C43" s="411" t="s">
        <v>767</v>
      </c>
    </row>
    <row r="44" spans="1:26" s="410" customFormat="1" x14ac:dyDescent="0.25"/>
    <row r="45" spans="1:26" s="410" customFormat="1" x14ac:dyDescent="0.25">
      <c r="A45" s="410" t="s">
        <v>768</v>
      </c>
    </row>
    <row r="46" spans="1:26" s="410" customFormat="1" ht="17.25" x14ac:dyDescent="0.4">
      <c r="A46" s="405" t="s">
        <v>769</v>
      </c>
      <c r="B46" s="412" t="s">
        <v>770</v>
      </c>
      <c r="E46" s="410" t="s">
        <v>771</v>
      </c>
    </row>
    <row r="47" spans="1:26" s="410" customFormat="1" x14ac:dyDescent="0.25">
      <c r="A47" s="413">
        <v>4240</v>
      </c>
      <c r="B47" s="414" t="str">
        <f>IF(D47="&lt;&lt;ПУСТО&gt;&gt;",C47&amp;ROUND(F47/1000,0),D47&amp;C47&amp;ROUND(F47/1000,0))</f>
        <v>0</v>
      </c>
      <c r="E47" s="410" t="s">
        <v>772</v>
      </c>
    </row>
    <row r="48" spans="1:26" s="410" customFormat="1" x14ac:dyDescent="0.25">
      <c r="A48" s="415">
        <v>8</v>
      </c>
      <c r="B48" s="415">
        <v>1</v>
      </c>
      <c r="E48" s="410" t="s">
        <v>773</v>
      </c>
    </row>
    <row r="49" spans="1:8" s="410" customFormat="1" x14ac:dyDescent="0.25"/>
    <row r="50" spans="1:8" s="410" customFormat="1" ht="15.75" thickBot="1" x14ac:dyDescent="0.3">
      <c r="A50" s="410" t="s">
        <v>774</v>
      </c>
    </row>
    <row r="51" spans="1:8" s="410" customFormat="1" ht="15.75" x14ac:dyDescent="0.3">
      <c r="A51" s="416">
        <f>(SUMIF(A$43:A47,0,F$43:F47)-F51)/1000000</f>
        <v>0</v>
      </c>
      <c r="B51" s="408"/>
      <c r="C51" s="409"/>
      <c r="E51" s="417" t="s">
        <v>775</v>
      </c>
      <c r="F51" s="418">
        <f>SUMIF(I$43:I48,"Наталья Константиновна Лидер",F$43:F48)</f>
        <v>0</v>
      </c>
    </row>
    <row r="52" spans="1:8" s="410" customFormat="1" ht="16.5" thickBot="1" x14ac:dyDescent="0.35">
      <c r="A52" s="419">
        <f>COUNTIF(A$43:A47,0)-F52</f>
        <v>0</v>
      </c>
      <c r="B52" s="408"/>
      <c r="C52" s="409" t="s">
        <v>620</v>
      </c>
      <c r="E52" s="420"/>
      <c r="F52" s="421">
        <f>COUNTIF(I$43:I53,"Наталья Константиновна Лидер")</f>
        <v>0</v>
      </c>
    </row>
    <row r="53" spans="1:8" s="410" customFormat="1" x14ac:dyDescent="0.25"/>
    <row r="54" spans="1:8" s="410" customFormat="1" x14ac:dyDescent="0.25">
      <c r="A54" s="410" t="s">
        <v>776</v>
      </c>
    </row>
    <row r="55" spans="1:8" s="410" customFormat="1" ht="15.75" thickBot="1" x14ac:dyDescent="0.3">
      <c r="B55" s="410" t="s">
        <v>1730</v>
      </c>
    </row>
    <row r="56" spans="1:8" s="410" customFormat="1" ht="17.25" x14ac:dyDescent="0.4">
      <c r="A56" s="729" t="s">
        <v>574</v>
      </c>
      <c r="B56" s="254" t="s">
        <v>792</v>
      </c>
      <c r="C56" s="405" t="s">
        <v>769</v>
      </c>
      <c r="D56" s="405" t="s">
        <v>777</v>
      </c>
      <c r="G56" s="410" t="s">
        <v>771</v>
      </c>
    </row>
    <row r="57" spans="1:8" s="410" customFormat="1" x14ac:dyDescent="0.25">
      <c r="A57" s="730"/>
      <c r="B57" s="255" t="s">
        <v>793</v>
      </c>
      <c r="C57" s="406" t="str">
        <f>IFERROR(MATCH(D57,#REF!,0),IF(N58="Не состоялся","-"," "))</f>
        <v xml:space="preserve"> </v>
      </c>
      <c r="D57" s="422" t="str">
        <f>IF(G57="",F57,G57&amp;"/"&amp;F57)</f>
        <v>Match=&lt;номер строки Договора1С&gt;/</v>
      </c>
      <c r="G57" s="410" t="s">
        <v>778</v>
      </c>
    </row>
    <row r="58" spans="1:8" s="410" customFormat="1" x14ac:dyDescent="0.25">
      <c r="A58" s="730"/>
      <c r="B58" s="254" t="s">
        <v>794</v>
      </c>
      <c r="C58" s="410">
        <v>10</v>
      </c>
      <c r="D58" s="415">
        <v>1</v>
      </c>
      <c r="F58" s="681" t="str">
        <f>"/=""Не состоялся"":"&amp;F59</f>
        <v>/="Не состоялся":/="Договор расторгнут"</v>
      </c>
      <c r="G58" s="410" t="s">
        <v>779</v>
      </c>
    </row>
    <row r="59" spans="1:8" s="315" customFormat="1" x14ac:dyDescent="0.25">
      <c r="A59" s="730"/>
      <c r="B59" s="254" t="s">
        <v>795</v>
      </c>
      <c r="C59" s="328">
        <v>2</v>
      </c>
      <c r="D59" s="328"/>
      <c r="F59" s="680" t="s">
        <v>1733</v>
      </c>
    </row>
    <row r="60" spans="1:8" s="315" customFormat="1" x14ac:dyDescent="0.25">
      <c r="A60" s="730"/>
      <c r="B60" s="254" t="s">
        <v>796</v>
      </c>
      <c r="C60" s="328"/>
      <c r="D60" s="328"/>
    </row>
    <row r="61" spans="1:8" s="315" customFormat="1" ht="15.75" thickBot="1" x14ac:dyDescent="0.3">
      <c r="A61" s="731"/>
      <c r="B61" s="254" t="s">
        <v>797</v>
      </c>
      <c r="C61" s="328" t="s">
        <v>1729</v>
      </c>
      <c r="D61" s="328"/>
      <c r="F61" s="415" t="str">
        <f>"10/="""":"&amp;F58</f>
        <v>10/="":/="Не состоялся":/="Договор расторгнут"</v>
      </c>
      <c r="G61" s="315" t="s">
        <v>1734</v>
      </c>
    </row>
    <row r="62" spans="1:8" s="410" customFormat="1" x14ac:dyDescent="0.25">
      <c r="E62" s="315"/>
      <c r="H62" s="315"/>
    </row>
    <row r="63" spans="1:8" s="410" customFormat="1" x14ac:dyDescent="0.25">
      <c r="A63" s="410" t="s">
        <v>780</v>
      </c>
      <c r="E63" s="315"/>
      <c r="H63" s="315"/>
    </row>
    <row r="64" spans="1:8" s="410" customFormat="1" ht="15.75" thickBot="1" x14ac:dyDescent="0.3">
      <c r="B64" s="410" t="s">
        <v>1732</v>
      </c>
    </row>
    <row r="65" spans="1:35" s="410" customFormat="1" ht="15.75" thickBot="1" x14ac:dyDescent="0.3">
      <c r="A65" s="407">
        <f>COUNTIF(A$2:A59,"")-COUNTIF(M$2:M56,"Не состоялся")-COUNTIF(M$2:M56,"Договор расторгнут")</f>
        <v>25</v>
      </c>
      <c r="B65" s="408"/>
    </row>
    <row r="66" spans="1:35" s="410" customFormat="1" x14ac:dyDescent="0.25">
      <c r="B66" s="408"/>
    </row>
    <row r="67" spans="1:35" s="410" customFormat="1" x14ac:dyDescent="0.25">
      <c r="A67" s="410" t="s">
        <v>752</v>
      </c>
    </row>
    <row r="68" spans="1:35" s="410" customFormat="1" x14ac:dyDescent="0.25">
      <c r="A68" s="423" t="s">
        <v>753</v>
      </c>
      <c r="B68" s="423" t="s">
        <v>754</v>
      </c>
      <c r="C68" s="423" t="s">
        <v>755</v>
      </c>
      <c r="D68" s="423" t="s">
        <v>756</v>
      </c>
      <c r="E68" s="423" t="s">
        <v>757</v>
      </c>
      <c r="F68" s="423" t="s">
        <v>758</v>
      </c>
      <c r="G68" s="423" t="s">
        <v>759</v>
      </c>
      <c r="H68" s="423" t="s">
        <v>760</v>
      </c>
      <c r="I68" s="423" t="s">
        <v>761</v>
      </c>
    </row>
    <row r="69" spans="1:35" s="410" customFormat="1" x14ac:dyDescent="0.25">
      <c r="A69" s="410" t="s">
        <v>762</v>
      </c>
      <c r="B69" s="410" t="s">
        <v>763</v>
      </c>
      <c r="D69" s="415" t="s">
        <v>576</v>
      </c>
      <c r="E69" s="415">
        <v>1</v>
      </c>
      <c r="F69" s="410" t="s">
        <v>764</v>
      </c>
      <c r="G69" s="410" t="s">
        <v>765</v>
      </c>
      <c r="H69" s="410" t="s">
        <v>569</v>
      </c>
      <c r="I69" s="410" t="s">
        <v>766</v>
      </c>
    </row>
    <row r="70" spans="1:35" s="425" customFormat="1" ht="7.5" customHeight="1" x14ac:dyDescent="0.25">
      <c r="D70" s="426"/>
      <c r="E70" s="426"/>
    </row>
    <row r="71" spans="1:35" s="410" customFormat="1" ht="19.5" x14ac:dyDescent="0.3">
      <c r="A71" s="315"/>
      <c r="C71" s="411" t="s">
        <v>851</v>
      </c>
      <c r="I71" s="410">
        <f>G77</f>
        <v>6</v>
      </c>
    </row>
    <row r="72" spans="1:35" s="315" customFormat="1" x14ac:dyDescent="0.25"/>
    <row r="73" spans="1:35" s="315" customFormat="1" x14ac:dyDescent="0.25">
      <c r="A73" s="315" t="s">
        <v>898</v>
      </c>
    </row>
    <row r="74" spans="1:35" s="315" customFormat="1" ht="25.5" x14ac:dyDescent="0.25">
      <c r="A74" s="254" t="s">
        <v>792</v>
      </c>
      <c r="B74" s="575" t="s">
        <v>852</v>
      </c>
      <c r="C74" s="577" t="s">
        <v>361</v>
      </c>
      <c r="D74" s="578" t="s">
        <v>853</v>
      </c>
      <c r="E74" s="554" t="s">
        <v>854</v>
      </c>
      <c r="F74" s="554" t="s">
        <v>58</v>
      </c>
      <c r="G74" s="554" t="s">
        <v>802</v>
      </c>
      <c r="H74" s="554" t="s">
        <v>829</v>
      </c>
      <c r="I74" s="554" t="s">
        <v>901</v>
      </c>
      <c r="K74" s="551" t="s">
        <v>860</v>
      </c>
      <c r="L74" s="552" t="s">
        <v>855</v>
      </c>
      <c r="M74" s="553"/>
      <c r="N74" s="541" t="s">
        <v>697</v>
      </c>
      <c r="O74" s="541" t="s">
        <v>698</v>
      </c>
      <c r="P74" s="541" t="s">
        <v>65</v>
      </c>
      <c r="Q74" s="541" t="s">
        <v>1</v>
      </c>
      <c r="R74" s="542" t="s">
        <v>699</v>
      </c>
      <c r="S74" s="543" t="s">
        <v>856</v>
      </c>
      <c r="T74" s="544" t="s">
        <v>700</v>
      </c>
      <c r="U74" s="541" t="s">
        <v>701</v>
      </c>
      <c r="V74" s="545" t="s">
        <v>694</v>
      </c>
      <c r="W74" s="546" t="s">
        <v>694</v>
      </c>
      <c r="X74" s="546" t="s">
        <v>694</v>
      </c>
      <c r="Y74" s="546" t="s">
        <v>694</v>
      </c>
      <c r="Z74" s="541" t="s">
        <v>694</v>
      </c>
      <c r="AA74" s="541" t="s">
        <v>857</v>
      </c>
      <c r="AB74" s="541" t="s">
        <v>694</v>
      </c>
      <c r="AC74" s="541" t="s">
        <v>694</v>
      </c>
      <c r="AD74" s="547" t="s">
        <v>858</v>
      </c>
      <c r="AE74" s="548" t="s">
        <v>694</v>
      </c>
      <c r="AF74" s="541" t="s">
        <v>694</v>
      </c>
      <c r="AG74" s="541" t="s">
        <v>694</v>
      </c>
      <c r="AH74" s="549" t="s">
        <v>859</v>
      </c>
      <c r="AI74" s="550"/>
    </row>
    <row r="75" spans="1:35" s="315" customFormat="1" x14ac:dyDescent="0.25">
      <c r="A75" s="255" t="s">
        <v>793</v>
      </c>
      <c r="B75" s="576"/>
      <c r="C75" s="326"/>
      <c r="D75" s="579">
        <f>R75</f>
        <v>0</v>
      </c>
      <c r="E75" s="508"/>
      <c r="F75" s="329"/>
      <c r="G75" s="572"/>
    </row>
    <row r="76" spans="1:35" s="315" customFormat="1" x14ac:dyDescent="0.25">
      <c r="A76" s="254" t="s">
        <v>794</v>
      </c>
      <c r="B76" s="328">
        <v>8</v>
      </c>
      <c r="C76" s="328">
        <v>13</v>
      </c>
      <c r="D76" s="328">
        <v>7</v>
      </c>
      <c r="E76" s="328">
        <v>11</v>
      </c>
      <c r="F76" s="329">
        <v>20</v>
      </c>
      <c r="G76" s="330">
        <v>5</v>
      </c>
      <c r="H76" s="330">
        <v>15</v>
      </c>
      <c r="I76" s="330">
        <v>10</v>
      </c>
      <c r="J76" s="330">
        <v>6</v>
      </c>
      <c r="K76" s="330">
        <v>6</v>
      </c>
      <c r="L76" s="330">
        <v>10</v>
      </c>
      <c r="M76" s="330">
        <v>1</v>
      </c>
      <c r="N76" s="330">
        <v>45</v>
      </c>
      <c r="O76" s="330">
        <v>13</v>
      </c>
      <c r="P76" s="330">
        <v>16</v>
      </c>
      <c r="Q76" s="330">
        <v>10</v>
      </c>
      <c r="R76" s="330">
        <v>10</v>
      </c>
      <c r="S76" s="330">
        <v>10</v>
      </c>
      <c r="T76" s="330">
        <v>10</v>
      </c>
      <c r="U76" s="330">
        <v>10</v>
      </c>
      <c r="V76" s="330">
        <v>10</v>
      </c>
      <c r="W76" s="330">
        <v>0</v>
      </c>
      <c r="X76" s="330">
        <v>0</v>
      </c>
      <c r="Y76" s="330">
        <v>0</v>
      </c>
      <c r="Z76" s="330">
        <v>0</v>
      </c>
      <c r="AA76" s="330">
        <v>0</v>
      </c>
      <c r="AB76" s="330">
        <v>0</v>
      </c>
      <c r="AC76" s="330">
        <v>0</v>
      </c>
      <c r="AD76" s="330">
        <v>0</v>
      </c>
      <c r="AE76" s="330">
        <v>0</v>
      </c>
      <c r="AF76" s="330">
        <v>0</v>
      </c>
      <c r="AG76" s="330">
        <v>0</v>
      </c>
      <c r="AH76" s="330">
        <v>0</v>
      </c>
      <c r="AI76" s="330">
        <v>0</v>
      </c>
    </row>
    <row r="77" spans="1:35" s="315" customFormat="1" x14ac:dyDescent="0.25">
      <c r="A77" s="254" t="s">
        <v>795</v>
      </c>
      <c r="B77" s="328">
        <v>6</v>
      </c>
      <c r="C77" s="328">
        <v>6</v>
      </c>
      <c r="D77" s="328"/>
      <c r="E77" s="328">
        <v>6</v>
      </c>
      <c r="F77" s="315">
        <v>6</v>
      </c>
      <c r="G77" s="328">
        <v>6</v>
      </c>
      <c r="H77" s="315">
        <v>6</v>
      </c>
      <c r="I77" s="328">
        <v>6</v>
      </c>
      <c r="J77" s="329">
        <v>-1</v>
      </c>
      <c r="K77" s="328"/>
      <c r="N77" s="328"/>
      <c r="O77" s="330"/>
      <c r="P77" s="330"/>
      <c r="Q77" s="330"/>
      <c r="R77" s="330"/>
      <c r="S77" s="330"/>
      <c r="T77" s="330"/>
      <c r="U77" s="330"/>
      <c r="V77" s="330"/>
      <c r="W77" s="330"/>
      <c r="X77" s="363"/>
      <c r="Y77" s="330"/>
      <c r="Z77" s="330"/>
      <c r="AA77" s="330"/>
      <c r="AB77" s="330"/>
      <c r="AC77" s="330"/>
      <c r="AD77" s="330"/>
    </row>
    <row r="78" spans="1:35" s="315" customFormat="1" ht="44.25" customHeight="1" x14ac:dyDescent="0.25">
      <c r="A78" s="254" t="s">
        <v>796</v>
      </c>
      <c r="B78" s="573" t="s">
        <v>899</v>
      </c>
      <c r="C78" s="573" t="s">
        <v>900</v>
      </c>
      <c r="D78" s="328"/>
      <c r="E78" s="573" t="s">
        <v>879</v>
      </c>
      <c r="F78" s="573" t="s">
        <v>878</v>
      </c>
      <c r="G78" s="574"/>
      <c r="H78" s="574" t="s">
        <v>890</v>
      </c>
      <c r="I78" s="574" t="s">
        <v>902</v>
      </c>
      <c r="J78" s="328"/>
      <c r="K78" s="328"/>
      <c r="N78" s="571" t="s">
        <v>888</v>
      </c>
      <c r="O78" s="330"/>
      <c r="P78" s="330"/>
      <c r="Q78" s="330"/>
      <c r="R78" s="330"/>
      <c r="S78" s="330"/>
      <c r="T78" s="330"/>
      <c r="U78" s="330"/>
      <c r="V78" s="330"/>
      <c r="W78" s="330"/>
      <c r="X78" s="363"/>
      <c r="Y78" s="330"/>
      <c r="Z78" s="330"/>
      <c r="AA78" s="330"/>
      <c r="AB78" s="330"/>
      <c r="AC78" s="330"/>
      <c r="AD78" s="330"/>
    </row>
    <row r="79" spans="1:35" s="315" customFormat="1" x14ac:dyDescent="0.25">
      <c r="A79" s="254" t="s">
        <v>797</v>
      </c>
      <c r="B79" s="481"/>
      <c r="C79" s="481"/>
      <c r="D79" s="481"/>
      <c r="E79" s="481"/>
      <c r="F79" s="329"/>
      <c r="G79" s="328"/>
      <c r="H79" s="328"/>
      <c r="I79" s="328"/>
      <c r="J79" s="328"/>
      <c r="K79" s="328"/>
      <c r="N79" s="328"/>
      <c r="O79" s="330"/>
      <c r="P79" s="330"/>
      <c r="Q79" s="330"/>
      <c r="R79" s="330"/>
      <c r="S79" s="330"/>
      <c r="T79" s="330"/>
      <c r="U79" s="330"/>
      <c r="V79" s="330"/>
      <c r="W79" s="330"/>
      <c r="X79" s="363"/>
      <c r="Y79" s="330"/>
      <c r="Z79" s="330"/>
      <c r="AA79" s="330"/>
      <c r="AB79" s="330"/>
      <c r="AC79" s="330"/>
      <c r="AD79" s="330"/>
    </row>
    <row r="80" spans="1:35" s="315" customFormat="1" x14ac:dyDescent="0.25">
      <c r="N80" s="315" t="s">
        <v>889</v>
      </c>
    </row>
    <row r="81" spans="1:35" s="315" customFormat="1" x14ac:dyDescent="0.25">
      <c r="A81" s="315" t="s">
        <v>876</v>
      </c>
      <c r="F81" s="315">
        <v>5</v>
      </c>
      <c r="I81" s="315">
        <v>8</v>
      </c>
      <c r="P81" s="315">
        <v>10</v>
      </c>
      <c r="T81" s="315">
        <v>14</v>
      </c>
    </row>
    <row r="82" spans="1:35" s="315" customFormat="1" ht="75" x14ac:dyDescent="0.25">
      <c r="A82" s="254" t="s">
        <v>792</v>
      </c>
      <c r="B82" s="554" t="s">
        <v>861</v>
      </c>
      <c r="C82" s="555" t="s">
        <v>188</v>
      </c>
      <c r="D82" s="554" t="s">
        <v>862</v>
      </c>
      <c r="E82" s="554" t="s">
        <v>863</v>
      </c>
      <c r="F82" s="554" t="s">
        <v>802</v>
      </c>
      <c r="G82" s="554" t="s">
        <v>371</v>
      </c>
      <c r="H82" s="566" t="s">
        <v>1</v>
      </c>
      <c r="I82" s="554" t="s">
        <v>66</v>
      </c>
      <c r="J82" s="566" t="s">
        <v>880</v>
      </c>
      <c r="K82" s="570" t="s">
        <v>829</v>
      </c>
      <c r="L82" s="570" t="s">
        <v>149</v>
      </c>
      <c r="M82" s="570" t="s">
        <v>62</v>
      </c>
      <c r="N82" s="570"/>
      <c r="O82" s="570"/>
      <c r="P82" s="557" t="s">
        <v>867</v>
      </c>
      <c r="Q82" s="557" t="s">
        <v>692</v>
      </c>
      <c r="R82" s="556" t="s">
        <v>693</v>
      </c>
      <c r="S82" s="557" t="s">
        <v>696</v>
      </c>
      <c r="T82" s="558" t="s">
        <v>694</v>
      </c>
      <c r="U82" s="558" t="s">
        <v>695</v>
      </c>
      <c r="V82" s="558" t="s">
        <v>864</v>
      </c>
      <c r="W82" s="558" t="s">
        <v>865</v>
      </c>
      <c r="X82" s="558" t="s">
        <v>866</v>
      </c>
    </row>
    <row r="83" spans="1:35" s="315" customFormat="1" x14ac:dyDescent="0.25">
      <c r="A83" s="255" t="s">
        <v>793</v>
      </c>
      <c r="B83" s="329"/>
      <c r="C83" s="326"/>
      <c r="D83" s="508"/>
      <c r="E83" s="508"/>
      <c r="F83" s="567"/>
      <c r="P83" s="328" t="s">
        <v>877</v>
      </c>
      <c r="Q83" s="328" t="s">
        <v>877</v>
      </c>
      <c r="R83" s="328" t="s">
        <v>877</v>
      </c>
      <c r="S83" s="328" t="s">
        <v>877</v>
      </c>
      <c r="T83" s="328" t="s">
        <v>877</v>
      </c>
      <c r="U83" s="328" t="s">
        <v>877</v>
      </c>
      <c r="V83" s="328" t="s">
        <v>877</v>
      </c>
      <c r="W83" s="328" t="s">
        <v>877</v>
      </c>
      <c r="X83" s="328" t="s">
        <v>877</v>
      </c>
    </row>
    <row r="84" spans="1:35" s="315" customFormat="1" x14ac:dyDescent="0.25">
      <c r="A84" s="254" t="s">
        <v>794</v>
      </c>
      <c r="B84" s="328">
        <v>12</v>
      </c>
      <c r="C84" s="328">
        <v>14</v>
      </c>
      <c r="D84" s="328">
        <v>12</v>
      </c>
      <c r="E84" s="328">
        <v>8</v>
      </c>
      <c r="F84" s="328">
        <v>5</v>
      </c>
      <c r="G84" s="328">
        <v>22</v>
      </c>
      <c r="H84" s="328">
        <v>10</v>
      </c>
      <c r="I84" s="328">
        <v>9</v>
      </c>
      <c r="J84" s="328">
        <v>1</v>
      </c>
      <c r="K84" s="328">
        <v>15</v>
      </c>
      <c r="L84" s="328">
        <v>10</v>
      </c>
      <c r="M84" s="328">
        <v>8</v>
      </c>
      <c r="N84" s="328">
        <v>1</v>
      </c>
      <c r="O84" s="328">
        <v>1</v>
      </c>
      <c r="P84" s="328">
        <v>47</v>
      </c>
      <c r="Q84" s="328">
        <v>44</v>
      </c>
      <c r="R84" s="328">
        <v>8</v>
      </c>
      <c r="S84" s="328">
        <v>44</v>
      </c>
      <c r="T84" s="328">
        <v>9</v>
      </c>
      <c r="U84" s="328">
        <v>25</v>
      </c>
      <c r="V84" s="328">
        <v>22</v>
      </c>
      <c r="W84" s="328">
        <v>0</v>
      </c>
      <c r="X84" s="330">
        <v>0</v>
      </c>
    </row>
    <row r="85" spans="1:35" s="315" customFormat="1" x14ac:dyDescent="0.25">
      <c r="A85" s="254" t="s">
        <v>795</v>
      </c>
      <c r="B85" s="328"/>
      <c r="C85" s="328"/>
      <c r="D85" s="328"/>
      <c r="E85" s="328"/>
      <c r="G85" s="315">
        <v>5</v>
      </c>
      <c r="H85" s="315">
        <v>5</v>
      </c>
      <c r="J85" s="328">
        <v>5</v>
      </c>
      <c r="K85" s="315">
        <v>5</v>
      </c>
      <c r="L85" s="329">
        <v>-1</v>
      </c>
      <c r="M85" s="328"/>
      <c r="N85" s="328"/>
      <c r="O85" s="328"/>
      <c r="S85" s="328"/>
      <c r="T85" s="330"/>
      <c r="U85" s="330"/>
      <c r="V85" s="330"/>
      <c r="W85" s="330"/>
      <c r="X85" s="330"/>
    </row>
    <row r="86" spans="1:35" s="315" customFormat="1" ht="36.75" x14ac:dyDescent="0.25">
      <c r="A86" s="254" t="s">
        <v>796</v>
      </c>
      <c r="B86" s="328"/>
      <c r="C86" s="328"/>
      <c r="D86" s="328"/>
      <c r="E86" s="328"/>
      <c r="F86" s="329"/>
      <c r="G86" s="568" t="s">
        <v>878</v>
      </c>
      <c r="H86" s="568" t="s">
        <v>879</v>
      </c>
      <c r="I86" s="328"/>
      <c r="J86" s="569" t="s">
        <v>881</v>
      </c>
      <c r="K86" s="569" t="s">
        <v>890</v>
      </c>
      <c r="L86" s="569"/>
      <c r="M86" s="569"/>
      <c r="N86" s="569"/>
      <c r="O86" s="569"/>
      <c r="P86" s="328"/>
      <c r="S86" s="328"/>
      <c r="T86" s="330"/>
      <c r="U86" s="330"/>
      <c r="V86" s="330"/>
      <c r="W86" s="330"/>
      <c r="X86" s="330"/>
      <c r="Y86" s="330"/>
      <c r="Z86" s="330"/>
      <c r="AA86" s="330"/>
      <c r="AB86" s="330"/>
      <c r="AC86" s="363"/>
      <c r="AD86" s="330"/>
      <c r="AE86" s="330"/>
      <c r="AF86" s="330"/>
      <c r="AG86" s="330"/>
      <c r="AH86" s="330"/>
      <c r="AI86" s="330"/>
    </row>
    <row r="87" spans="1:35" s="315" customFormat="1" x14ac:dyDescent="0.25">
      <c r="A87" s="254" t="s">
        <v>797</v>
      </c>
      <c r="B87" s="481"/>
      <c r="C87" s="481"/>
      <c r="D87" s="481"/>
      <c r="E87" s="481"/>
      <c r="F87" s="329"/>
      <c r="G87" s="328"/>
      <c r="H87" s="328"/>
      <c r="I87" s="328"/>
      <c r="J87" s="328"/>
      <c r="K87" s="328"/>
      <c r="N87" s="328"/>
      <c r="O87" s="330"/>
      <c r="P87" s="330"/>
      <c r="Q87" s="330"/>
      <c r="R87" s="330"/>
      <c r="S87" s="330"/>
      <c r="T87" s="330"/>
      <c r="U87" s="330"/>
      <c r="V87" s="330"/>
      <c r="W87" s="330"/>
      <c r="X87" s="363"/>
      <c r="Y87" s="330"/>
      <c r="Z87" s="330"/>
      <c r="AA87" s="330"/>
      <c r="AB87" s="330"/>
      <c r="AC87" s="330"/>
      <c r="AD87" s="330"/>
    </row>
    <row r="89" spans="1:35" s="425" customFormat="1" ht="7.5" customHeight="1" x14ac:dyDescent="0.25">
      <c r="D89" s="426"/>
      <c r="E89" s="426"/>
    </row>
    <row r="90" spans="1:35" s="410" customFormat="1" ht="19.5" x14ac:dyDescent="0.3">
      <c r="A90" s="315"/>
      <c r="C90" s="411" t="s">
        <v>781</v>
      </c>
      <c r="I90" s="410">
        <f>G113</f>
        <v>0</v>
      </c>
    </row>
    <row r="92" spans="1:35" ht="15.75" thickBot="1" x14ac:dyDescent="0.3">
      <c r="A92" s="30" t="s">
        <v>250</v>
      </c>
    </row>
    <row r="93" spans="1:35" ht="16.5" thickBot="1" x14ac:dyDescent="0.3">
      <c r="A93" s="33">
        <v>40954</v>
      </c>
      <c r="B93" s="34" t="s">
        <v>215</v>
      </c>
      <c r="D93" s="35">
        <v>1</v>
      </c>
    </row>
    <row r="94" spans="1:35" s="315" customFormat="1" x14ac:dyDescent="0.25">
      <c r="A94" s="481"/>
      <c r="B94" s="481"/>
      <c r="C94" s="481"/>
      <c r="D94" s="481"/>
      <c r="E94" s="481"/>
      <c r="F94" s="329"/>
      <c r="G94" s="328"/>
      <c r="H94" s="328"/>
      <c r="K94" s="328"/>
      <c r="L94" s="330"/>
      <c r="M94" s="330"/>
      <c r="N94" s="330"/>
      <c r="O94" s="330"/>
      <c r="P94" s="330"/>
      <c r="Q94" s="330"/>
      <c r="R94" s="330"/>
      <c r="S94" s="330"/>
      <c r="T94" s="330"/>
      <c r="U94" s="363"/>
      <c r="V94" s="330"/>
      <c r="W94" s="330"/>
      <c r="X94" s="330"/>
      <c r="Y94" s="330"/>
      <c r="Z94" s="330"/>
      <c r="AA94" s="330"/>
    </row>
    <row r="95" spans="1:35" s="639" customFormat="1" ht="7.5" customHeight="1" x14ac:dyDescent="0.25">
      <c r="D95" s="640"/>
      <c r="E95" s="640"/>
    </row>
    <row r="96" spans="1:35" s="315" customFormat="1" ht="19.5" x14ac:dyDescent="0.3">
      <c r="C96" s="316" t="s">
        <v>1234</v>
      </c>
    </row>
    <row r="98" spans="1:23" ht="15.75" thickBot="1" x14ac:dyDescent="0.3">
      <c r="A98" s="30" t="s">
        <v>820</v>
      </c>
    </row>
    <row r="99" spans="1:23" ht="15.75" thickBot="1" x14ac:dyDescent="0.3">
      <c r="A99" s="254" t="s">
        <v>683</v>
      </c>
      <c r="B99" s="4" t="s">
        <v>119</v>
      </c>
      <c r="C99" s="4" t="s">
        <v>120</v>
      </c>
      <c r="D99" s="4" t="s">
        <v>121</v>
      </c>
      <c r="E99" s="4" t="s">
        <v>122</v>
      </c>
      <c r="F99" s="4" t="s">
        <v>123</v>
      </c>
      <c r="G99" s="3" t="s">
        <v>118</v>
      </c>
      <c r="H99" s="64" t="s">
        <v>116</v>
      </c>
      <c r="I99" s="64" t="s">
        <v>825</v>
      </c>
    </row>
    <row r="100" spans="1:23" s="1" customFormat="1" x14ac:dyDescent="0.25">
      <c r="A100" s="255" t="s">
        <v>596</v>
      </c>
      <c r="I100" s="145"/>
      <c r="J100" s="145"/>
      <c r="K100" s="8"/>
      <c r="L100" s="6"/>
      <c r="M100" s="12"/>
      <c r="N100"/>
      <c r="O100"/>
      <c r="P100"/>
      <c r="Q100"/>
      <c r="R100"/>
      <c r="S100"/>
      <c r="T100"/>
      <c r="U100"/>
      <c r="V100"/>
      <c r="W100"/>
    </row>
    <row r="101" spans="1:23" x14ac:dyDescent="0.25">
      <c r="A101" s="254" t="s">
        <v>684</v>
      </c>
      <c r="B101" s="145" t="s">
        <v>113</v>
      </c>
      <c r="C101" s="145" t="s">
        <v>113</v>
      </c>
      <c r="D101" s="145" t="s">
        <v>113</v>
      </c>
      <c r="E101" s="145" t="s">
        <v>113</v>
      </c>
      <c r="F101" s="145" t="s">
        <v>242</v>
      </c>
      <c r="G101" s="145" t="s">
        <v>113</v>
      </c>
      <c r="H101" s="145" t="s">
        <v>128</v>
      </c>
      <c r="I101" s="145" t="s">
        <v>128</v>
      </c>
      <c r="J101" s="145"/>
      <c r="K101" s="145"/>
      <c r="L101" s="145"/>
      <c r="M101" s="145"/>
    </row>
    <row r="102" spans="1:23" x14ac:dyDescent="0.25">
      <c r="A102" s="254" t="s">
        <v>685</v>
      </c>
      <c r="B102" s="145" t="s">
        <v>126</v>
      </c>
      <c r="C102" s="145" t="s">
        <v>112</v>
      </c>
      <c r="D102" s="145" t="s">
        <v>128</v>
      </c>
      <c r="E102" s="145" t="s">
        <v>111</v>
      </c>
      <c r="F102" s="145" t="s">
        <v>821</v>
      </c>
      <c r="G102" s="466" t="s">
        <v>115</v>
      </c>
      <c r="H102" s="587" t="s">
        <v>1048</v>
      </c>
      <c r="I102" s="145" t="s">
        <v>91</v>
      </c>
      <c r="J102" s="145"/>
      <c r="K102" s="145"/>
      <c r="L102" s="145"/>
      <c r="M102" s="145"/>
    </row>
    <row r="103" spans="1:23" x14ac:dyDescent="0.25">
      <c r="A103" s="254" t="s">
        <v>686</v>
      </c>
      <c r="E103" t="s">
        <v>806</v>
      </c>
      <c r="H103" s="57"/>
      <c r="I103" s="92"/>
      <c r="M103" s="92"/>
      <c r="N103" s="92"/>
      <c r="O103" s="455"/>
      <c r="P103" s="92"/>
    </row>
    <row r="104" spans="1:23" x14ac:dyDescent="0.25">
      <c r="A104" s="254" t="s">
        <v>805</v>
      </c>
      <c r="E104" s="252"/>
      <c r="G104" s="252" t="s">
        <v>822</v>
      </c>
      <c r="H104" s="586" t="s">
        <v>1047</v>
      </c>
      <c r="I104" s="328"/>
      <c r="N104" s="253"/>
      <c r="R104" s="456"/>
      <c r="S104" s="456"/>
      <c r="T104" s="456"/>
      <c r="U104" s="456"/>
      <c r="V104" s="456"/>
    </row>
    <row r="106" spans="1:23" ht="15.75" thickBot="1" x14ac:dyDescent="0.3">
      <c r="A106" s="30" t="s">
        <v>682</v>
      </c>
    </row>
    <row r="107" spans="1:23" s="256" customFormat="1" ht="15.75" thickBot="1" x14ac:dyDescent="0.3">
      <c r="A107" s="254" t="s">
        <v>683</v>
      </c>
      <c r="B107" s="257" t="s">
        <v>151</v>
      </c>
      <c r="C107" s="257" t="s">
        <v>120</v>
      </c>
      <c r="D107" s="259" t="s">
        <v>152</v>
      </c>
      <c r="E107" s="258" t="s">
        <v>153</v>
      </c>
      <c r="F107" s="258" t="s">
        <v>154</v>
      </c>
      <c r="G107" s="260" t="s">
        <v>155</v>
      </c>
      <c r="H107" s="259" t="s">
        <v>156</v>
      </c>
      <c r="I107" s="260" t="s">
        <v>157</v>
      </c>
      <c r="J107" s="258" t="s">
        <v>158</v>
      </c>
      <c r="K107" s="260" t="s">
        <v>159</v>
      </c>
      <c r="L107" s="259" t="s">
        <v>160</v>
      </c>
      <c r="M107" s="261" t="s">
        <v>122</v>
      </c>
      <c r="N107" s="262" t="s">
        <v>161</v>
      </c>
      <c r="O107" s="262" t="s">
        <v>162</v>
      </c>
      <c r="P107" s="262" t="s">
        <v>163</v>
      </c>
      <c r="Q107" s="262" t="s">
        <v>164</v>
      </c>
      <c r="R107" s="488" t="s">
        <v>165</v>
      </c>
      <c r="S107" s="488" t="s">
        <v>166</v>
      </c>
      <c r="T107" s="488" t="s">
        <v>167</v>
      </c>
      <c r="U107" s="488" t="s">
        <v>168</v>
      </c>
      <c r="V107" s="488" t="s">
        <v>169</v>
      </c>
    </row>
    <row r="108" spans="1:23" s="1" customFormat="1" x14ac:dyDescent="0.25">
      <c r="A108" s="255" t="s">
        <v>596</v>
      </c>
      <c r="B108" s="6" t="s">
        <v>125</v>
      </c>
      <c r="C108" s="7">
        <v>40918</v>
      </c>
      <c r="D108" s="8" t="s">
        <v>11</v>
      </c>
      <c r="E108" s="9"/>
      <c r="F108" s="8" t="s">
        <v>98</v>
      </c>
      <c r="G108" s="10"/>
      <c r="H108" s="8" t="s">
        <v>99</v>
      </c>
      <c r="I108" s="11"/>
      <c r="J108" s="8" t="s">
        <v>79</v>
      </c>
      <c r="K108" s="8"/>
      <c r="L108" s="6" t="s">
        <v>100</v>
      </c>
      <c r="M108" s="12">
        <v>130000</v>
      </c>
      <c r="N108" s="13" t="s">
        <v>45</v>
      </c>
      <c r="O108" s="454" t="s">
        <v>17</v>
      </c>
      <c r="P108" s="14"/>
      <c r="Q108" s="15"/>
      <c r="R108" s="16"/>
      <c r="S108" s="16"/>
      <c r="T108" s="16"/>
      <c r="U108" s="16"/>
      <c r="V108" s="16"/>
      <c r="W108" s="453"/>
    </row>
    <row r="109" spans="1:23" x14ac:dyDescent="0.25">
      <c r="A109" s="254" t="s">
        <v>684</v>
      </c>
      <c r="B109" s="145">
        <v>10</v>
      </c>
      <c r="C109" s="145">
        <v>10</v>
      </c>
      <c r="D109" s="145" t="s">
        <v>112</v>
      </c>
      <c r="E109" s="145" t="s">
        <v>70</v>
      </c>
      <c r="F109" s="145" t="s">
        <v>112</v>
      </c>
      <c r="G109" s="145" t="s">
        <v>70</v>
      </c>
      <c r="H109" s="145">
        <v>10</v>
      </c>
      <c r="I109" s="145" t="s">
        <v>70</v>
      </c>
      <c r="J109" s="145" t="s">
        <v>112</v>
      </c>
      <c r="K109" s="145">
        <v>10</v>
      </c>
      <c r="L109" s="145" t="s">
        <v>94</v>
      </c>
      <c r="M109" s="145" t="s">
        <v>132</v>
      </c>
      <c r="N109" s="145" t="s">
        <v>112</v>
      </c>
      <c r="O109" s="145" t="s">
        <v>91</v>
      </c>
      <c r="P109" s="145" t="s">
        <v>92</v>
      </c>
      <c r="Q109" s="145" t="s">
        <v>91</v>
      </c>
      <c r="R109" s="145" t="s">
        <v>113</v>
      </c>
      <c r="S109" s="145" t="s">
        <v>113</v>
      </c>
      <c r="T109" s="145" t="s">
        <v>112</v>
      </c>
      <c r="U109" s="145" t="s">
        <v>92</v>
      </c>
      <c r="V109" s="145" t="s">
        <v>92</v>
      </c>
    </row>
    <row r="110" spans="1:23" x14ac:dyDescent="0.25">
      <c r="A110" s="254" t="s">
        <v>685</v>
      </c>
      <c r="B110" s="145">
        <v>10</v>
      </c>
      <c r="C110" s="145">
        <v>12</v>
      </c>
      <c r="D110" s="145" t="s">
        <v>131</v>
      </c>
      <c r="E110" s="145" t="s">
        <v>131</v>
      </c>
      <c r="F110" s="145" t="s">
        <v>130</v>
      </c>
      <c r="G110" s="145" t="s">
        <v>130</v>
      </c>
      <c r="H110" s="145" t="s">
        <v>110</v>
      </c>
      <c r="I110" s="145" t="s">
        <v>70</v>
      </c>
      <c r="J110" s="145" t="s">
        <v>127</v>
      </c>
      <c r="K110" s="145">
        <v>18</v>
      </c>
      <c r="L110" s="145" t="s">
        <v>133</v>
      </c>
      <c r="M110" s="145" t="s">
        <v>242</v>
      </c>
      <c r="N110" s="145" t="s">
        <v>681</v>
      </c>
      <c r="O110" s="145" t="s">
        <v>681</v>
      </c>
      <c r="P110" s="145" t="s">
        <v>681</v>
      </c>
      <c r="Q110" s="145">
        <v>12</v>
      </c>
      <c r="R110" s="145" t="s">
        <v>70</v>
      </c>
      <c r="S110" s="145" t="s">
        <v>70</v>
      </c>
      <c r="T110" s="145" t="s">
        <v>70</v>
      </c>
      <c r="U110" s="145" t="s">
        <v>70</v>
      </c>
      <c r="V110" s="145" t="s">
        <v>70</v>
      </c>
    </row>
    <row r="111" spans="1:23" x14ac:dyDescent="0.25">
      <c r="A111" s="254" t="s">
        <v>686</v>
      </c>
      <c r="E111" s="252" t="s">
        <v>803</v>
      </c>
      <c r="G111" s="252" t="s">
        <v>804</v>
      </c>
      <c r="I111" s="92"/>
      <c r="K111" s="252" t="s">
        <v>159</v>
      </c>
      <c r="M111" s="92" t="s">
        <v>806</v>
      </c>
      <c r="N111" s="92"/>
      <c r="O111" s="455" t="s">
        <v>807</v>
      </c>
      <c r="P111" s="92" t="s">
        <v>813</v>
      </c>
    </row>
    <row r="112" spans="1:23" x14ac:dyDescent="0.25">
      <c r="A112" s="254" t="s">
        <v>805</v>
      </c>
      <c r="E112" s="252"/>
      <c r="G112" s="252"/>
      <c r="I112" s="328"/>
      <c r="K112" s="456" t="s">
        <v>822</v>
      </c>
      <c r="N112" s="253"/>
      <c r="R112" s="456" t="s">
        <v>811</v>
      </c>
      <c r="S112" s="456" t="s">
        <v>812</v>
      </c>
      <c r="T112" s="456" t="s">
        <v>808</v>
      </c>
      <c r="U112" s="456" t="s">
        <v>809</v>
      </c>
      <c r="V112" s="456" t="s">
        <v>810</v>
      </c>
    </row>
    <row r="114" spans="1:24" ht="15.75" thickBot="1" x14ac:dyDescent="0.3">
      <c r="A114" s="30" t="s">
        <v>1241</v>
      </c>
      <c r="B114" s="30"/>
      <c r="C114" s="30"/>
      <c r="D114" s="30"/>
      <c r="E114" s="30"/>
      <c r="F114" s="30"/>
      <c r="G114" s="30"/>
      <c r="H114" s="30"/>
      <c r="I114" s="30"/>
      <c r="J114" s="30"/>
      <c r="P114" s="30"/>
      <c r="Q114" s="30"/>
    </row>
    <row r="115" spans="1:24" ht="15.75" thickBot="1" x14ac:dyDescent="0.3">
      <c r="A115" s="254" t="s">
        <v>683</v>
      </c>
      <c r="B115" s="4" t="s">
        <v>205</v>
      </c>
      <c r="C115" s="4" t="s">
        <v>206</v>
      </c>
      <c r="D115" s="4" t="s">
        <v>207</v>
      </c>
      <c r="E115" s="4" t="s">
        <v>208</v>
      </c>
      <c r="F115" s="4" t="s">
        <v>122</v>
      </c>
      <c r="G115" s="4" t="s">
        <v>209</v>
      </c>
      <c r="H115" s="4" t="s">
        <v>210</v>
      </c>
      <c r="I115" s="4" t="s">
        <v>211</v>
      </c>
      <c r="J115" s="4" t="s">
        <v>349</v>
      </c>
      <c r="K115" s="4" t="s">
        <v>348</v>
      </c>
      <c r="L115" s="4" t="s">
        <v>255</v>
      </c>
      <c r="M115" s="4" t="s">
        <v>262</v>
      </c>
      <c r="O115" s="118" t="s">
        <v>210</v>
      </c>
      <c r="P115" s="118" t="s">
        <v>211</v>
      </c>
      <c r="Q115" s="118" t="s">
        <v>349</v>
      </c>
      <c r="R115" s="118" t="s">
        <v>348</v>
      </c>
      <c r="S115" s="118" t="s">
        <v>255</v>
      </c>
      <c r="T115" s="118" t="s">
        <v>262</v>
      </c>
    </row>
    <row r="116" spans="1:24" s="1" customFormat="1" x14ac:dyDescent="0.25">
      <c r="A116" s="255" t="s">
        <v>596</v>
      </c>
      <c r="B116" s="507" t="s">
        <v>1242</v>
      </c>
      <c r="C116" s="7" t="s">
        <v>1244</v>
      </c>
      <c r="D116" s="610" t="s">
        <v>1245</v>
      </c>
      <c r="E116" s="9"/>
      <c r="F116" s="660">
        <v>2298687.7200000002</v>
      </c>
      <c r="G116" s="10"/>
      <c r="H116" s="670" t="s">
        <v>141</v>
      </c>
      <c r="I116" s="669" t="s">
        <v>1557</v>
      </c>
      <c r="J116" s="670"/>
      <c r="K116" s="670"/>
      <c r="L116" s="671"/>
      <c r="M116" s="672"/>
      <c r="N116"/>
      <c r="O116" s="8" t="s">
        <v>141</v>
      </c>
      <c r="P116" s="661"/>
      <c r="Q116" s="8" t="s">
        <v>1247</v>
      </c>
      <c r="R116" s="8" t="s">
        <v>141</v>
      </c>
      <c r="S116" s="6" t="s">
        <v>9</v>
      </c>
      <c r="T116" s="12" t="s">
        <v>1250</v>
      </c>
      <c r="U116"/>
      <c r="V116"/>
      <c r="W116"/>
      <c r="X116"/>
    </row>
    <row r="117" spans="1:24" x14ac:dyDescent="0.25">
      <c r="A117" s="254" t="s">
        <v>684</v>
      </c>
      <c r="B117" s="145" t="s">
        <v>110</v>
      </c>
      <c r="C117" s="145" t="s">
        <v>1243</v>
      </c>
      <c r="D117" s="145" t="s">
        <v>132</v>
      </c>
      <c r="E117" s="145" t="s">
        <v>110</v>
      </c>
      <c r="F117" s="145" t="s">
        <v>110</v>
      </c>
      <c r="G117" s="145" t="s">
        <v>91</v>
      </c>
      <c r="H117" s="604"/>
      <c r="I117" s="145"/>
      <c r="J117" s="145"/>
      <c r="K117" s="145"/>
      <c r="L117" s="145"/>
      <c r="M117" s="145"/>
      <c r="O117" s="145">
        <v>10</v>
      </c>
      <c r="P117" s="145" t="s">
        <v>113</v>
      </c>
      <c r="Q117" s="145" t="s">
        <v>112</v>
      </c>
      <c r="R117" s="145" t="s">
        <v>132</v>
      </c>
      <c r="S117" s="145" t="s">
        <v>113</v>
      </c>
      <c r="T117" s="145" t="s">
        <v>113</v>
      </c>
    </row>
    <row r="118" spans="1:24" x14ac:dyDescent="0.25">
      <c r="A118" s="254" t="s">
        <v>685</v>
      </c>
      <c r="B118" s="145" t="s">
        <v>91</v>
      </c>
      <c r="C118" s="145" t="s">
        <v>91</v>
      </c>
      <c r="D118" s="145" t="s">
        <v>131</v>
      </c>
      <c r="E118" s="145" t="s">
        <v>821</v>
      </c>
      <c r="F118" s="145" t="s">
        <v>1100</v>
      </c>
      <c r="G118" s="145" t="s">
        <v>681</v>
      </c>
      <c r="H118" s="604"/>
      <c r="I118" s="145"/>
      <c r="J118" s="145"/>
      <c r="K118" s="145"/>
      <c r="L118" s="145"/>
      <c r="M118" s="145"/>
      <c r="O118" s="145" t="s">
        <v>113</v>
      </c>
      <c r="P118" s="145" t="s">
        <v>113</v>
      </c>
      <c r="Q118" s="145"/>
      <c r="R118" s="145" t="s">
        <v>113</v>
      </c>
      <c r="S118" s="145" t="s">
        <v>821</v>
      </c>
      <c r="T118" s="145" t="s">
        <v>41</v>
      </c>
    </row>
    <row r="119" spans="1:24" x14ac:dyDescent="0.25">
      <c r="A119" s="254" t="s">
        <v>686</v>
      </c>
      <c r="C119" s="252" t="s">
        <v>1256</v>
      </c>
      <c r="E119" s="252" t="s">
        <v>1255</v>
      </c>
      <c r="F119" s="252" t="s">
        <v>1257</v>
      </c>
      <c r="G119" s="252" t="s">
        <v>807</v>
      </c>
      <c r="H119" s="662"/>
      <c r="I119" s="662"/>
      <c r="J119" s="605"/>
      <c r="K119" s="662"/>
      <c r="L119" s="662"/>
      <c r="M119" s="663"/>
      <c r="O119" s="252" t="s">
        <v>1263</v>
      </c>
      <c r="P119" s="662" t="s">
        <v>1246</v>
      </c>
      <c r="Q119" s="605"/>
      <c r="R119" s="662" t="s">
        <v>1248</v>
      </c>
      <c r="S119" s="662" t="s">
        <v>1249</v>
      </c>
      <c r="T119" s="663"/>
    </row>
    <row r="120" spans="1:24" x14ac:dyDescent="0.25">
      <c r="A120" s="254" t="s">
        <v>805</v>
      </c>
      <c r="C120" t="s">
        <v>1253</v>
      </c>
      <c r="E120" s="252"/>
      <c r="G120" s="252"/>
      <c r="I120" s="328"/>
      <c r="K120" s="456"/>
      <c r="P120" s="328"/>
      <c r="R120" s="456"/>
      <c r="T120" t="s">
        <v>1251</v>
      </c>
    </row>
    <row r="122" spans="1:24" ht="15.75" thickBot="1" x14ac:dyDescent="0.3">
      <c r="A122" s="674" t="s">
        <v>1567</v>
      </c>
      <c r="B122" s="30"/>
      <c r="C122" s="30"/>
      <c r="D122" s="30"/>
      <c r="E122" s="30"/>
      <c r="F122" s="30"/>
      <c r="G122" s="30"/>
      <c r="H122" s="30"/>
      <c r="I122" s="30"/>
      <c r="J122" s="30"/>
    </row>
    <row r="123" spans="1:24" ht="15.75" thickBot="1" x14ac:dyDescent="0.3">
      <c r="A123" s="3" t="s">
        <v>118</v>
      </c>
      <c r="B123" s="3" t="s">
        <v>117</v>
      </c>
      <c r="J123" s="31"/>
    </row>
    <row r="125" spans="1:24" ht="15.75" thickBot="1" x14ac:dyDescent="0.3">
      <c r="A125" s="30" t="s">
        <v>251</v>
      </c>
      <c r="B125" s="30"/>
      <c r="C125" s="30"/>
      <c r="D125" s="30"/>
      <c r="E125" s="30"/>
      <c r="F125" s="30"/>
      <c r="G125" s="30"/>
      <c r="H125" s="30"/>
      <c r="I125" s="30"/>
      <c r="J125" s="30"/>
    </row>
    <row r="126" spans="1:24" ht="15.75" thickBot="1" x14ac:dyDescent="0.3">
      <c r="A126" s="3" t="s">
        <v>124</v>
      </c>
      <c r="B126" s="3" t="s">
        <v>252</v>
      </c>
      <c r="J126" s="31"/>
    </row>
    <row r="128" spans="1:24" ht="15.75" thickBot="1" x14ac:dyDescent="0.3">
      <c r="A128" s="708" t="s">
        <v>1771</v>
      </c>
      <c r="B128" s="709"/>
      <c r="C128" s="709"/>
      <c r="D128" s="709"/>
      <c r="E128" s="709"/>
      <c r="F128" s="30"/>
      <c r="G128" s="30"/>
      <c r="H128" s="30"/>
      <c r="I128" s="30"/>
      <c r="J128" s="30"/>
    </row>
    <row r="129" spans="1:22" ht="15.75" thickBot="1" x14ac:dyDescent="0.3">
      <c r="A129" s="4" t="s">
        <v>336</v>
      </c>
      <c r="B129" s="4" t="s">
        <v>337</v>
      </c>
      <c r="C129" s="4" t="s">
        <v>208</v>
      </c>
      <c r="D129" s="4" t="s">
        <v>345</v>
      </c>
      <c r="E129" s="4" t="s">
        <v>165</v>
      </c>
      <c r="F129" s="4" t="s">
        <v>166</v>
      </c>
      <c r="G129" s="4" t="s">
        <v>167</v>
      </c>
      <c r="H129" s="4" t="s">
        <v>168</v>
      </c>
      <c r="I129" s="4" t="s">
        <v>169</v>
      </c>
      <c r="J129" s="4" t="s">
        <v>338</v>
      </c>
      <c r="K129" s="4" t="s">
        <v>339</v>
      </c>
      <c r="L129" s="4" t="s">
        <v>340</v>
      </c>
      <c r="M129" s="4" t="s">
        <v>341</v>
      </c>
      <c r="N129" s="118" t="s">
        <v>342</v>
      </c>
      <c r="O129" s="118" t="s">
        <v>343</v>
      </c>
      <c r="P129" s="118" t="s">
        <v>344</v>
      </c>
      <c r="Q129" s="118" t="s">
        <v>560</v>
      </c>
      <c r="R129" s="118" t="s">
        <v>559</v>
      </c>
      <c r="S129" s="118" t="s">
        <v>561</v>
      </c>
      <c r="T129" s="118" t="s">
        <v>562</v>
      </c>
      <c r="U129" s="118" t="s">
        <v>563</v>
      </c>
      <c r="V129" s="120" t="s">
        <v>554</v>
      </c>
    </row>
    <row r="131" spans="1:22" ht="15.75" thickBot="1" x14ac:dyDescent="0.3">
      <c r="A131" s="30" t="s">
        <v>568</v>
      </c>
    </row>
    <row r="132" spans="1:22" ht="15.75" thickBot="1" x14ac:dyDescent="0.3">
      <c r="A132" s="118" t="s">
        <v>136</v>
      </c>
      <c r="B132" s="118" t="s">
        <v>371</v>
      </c>
      <c r="C132" s="118" t="s">
        <v>345</v>
      </c>
      <c r="D132" s="118" t="s">
        <v>342</v>
      </c>
      <c r="E132" s="118" t="s">
        <v>165</v>
      </c>
      <c r="F132" s="118" t="s">
        <v>166</v>
      </c>
      <c r="G132" s="118" t="s">
        <v>167</v>
      </c>
      <c r="H132" s="118" t="s">
        <v>168</v>
      </c>
      <c r="I132" s="118" t="s">
        <v>169</v>
      </c>
      <c r="J132" s="118" t="s">
        <v>560</v>
      </c>
      <c r="K132" s="118" t="s">
        <v>559</v>
      </c>
      <c r="L132" s="118" t="s">
        <v>561</v>
      </c>
      <c r="M132" s="118" t="s">
        <v>562</v>
      </c>
      <c r="N132" s="118" t="s">
        <v>563</v>
      </c>
    </row>
    <row r="134" spans="1:22" ht="15.75" thickBot="1" x14ac:dyDescent="0.3">
      <c r="A134" s="30" t="s">
        <v>566</v>
      </c>
    </row>
    <row r="135" spans="1:22" ht="15.75" thickBot="1" x14ac:dyDescent="0.3">
      <c r="A135" s="4" t="s">
        <v>346</v>
      </c>
      <c r="B135" s="4" t="s">
        <v>371</v>
      </c>
      <c r="C135" s="118" t="s">
        <v>567</v>
      </c>
    </row>
    <row r="136" spans="1:22" x14ac:dyDescent="0.25">
      <c r="A136" s="119" t="s">
        <v>110</v>
      </c>
      <c r="B136" s="119" t="s">
        <v>134</v>
      </c>
      <c r="C136" s="119" t="s">
        <v>111</v>
      </c>
    </row>
    <row r="137" spans="1:22" x14ac:dyDescent="0.25">
      <c r="A137" s="26"/>
      <c r="B137" s="26"/>
    </row>
    <row r="138" spans="1:22" ht="15.75" thickBot="1" x14ac:dyDescent="0.3">
      <c r="A138" s="65" t="s">
        <v>359</v>
      </c>
      <c r="B138" s="26"/>
    </row>
    <row r="139" spans="1:22" ht="15.75" thickBot="1" x14ac:dyDescent="0.3">
      <c r="A139" s="4" t="s">
        <v>346</v>
      </c>
      <c r="B139" s="4" t="s">
        <v>167</v>
      </c>
      <c r="C139" s="59"/>
    </row>
    <row r="141" spans="1:22" ht="15.75" thickBot="1" x14ac:dyDescent="0.3">
      <c r="A141" s="65" t="s">
        <v>541</v>
      </c>
      <c r="B141" s="26"/>
    </row>
    <row r="142" spans="1:22" ht="15.75" thickBot="1" x14ac:dyDescent="0.3">
      <c r="A142" s="3" t="s">
        <v>515</v>
      </c>
      <c r="B142" s="3" t="s">
        <v>124</v>
      </c>
      <c r="C142" s="3" t="s">
        <v>499</v>
      </c>
    </row>
    <row r="144" spans="1:22" ht="15.75" thickBot="1" x14ac:dyDescent="0.3">
      <c r="A144" s="65" t="s">
        <v>550</v>
      </c>
      <c r="B144" s="119"/>
    </row>
    <row r="145" spans="1:47" ht="15.75" thickBot="1" x14ac:dyDescent="0.3">
      <c r="A145" s="117" t="s">
        <v>369</v>
      </c>
      <c r="B145" s="117" t="s">
        <v>188</v>
      </c>
      <c r="C145" s="117" t="s">
        <v>548</v>
      </c>
    </row>
    <row r="147" spans="1:47" ht="15.75" thickBot="1" x14ac:dyDescent="0.3">
      <c r="A147" s="65" t="s">
        <v>555</v>
      </c>
      <c r="B147" s="119"/>
    </row>
    <row r="148" spans="1:47" ht="29.25" customHeight="1" thickBot="1" x14ac:dyDescent="0.3">
      <c r="A148" s="117" t="s">
        <v>565</v>
      </c>
      <c r="B148" s="121" t="s">
        <v>358</v>
      </c>
      <c r="C148" s="121" t="s">
        <v>361</v>
      </c>
      <c r="D148" s="121" t="s">
        <v>556</v>
      </c>
      <c r="E148" s="121" t="s">
        <v>360</v>
      </c>
      <c r="F148" s="121" t="s">
        <v>1</v>
      </c>
      <c r="G148" s="121" t="s">
        <v>58</v>
      </c>
      <c r="H148" s="121" t="s">
        <v>369</v>
      </c>
      <c r="I148" s="121" t="s">
        <v>558</v>
      </c>
      <c r="J148" s="121" t="s">
        <v>557</v>
      </c>
    </row>
    <row r="149" spans="1:47" s="119" customFormat="1" x14ac:dyDescent="0.25">
      <c r="A149" s="119" t="s">
        <v>115</v>
      </c>
      <c r="B149" s="119" t="s">
        <v>112</v>
      </c>
      <c r="C149" s="119" t="s">
        <v>129</v>
      </c>
      <c r="D149" s="119" t="s">
        <v>129</v>
      </c>
      <c r="E149" s="119" t="s">
        <v>115</v>
      </c>
      <c r="F149" s="119" t="s">
        <v>242</v>
      </c>
      <c r="G149" s="119" t="s">
        <v>71</v>
      </c>
      <c r="H149" s="119" t="s">
        <v>132</v>
      </c>
      <c r="I149" s="119" t="s">
        <v>115</v>
      </c>
      <c r="J149" s="119" t="s">
        <v>115</v>
      </c>
    </row>
    <row r="151" spans="1:47" ht="15.75" thickBot="1" x14ac:dyDescent="0.3">
      <c r="A151" s="65" t="s">
        <v>523</v>
      </c>
    </row>
    <row r="152" spans="1:47" ht="71.25" thickBot="1" x14ac:dyDescent="0.3">
      <c r="A152" s="96" t="s">
        <v>519</v>
      </c>
      <c r="B152" s="97" t="s">
        <v>520</v>
      </c>
      <c r="C152" s="98">
        <v>40057</v>
      </c>
      <c r="D152" s="98">
        <v>40087</v>
      </c>
      <c r="E152" s="98">
        <v>40118</v>
      </c>
      <c r="F152" s="98">
        <v>40148</v>
      </c>
      <c r="G152" s="99" t="s">
        <v>114</v>
      </c>
      <c r="H152" s="98">
        <v>40179</v>
      </c>
      <c r="I152" s="98">
        <v>40210</v>
      </c>
      <c r="J152" s="98">
        <v>40238</v>
      </c>
      <c r="K152" s="98">
        <v>40269</v>
      </c>
      <c r="L152" s="98">
        <v>40299</v>
      </c>
      <c r="M152" s="98">
        <v>40330</v>
      </c>
      <c r="N152" s="98">
        <v>40360</v>
      </c>
      <c r="O152" s="98">
        <v>40391</v>
      </c>
      <c r="P152" s="98">
        <v>40422</v>
      </c>
      <c r="Q152" s="98">
        <v>40452</v>
      </c>
      <c r="R152" s="98">
        <v>40483</v>
      </c>
      <c r="S152" s="98">
        <v>40513</v>
      </c>
      <c r="T152" s="99" t="s">
        <v>135</v>
      </c>
      <c r="U152" s="98">
        <v>40544</v>
      </c>
      <c r="V152" s="98">
        <v>40575</v>
      </c>
      <c r="W152" s="98">
        <v>40603</v>
      </c>
      <c r="X152" s="98">
        <v>40634</v>
      </c>
      <c r="Y152" s="98">
        <v>40664</v>
      </c>
      <c r="Z152" s="98">
        <v>40695</v>
      </c>
      <c r="AA152" s="98">
        <v>40725</v>
      </c>
      <c r="AB152" s="98">
        <v>40756</v>
      </c>
      <c r="AC152" s="98">
        <v>40787</v>
      </c>
      <c r="AD152" s="98">
        <v>40817</v>
      </c>
      <c r="AE152" s="98">
        <v>40848</v>
      </c>
      <c r="AF152" s="98">
        <v>40878</v>
      </c>
      <c r="AG152" s="99" t="s">
        <v>108</v>
      </c>
      <c r="AH152" s="98">
        <v>40909</v>
      </c>
      <c r="AI152" s="98">
        <v>40940</v>
      </c>
      <c r="AJ152" s="98">
        <v>40969</v>
      </c>
      <c r="AK152" s="98">
        <v>41000</v>
      </c>
      <c r="AL152" s="98">
        <v>41030</v>
      </c>
      <c r="AM152" s="98">
        <v>41061</v>
      </c>
      <c r="AN152" s="98">
        <v>41091</v>
      </c>
      <c r="AO152" s="98">
        <v>41122</v>
      </c>
      <c r="AP152" s="98">
        <v>41153</v>
      </c>
      <c r="AQ152" s="98">
        <v>41183</v>
      </c>
      <c r="AR152" s="98">
        <v>41214</v>
      </c>
      <c r="AS152" s="98">
        <v>41244</v>
      </c>
      <c r="AT152" s="99" t="s">
        <v>109</v>
      </c>
      <c r="AU152" s="100" t="s">
        <v>522</v>
      </c>
    </row>
    <row r="153" spans="1:47" x14ac:dyDescent="0.25">
      <c r="A153" s="101" t="s">
        <v>491</v>
      </c>
      <c r="B153" s="93" t="s">
        <v>490</v>
      </c>
      <c r="C153" s="104"/>
      <c r="D153" s="104"/>
      <c r="E153" s="104"/>
      <c r="F153" s="105"/>
      <c r="G153" s="110">
        <f t="shared" ref="G153:G185" si="0">SUM(C153:F153)</f>
        <v>0</v>
      </c>
      <c r="H153" s="104"/>
      <c r="I153" s="104"/>
      <c r="J153" s="104"/>
      <c r="K153" s="104"/>
      <c r="L153" s="104"/>
      <c r="M153" s="104"/>
      <c r="N153" s="104"/>
      <c r="O153" s="104"/>
      <c r="P153" s="104"/>
      <c r="Q153" s="104"/>
      <c r="R153" s="104"/>
      <c r="S153" s="104"/>
      <c r="T153" s="110">
        <f t="shared" ref="T153:T185" si="1">SUM(H153:S153)</f>
        <v>0</v>
      </c>
      <c r="U153" s="104"/>
      <c r="V153" s="104"/>
      <c r="W153" s="104"/>
      <c r="X153" s="104"/>
      <c r="Y153" s="104"/>
      <c r="Z153" s="104"/>
      <c r="AA153" s="104"/>
      <c r="AB153" s="104"/>
      <c r="AC153" s="104"/>
      <c r="AD153" s="104"/>
      <c r="AE153" s="104"/>
      <c r="AF153" s="104"/>
      <c r="AG153" s="110">
        <f t="shared" ref="AG153:AG185" si="2">SUM(U153:AF153)</f>
        <v>0</v>
      </c>
      <c r="AH153" s="104"/>
      <c r="AI153" s="104"/>
      <c r="AJ153" s="104"/>
      <c r="AK153" s="104"/>
      <c r="AL153" s="104"/>
      <c r="AM153" s="104"/>
      <c r="AN153" s="104"/>
      <c r="AO153" s="104"/>
      <c r="AP153" s="104"/>
      <c r="AQ153" s="104"/>
      <c r="AR153" s="104"/>
      <c r="AS153" s="104"/>
      <c r="AT153" s="110">
        <f t="shared" ref="AT153:AT185" si="3">SUM(AH153:AS153)</f>
        <v>0</v>
      </c>
      <c r="AU153" s="111">
        <f t="shared" ref="AU153:AU185" si="4">G153+T153+AG153+AT153</f>
        <v>0</v>
      </c>
    </row>
    <row r="154" spans="1:47" x14ac:dyDescent="0.25">
      <c r="A154" s="101" t="s">
        <v>491</v>
      </c>
      <c r="B154" s="93" t="s">
        <v>459</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491</v>
      </c>
      <c r="B155" s="93" t="s">
        <v>457</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2" t="s">
        <v>491</v>
      </c>
      <c r="B156" s="93" t="s">
        <v>380</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1" t="s">
        <v>491</v>
      </c>
      <c r="B157" s="93" t="s">
        <v>468</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1" t="s">
        <v>491</v>
      </c>
      <c r="B158" s="93" t="s">
        <v>458</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491</v>
      </c>
      <c r="B159" s="93" t="s">
        <v>376</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491</v>
      </c>
      <c r="B160" s="93" t="s">
        <v>489</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491</v>
      </c>
      <c r="B161" s="93" t="s">
        <v>506</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1" t="s">
        <v>491</v>
      </c>
      <c r="B162" s="93" t="s">
        <v>507</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491</v>
      </c>
      <c r="B163" s="93" t="s">
        <v>486</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491</v>
      </c>
      <c r="B164" s="93" t="s">
        <v>509</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516</v>
      </c>
      <c r="B165" s="93" t="s">
        <v>487</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516</v>
      </c>
      <c r="B166" s="93" t="s">
        <v>488</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2" t="s">
        <v>492</v>
      </c>
      <c r="B167" s="93" t="s">
        <v>485</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2" t="s">
        <v>492</v>
      </c>
      <c r="B168" s="93" t="s">
        <v>462</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2" t="s">
        <v>492</v>
      </c>
      <c r="B169" s="93" t="s">
        <v>508</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1" t="s">
        <v>492</v>
      </c>
      <c r="B170" s="93" t="s">
        <v>460</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492</v>
      </c>
      <c r="B171" s="93" t="s">
        <v>517</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492</v>
      </c>
      <c r="B172" s="93" t="s">
        <v>513</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2" t="s">
        <v>492</v>
      </c>
      <c r="B173" s="93" t="s">
        <v>512</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x14ac:dyDescent="0.25">
      <c r="A174" s="101" t="s">
        <v>492</v>
      </c>
      <c r="B174" s="93" t="s">
        <v>375</v>
      </c>
      <c r="C174" s="106"/>
      <c r="D174" s="106"/>
      <c r="E174" s="106"/>
      <c r="F174" s="107"/>
      <c r="G174" s="112">
        <f t="shared" si="0"/>
        <v>0</v>
      </c>
      <c r="H174" s="106"/>
      <c r="I174" s="106"/>
      <c r="J174" s="106"/>
      <c r="K174" s="106"/>
      <c r="L174" s="106"/>
      <c r="M174" s="106"/>
      <c r="N174" s="106"/>
      <c r="O174" s="106"/>
      <c r="P174" s="106"/>
      <c r="Q174" s="106"/>
      <c r="R174" s="106"/>
      <c r="S174" s="106"/>
      <c r="T174" s="112">
        <f t="shared" si="1"/>
        <v>0</v>
      </c>
      <c r="U174" s="106"/>
      <c r="V174" s="106"/>
      <c r="W174" s="106"/>
      <c r="X174" s="106"/>
      <c r="Y174" s="106"/>
      <c r="Z174" s="106"/>
      <c r="AA174" s="106"/>
      <c r="AB174" s="106"/>
      <c r="AC174" s="106"/>
      <c r="AD174" s="106"/>
      <c r="AE174" s="106"/>
      <c r="AF174" s="106"/>
      <c r="AG174" s="112">
        <f t="shared" si="2"/>
        <v>0</v>
      </c>
      <c r="AH174" s="106"/>
      <c r="AI174" s="106"/>
      <c r="AJ174" s="106"/>
      <c r="AK174" s="106"/>
      <c r="AL174" s="106"/>
      <c r="AM174" s="106"/>
      <c r="AN174" s="106"/>
      <c r="AO174" s="106"/>
      <c r="AP174" s="106"/>
      <c r="AQ174" s="106"/>
      <c r="AR174" s="106"/>
      <c r="AS174" s="106"/>
      <c r="AT174" s="112">
        <f t="shared" si="3"/>
        <v>0</v>
      </c>
      <c r="AU174" s="111">
        <f t="shared" si="4"/>
        <v>0</v>
      </c>
    </row>
    <row r="175" spans="1:47" x14ac:dyDescent="0.25">
      <c r="A175" s="101" t="s">
        <v>492</v>
      </c>
      <c r="B175" s="93" t="s">
        <v>510</v>
      </c>
      <c r="C175" s="106"/>
      <c r="D175" s="106"/>
      <c r="E175" s="106"/>
      <c r="F175" s="107"/>
      <c r="G175" s="112">
        <f t="shared" si="0"/>
        <v>0</v>
      </c>
      <c r="H175" s="106"/>
      <c r="I175" s="106"/>
      <c r="J175" s="106"/>
      <c r="K175" s="106"/>
      <c r="L175" s="106"/>
      <c r="M175" s="106"/>
      <c r="N175" s="106"/>
      <c r="O175" s="106"/>
      <c r="P175" s="106"/>
      <c r="Q175" s="106"/>
      <c r="R175" s="106"/>
      <c r="S175" s="106"/>
      <c r="T175" s="112">
        <f t="shared" si="1"/>
        <v>0</v>
      </c>
      <c r="U175" s="106"/>
      <c r="V175" s="106"/>
      <c r="W175" s="106"/>
      <c r="X175" s="106"/>
      <c r="Y175" s="106"/>
      <c r="Z175" s="106"/>
      <c r="AA175" s="106"/>
      <c r="AB175" s="106"/>
      <c r="AC175" s="106"/>
      <c r="AD175" s="106"/>
      <c r="AE175" s="106"/>
      <c r="AF175" s="106"/>
      <c r="AG175" s="112">
        <f t="shared" si="2"/>
        <v>0</v>
      </c>
      <c r="AH175" s="106"/>
      <c r="AI175" s="106"/>
      <c r="AJ175" s="106"/>
      <c r="AK175" s="106"/>
      <c r="AL175" s="106"/>
      <c r="AM175" s="106"/>
      <c r="AN175" s="106"/>
      <c r="AO175" s="106"/>
      <c r="AP175" s="106"/>
      <c r="AQ175" s="106"/>
      <c r="AR175" s="106"/>
      <c r="AS175" s="106"/>
      <c r="AT175" s="112">
        <f t="shared" si="3"/>
        <v>0</v>
      </c>
      <c r="AU175" s="111">
        <f t="shared" si="4"/>
        <v>0</v>
      </c>
    </row>
    <row r="176" spans="1:47" x14ac:dyDescent="0.25">
      <c r="A176" s="101" t="s">
        <v>495</v>
      </c>
      <c r="B176" s="93" t="s">
        <v>511</v>
      </c>
      <c r="C176" s="106"/>
      <c r="D176" s="106"/>
      <c r="E176" s="106"/>
      <c r="F176" s="107"/>
      <c r="G176" s="112">
        <f t="shared" si="0"/>
        <v>0</v>
      </c>
      <c r="H176" s="106"/>
      <c r="I176" s="106"/>
      <c r="J176" s="106"/>
      <c r="K176" s="106"/>
      <c r="L176" s="106"/>
      <c r="M176" s="106"/>
      <c r="N176" s="106"/>
      <c r="O176" s="106"/>
      <c r="P176" s="106"/>
      <c r="Q176" s="106"/>
      <c r="R176" s="106"/>
      <c r="S176" s="106"/>
      <c r="T176" s="112">
        <f t="shared" si="1"/>
        <v>0</v>
      </c>
      <c r="U176" s="106"/>
      <c r="V176" s="106"/>
      <c r="W176" s="106"/>
      <c r="X176" s="106"/>
      <c r="Y176" s="106"/>
      <c r="Z176" s="106"/>
      <c r="AA176" s="106"/>
      <c r="AB176" s="106"/>
      <c r="AC176" s="106"/>
      <c r="AD176" s="106"/>
      <c r="AE176" s="106"/>
      <c r="AF176" s="106"/>
      <c r="AG176" s="112">
        <f t="shared" si="2"/>
        <v>0</v>
      </c>
      <c r="AH176" s="106"/>
      <c r="AI176" s="106"/>
      <c r="AJ176" s="106"/>
      <c r="AK176" s="106"/>
      <c r="AL176" s="106"/>
      <c r="AM176" s="106"/>
      <c r="AN176" s="106"/>
      <c r="AO176" s="106"/>
      <c r="AP176" s="106"/>
      <c r="AQ176" s="106"/>
      <c r="AR176" s="106"/>
      <c r="AS176" s="106"/>
      <c r="AT176" s="112">
        <f t="shared" si="3"/>
        <v>0</v>
      </c>
      <c r="AU176" s="111">
        <f t="shared" si="4"/>
        <v>0</v>
      </c>
    </row>
    <row r="177" spans="1:47" x14ac:dyDescent="0.25">
      <c r="A177" s="101" t="s">
        <v>495</v>
      </c>
      <c r="B177" s="93" t="s">
        <v>461</v>
      </c>
      <c r="C177" s="106"/>
      <c r="D177" s="106"/>
      <c r="E177" s="106"/>
      <c r="F177" s="107"/>
      <c r="G177" s="112">
        <f t="shared" si="0"/>
        <v>0</v>
      </c>
      <c r="H177" s="106"/>
      <c r="I177" s="106"/>
      <c r="J177" s="106"/>
      <c r="K177" s="106"/>
      <c r="L177" s="106"/>
      <c r="M177" s="106"/>
      <c r="N177" s="106"/>
      <c r="O177" s="106"/>
      <c r="P177" s="106"/>
      <c r="Q177" s="106"/>
      <c r="R177" s="106"/>
      <c r="S177" s="106"/>
      <c r="T177" s="112">
        <f t="shared" si="1"/>
        <v>0</v>
      </c>
      <c r="U177" s="106"/>
      <c r="V177" s="106"/>
      <c r="W177" s="106"/>
      <c r="X177" s="106"/>
      <c r="Y177" s="106"/>
      <c r="Z177" s="106"/>
      <c r="AA177" s="106"/>
      <c r="AB177" s="106"/>
      <c r="AC177" s="106"/>
      <c r="AD177" s="106"/>
      <c r="AE177" s="106"/>
      <c r="AF177" s="106"/>
      <c r="AG177" s="112">
        <f t="shared" si="2"/>
        <v>0</v>
      </c>
      <c r="AH177" s="106"/>
      <c r="AI177" s="106"/>
      <c r="AJ177" s="106"/>
      <c r="AK177" s="106"/>
      <c r="AL177" s="106"/>
      <c r="AM177" s="106"/>
      <c r="AN177" s="106"/>
      <c r="AO177" s="106"/>
      <c r="AP177" s="106"/>
      <c r="AQ177" s="106"/>
      <c r="AR177" s="106"/>
      <c r="AS177" s="106"/>
      <c r="AT177" s="112">
        <f t="shared" si="3"/>
        <v>0</v>
      </c>
      <c r="AU177" s="111">
        <f t="shared" si="4"/>
        <v>0</v>
      </c>
    </row>
    <row r="178" spans="1:47" x14ac:dyDescent="0.25">
      <c r="A178" s="101" t="s">
        <v>495</v>
      </c>
      <c r="B178" s="93" t="s">
        <v>496</v>
      </c>
      <c r="C178" s="106"/>
      <c r="D178" s="106"/>
      <c r="E178" s="106"/>
      <c r="F178" s="107"/>
      <c r="G178" s="112">
        <f t="shared" si="0"/>
        <v>0</v>
      </c>
      <c r="H178" s="106"/>
      <c r="I178" s="106"/>
      <c r="J178" s="106"/>
      <c r="K178" s="106"/>
      <c r="L178" s="106"/>
      <c r="M178" s="106"/>
      <c r="N178" s="106"/>
      <c r="O178" s="106"/>
      <c r="P178" s="106"/>
      <c r="Q178" s="106"/>
      <c r="R178" s="106"/>
      <c r="S178" s="106"/>
      <c r="T178" s="112">
        <f t="shared" si="1"/>
        <v>0</v>
      </c>
      <c r="U178" s="106"/>
      <c r="V178" s="106"/>
      <c r="W178" s="106"/>
      <c r="X178" s="106"/>
      <c r="Y178" s="106"/>
      <c r="Z178" s="106"/>
      <c r="AA178" s="106"/>
      <c r="AB178" s="106"/>
      <c r="AC178" s="106"/>
      <c r="AD178" s="106"/>
      <c r="AE178" s="106"/>
      <c r="AF178" s="106"/>
      <c r="AG178" s="112">
        <f t="shared" si="2"/>
        <v>0</v>
      </c>
      <c r="AH178" s="106"/>
      <c r="AI178" s="106"/>
      <c r="AJ178" s="106"/>
      <c r="AK178" s="106"/>
      <c r="AL178" s="106"/>
      <c r="AM178" s="106"/>
      <c r="AN178" s="106"/>
      <c r="AO178" s="106"/>
      <c r="AP178" s="106"/>
      <c r="AQ178" s="106"/>
      <c r="AR178" s="106"/>
      <c r="AS178" s="106"/>
      <c r="AT178" s="112">
        <f t="shared" si="3"/>
        <v>0</v>
      </c>
      <c r="AU178" s="111">
        <f t="shared" si="4"/>
        <v>0</v>
      </c>
    </row>
    <row r="179" spans="1:47" x14ac:dyDescent="0.25">
      <c r="A179" s="101" t="s">
        <v>495</v>
      </c>
      <c r="B179" s="93" t="s">
        <v>493</v>
      </c>
      <c r="C179" s="106"/>
      <c r="D179" s="106"/>
      <c r="E179" s="106"/>
      <c r="F179" s="107"/>
      <c r="G179" s="112">
        <f t="shared" si="0"/>
        <v>0</v>
      </c>
      <c r="H179" s="106"/>
      <c r="I179" s="106"/>
      <c r="J179" s="106"/>
      <c r="K179" s="106"/>
      <c r="L179" s="106"/>
      <c r="M179" s="106"/>
      <c r="N179" s="106"/>
      <c r="O179" s="106"/>
      <c r="P179" s="106"/>
      <c r="Q179" s="106"/>
      <c r="R179" s="106"/>
      <c r="S179" s="106"/>
      <c r="T179" s="112">
        <f t="shared" si="1"/>
        <v>0</v>
      </c>
      <c r="U179" s="106"/>
      <c r="V179" s="106"/>
      <c r="W179" s="106"/>
      <c r="X179" s="106"/>
      <c r="Y179" s="106"/>
      <c r="Z179" s="106"/>
      <c r="AA179" s="106"/>
      <c r="AB179" s="106"/>
      <c r="AC179" s="106"/>
      <c r="AD179" s="106"/>
      <c r="AE179" s="106"/>
      <c r="AF179" s="106"/>
      <c r="AG179" s="112">
        <f t="shared" si="2"/>
        <v>0</v>
      </c>
      <c r="AH179" s="106"/>
      <c r="AI179" s="106"/>
      <c r="AJ179" s="106"/>
      <c r="AK179" s="106"/>
      <c r="AL179" s="106"/>
      <c r="AM179" s="106"/>
      <c r="AN179" s="106"/>
      <c r="AO179" s="106"/>
      <c r="AP179" s="106"/>
      <c r="AQ179" s="106"/>
      <c r="AR179" s="106"/>
      <c r="AS179" s="106"/>
      <c r="AT179" s="112">
        <f t="shared" si="3"/>
        <v>0</v>
      </c>
      <c r="AU179" s="111">
        <f t="shared" si="4"/>
        <v>0</v>
      </c>
    </row>
    <row r="180" spans="1:47" x14ac:dyDescent="0.25">
      <c r="A180" s="101" t="s">
        <v>495</v>
      </c>
      <c r="B180" s="93" t="s">
        <v>494</v>
      </c>
      <c r="C180" s="106"/>
      <c r="D180" s="106"/>
      <c r="E180" s="106"/>
      <c r="F180" s="107"/>
      <c r="G180" s="112">
        <f t="shared" si="0"/>
        <v>0</v>
      </c>
      <c r="H180" s="106"/>
      <c r="I180" s="106"/>
      <c r="J180" s="106"/>
      <c r="K180" s="106"/>
      <c r="L180" s="106"/>
      <c r="M180" s="106"/>
      <c r="N180" s="106"/>
      <c r="O180" s="106"/>
      <c r="P180" s="106"/>
      <c r="Q180" s="106"/>
      <c r="R180" s="106"/>
      <c r="S180" s="106"/>
      <c r="T180" s="112">
        <f t="shared" si="1"/>
        <v>0</v>
      </c>
      <c r="U180" s="106"/>
      <c r="V180" s="106"/>
      <c r="W180" s="106"/>
      <c r="X180" s="106"/>
      <c r="Y180" s="106"/>
      <c r="Z180" s="106"/>
      <c r="AA180" s="106"/>
      <c r="AB180" s="106"/>
      <c r="AC180" s="106"/>
      <c r="AD180" s="106"/>
      <c r="AE180" s="106"/>
      <c r="AF180" s="106"/>
      <c r="AG180" s="112">
        <f t="shared" si="2"/>
        <v>0</v>
      </c>
      <c r="AH180" s="106"/>
      <c r="AI180" s="106"/>
      <c r="AJ180" s="106"/>
      <c r="AK180" s="106"/>
      <c r="AL180" s="106"/>
      <c r="AM180" s="106"/>
      <c r="AN180" s="106"/>
      <c r="AO180" s="106"/>
      <c r="AP180" s="106"/>
      <c r="AQ180" s="106"/>
      <c r="AR180" s="106"/>
      <c r="AS180" s="106"/>
      <c r="AT180" s="112">
        <f t="shared" si="3"/>
        <v>0</v>
      </c>
      <c r="AU180" s="111">
        <f t="shared" si="4"/>
        <v>0</v>
      </c>
    </row>
    <row r="181" spans="1:47" x14ac:dyDescent="0.25">
      <c r="A181" s="101" t="s">
        <v>495</v>
      </c>
      <c r="B181" s="93" t="s">
        <v>514</v>
      </c>
      <c r="C181" s="106"/>
      <c r="D181" s="106"/>
      <c r="E181" s="106"/>
      <c r="F181" s="107"/>
      <c r="G181" s="112">
        <f t="shared" si="0"/>
        <v>0</v>
      </c>
      <c r="H181" s="106"/>
      <c r="I181" s="106"/>
      <c r="J181" s="106"/>
      <c r="K181" s="106"/>
      <c r="L181" s="106"/>
      <c r="M181" s="106"/>
      <c r="N181" s="106"/>
      <c r="O181" s="106"/>
      <c r="P181" s="106"/>
      <c r="Q181" s="106"/>
      <c r="R181" s="106"/>
      <c r="S181" s="106"/>
      <c r="T181" s="112">
        <f t="shared" si="1"/>
        <v>0</v>
      </c>
      <c r="U181" s="106"/>
      <c r="V181" s="106"/>
      <c r="W181" s="106"/>
      <c r="X181" s="106"/>
      <c r="Y181" s="106"/>
      <c r="Z181" s="106"/>
      <c r="AA181" s="106"/>
      <c r="AB181" s="106"/>
      <c r="AC181" s="106"/>
      <c r="AD181" s="106"/>
      <c r="AE181" s="106"/>
      <c r="AF181" s="106"/>
      <c r="AG181" s="112">
        <f t="shared" si="2"/>
        <v>0</v>
      </c>
      <c r="AH181" s="106"/>
      <c r="AI181" s="106"/>
      <c r="AJ181" s="106"/>
      <c r="AK181" s="106"/>
      <c r="AL181" s="106"/>
      <c r="AM181" s="106"/>
      <c r="AN181" s="106"/>
      <c r="AO181" s="106"/>
      <c r="AP181" s="106"/>
      <c r="AQ181" s="106"/>
      <c r="AR181" s="106"/>
      <c r="AS181" s="106"/>
      <c r="AT181" s="112">
        <f t="shared" si="3"/>
        <v>0</v>
      </c>
      <c r="AU181" s="111">
        <f t="shared" si="4"/>
        <v>0</v>
      </c>
    </row>
    <row r="182" spans="1:47" x14ac:dyDescent="0.25">
      <c r="A182" s="101" t="s">
        <v>495</v>
      </c>
      <c r="B182" s="93" t="s">
        <v>497</v>
      </c>
      <c r="C182" s="106"/>
      <c r="D182" s="106"/>
      <c r="E182" s="106"/>
      <c r="F182" s="107"/>
      <c r="G182" s="112">
        <f t="shared" si="0"/>
        <v>0</v>
      </c>
      <c r="H182" s="106"/>
      <c r="I182" s="106"/>
      <c r="J182" s="106"/>
      <c r="K182" s="106"/>
      <c r="L182" s="106"/>
      <c r="M182" s="106"/>
      <c r="N182" s="106"/>
      <c r="O182" s="106"/>
      <c r="P182" s="106"/>
      <c r="Q182" s="106"/>
      <c r="R182" s="106"/>
      <c r="S182" s="106"/>
      <c r="T182" s="112">
        <f t="shared" si="1"/>
        <v>0</v>
      </c>
      <c r="U182" s="106"/>
      <c r="V182" s="106"/>
      <c r="W182" s="106"/>
      <c r="X182" s="106"/>
      <c r="Y182" s="106"/>
      <c r="Z182" s="106"/>
      <c r="AA182" s="106"/>
      <c r="AB182" s="106"/>
      <c r="AC182" s="106"/>
      <c r="AD182" s="106"/>
      <c r="AE182" s="106"/>
      <c r="AF182" s="106"/>
      <c r="AG182" s="112">
        <f t="shared" si="2"/>
        <v>0</v>
      </c>
      <c r="AH182" s="106"/>
      <c r="AI182" s="106"/>
      <c r="AJ182" s="106"/>
      <c r="AK182" s="106"/>
      <c r="AL182" s="106"/>
      <c r="AM182" s="106"/>
      <c r="AN182" s="106"/>
      <c r="AO182" s="106"/>
      <c r="AP182" s="106"/>
      <c r="AQ182" s="106"/>
      <c r="AR182" s="106"/>
      <c r="AS182" s="106"/>
      <c r="AT182" s="112">
        <f t="shared" si="3"/>
        <v>0</v>
      </c>
      <c r="AU182" s="111">
        <f t="shared" si="4"/>
        <v>0</v>
      </c>
    </row>
    <row r="183" spans="1:47" x14ac:dyDescent="0.25">
      <c r="A183" s="101" t="s">
        <v>42</v>
      </c>
      <c r="B183" s="93" t="s">
        <v>42</v>
      </c>
      <c r="C183" s="106"/>
      <c r="D183" s="106"/>
      <c r="E183" s="106"/>
      <c r="F183" s="107"/>
      <c r="G183" s="112">
        <f t="shared" si="0"/>
        <v>0</v>
      </c>
      <c r="H183" s="106"/>
      <c r="I183" s="106"/>
      <c r="J183" s="106"/>
      <c r="K183" s="106"/>
      <c r="L183" s="106"/>
      <c r="M183" s="106"/>
      <c r="N183" s="106"/>
      <c r="O183" s="106"/>
      <c r="P183" s="106"/>
      <c r="Q183" s="106"/>
      <c r="R183" s="106"/>
      <c r="S183" s="106"/>
      <c r="T183" s="112">
        <f t="shared" si="1"/>
        <v>0</v>
      </c>
      <c r="U183" s="106"/>
      <c r="V183" s="106"/>
      <c r="W183" s="106"/>
      <c r="X183" s="106"/>
      <c r="Y183" s="106"/>
      <c r="Z183" s="106"/>
      <c r="AA183" s="106"/>
      <c r="AB183" s="106"/>
      <c r="AC183" s="106"/>
      <c r="AD183" s="106"/>
      <c r="AE183" s="106"/>
      <c r="AF183" s="106"/>
      <c r="AG183" s="112">
        <f t="shared" si="2"/>
        <v>0</v>
      </c>
      <c r="AH183" s="106"/>
      <c r="AI183" s="106"/>
      <c r="AJ183" s="106"/>
      <c r="AK183" s="106"/>
      <c r="AL183" s="106"/>
      <c r="AM183" s="106"/>
      <c r="AN183" s="106"/>
      <c r="AO183" s="106"/>
      <c r="AP183" s="106"/>
      <c r="AQ183" s="106"/>
      <c r="AR183" s="106"/>
      <c r="AS183" s="106"/>
      <c r="AT183" s="112">
        <f t="shared" si="3"/>
        <v>0</v>
      </c>
      <c r="AU183" s="111">
        <f t="shared" si="4"/>
        <v>0</v>
      </c>
    </row>
    <row r="184" spans="1:47" x14ac:dyDescent="0.25">
      <c r="A184" s="101" t="s">
        <v>377</v>
      </c>
      <c r="B184" s="93" t="s">
        <v>377</v>
      </c>
      <c r="C184" s="106"/>
      <c r="D184" s="106"/>
      <c r="E184" s="106"/>
      <c r="F184" s="107"/>
      <c r="G184" s="112">
        <f t="shared" si="0"/>
        <v>0</v>
      </c>
      <c r="H184" s="106"/>
      <c r="I184" s="106"/>
      <c r="J184" s="106"/>
      <c r="K184" s="106"/>
      <c r="L184" s="106"/>
      <c r="M184" s="106"/>
      <c r="N184" s="106"/>
      <c r="O184" s="106"/>
      <c r="P184" s="106"/>
      <c r="Q184" s="106"/>
      <c r="R184" s="106"/>
      <c r="S184" s="106"/>
      <c r="T184" s="112">
        <f t="shared" si="1"/>
        <v>0</v>
      </c>
      <c r="U184" s="106"/>
      <c r="V184" s="106"/>
      <c r="W184" s="106"/>
      <c r="X184" s="106"/>
      <c r="Y184" s="106"/>
      <c r="Z184" s="106"/>
      <c r="AA184" s="106"/>
      <c r="AB184" s="106"/>
      <c r="AC184" s="106"/>
      <c r="AD184" s="106"/>
      <c r="AE184" s="106"/>
      <c r="AF184" s="106"/>
      <c r="AG184" s="112">
        <f t="shared" si="2"/>
        <v>0</v>
      </c>
      <c r="AH184" s="106"/>
      <c r="AI184" s="106"/>
      <c r="AJ184" s="106"/>
      <c r="AK184" s="106"/>
      <c r="AL184" s="106"/>
      <c r="AM184" s="106"/>
      <c r="AN184" s="106"/>
      <c r="AO184" s="106"/>
      <c r="AP184" s="106"/>
      <c r="AQ184" s="106"/>
      <c r="AR184" s="106"/>
      <c r="AS184" s="106"/>
      <c r="AT184" s="112">
        <f t="shared" si="3"/>
        <v>0</v>
      </c>
      <c r="AU184" s="111">
        <f t="shared" si="4"/>
        <v>0</v>
      </c>
    </row>
    <row r="185" spans="1:47" ht="15.75" thickBot="1" x14ac:dyDescent="0.3">
      <c r="A185" s="103" t="s">
        <v>518</v>
      </c>
      <c r="B185" s="94" t="s">
        <v>518</v>
      </c>
      <c r="C185" s="108"/>
      <c r="D185" s="108"/>
      <c r="E185" s="108"/>
      <c r="F185" s="109"/>
      <c r="G185" s="113">
        <f t="shared" si="0"/>
        <v>0</v>
      </c>
      <c r="H185" s="108"/>
      <c r="I185" s="108"/>
      <c r="J185" s="108"/>
      <c r="K185" s="108"/>
      <c r="L185" s="108"/>
      <c r="M185" s="108"/>
      <c r="N185" s="108"/>
      <c r="O185" s="108"/>
      <c r="P185" s="108"/>
      <c r="Q185" s="108"/>
      <c r="R185" s="108"/>
      <c r="S185" s="108"/>
      <c r="T185" s="113">
        <f t="shared" si="1"/>
        <v>0</v>
      </c>
      <c r="U185" s="108"/>
      <c r="V185" s="108"/>
      <c r="W185" s="108"/>
      <c r="X185" s="108"/>
      <c r="Y185" s="108"/>
      <c r="Z185" s="108"/>
      <c r="AA185" s="108"/>
      <c r="AB185" s="108"/>
      <c r="AC185" s="108"/>
      <c r="AD185" s="108"/>
      <c r="AE185" s="108"/>
      <c r="AF185" s="108"/>
      <c r="AG185" s="113">
        <f t="shared" si="2"/>
        <v>0</v>
      </c>
      <c r="AH185" s="108"/>
      <c r="AI185" s="108"/>
      <c r="AJ185" s="108"/>
      <c r="AK185" s="108"/>
      <c r="AL185" s="108"/>
      <c r="AM185" s="108"/>
      <c r="AN185" s="108"/>
      <c r="AO185" s="108"/>
      <c r="AP185" s="108"/>
      <c r="AQ185" s="108"/>
      <c r="AR185" s="108"/>
      <c r="AS185" s="108"/>
      <c r="AT185" s="113">
        <f t="shared" si="3"/>
        <v>0</v>
      </c>
      <c r="AU185" s="114">
        <f t="shared" si="4"/>
        <v>0</v>
      </c>
    </row>
    <row r="186" spans="1:47" ht="15.75" thickBot="1" x14ac:dyDescent="0.3">
      <c r="A186" s="92"/>
      <c r="B186" s="95" t="s">
        <v>521</v>
      </c>
      <c r="C186" s="32">
        <f t="shared" ref="C186:AU186" si="5">SUM(C153:C185)</f>
        <v>0</v>
      </c>
      <c r="D186" s="32">
        <f t="shared" si="5"/>
        <v>0</v>
      </c>
      <c r="E186" s="32">
        <f t="shared" si="5"/>
        <v>0</v>
      </c>
      <c r="F186" s="32">
        <f t="shared" si="5"/>
        <v>0</v>
      </c>
      <c r="G186" s="116">
        <f t="shared" si="5"/>
        <v>0</v>
      </c>
      <c r="H186" s="32">
        <f t="shared" si="5"/>
        <v>0</v>
      </c>
      <c r="I186" s="32">
        <f t="shared" si="5"/>
        <v>0</v>
      </c>
      <c r="J186" s="32">
        <f t="shared" si="5"/>
        <v>0</v>
      </c>
      <c r="K186" s="32">
        <f t="shared" si="5"/>
        <v>0</v>
      </c>
      <c r="L186" s="32">
        <f t="shared" si="5"/>
        <v>0</v>
      </c>
      <c r="M186" s="32">
        <f t="shared" si="5"/>
        <v>0</v>
      </c>
      <c r="N186" s="32">
        <f t="shared" si="5"/>
        <v>0</v>
      </c>
      <c r="O186" s="32">
        <f t="shared" si="5"/>
        <v>0</v>
      </c>
      <c r="P186" s="32">
        <f t="shared" si="5"/>
        <v>0</v>
      </c>
      <c r="Q186" s="32">
        <f t="shared" si="5"/>
        <v>0</v>
      </c>
      <c r="R186" s="32">
        <f t="shared" si="5"/>
        <v>0</v>
      </c>
      <c r="S186" s="32">
        <f t="shared" si="5"/>
        <v>0</v>
      </c>
      <c r="T186" s="116">
        <f t="shared" si="5"/>
        <v>0</v>
      </c>
      <c r="U186" s="32">
        <f t="shared" si="5"/>
        <v>0</v>
      </c>
      <c r="V186" s="32">
        <f t="shared" si="5"/>
        <v>0</v>
      </c>
      <c r="W186" s="32">
        <f t="shared" si="5"/>
        <v>0</v>
      </c>
      <c r="X186" s="32">
        <f t="shared" si="5"/>
        <v>0</v>
      </c>
      <c r="Y186" s="32">
        <f t="shared" si="5"/>
        <v>0</v>
      </c>
      <c r="Z186" s="32">
        <f t="shared" si="5"/>
        <v>0</v>
      </c>
      <c r="AA186" s="32">
        <f t="shared" si="5"/>
        <v>0</v>
      </c>
      <c r="AB186" s="32">
        <f t="shared" si="5"/>
        <v>0</v>
      </c>
      <c r="AC186" s="32">
        <f t="shared" si="5"/>
        <v>0</v>
      </c>
      <c r="AD186" s="32">
        <f t="shared" si="5"/>
        <v>0</v>
      </c>
      <c r="AE186" s="32">
        <f t="shared" si="5"/>
        <v>0</v>
      </c>
      <c r="AF186" s="32">
        <f t="shared" si="5"/>
        <v>0</v>
      </c>
      <c r="AG186" s="116">
        <f t="shared" si="5"/>
        <v>0</v>
      </c>
      <c r="AH186" s="32">
        <f t="shared" si="5"/>
        <v>0</v>
      </c>
      <c r="AI186" s="32">
        <f t="shared" si="5"/>
        <v>0</v>
      </c>
      <c r="AJ186" s="32">
        <f t="shared" si="5"/>
        <v>0</v>
      </c>
      <c r="AK186" s="32">
        <f t="shared" si="5"/>
        <v>0</v>
      </c>
      <c r="AL186" s="32">
        <f t="shared" si="5"/>
        <v>0</v>
      </c>
      <c r="AM186" s="32">
        <f t="shared" si="5"/>
        <v>0</v>
      </c>
      <c r="AN186" s="32">
        <f t="shared" si="5"/>
        <v>0</v>
      </c>
      <c r="AO186" s="32">
        <f t="shared" si="5"/>
        <v>0</v>
      </c>
      <c r="AP186" s="32">
        <f t="shared" si="5"/>
        <v>0</v>
      </c>
      <c r="AQ186" s="32">
        <f t="shared" si="5"/>
        <v>0</v>
      </c>
      <c r="AR186" s="32">
        <f t="shared" si="5"/>
        <v>0</v>
      </c>
      <c r="AS186" s="32">
        <f t="shared" si="5"/>
        <v>0</v>
      </c>
      <c r="AT186" s="116">
        <f t="shared" si="5"/>
        <v>0</v>
      </c>
      <c r="AU186" s="115">
        <f t="shared" si="5"/>
        <v>0</v>
      </c>
    </row>
    <row r="1125" spans="1:23" ht="15.75" thickBot="1" x14ac:dyDescent="0.3">
      <c r="A1125" s="364"/>
      <c r="B1125" s="365"/>
      <c r="C1125" s="366"/>
      <c r="D1125" s="366"/>
      <c r="E1125" s="367"/>
      <c r="F1125" s="368"/>
      <c r="G1125" s="369"/>
      <c r="H1125" s="369"/>
      <c r="I1125" s="370"/>
      <c r="J1125" s="371"/>
      <c r="K1125" s="371"/>
      <c r="L1125" s="372"/>
      <c r="M1125" s="370"/>
      <c r="N1125" s="373"/>
      <c r="O1125" s="373"/>
      <c r="P1125" s="374"/>
      <c r="Q1125" s="374"/>
      <c r="R1125" s="374"/>
      <c r="S1125" s="375"/>
      <c r="T1125" s="376"/>
      <c r="U1125" s="376"/>
      <c r="V1125" s="376"/>
      <c r="W1125" s="374"/>
    </row>
    <row r="1126" spans="1:23" x14ac:dyDescent="0.25">
      <c r="A1126" s="364"/>
      <c r="B1126" s="379" t="s">
        <v>745</v>
      </c>
      <c r="C1126" s="429">
        <f>COUNTIF(B$1:B1123,B1126)</f>
        <v>1</v>
      </c>
      <c r="D1126" s="437">
        <f>C1126/C1131</f>
        <v>0.2</v>
      </c>
      <c r="E1126" s="380"/>
      <c r="F1126" s="368"/>
      <c r="G1126" s="369"/>
      <c r="H1126" s="369"/>
      <c r="I1126" s="381"/>
      <c r="J1126" s="430">
        <f>SUMIF(B$3:B1123,B1126,T$3:T1130)</f>
        <v>48</v>
      </c>
      <c r="K1126" s="441"/>
      <c r="L1126" s="442">
        <f>J1126/J1131</f>
        <v>1</v>
      </c>
      <c r="M1126" s="373"/>
      <c r="N1126" s="373"/>
      <c r="O1126" s="373"/>
      <c r="P1126" s="374"/>
      <c r="Q1126" s="374"/>
      <c r="R1126" s="374"/>
      <c r="S1126" s="375" t="s">
        <v>722</v>
      </c>
      <c r="T1126" s="383">
        <v>1261915799.52244</v>
      </c>
      <c r="U1126" s="383" t="e">
        <f>SUM(#REF!)</f>
        <v>#REF!</v>
      </c>
      <c r="V1126" s="383" t="e">
        <f>SUM(#REF!)</f>
        <v>#REF!</v>
      </c>
      <c r="W1126" s="374" t="s">
        <v>746</v>
      </c>
    </row>
    <row r="1127" spans="1:23" x14ac:dyDescent="0.25">
      <c r="A1127" s="364"/>
      <c r="B1127" s="384" t="s">
        <v>747</v>
      </c>
      <c r="C1127" s="431">
        <f>COUNTIF(B$1:B1123,B1127)</f>
        <v>1</v>
      </c>
      <c r="D1127" s="438">
        <f>C1127/C1131</f>
        <v>0.2</v>
      </c>
      <c r="E1127" s="380"/>
      <c r="F1127" s="368"/>
      <c r="G1127" s="369"/>
      <c r="H1127" s="369"/>
      <c r="I1127" s="381"/>
      <c r="J1127" s="432">
        <f>SUMIF(B$3:B1126,B1127,T$3:T1131)</f>
        <v>0</v>
      </c>
      <c r="K1127" s="443"/>
      <c r="L1127" s="444">
        <f>J1127/J1131</f>
        <v>0</v>
      </c>
      <c r="M1127" s="373"/>
      <c r="N1127" s="373"/>
      <c r="O1127" s="373"/>
      <c r="P1127" s="378"/>
      <c r="Q1127" s="378"/>
      <c r="R1127" s="378"/>
      <c r="S1127" s="385"/>
      <c r="T1127" s="386"/>
      <c r="U1127" s="386"/>
      <c r="V1127" s="386"/>
      <c r="W1127" s="378"/>
    </row>
    <row r="1128" spans="1:23" x14ac:dyDescent="0.25">
      <c r="A1128" s="364"/>
      <c r="B1128" s="388" t="s">
        <v>748</v>
      </c>
      <c r="C1128" s="433">
        <f>COUNTIF(B$1:B1123,B1128)</f>
        <v>1</v>
      </c>
      <c r="D1128" s="439">
        <f>C1128/C1131</f>
        <v>0.2</v>
      </c>
      <c r="E1128" s="380"/>
      <c r="F1128" s="368"/>
      <c r="G1128" s="369"/>
      <c r="H1128" s="369"/>
      <c r="I1128" s="381"/>
      <c r="J1128" s="434">
        <f>SUMIF(B$3:B1127,B1128,T$3:T1131)</f>
        <v>0</v>
      </c>
      <c r="K1128" s="445"/>
      <c r="L1128" s="446">
        <f>J1128/J1131</f>
        <v>0</v>
      </c>
      <c r="M1128" s="370"/>
      <c r="N1128" s="373"/>
      <c r="O1128" s="373"/>
      <c r="P1128" s="378"/>
      <c r="Q1128" s="378"/>
      <c r="R1128" s="378"/>
      <c r="S1128" s="385"/>
      <c r="T1128" s="386"/>
      <c r="U1128" s="386"/>
      <c r="V1128" s="386"/>
      <c r="W1128" s="378"/>
    </row>
    <row r="1129" spans="1:23" ht="15.75" thickBot="1" x14ac:dyDescent="0.3">
      <c r="A1129" s="364"/>
      <c r="B1129" s="389" t="s">
        <v>749</v>
      </c>
      <c r="C1129" s="435">
        <f>COUNTIF(B$1:B1126,B1129)</f>
        <v>1</v>
      </c>
      <c r="D1129" s="440">
        <f>C1129/C1131</f>
        <v>0.2</v>
      </c>
      <c r="E1129" s="380"/>
      <c r="F1129" s="368"/>
      <c r="G1129" s="369"/>
      <c r="H1129" s="369"/>
      <c r="I1129" s="381"/>
      <c r="J1129" s="436">
        <f>SUMIF(B$3:B1128,B1129,T$3:T1131)</f>
        <v>0</v>
      </c>
      <c r="K1129" s="447"/>
      <c r="L1129" s="448">
        <f>J1129/J1131</f>
        <v>0</v>
      </c>
      <c r="M1129" s="370"/>
      <c r="N1129" s="373"/>
      <c r="O1129" s="373"/>
      <c r="P1129" s="378"/>
      <c r="Q1129" s="378"/>
      <c r="R1129" s="378"/>
      <c r="S1129" s="385"/>
      <c r="T1129" s="386"/>
      <c r="U1129" s="386"/>
      <c r="V1129" s="386"/>
      <c r="W1129" s="378"/>
    </row>
    <row r="1130" spans="1:23" ht="16.5" thickTop="1" thickBot="1" x14ac:dyDescent="0.3">
      <c r="A1130" s="390"/>
      <c r="B1130" s="391" t="s">
        <v>750</v>
      </c>
      <c r="C1130" s="392">
        <f>COUNTIF(B$1:B1123,B1130)</f>
        <v>1</v>
      </c>
      <c r="D1130" s="393">
        <f>C1130/C1131</f>
        <v>0.2</v>
      </c>
      <c r="E1130" s="394"/>
      <c r="F1130" s="395"/>
      <c r="G1130" s="396"/>
      <c r="H1130" s="396"/>
      <c r="I1130" s="397"/>
      <c r="J1130" s="449">
        <f>SUMIF(B$3:B1129,B1130,T$3:T1131)</f>
        <v>0</v>
      </c>
      <c r="K1130" s="450"/>
      <c r="L1130" s="451">
        <f>J1130/J1131</f>
        <v>0</v>
      </c>
      <c r="M1130" s="398"/>
      <c r="N1130" s="398"/>
      <c r="O1130" s="398"/>
      <c r="P1130" s="378"/>
      <c r="Q1130" s="378"/>
      <c r="R1130" s="378"/>
      <c r="S1130" s="385"/>
      <c r="T1130" s="386"/>
      <c r="U1130" s="386"/>
      <c r="V1130" s="386"/>
      <c r="W1130" s="378"/>
    </row>
    <row r="1131" spans="1:23" x14ac:dyDescent="0.25">
      <c r="A1131" s="364"/>
      <c r="B1131" s="399"/>
      <c r="C1131" s="400">
        <f>SUM(C1126:C1130)</f>
        <v>5</v>
      </c>
      <c r="D1131" s="366"/>
      <c r="E1131" s="380"/>
      <c r="F1131" s="368"/>
      <c r="G1131" s="369"/>
      <c r="H1131" s="369"/>
      <c r="I1131" s="381"/>
      <c r="J1131" s="401">
        <f>SUM(J1126:J1130)</f>
        <v>48</v>
      </c>
      <c r="K1131" s="382"/>
      <c r="L1131" s="402"/>
      <c r="M1131" s="370"/>
      <c r="N1131" s="373"/>
      <c r="O1131" s="373"/>
      <c r="P1131" s="378"/>
      <c r="Q1131" s="378"/>
      <c r="R1131" s="378"/>
      <c r="S1131" s="385"/>
      <c r="T1131" s="386"/>
      <c r="U1131" s="386"/>
      <c r="V1131" s="386"/>
      <c r="W1131" s="378"/>
    </row>
  </sheetData>
  <mergeCells count="2">
    <mergeCell ref="A14:D14"/>
    <mergeCell ref="A56:A61"/>
  </mergeCells>
  <conditionalFormatting sqref="B6">
    <cfRule type="cellIs" dxfId="3" priority="6" operator="lessThanOrEqual">
      <formula>0</formula>
    </cfRule>
  </conditionalFormatting>
  <conditionalFormatting sqref="C57">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C57</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54"/>
  <sheetViews>
    <sheetView zoomScale="85" zoomScaleNormal="85" workbookViewId="0">
      <selection activeCell="E53" sqref="E53"/>
    </sheetView>
  </sheetViews>
  <sheetFormatPr defaultRowHeight="15" x14ac:dyDescent="0.25"/>
  <cols>
    <col min="4" max="4" width="10.7109375" customWidth="1"/>
    <col min="5" max="7" width="10.5703125" customWidth="1"/>
    <col min="10" max="10" width="17.7109375" style="2" customWidth="1"/>
    <col min="11" max="11" width="22.7109375" customWidth="1"/>
    <col min="12" max="12" width="17.7109375" customWidth="1"/>
    <col min="13" max="13" width="10.7109375" customWidth="1"/>
    <col min="14" max="15" width="18.7109375" customWidth="1"/>
    <col min="16" max="16" width="13.7109375" customWidth="1"/>
    <col min="17" max="17" width="10.85546875" customWidth="1"/>
    <col min="18" max="18" width="30.85546875" customWidth="1"/>
    <col min="19" max="19" width="20.7109375" customWidth="1"/>
    <col min="20" max="21" width="10.7109375" customWidth="1"/>
    <col min="22" max="22" width="15.85546875" customWidth="1"/>
    <col min="23" max="23" width="8.5703125" customWidth="1"/>
    <col min="24" max="24" width="15.5703125" customWidth="1"/>
  </cols>
  <sheetData>
    <row r="1" spans="1:33" s="425" customFormat="1" ht="7.5" customHeight="1" x14ac:dyDescent="0.25">
      <c r="D1" s="426"/>
      <c r="E1" s="426"/>
      <c r="F1" s="426"/>
      <c r="G1" s="426"/>
      <c r="J1" s="606"/>
    </row>
    <row r="2" spans="1:33" s="315" customFormat="1" ht="19.5" x14ac:dyDescent="0.3">
      <c r="C2" s="316" t="s">
        <v>801</v>
      </c>
      <c r="J2" s="606"/>
    </row>
    <row r="4" spans="1:33" ht="15.75" thickBot="1" x14ac:dyDescent="0.3">
      <c r="A4" s="30" t="s">
        <v>903</v>
      </c>
    </row>
    <row r="5" spans="1:33" s="1" customFormat="1" ht="15.75" thickBot="1" x14ac:dyDescent="0.3">
      <c r="A5"/>
      <c r="B5" s="489" t="s">
        <v>1109</v>
      </c>
      <c r="C5" s="534" t="s">
        <v>133</v>
      </c>
      <c r="D5" s="534" t="s">
        <v>131</v>
      </c>
      <c r="J5" s="531"/>
      <c r="K5" s="490" t="s">
        <v>828</v>
      </c>
      <c r="L5" s="491" t="s">
        <v>830</v>
      </c>
      <c r="M5" s="588" t="s">
        <v>1068</v>
      </c>
      <c r="O5" s="145"/>
      <c r="P5" s="8"/>
      <c r="Q5" s="6"/>
      <c r="R5" s="12"/>
      <c r="S5"/>
      <c r="T5"/>
      <c r="U5"/>
      <c r="V5"/>
      <c r="W5"/>
      <c r="X5"/>
      <c r="Y5"/>
      <c r="Z5"/>
      <c r="AA5"/>
      <c r="AB5"/>
    </row>
    <row r="6" spans="1:33" s="531" customFormat="1" x14ac:dyDescent="0.25">
      <c r="A6" s="529"/>
      <c r="B6" s="530"/>
      <c r="C6" s="534"/>
      <c r="D6" s="492"/>
      <c r="K6" s="532"/>
      <c r="L6" s="532"/>
      <c r="M6" s="533"/>
      <c r="P6" s="269"/>
      <c r="Q6" s="8"/>
      <c r="R6" s="6"/>
      <c r="S6" s="12"/>
      <c r="T6" s="2"/>
      <c r="U6" s="2"/>
      <c r="V6" s="2"/>
      <c r="W6" s="2"/>
      <c r="X6" s="2"/>
      <c r="Y6" s="2"/>
      <c r="Z6" s="2"/>
      <c r="AA6" s="2"/>
      <c r="AB6" s="2"/>
      <c r="AC6" s="2"/>
    </row>
    <row r="7" spans="1:33" x14ac:dyDescent="0.25">
      <c r="A7" s="584">
        <v>0</v>
      </c>
      <c r="B7" s="498" t="s">
        <v>598</v>
      </c>
      <c r="C7" s="496" t="s">
        <v>598</v>
      </c>
      <c r="D7" s="497" t="s">
        <v>598</v>
      </c>
      <c r="E7" s="581">
        <v>0</v>
      </c>
      <c r="F7" s="581">
        <v>0</v>
      </c>
      <c r="G7" s="581">
        <v>0</v>
      </c>
      <c r="H7" s="581">
        <v>0</v>
      </c>
      <c r="I7" s="581">
        <v>0</v>
      </c>
      <c r="J7" s="581">
        <v>17</v>
      </c>
      <c r="K7" s="582" t="s">
        <v>1100</v>
      </c>
      <c r="L7" s="582" t="s">
        <v>130</v>
      </c>
      <c r="M7" s="582" t="s">
        <v>130</v>
      </c>
      <c r="N7" s="582" t="s">
        <v>127</v>
      </c>
      <c r="O7" s="582" t="s">
        <v>1100</v>
      </c>
      <c r="P7" s="582" t="s">
        <v>131</v>
      </c>
      <c r="Q7" s="582" t="s">
        <v>113</v>
      </c>
      <c r="R7" s="582" t="s">
        <v>71</v>
      </c>
      <c r="S7" s="582" t="s">
        <v>113</v>
      </c>
      <c r="T7" s="582" t="s">
        <v>113</v>
      </c>
      <c r="U7" s="582" t="s">
        <v>113</v>
      </c>
      <c r="V7" s="582" t="s">
        <v>110</v>
      </c>
      <c r="W7" s="582" t="s">
        <v>91</v>
      </c>
      <c r="X7" s="582" t="s">
        <v>110</v>
      </c>
      <c r="Z7" s="455"/>
      <c r="AA7" s="92"/>
    </row>
    <row r="8" spans="1:33" x14ac:dyDescent="0.25">
      <c r="A8" s="529"/>
      <c r="B8" s="498" t="s">
        <v>685</v>
      </c>
      <c r="C8" s="496"/>
      <c r="D8" s="497"/>
      <c r="E8" s="580"/>
      <c r="F8" s="580"/>
      <c r="G8" s="580"/>
      <c r="H8" s="580"/>
      <c r="I8" s="580"/>
      <c r="J8" s="580"/>
      <c r="K8" s="269"/>
      <c r="L8" s="269"/>
      <c r="M8" s="269"/>
      <c r="N8" s="2"/>
      <c r="O8" s="2"/>
      <c r="P8" s="269"/>
      <c r="Q8" s="269"/>
      <c r="R8" s="269"/>
      <c r="S8" s="269"/>
      <c r="T8" s="269"/>
      <c r="U8" s="269"/>
      <c r="V8" s="2"/>
      <c r="W8" s="2"/>
      <c r="X8" s="2"/>
      <c r="Y8" s="455"/>
      <c r="Z8" s="92"/>
    </row>
    <row r="9" spans="1:33" x14ac:dyDescent="0.25">
      <c r="A9" s="529"/>
      <c r="B9" s="498" t="s">
        <v>686</v>
      </c>
      <c r="C9" s="496"/>
      <c r="D9" s="497"/>
      <c r="E9" s="580"/>
      <c r="F9" s="580"/>
      <c r="G9" s="580"/>
      <c r="H9" s="580"/>
      <c r="I9" s="580"/>
      <c r="J9" s="580"/>
      <c r="K9" s="269"/>
      <c r="L9" s="269"/>
      <c r="M9" s="269"/>
      <c r="N9" s="2"/>
      <c r="O9" s="2"/>
      <c r="P9" s="269"/>
      <c r="Q9" s="269"/>
      <c r="R9" s="269"/>
      <c r="S9" s="269"/>
      <c r="T9" s="269"/>
      <c r="U9" s="269"/>
      <c r="V9" s="2"/>
      <c r="W9" s="2"/>
      <c r="X9" s="2"/>
      <c r="Y9" s="455"/>
      <c r="Z9" s="92"/>
    </row>
    <row r="10" spans="1:33" ht="15.75" thickBot="1" x14ac:dyDescent="0.3">
      <c r="A10" s="529"/>
      <c r="B10" s="499" t="s">
        <v>805</v>
      </c>
      <c r="C10" s="496"/>
      <c r="D10" s="497"/>
      <c r="E10" s="580"/>
      <c r="F10" s="580"/>
      <c r="G10" s="580"/>
      <c r="H10" s="580"/>
      <c r="I10" s="580"/>
      <c r="J10" s="580"/>
      <c r="K10" s="269"/>
      <c r="L10" s="269"/>
      <c r="M10" s="269"/>
      <c r="N10" s="2"/>
      <c r="O10" s="2"/>
      <c r="P10" s="269"/>
      <c r="Q10" s="269"/>
      <c r="R10" s="269"/>
      <c r="S10" s="269"/>
      <c r="T10" s="269"/>
      <c r="U10" s="269"/>
      <c r="V10" s="2"/>
      <c r="W10" s="2"/>
      <c r="X10" s="2"/>
      <c r="Y10" s="455"/>
      <c r="Z10" s="92"/>
    </row>
    <row r="11" spans="1:33" s="5" customFormat="1" ht="23.25" thickBot="1" x14ac:dyDescent="0.3">
      <c r="A11" s="729" t="s">
        <v>569</v>
      </c>
      <c r="B11" s="593" t="s">
        <v>1107</v>
      </c>
      <c r="C11" s="493" t="s">
        <v>831</v>
      </c>
      <c r="D11" s="494"/>
      <c r="E11" s="317" t="s">
        <v>706</v>
      </c>
      <c r="F11" s="603" t="s">
        <v>65</v>
      </c>
      <c r="G11" s="603" t="s">
        <v>1196</v>
      </c>
      <c r="H11" s="596" t="s">
        <v>62</v>
      </c>
      <c r="I11" s="318" t="s">
        <v>1201</v>
      </c>
      <c r="J11" s="621" t="s">
        <v>356</v>
      </c>
      <c r="K11" s="624" t="s">
        <v>1194</v>
      </c>
      <c r="L11" s="615" t="s">
        <v>68</v>
      </c>
      <c r="M11" s="615" t="s">
        <v>67</v>
      </c>
      <c r="N11" s="616" t="s">
        <v>66</v>
      </c>
      <c r="O11" s="615" t="s">
        <v>833</v>
      </c>
      <c r="P11" s="618" t="s">
        <v>0</v>
      </c>
      <c r="Q11" s="736" t="s">
        <v>2</v>
      </c>
      <c r="R11" s="737"/>
      <c r="S11" s="617" t="s">
        <v>1</v>
      </c>
      <c r="T11" s="616" t="s">
        <v>62</v>
      </c>
      <c r="U11" s="617" t="s">
        <v>64</v>
      </c>
      <c r="V11" s="619" t="s">
        <v>61</v>
      </c>
      <c r="W11" s="620" t="s">
        <v>63</v>
      </c>
      <c r="X11" s="617" t="s">
        <v>57</v>
      </c>
      <c r="Y11"/>
    </row>
    <row r="12" spans="1:33" s="5" customFormat="1" ht="15.75" thickBot="1" x14ac:dyDescent="0.3">
      <c r="A12" s="730"/>
      <c r="B12" s="495" t="s">
        <v>122</v>
      </c>
      <c r="C12" s="496" t="s">
        <v>831</v>
      </c>
      <c r="D12" s="583"/>
      <c r="E12" s="507"/>
      <c r="F12" s="622"/>
      <c r="G12"/>
      <c r="H12"/>
      <c r="I12" s="485"/>
      <c r="J12" s="614"/>
      <c r="K12" s="623">
        <f>HYPERLINK("https://eu1.salesforce.com/"&amp;E12,F12)</f>
        <v>0</v>
      </c>
      <c r="L12" s="610"/>
      <c r="M12" s="610"/>
      <c r="N12" s="611"/>
      <c r="O12" s="689">
        <v>1234567.8899999999</v>
      </c>
      <c r="P12" s="689">
        <v>1234567.8899999999</v>
      </c>
      <c r="Q12" s="738"/>
      <c r="R12" s="739"/>
      <c r="S12" s="612"/>
      <c r="T12" s="623">
        <f>HYPERLINK("https://eu1.salesforce.com/"&amp;G12,H12)</f>
        <v>0</v>
      </c>
      <c r="U12" s="613"/>
      <c r="V12" s="613"/>
      <c r="W12" s="613"/>
      <c r="X12" s="613"/>
    </row>
    <row r="13" spans="1:33" x14ac:dyDescent="0.25">
      <c r="A13" s="730"/>
      <c r="B13" s="498" t="s">
        <v>684</v>
      </c>
      <c r="C13" s="496"/>
      <c r="D13" s="497"/>
      <c r="E13" s="580">
        <v>0.5</v>
      </c>
      <c r="F13" s="580"/>
      <c r="I13" s="580">
        <v>0.5</v>
      </c>
      <c r="J13" s="580">
        <v>17</v>
      </c>
      <c r="K13" s="269" t="s">
        <v>1100</v>
      </c>
      <c r="L13" s="269" t="s">
        <v>130</v>
      </c>
      <c r="M13" s="269" t="s">
        <v>113</v>
      </c>
      <c r="N13" s="269" t="s">
        <v>111</v>
      </c>
      <c r="O13" s="269" t="s">
        <v>1739</v>
      </c>
      <c r="P13" s="269" t="s">
        <v>1739</v>
      </c>
      <c r="Q13" s="269" t="s">
        <v>1101</v>
      </c>
      <c r="R13" s="269"/>
      <c r="S13" s="269" t="s">
        <v>113</v>
      </c>
      <c r="T13" s="269" t="s">
        <v>128</v>
      </c>
      <c r="U13" s="269" t="s">
        <v>128</v>
      </c>
      <c r="V13" s="269" t="s">
        <v>1739</v>
      </c>
      <c r="W13" s="269" t="s">
        <v>91</v>
      </c>
      <c r="X13" s="269" t="s">
        <v>110</v>
      </c>
      <c r="Z13" s="455"/>
      <c r="AA13" s="92"/>
    </row>
    <row r="14" spans="1:33" x14ac:dyDescent="0.25">
      <c r="A14" s="730"/>
      <c r="B14" s="498" t="s">
        <v>685</v>
      </c>
      <c r="C14" s="496"/>
      <c r="D14" s="497"/>
      <c r="E14" s="580">
        <v>1</v>
      </c>
      <c r="F14" s="580">
        <v>9</v>
      </c>
      <c r="G14" s="580">
        <v>25</v>
      </c>
      <c r="H14" s="485">
        <v>25</v>
      </c>
      <c r="I14" s="580" t="s">
        <v>1200</v>
      </c>
      <c r="J14" s="580">
        <v>19</v>
      </c>
      <c r="K14" s="269"/>
      <c r="L14" s="269" t="s">
        <v>126</v>
      </c>
      <c r="M14" s="269" t="s">
        <v>112</v>
      </c>
      <c r="N14" s="269" t="s">
        <v>128</v>
      </c>
      <c r="O14" s="269" t="s">
        <v>113</v>
      </c>
      <c r="P14" s="269" t="s">
        <v>111</v>
      </c>
      <c r="Q14" s="269" t="s">
        <v>821</v>
      </c>
      <c r="R14" s="269"/>
      <c r="S14" s="269" t="s">
        <v>1100</v>
      </c>
      <c r="T14" s="269"/>
      <c r="U14" s="269" t="s">
        <v>1102</v>
      </c>
      <c r="V14" s="269" t="s">
        <v>1104</v>
      </c>
      <c r="W14" s="269" t="s">
        <v>1105</v>
      </c>
      <c r="X14" s="269" t="s">
        <v>1103</v>
      </c>
      <c r="AC14" s="456"/>
      <c r="AD14" s="456"/>
      <c r="AE14" s="456"/>
      <c r="AF14" s="456"/>
      <c r="AG14" s="456"/>
    </row>
    <row r="15" spans="1:33" x14ac:dyDescent="0.25">
      <c r="A15" s="730"/>
      <c r="B15" s="498" t="s">
        <v>686</v>
      </c>
      <c r="C15" s="496"/>
      <c r="D15" s="497"/>
      <c r="E15" s="580"/>
      <c r="F15" s="580"/>
      <c r="G15" s="580" t="s">
        <v>1197</v>
      </c>
      <c r="H15" t="s">
        <v>1199</v>
      </c>
      <c r="I15" s="580"/>
      <c r="J15" s="597" t="s">
        <v>1142</v>
      </c>
      <c r="K15" s="2"/>
      <c r="L15" s="2"/>
      <c r="M15" s="2"/>
      <c r="N15" s="2"/>
      <c r="O15" s="2"/>
      <c r="P15" s="2"/>
      <c r="Q15" s="2"/>
      <c r="R15" s="2"/>
      <c r="S15" s="2"/>
      <c r="T15" s="2"/>
      <c r="U15" s="2"/>
      <c r="V15" s="2"/>
      <c r="W15" s="2"/>
      <c r="X15" s="2"/>
      <c r="AC15" s="456"/>
      <c r="AD15" s="456"/>
      <c r="AE15" s="456"/>
      <c r="AF15" s="456"/>
      <c r="AG15" s="456"/>
    </row>
    <row r="16" spans="1:33" ht="15.75" thickBot="1" x14ac:dyDescent="0.3">
      <c r="A16" s="731"/>
      <c r="B16" s="499" t="s">
        <v>805</v>
      </c>
      <c r="C16" s="502"/>
      <c r="D16" s="503"/>
      <c r="E16" s="590"/>
      <c r="F16" s="590"/>
      <c r="G16" s="590" t="s">
        <v>1198</v>
      </c>
      <c r="I16" s="590" t="s">
        <v>1203</v>
      </c>
      <c r="J16" s="590"/>
      <c r="K16" s="2"/>
      <c r="L16" s="2"/>
      <c r="M16" s="2"/>
      <c r="N16" s="2"/>
      <c r="O16" s="2"/>
      <c r="P16" s="2"/>
      <c r="Q16" s="2"/>
      <c r="R16" s="2"/>
      <c r="S16" s="2"/>
      <c r="T16" s="2"/>
      <c r="U16" s="2"/>
      <c r="V16" s="2"/>
      <c r="AA16" s="456"/>
      <c r="AB16" s="456"/>
      <c r="AC16" s="456"/>
      <c r="AD16" s="456"/>
      <c r="AE16" s="456"/>
    </row>
    <row r="17" spans="1:35" s="5" customFormat="1" ht="30.75" thickBot="1" x14ac:dyDescent="0.3">
      <c r="A17" s="729" t="s">
        <v>136</v>
      </c>
      <c r="B17" s="594" t="s">
        <v>1108</v>
      </c>
      <c r="C17" s="493" t="s">
        <v>831</v>
      </c>
      <c r="D17" s="494"/>
      <c r="E17" s="514" t="s">
        <v>707</v>
      </c>
      <c r="F17" s="514"/>
      <c r="G17" s="514"/>
      <c r="H17" s="515" t="s">
        <v>843</v>
      </c>
      <c r="I17" s="516" t="s">
        <v>607</v>
      </c>
      <c r="J17" s="608"/>
      <c r="K17" s="625" t="s">
        <v>842</v>
      </c>
      <c r="L17" s="626" t="s">
        <v>836</v>
      </c>
      <c r="M17" s="627" t="s">
        <v>841</v>
      </c>
      <c r="N17" s="627" t="s">
        <v>837</v>
      </c>
      <c r="O17" s="628" t="s">
        <v>838</v>
      </c>
      <c r="P17" s="628" t="s">
        <v>839</v>
      </c>
      <c r="Q17" s="740" t="s">
        <v>840</v>
      </c>
      <c r="R17" s="741"/>
      <c r="S17" s="625" t="s">
        <v>1123</v>
      </c>
      <c r="V17" s="625" t="s">
        <v>1138</v>
      </c>
      <c r="W17" s="517"/>
    </row>
    <row r="18" spans="1:35" s="5" customFormat="1" ht="15.75" thickBot="1" x14ac:dyDescent="0.3">
      <c r="A18" s="730"/>
      <c r="B18" s="495" t="s">
        <v>122</v>
      </c>
      <c r="C18" s="496" t="s">
        <v>1204</v>
      </c>
      <c r="D18" s="629">
        <f>E12</f>
        <v>0</v>
      </c>
      <c r="H18" s="630"/>
      <c r="I18" s="631"/>
      <c r="J18" s="607"/>
      <c r="K18" s="632"/>
      <c r="L18" s="634"/>
      <c r="M18" s="633"/>
      <c r="N18" s="633"/>
      <c r="O18" s="633"/>
      <c r="P18" s="634"/>
      <c r="Q18" s="742"/>
      <c r="R18" s="743"/>
      <c r="S18" s="635"/>
      <c r="V18" s="691"/>
      <c r="W18" s="517"/>
    </row>
    <row r="19" spans="1:35" x14ac:dyDescent="0.25">
      <c r="A19" s="730"/>
      <c r="B19" s="498" t="s">
        <v>684</v>
      </c>
      <c r="C19" s="496"/>
      <c r="D19" s="497"/>
      <c r="E19" s="328">
        <v>0.5</v>
      </c>
      <c r="F19" s="328"/>
      <c r="G19" s="328"/>
      <c r="H19" s="328">
        <v>0.5</v>
      </c>
      <c r="I19" s="328">
        <v>0.5</v>
      </c>
      <c r="J19" s="580"/>
      <c r="K19" s="504">
        <v>14</v>
      </c>
      <c r="L19" s="504">
        <v>10</v>
      </c>
      <c r="M19" s="504">
        <v>10</v>
      </c>
      <c r="N19" s="504">
        <v>10</v>
      </c>
      <c r="O19" s="504">
        <v>30</v>
      </c>
      <c r="P19" s="504">
        <v>10</v>
      </c>
      <c r="Q19" s="504">
        <v>40</v>
      </c>
      <c r="R19" s="504"/>
      <c r="S19" s="504">
        <v>26</v>
      </c>
      <c r="V19" s="269" t="s">
        <v>1739</v>
      </c>
      <c r="W19" s="485"/>
    </row>
    <row r="20" spans="1:35" x14ac:dyDescent="0.25">
      <c r="A20" s="730"/>
      <c r="B20" s="498" t="s">
        <v>685</v>
      </c>
      <c r="C20" s="496"/>
      <c r="D20" s="497"/>
      <c r="E20" s="485">
        <v>4</v>
      </c>
      <c r="I20" s="2"/>
      <c r="J20"/>
      <c r="K20" s="485">
        <v>4</v>
      </c>
      <c r="L20" s="485">
        <v>4</v>
      </c>
      <c r="M20" s="504">
        <v>4</v>
      </c>
      <c r="N20" s="504">
        <v>4</v>
      </c>
      <c r="O20" s="504">
        <v>4</v>
      </c>
      <c r="P20" s="504">
        <v>4</v>
      </c>
      <c r="Q20" s="504">
        <v>4</v>
      </c>
      <c r="R20" s="504"/>
      <c r="S20" s="504">
        <v>4</v>
      </c>
      <c r="V20" s="504">
        <v>4</v>
      </c>
      <c r="W20" s="485"/>
    </row>
    <row r="21" spans="1:35" x14ac:dyDescent="0.25">
      <c r="A21" s="730"/>
      <c r="B21" s="498" t="s">
        <v>686</v>
      </c>
      <c r="C21" s="496"/>
      <c r="D21" s="497"/>
      <c r="E21" s="485"/>
      <c r="J21"/>
      <c r="K21" s="485"/>
      <c r="L21" s="485"/>
      <c r="M21" s="485"/>
      <c r="N21" s="485"/>
      <c r="O21" s="485"/>
      <c r="P21" s="485"/>
      <c r="Q21" s="485"/>
      <c r="R21" s="485"/>
      <c r="S21" s="485"/>
      <c r="V21" s="485"/>
      <c r="W21" s="485"/>
    </row>
    <row r="22" spans="1:35" s="1" customFormat="1" ht="15.75" thickBot="1" x14ac:dyDescent="0.3">
      <c r="A22" s="731"/>
      <c r="B22" s="499" t="s">
        <v>805</v>
      </c>
      <c r="C22" s="500"/>
      <c r="D22" s="501"/>
      <c r="E22" s="592" t="s">
        <v>1112</v>
      </c>
      <c r="F22" s="592"/>
      <c r="G22"/>
      <c r="H22"/>
      <c r="I22" s="2"/>
      <c r="J22" s="590"/>
      <c r="K22" s="592" t="s">
        <v>1115</v>
      </c>
      <c r="L22" s="592" t="s">
        <v>1116</v>
      </c>
      <c r="M22" s="592" t="s">
        <v>1117</v>
      </c>
      <c r="N22" s="592" t="s">
        <v>1118</v>
      </c>
      <c r="O22" s="592" t="s">
        <v>1119</v>
      </c>
      <c r="P22" s="592" t="s">
        <v>1120</v>
      </c>
      <c r="Q22" s="592" t="s">
        <v>1121</v>
      </c>
      <c r="R22" s="504"/>
      <c r="S22" s="592" t="s">
        <v>1124</v>
      </c>
      <c r="V22" s="592" t="s">
        <v>1139</v>
      </c>
      <c r="W22" s="505"/>
      <c r="X22" s="12"/>
      <c r="Y22"/>
      <c r="Z22"/>
      <c r="AA22"/>
      <c r="AB22"/>
      <c r="AC22"/>
      <c r="AD22"/>
      <c r="AE22"/>
      <c r="AF22"/>
      <c r="AG22"/>
      <c r="AH22"/>
    </row>
    <row r="23" spans="1:35" ht="30.75" thickBot="1" x14ac:dyDescent="0.3">
      <c r="A23" s="729" t="s">
        <v>581</v>
      </c>
      <c r="B23" s="595" t="s">
        <v>1143</v>
      </c>
      <c r="C23" s="493" t="s">
        <v>831</v>
      </c>
      <c r="D23" s="494"/>
      <c r="E23" s="318" t="s">
        <v>157</v>
      </c>
      <c r="F23" s="318" t="s">
        <v>1147</v>
      </c>
      <c r="G23" s="318" t="s">
        <v>829</v>
      </c>
      <c r="H23" s="513" t="s">
        <v>62</v>
      </c>
      <c r="I23" s="511" t="s">
        <v>607</v>
      </c>
      <c r="J23" s="609"/>
      <c r="K23" s="732" t="s">
        <v>829</v>
      </c>
      <c r="L23" s="733"/>
      <c r="M23" s="675" t="s">
        <v>834</v>
      </c>
      <c r="N23" s="506" t="s">
        <v>1752</v>
      </c>
      <c r="O23" s="506" t="s">
        <v>832</v>
      </c>
      <c r="P23" s="506" t="s">
        <v>835</v>
      </c>
      <c r="Q23" s="506" t="s">
        <v>1149</v>
      </c>
      <c r="R23" s="506" t="s">
        <v>1148</v>
      </c>
      <c r="S23" s="506" t="s">
        <v>1</v>
      </c>
      <c r="T23" s="506" t="s">
        <v>697</v>
      </c>
      <c r="U23" s="506" t="s">
        <v>606</v>
      </c>
      <c r="V23" s="506" t="s">
        <v>844</v>
      </c>
      <c r="W23" s="506" t="s">
        <v>369</v>
      </c>
      <c r="X23" s="145"/>
      <c r="Y23" s="145"/>
      <c r="Z23" s="145"/>
    </row>
    <row r="24" spans="1:35" ht="15.75" thickBot="1" x14ac:dyDescent="0.3">
      <c r="A24" s="730"/>
      <c r="B24" s="495" t="s">
        <v>122</v>
      </c>
      <c r="C24" s="636" t="str">
        <f>IF(LEN(I12)=0,"",I12)</f>
        <v/>
      </c>
      <c r="D24" s="600">
        <v>1</v>
      </c>
      <c r="F24" s="509"/>
      <c r="G24" s="328"/>
      <c r="H24" s="512"/>
      <c r="I24" s="510"/>
      <c r="J24" s="638" t="s">
        <v>1211</v>
      </c>
      <c r="K24" s="734">
        <f>HYPERLINK("https://eu1.salesforce.com/"&amp;F24,G24)</f>
        <v>0</v>
      </c>
      <c r="L24" s="735"/>
      <c r="M24" s="1"/>
      <c r="N24" s="1"/>
      <c r="O24" s="690"/>
      <c r="P24" s="1"/>
      <c r="Q24" s="1"/>
      <c r="R24" s="1"/>
      <c r="S24" s="1"/>
      <c r="T24" s="1"/>
      <c r="U24" s="1"/>
      <c r="V24" s="145"/>
      <c r="W24" s="145"/>
      <c r="X24" s="145"/>
      <c r="Y24" s="145"/>
      <c r="Z24" s="145"/>
    </row>
    <row r="25" spans="1:35" x14ac:dyDescent="0.25">
      <c r="A25" s="730"/>
      <c r="B25" s="498" t="s">
        <v>684</v>
      </c>
      <c r="C25" s="496"/>
      <c r="D25" s="497"/>
      <c r="E25" s="328">
        <v>0.5</v>
      </c>
      <c r="F25" s="328"/>
      <c r="G25" s="328"/>
      <c r="H25" s="328">
        <v>0.5</v>
      </c>
      <c r="I25" s="328">
        <v>0.5</v>
      </c>
      <c r="J25" s="580"/>
      <c r="K25" s="601" t="s">
        <v>1100</v>
      </c>
      <c r="L25" s="601"/>
      <c r="M25" s="601" t="s">
        <v>113</v>
      </c>
      <c r="N25" s="601"/>
      <c r="O25" s="269" t="s">
        <v>1739</v>
      </c>
      <c r="P25" s="269" t="s">
        <v>1739</v>
      </c>
      <c r="Q25" s="601"/>
      <c r="R25" s="601"/>
      <c r="S25" s="601" t="s">
        <v>113</v>
      </c>
      <c r="T25" s="601" t="s">
        <v>113</v>
      </c>
      <c r="U25" s="601" t="s">
        <v>128</v>
      </c>
      <c r="V25" s="601" t="s">
        <v>128</v>
      </c>
      <c r="W25" s="601" t="s">
        <v>128</v>
      </c>
      <c r="Z25" s="92"/>
      <c r="AB25" s="455"/>
      <c r="AC25" s="92"/>
    </row>
    <row r="26" spans="1:35" x14ac:dyDescent="0.25">
      <c r="A26" s="730"/>
      <c r="B26" s="498" t="s">
        <v>685</v>
      </c>
      <c r="C26" s="496" t="s">
        <v>70</v>
      </c>
      <c r="D26" s="598" t="s">
        <v>128</v>
      </c>
      <c r="E26" s="591" t="s">
        <v>1205</v>
      </c>
      <c r="F26" s="485" t="s">
        <v>70</v>
      </c>
      <c r="G26" s="485">
        <v>3</v>
      </c>
      <c r="H26" s="504"/>
      <c r="I26" s="504"/>
      <c r="J26" s="504"/>
      <c r="K26" s="485"/>
      <c r="L26" s="485"/>
      <c r="M26" s="504" t="s">
        <v>849</v>
      </c>
      <c r="N26" s="504">
        <v>26</v>
      </c>
      <c r="O26" s="504" t="s">
        <v>131</v>
      </c>
      <c r="P26" s="485" t="s">
        <v>129</v>
      </c>
      <c r="Q26" s="485" t="s">
        <v>1150</v>
      </c>
      <c r="R26" s="601" t="s">
        <v>111</v>
      </c>
      <c r="S26" s="504" t="s">
        <v>113</v>
      </c>
      <c r="T26" s="604"/>
      <c r="U26" s="604"/>
      <c r="V26" s="604"/>
      <c r="W26" s="604"/>
      <c r="X26" s="605"/>
      <c r="AE26" s="456"/>
      <c r="AF26" s="456"/>
      <c r="AG26" s="456"/>
      <c r="AH26" s="456"/>
      <c r="AI26" s="456"/>
    </row>
    <row r="27" spans="1:35" ht="45" x14ac:dyDescent="0.25">
      <c r="A27" s="730"/>
      <c r="B27" s="498" t="s">
        <v>686</v>
      </c>
      <c r="C27" s="496"/>
      <c r="D27" s="497"/>
      <c r="E27" s="599" t="s">
        <v>1195</v>
      </c>
      <c r="J27" s="637" t="s">
        <v>1206</v>
      </c>
      <c r="K27" s="637" t="s">
        <v>1206</v>
      </c>
      <c r="L27" s="602"/>
      <c r="M27" s="602"/>
      <c r="N27" s="602"/>
      <c r="S27" s="602"/>
      <c r="AE27" s="456"/>
      <c r="AF27" s="456"/>
      <c r="AG27" s="456"/>
      <c r="AH27" s="456"/>
      <c r="AI27" s="456"/>
    </row>
    <row r="28" spans="1:35" ht="15.75" thickBot="1" x14ac:dyDescent="0.3">
      <c r="A28" s="731"/>
      <c r="B28" s="499" t="s">
        <v>805</v>
      </c>
      <c r="C28" s="502"/>
      <c r="D28" s="501"/>
      <c r="E28" s="119"/>
      <c r="H28" s="590"/>
      <c r="J28"/>
      <c r="K28" s="2"/>
      <c r="AA28" s="253"/>
      <c r="AE28" s="456"/>
      <c r="AF28" s="456"/>
      <c r="AG28" s="456"/>
      <c r="AH28" s="456"/>
      <c r="AI28" s="456"/>
    </row>
    <row r="29" spans="1:35" x14ac:dyDescent="0.25">
      <c r="J29"/>
    </row>
    <row r="30" spans="1:35" ht="15.75" thickBot="1" x14ac:dyDescent="0.3">
      <c r="A30" s="30" t="s">
        <v>1768</v>
      </c>
    </row>
    <row r="31" spans="1:35" s="1" customFormat="1" ht="15.75" thickBot="1" x14ac:dyDescent="0.3">
      <c r="A31"/>
      <c r="B31" s="489" t="s">
        <v>1109</v>
      </c>
      <c r="C31" s="534" t="s">
        <v>133</v>
      </c>
      <c r="D31" s="534" t="s">
        <v>131</v>
      </c>
      <c r="J31" s="531"/>
      <c r="K31" s="490" t="s">
        <v>1229</v>
      </c>
      <c r="L31" s="491" t="s">
        <v>830</v>
      </c>
      <c r="M31" s="588" t="s">
        <v>1068</v>
      </c>
      <c r="O31" s="145"/>
      <c r="P31" s="8"/>
      <c r="Q31" s="6"/>
      <c r="R31" s="12"/>
      <c r="S31"/>
      <c r="T31"/>
      <c r="U31"/>
      <c r="V31"/>
      <c r="W31"/>
      <c r="X31"/>
      <c r="Y31"/>
      <c r="Z31"/>
      <c r="AA31"/>
      <c r="AB31"/>
    </row>
    <row r="32" spans="1:35" s="531" customFormat="1" x14ac:dyDescent="0.25">
      <c r="A32" s="529"/>
      <c r="B32" s="530"/>
      <c r="C32" s="534"/>
      <c r="D32" s="492"/>
      <c r="K32" s="532"/>
      <c r="L32" s="532"/>
      <c r="M32" s="533"/>
      <c r="P32" s="269"/>
      <c r="Q32" s="8"/>
      <c r="R32" s="6"/>
      <c r="S32" s="12"/>
      <c r="T32" s="2"/>
      <c r="U32" s="2"/>
      <c r="V32" s="2"/>
      <c r="W32" s="2"/>
      <c r="X32" s="2"/>
      <c r="Y32" s="2"/>
      <c r="Z32" s="2"/>
      <c r="AA32" s="2"/>
      <c r="AB32" s="2"/>
      <c r="AC32" s="2"/>
    </row>
    <row r="33" spans="1:34" x14ac:dyDescent="0.25">
      <c r="A33" s="584">
        <v>0</v>
      </c>
      <c r="B33" s="498" t="s">
        <v>598</v>
      </c>
      <c r="C33" s="496" t="s">
        <v>598</v>
      </c>
      <c r="D33" s="497" t="s">
        <v>598</v>
      </c>
      <c r="E33" s="581">
        <v>0</v>
      </c>
      <c r="F33" s="581">
        <v>0</v>
      </c>
      <c r="G33" s="581">
        <v>0</v>
      </c>
      <c r="H33" s="581">
        <v>0</v>
      </c>
      <c r="I33" s="581">
        <v>0</v>
      </c>
      <c r="J33" s="581">
        <v>17</v>
      </c>
      <c r="K33" s="582" t="s">
        <v>1100</v>
      </c>
      <c r="L33" s="582" t="s">
        <v>130</v>
      </c>
      <c r="M33" s="582" t="s">
        <v>130</v>
      </c>
      <c r="N33" s="582" t="s">
        <v>127</v>
      </c>
      <c r="O33" s="582" t="s">
        <v>1100</v>
      </c>
      <c r="P33" s="582" t="s">
        <v>131</v>
      </c>
      <c r="Q33" s="582" t="s">
        <v>113</v>
      </c>
      <c r="R33" s="582" t="s">
        <v>71</v>
      </c>
      <c r="S33" s="582" t="s">
        <v>113</v>
      </c>
      <c r="T33" s="582" t="s">
        <v>113</v>
      </c>
      <c r="U33" s="582" t="s">
        <v>113</v>
      </c>
      <c r="V33" s="582" t="s">
        <v>110</v>
      </c>
      <c r="W33" s="582" t="s">
        <v>91</v>
      </c>
      <c r="X33" s="582" t="s">
        <v>110</v>
      </c>
      <c r="Z33" s="455"/>
      <c r="AA33" s="92"/>
    </row>
    <row r="34" spans="1:34" x14ac:dyDescent="0.25">
      <c r="A34" s="529"/>
      <c r="B34" s="498" t="s">
        <v>685</v>
      </c>
      <c r="C34" s="496"/>
      <c r="D34" s="497"/>
      <c r="E34" s="580"/>
      <c r="F34" s="580"/>
      <c r="G34" s="580"/>
      <c r="H34" s="580"/>
      <c r="I34" s="580"/>
      <c r="J34" s="580"/>
      <c r="K34" s="269"/>
      <c r="L34" s="269"/>
      <c r="M34" s="269"/>
      <c r="N34" s="2"/>
      <c r="O34" s="2"/>
      <c r="P34" s="269"/>
      <c r="Q34" s="269"/>
      <c r="R34" s="269"/>
      <c r="S34" s="269"/>
      <c r="T34" s="269"/>
      <c r="U34" s="269"/>
      <c r="V34" s="2"/>
      <c r="W34" s="2"/>
      <c r="X34" s="2"/>
      <c r="Y34" s="455"/>
      <c r="Z34" s="92"/>
    </row>
    <row r="35" spans="1:34" x14ac:dyDescent="0.25">
      <c r="A35" s="529"/>
      <c r="B35" s="498" t="s">
        <v>686</v>
      </c>
      <c r="C35" s="496"/>
      <c r="D35" s="497"/>
      <c r="E35" s="580"/>
      <c r="F35" s="580"/>
      <c r="G35" s="580"/>
      <c r="H35" s="580"/>
      <c r="I35" s="580"/>
      <c r="J35" s="580"/>
      <c r="K35" s="269"/>
      <c r="L35" s="269"/>
      <c r="M35" s="269"/>
      <c r="N35" s="2"/>
      <c r="O35" s="2"/>
      <c r="P35" s="269"/>
      <c r="Q35" s="269"/>
      <c r="R35" s="269"/>
      <c r="S35" s="269"/>
      <c r="T35" s="269"/>
      <c r="U35" s="269"/>
      <c r="V35" s="2"/>
      <c r="W35" s="2"/>
      <c r="X35" s="2"/>
      <c r="Y35" s="455"/>
      <c r="Z35" s="92"/>
    </row>
    <row r="36" spans="1:34" ht="15.75" thickBot="1" x14ac:dyDescent="0.3">
      <c r="A36" s="529"/>
      <c r="B36" s="499" t="s">
        <v>805</v>
      </c>
      <c r="C36" s="496"/>
      <c r="D36" s="497"/>
      <c r="E36" s="580"/>
      <c r="F36" s="580"/>
      <c r="G36" s="580"/>
      <c r="H36" s="580"/>
      <c r="I36" s="580"/>
      <c r="J36" s="580"/>
      <c r="K36" s="269"/>
      <c r="L36" s="269"/>
      <c r="M36" s="269"/>
      <c r="N36" s="2"/>
      <c r="O36" s="2"/>
      <c r="P36" s="269"/>
      <c r="Q36" s="269"/>
      <c r="R36" s="269"/>
      <c r="S36" s="269"/>
      <c r="T36" s="269"/>
      <c r="U36" s="269"/>
      <c r="V36" s="2"/>
      <c r="W36" s="2"/>
      <c r="X36" s="2"/>
      <c r="Y36" s="455"/>
      <c r="Z36" s="92"/>
    </row>
    <row r="37" spans="1:34" s="5" customFormat="1" ht="23.25" thickBot="1" x14ac:dyDescent="0.3">
      <c r="A37" s="729" t="s">
        <v>569</v>
      </c>
      <c r="B37" s="593" t="s">
        <v>1107</v>
      </c>
      <c r="C37" s="493" t="s">
        <v>831</v>
      </c>
      <c r="D37" s="494"/>
      <c r="E37" s="317" t="s">
        <v>706</v>
      </c>
      <c r="F37" s="603" t="s">
        <v>65</v>
      </c>
      <c r="G37" s="603" t="s">
        <v>1196</v>
      </c>
      <c r="H37" s="596" t="s">
        <v>62</v>
      </c>
      <c r="I37" s="318" t="s">
        <v>1201</v>
      </c>
      <c r="J37" s="621" t="s">
        <v>356</v>
      </c>
      <c r="K37" s="624" t="s">
        <v>1194</v>
      </c>
      <c r="L37" s="615" t="s">
        <v>68</v>
      </c>
      <c r="M37" s="615" t="s">
        <v>67</v>
      </c>
      <c r="N37" s="616" t="s">
        <v>66</v>
      </c>
      <c r="O37" s="615" t="s">
        <v>833</v>
      </c>
      <c r="P37" s="618" t="s">
        <v>0</v>
      </c>
      <c r="Q37" s="736" t="s">
        <v>2</v>
      </c>
      <c r="R37" s="737"/>
      <c r="S37" s="617" t="s">
        <v>1</v>
      </c>
      <c r="T37" s="616" t="s">
        <v>62</v>
      </c>
      <c r="U37" s="617" t="s">
        <v>64</v>
      </c>
      <c r="V37" s="619" t="s">
        <v>61</v>
      </c>
      <c r="W37" s="620" t="s">
        <v>63</v>
      </c>
      <c r="X37" s="617" t="s">
        <v>57</v>
      </c>
      <c r="Y37"/>
    </row>
    <row r="38" spans="1:34" s="5" customFormat="1" ht="15.75" thickBot="1" x14ac:dyDescent="0.3">
      <c r="A38" s="730"/>
      <c r="B38" s="495" t="s">
        <v>122</v>
      </c>
      <c r="C38" s="496" t="s">
        <v>831</v>
      </c>
      <c r="D38" s="583"/>
      <c r="E38" s="507"/>
      <c r="F38" s="622"/>
      <c r="G38"/>
      <c r="H38"/>
      <c r="I38" s="485"/>
      <c r="J38" s="614"/>
      <c r="K38" s="623">
        <f>HYPERLINK("https://eu1.salesforce.com/"&amp;E38,F38)</f>
        <v>0</v>
      </c>
      <c r="L38" s="610"/>
      <c r="M38" s="610"/>
      <c r="N38" s="611"/>
      <c r="O38" s="689">
        <v>1234567.8899999999</v>
      </c>
      <c r="P38" s="689">
        <v>1234567.8899999999</v>
      </c>
      <c r="Q38" s="738"/>
      <c r="R38" s="739"/>
      <c r="S38" s="612"/>
      <c r="T38" s="623">
        <f>HYPERLINK("https://eu1.salesforce.com/"&amp;G38,H38)</f>
        <v>0</v>
      </c>
      <c r="U38" s="613"/>
      <c r="V38" s="613"/>
      <c r="W38" s="613"/>
      <c r="X38" s="613"/>
    </row>
    <row r="39" spans="1:34" x14ac:dyDescent="0.25">
      <c r="A39" s="730"/>
      <c r="B39" s="498" t="s">
        <v>684</v>
      </c>
      <c r="C39" s="496"/>
      <c r="D39" s="497"/>
      <c r="E39" s="580">
        <v>0.5</v>
      </c>
      <c r="F39" s="580"/>
      <c r="I39" s="580">
        <v>0.5</v>
      </c>
      <c r="J39" s="580">
        <v>17</v>
      </c>
      <c r="K39" s="269" t="s">
        <v>1100</v>
      </c>
      <c r="L39" s="269" t="s">
        <v>130</v>
      </c>
      <c r="M39" s="269" t="s">
        <v>113</v>
      </c>
      <c r="N39" s="269" t="s">
        <v>111</v>
      </c>
      <c r="O39" s="269" t="s">
        <v>1739</v>
      </c>
      <c r="P39" s="269" t="s">
        <v>1739</v>
      </c>
      <c r="Q39" s="269" t="s">
        <v>1101</v>
      </c>
      <c r="R39" s="269"/>
      <c r="S39" s="269" t="s">
        <v>113</v>
      </c>
      <c r="T39" s="269" t="s">
        <v>128</v>
      </c>
      <c r="U39" s="269" t="s">
        <v>128</v>
      </c>
      <c r="V39" s="269" t="s">
        <v>1739</v>
      </c>
      <c r="W39" s="269" t="s">
        <v>91</v>
      </c>
      <c r="X39" s="269" t="s">
        <v>110</v>
      </c>
      <c r="Z39" s="455"/>
      <c r="AA39" s="92"/>
    </row>
    <row r="40" spans="1:34" x14ac:dyDescent="0.25">
      <c r="A40" s="730"/>
      <c r="B40" s="498" t="s">
        <v>685</v>
      </c>
      <c r="C40" s="496"/>
      <c r="D40" s="497"/>
      <c r="E40" s="580">
        <v>1</v>
      </c>
      <c r="F40" s="580">
        <v>9</v>
      </c>
      <c r="G40" s="580">
        <v>25</v>
      </c>
      <c r="H40" s="485">
        <v>25</v>
      </c>
      <c r="I40" s="580" t="s">
        <v>1200</v>
      </c>
      <c r="J40" s="580">
        <v>19</v>
      </c>
      <c r="K40" s="269"/>
      <c r="L40" s="269" t="s">
        <v>126</v>
      </c>
      <c r="M40" s="269" t="s">
        <v>112</v>
      </c>
      <c r="N40" s="269" t="s">
        <v>128</v>
      </c>
      <c r="O40" s="269" t="s">
        <v>113</v>
      </c>
      <c r="P40" s="269" t="s">
        <v>111</v>
      </c>
      <c r="Q40" s="269" t="s">
        <v>821</v>
      </c>
      <c r="R40" s="269"/>
      <c r="S40" s="269" t="s">
        <v>1100</v>
      </c>
      <c r="T40" s="269"/>
      <c r="U40" s="269" t="s">
        <v>1102</v>
      </c>
      <c r="V40" s="269" t="s">
        <v>1104</v>
      </c>
      <c r="W40" s="269" t="s">
        <v>1105</v>
      </c>
      <c r="X40" s="269" t="s">
        <v>1103</v>
      </c>
      <c r="AC40" s="456"/>
      <c r="AD40" s="456"/>
      <c r="AE40" s="456"/>
      <c r="AF40" s="456"/>
      <c r="AG40" s="456"/>
    </row>
    <row r="41" spans="1:34" x14ac:dyDescent="0.25">
      <c r="A41" s="730"/>
      <c r="B41" s="498" t="s">
        <v>686</v>
      </c>
      <c r="C41" s="496"/>
      <c r="D41" s="497"/>
      <c r="E41" s="580"/>
      <c r="F41" s="580"/>
      <c r="G41" s="580" t="s">
        <v>1197</v>
      </c>
      <c r="H41" t="s">
        <v>1199</v>
      </c>
      <c r="I41" s="580"/>
      <c r="J41" s="597" t="s">
        <v>1142</v>
      </c>
      <c r="K41" s="2"/>
      <c r="L41" s="2"/>
      <c r="M41" s="2"/>
      <c r="N41" s="2"/>
      <c r="O41" s="2"/>
      <c r="P41" s="2"/>
      <c r="Q41" s="2"/>
      <c r="R41" s="2"/>
      <c r="S41" s="2"/>
      <c r="T41" s="2"/>
      <c r="U41" s="2"/>
      <c r="V41" s="2"/>
      <c r="W41" s="2"/>
      <c r="X41" s="2"/>
      <c r="AC41" s="456"/>
      <c r="AD41" s="456"/>
      <c r="AE41" s="456"/>
      <c r="AF41" s="456"/>
      <c r="AG41" s="456"/>
    </row>
    <row r="42" spans="1:34" ht="15.75" thickBot="1" x14ac:dyDescent="0.3">
      <c r="A42" s="731"/>
      <c r="B42" s="499" t="s">
        <v>805</v>
      </c>
      <c r="C42" s="502"/>
      <c r="D42" s="503"/>
      <c r="E42" s="590"/>
      <c r="F42" s="590"/>
      <c r="G42" s="590" t="s">
        <v>1198</v>
      </c>
      <c r="I42" s="590" t="s">
        <v>1203</v>
      </c>
      <c r="J42" s="590"/>
      <c r="K42" s="2"/>
      <c r="L42" s="2"/>
      <c r="M42" s="2"/>
      <c r="N42" s="2"/>
      <c r="O42" s="2"/>
      <c r="P42" s="2"/>
      <c r="Q42" s="2"/>
      <c r="R42" s="2"/>
      <c r="S42" s="2"/>
      <c r="T42" s="2"/>
      <c r="U42" s="2"/>
      <c r="V42" s="2"/>
      <c r="AA42" s="456"/>
      <c r="AB42" s="456"/>
      <c r="AC42" s="456"/>
      <c r="AD42" s="456"/>
      <c r="AE42" s="456"/>
    </row>
    <row r="43" spans="1:34" s="5" customFormat="1" ht="30.75" thickBot="1" x14ac:dyDescent="0.3">
      <c r="A43" s="729" t="s">
        <v>136</v>
      </c>
      <c r="B43" s="594" t="s">
        <v>1108</v>
      </c>
      <c r="C43" s="493" t="s">
        <v>831</v>
      </c>
      <c r="D43" s="494"/>
      <c r="E43" s="514" t="s">
        <v>707</v>
      </c>
      <c r="F43" s="514"/>
      <c r="G43" s="514"/>
      <c r="H43" s="515" t="s">
        <v>843</v>
      </c>
      <c r="I43" s="516" t="s">
        <v>607</v>
      </c>
      <c r="J43" s="608"/>
      <c r="K43" s="688" t="s">
        <v>842</v>
      </c>
      <c r="L43" s="626" t="s">
        <v>836</v>
      </c>
      <c r="M43" s="627" t="s">
        <v>841</v>
      </c>
      <c r="N43" s="627" t="s">
        <v>837</v>
      </c>
      <c r="O43" s="628" t="s">
        <v>838</v>
      </c>
      <c r="P43" s="628" t="s">
        <v>839</v>
      </c>
      <c r="Q43" s="740" t="s">
        <v>840</v>
      </c>
      <c r="R43" s="741"/>
      <c r="S43" s="688" t="s">
        <v>1123</v>
      </c>
      <c r="V43" s="688" t="s">
        <v>1138</v>
      </c>
      <c r="W43" s="517"/>
    </row>
    <row r="44" spans="1:34" s="5" customFormat="1" ht="15.75" thickBot="1" x14ac:dyDescent="0.3">
      <c r="A44" s="730"/>
      <c r="B44" s="495" t="s">
        <v>122</v>
      </c>
      <c r="C44" s="496" t="s">
        <v>1204</v>
      </c>
      <c r="D44" s="629">
        <f>E38</f>
        <v>0</v>
      </c>
      <c r="H44" s="630"/>
      <c r="I44" s="631"/>
      <c r="J44" s="607"/>
      <c r="K44" s="632"/>
      <c r="L44" s="634"/>
      <c r="M44" s="633"/>
      <c r="N44" s="633"/>
      <c r="O44" s="633"/>
      <c r="P44" s="634"/>
      <c r="Q44" s="742"/>
      <c r="R44" s="743"/>
      <c r="S44" s="635"/>
      <c r="V44" s="691"/>
      <c r="W44" s="517"/>
    </row>
    <row r="45" spans="1:34" x14ac:dyDescent="0.25">
      <c r="A45" s="730"/>
      <c r="B45" s="498" t="s">
        <v>684</v>
      </c>
      <c r="C45" s="496"/>
      <c r="D45" s="497"/>
      <c r="E45" s="328">
        <v>0.5</v>
      </c>
      <c r="F45" s="328"/>
      <c r="G45" s="328"/>
      <c r="H45" s="328">
        <v>0.5</v>
      </c>
      <c r="I45" s="328">
        <v>0.5</v>
      </c>
      <c r="J45" s="580"/>
      <c r="K45" s="504">
        <v>14</v>
      </c>
      <c r="L45" s="504">
        <v>10</v>
      </c>
      <c r="M45" s="504">
        <v>10</v>
      </c>
      <c r="N45" s="504">
        <v>10</v>
      </c>
      <c r="O45" s="504">
        <v>30</v>
      </c>
      <c r="P45" s="504">
        <v>10</v>
      </c>
      <c r="Q45" s="504">
        <v>40</v>
      </c>
      <c r="R45" s="504"/>
      <c r="S45" s="504">
        <v>26</v>
      </c>
      <c r="V45" s="269" t="s">
        <v>1739</v>
      </c>
      <c r="W45" s="485"/>
    </row>
    <row r="46" spans="1:34" x14ac:dyDescent="0.25">
      <c r="A46" s="730"/>
      <c r="B46" s="498" t="s">
        <v>685</v>
      </c>
      <c r="C46" s="496"/>
      <c r="D46" s="497"/>
      <c r="E46" s="485">
        <v>4</v>
      </c>
      <c r="I46" s="2"/>
      <c r="J46"/>
      <c r="K46" s="485">
        <v>4</v>
      </c>
      <c r="L46" s="485">
        <v>4</v>
      </c>
      <c r="M46" s="504">
        <v>4</v>
      </c>
      <c r="N46" s="504">
        <v>4</v>
      </c>
      <c r="O46" s="504">
        <v>4</v>
      </c>
      <c r="P46" s="504">
        <v>4</v>
      </c>
      <c r="Q46" s="504">
        <v>4</v>
      </c>
      <c r="R46" s="504"/>
      <c r="S46" s="504">
        <v>4</v>
      </c>
      <c r="V46" s="504">
        <v>4</v>
      </c>
      <c r="W46" s="485"/>
    </row>
    <row r="47" spans="1:34" x14ac:dyDescent="0.25">
      <c r="A47" s="730"/>
      <c r="B47" s="498" t="s">
        <v>686</v>
      </c>
      <c r="C47" s="496"/>
      <c r="D47" s="497"/>
      <c r="E47" s="485"/>
      <c r="J47"/>
      <c r="K47" s="485"/>
      <c r="L47" s="485"/>
      <c r="M47" s="485"/>
      <c r="N47" s="485"/>
      <c r="O47" s="485"/>
      <c r="P47" s="485"/>
      <c r="Q47" s="485"/>
      <c r="R47" s="485"/>
      <c r="S47" s="485"/>
      <c r="V47" s="485"/>
      <c r="W47" s="485"/>
    </row>
    <row r="48" spans="1:34" s="1" customFormat="1" ht="15.75" thickBot="1" x14ac:dyDescent="0.3">
      <c r="A48" s="731"/>
      <c r="B48" s="499" t="s">
        <v>805</v>
      </c>
      <c r="C48" s="500"/>
      <c r="D48" s="501"/>
      <c r="E48" s="592" t="s">
        <v>1112</v>
      </c>
      <c r="F48" s="592"/>
      <c r="G48"/>
      <c r="H48"/>
      <c r="I48" s="2"/>
      <c r="J48" s="590"/>
      <c r="K48" s="592" t="s">
        <v>1115</v>
      </c>
      <c r="L48" s="592" t="s">
        <v>1116</v>
      </c>
      <c r="M48" s="592" t="s">
        <v>1117</v>
      </c>
      <c r="N48" s="592" t="s">
        <v>1118</v>
      </c>
      <c r="O48" s="592" t="s">
        <v>1119</v>
      </c>
      <c r="P48" s="592" t="s">
        <v>1120</v>
      </c>
      <c r="Q48" s="592" t="s">
        <v>1121</v>
      </c>
      <c r="R48" s="504"/>
      <c r="S48" s="592" t="s">
        <v>1124</v>
      </c>
      <c r="V48" s="592" t="s">
        <v>1139</v>
      </c>
      <c r="W48" s="505"/>
      <c r="X48" s="12"/>
      <c r="Y48"/>
      <c r="Z48"/>
      <c r="AA48"/>
      <c r="AB48"/>
      <c r="AC48"/>
      <c r="AD48"/>
      <c r="AE48"/>
      <c r="AF48"/>
      <c r="AG48"/>
      <c r="AH48"/>
    </row>
    <row r="49" spans="1:35" ht="30.75" thickBot="1" x14ac:dyDescent="0.3">
      <c r="A49" s="729" t="s">
        <v>581</v>
      </c>
      <c r="B49" s="595" t="s">
        <v>1143</v>
      </c>
      <c r="C49" s="493" t="s">
        <v>831</v>
      </c>
      <c r="D49" s="494"/>
      <c r="E49" s="318" t="s">
        <v>157</v>
      </c>
      <c r="F49" s="318" t="s">
        <v>1147</v>
      </c>
      <c r="G49" s="318" t="s">
        <v>829</v>
      </c>
      <c r="H49" s="513" t="s">
        <v>62</v>
      </c>
      <c r="I49" s="511" t="s">
        <v>607</v>
      </c>
      <c r="J49" s="609"/>
      <c r="K49" s="732" t="s">
        <v>829</v>
      </c>
      <c r="L49" s="733"/>
      <c r="M49" s="675" t="s">
        <v>834</v>
      </c>
      <c r="N49" s="506" t="s">
        <v>1752</v>
      </c>
      <c r="O49" s="506" t="s">
        <v>832</v>
      </c>
      <c r="P49" s="506" t="s">
        <v>835</v>
      </c>
      <c r="Q49" s="506" t="s">
        <v>1149</v>
      </c>
      <c r="R49" s="506" t="s">
        <v>1148</v>
      </c>
      <c r="S49" s="506" t="s">
        <v>1</v>
      </c>
      <c r="T49" s="506" t="s">
        <v>697</v>
      </c>
      <c r="U49" s="506" t="s">
        <v>606</v>
      </c>
      <c r="V49" s="506" t="s">
        <v>844</v>
      </c>
      <c r="W49" s="506" t="s">
        <v>369</v>
      </c>
      <c r="X49" s="145"/>
      <c r="Y49" s="145"/>
      <c r="Z49" s="145"/>
    </row>
    <row r="50" spans="1:35" ht="15.75" thickBot="1" x14ac:dyDescent="0.3">
      <c r="A50" s="730"/>
      <c r="B50" s="495" t="s">
        <v>122</v>
      </c>
      <c r="C50" s="636" t="str">
        <f>IF(LEN(I38)=0,"",I38)</f>
        <v/>
      </c>
      <c r="D50" s="600">
        <v>1</v>
      </c>
      <c r="F50" s="509"/>
      <c r="G50" s="328"/>
      <c r="H50" s="512"/>
      <c r="I50" s="510"/>
      <c r="J50" s="638" t="s">
        <v>1211</v>
      </c>
      <c r="K50" s="734">
        <f>HYPERLINK("https://eu1.salesforce.com/"&amp;F50,G50)</f>
        <v>0</v>
      </c>
      <c r="L50" s="735"/>
      <c r="M50" s="1"/>
      <c r="N50" s="1"/>
      <c r="O50" s="690"/>
      <c r="P50" s="1"/>
      <c r="Q50" s="1"/>
      <c r="R50" s="1"/>
      <c r="S50" s="1"/>
      <c r="T50" s="1"/>
      <c r="U50" s="1"/>
      <c r="V50" s="145"/>
      <c r="W50" s="145"/>
      <c r="X50" s="145"/>
      <c r="Y50" s="145"/>
      <c r="Z50" s="145"/>
    </row>
    <row r="51" spans="1:35" x14ac:dyDescent="0.25">
      <c r="A51" s="730"/>
      <c r="B51" s="498" t="s">
        <v>684</v>
      </c>
      <c r="C51" s="496"/>
      <c r="D51" s="497"/>
      <c r="E51" s="328">
        <v>0.5</v>
      </c>
      <c r="F51" s="328"/>
      <c r="G51" s="328"/>
      <c r="H51" s="328">
        <v>0.5</v>
      </c>
      <c r="I51" s="328">
        <v>0.5</v>
      </c>
      <c r="J51" s="580"/>
      <c r="K51" s="601" t="s">
        <v>1100</v>
      </c>
      <c r="L51" s="601"/>
      <c r="M51" s="601" t="s">
        <v>113</v>
      </c>
      <c r="N51" s="601"/>
      <c r="O51" s="269" t="s">
        <v>1739</v>
      </c>
      <c r="P51" s="269" t="s">
        <v>1739</v>
      </c>
      <c r="Q51" s="601"/>
      <c r="R51" s="601"/>
      <c r="S51" s="601" t="s">
        <v>113</v>
      </c>
      <c r="T51" s="601" t="s">
        <v>113</v>
      </c>
      <c r="U51" s="601" t="s">
        <v>128</v>
      </c>
      <c r="V51" s="601" t="s">
        <v>128</v>
      </c>
      <c r="W51" s="601" t="s">
        <v>128</v>
      </c>
      <c r="Z51" s="92"/>
      <c r="AB51" s="455"/>
      <c r="AC51" s="92"/>
    </row>
    <row r="52" spans="1:35" x14ac:dyDescent="0.25">
      <c r="A52" s="730"/>
      <c r="B52" s="498" t="s">
        <v>685</v>
      </c>
      <c r="C52" s="496" t="s">
        <v>70</v>
      </c>
      <c r="D52" s="598" t="s">
        <v>128</v>
      </c>
      <c r="E52" s="591" t="s">
        <v>1205</v>
      </c>
      <c r="F52" s="485" t="s">
        <v>70</v>
      </c>
      <c r="G52" s="485">
        <v>3</v>
      </c>
      <c r="H52" s="504"/>
      <c r="I52" s="504"/>
      <c r="J52" s="504"/>
      <c r="K52" s="485"/>
      <c r="L52" s="485"/>
      <c r="M52" s="504" t="s">
        <v>849</v>
      </c>
      <c r="N52" s="504">
        <v>26</v>
      </c>
      <c r="O52" s="504" t="s">
        <v>131</v>
      </c>
      <c r="P52" s="485" t="s">
        <v>129</v>
      </c>
      <c r="Q52" s="485" t="s">
        <v>1150</v>
      </c>
      <c r="R52" s="601" t="s">
        <v>111</v>
      </c>
      <c r="S52" s="504" t="s">
        <v>113</v>
      </c>
      <c r="T52" s="604"/>
      <c r="U52" s="604"/>
      <c r="V52" s="604"/>
      <c r="W52" s="604"/>
      <c r="X52" s="605"/>
      <c r="AE52" s="456"/>
      <c r="AF52" s="456"/>
      <c r="AG52" s="456"/>
      <c r="AH52" s="456"/>
      <c r="AI52" s="456"/>
    </row>
    <row r="53" spans="1:35" ht="45" x14ac:dyDescent="0.25">
      <c r="A53" s="730"/>
      <c r="B53" s="498" t="s">
        <v>686</v>
      </c>
      <c r="C53" s="496"/>
      <c r="D53" s="497"/>
      <c r="E53" s="599" t="s">
        <v>1773</v>
      </c>
      <c r="J53" s="637" t="s">
        <v>1206</v>
      </c>
      <c r="K53" s="637" t="s">
        <v>1206</v>
      </c>
      <c r="L53" s="602"/>
      <c r="M53" s="602"/>
      <c r="N53" s="602"/>
      <c r="S53" s="602"/>
      <c r="AE53" s="456"/>
      <c r="AF53" s="456"/>
      <c r="AG53" s="456"/>
      <c r="AH53" s="456"/>
      <c r="AI53" s="456"/>
    </row>
    <row r="54" spans="1:35" ht="15.75" thickBot="1" x14ac:dyDescent="0.3">
      <c r="A54" s="731"/>
      <c r="B54" s="499" t="s">
        <v>805</v>
      </c>
      <c r="C54" s="502"/>
      <c r="D54" s="501"/>
      <c r="E54" s="119"/>
      <c r="H54" s="590"/>
      <c r="J54"/>
      <c r="K54" s="2"/>
      <c r="AA54" s="253"/>
      <c r="AE54" s="456"/>
      <c r="AF54" s="456"/>
      <c r="AG54" s="456"/>
      <c r="AH54" s="456"/>
      <c r="AI54" s="456"/>
    </row>
  </sheetData>
  <mergeCells count="18">
    <mergeCell ref="A49:A54"/>
    <mergeCell ref="K49:L49"/>
    <mergeCell ref="K50:L50"/>
    <mergeCell ref="A37:A42"/>
    <mergeCell ref="Q37:R37"/>
    <mergeCell ref="Q38:R38"/>
    <mergeCell ref="A43:A48"/>
    <mergeCell ref="Q43:R43"/>
    <mergeCell ref="Q44:R44"/>
    <mergeCell ref="A23:A28"/>
    <mergeCell ref="K23:L23"/>
    <mergeCell ref="K24:L24"/>
    <mergeCell ref="Q11:R11"/>
    <mergeCell ref="Q12:R12"/>
    <mergeCell ref="Q17:R17"/>
    <mergeCell ref="Q18:R18"/>
    <mergeCell ref="A17:A22"/>
    <mergeCell ref="A11:A16"/>
  </mergeCells>
  <pageMargins left="0.23622047244094491" right="0.23622047244094491" top="0.74803149606299213" bottom="0.74803149606299213" header="0.31496062992125984" footer="0.31496062992125984"/>
  <pageSetup paperSize="9" scale="43"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55</vt:i4>
      </vt:variant>
    </vt:vector>
  </HeadingPairs>
  <TitlesOfParts>
    <vt:vector size="61"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HDR_ContractUpdate</vt:lpstr>
      <vt:lpstr>HDR_ContrLnk</vt:lpstr>
      <vt:lpstr>HDR_NewContract</vt:lpstr>
      <vt:lpstr>HDR_NewOpp</vt:lpstr>
      <vt:lpstr>HDR_NewOrderList</vt:lpstr>
      <vt:lpstr>HDR_NewPayment</vt:lpstr>
      <vt:lpstr>HDR_NewSN</vt:lpstr>
      <vt:lpstr>HDR_P_ADSKlink</vt:lpstr>
      <vt:lpstr>HDR_PaymentUpd</vt:lpstr>
      <vt:lpstr>HDR_WP</vt:lpstr>
      <vt:lpstr>HDR_WPacc</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WorksTable</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2012-10-24T07:27:59Z</cp:lastPrinted>
  <dcterms:created xsi:type="dcterms:W3CDTF">2010-08-11T07:35:57Z</dcterms:created>
  <dcterms:modified xsi:type="dcterms:W3CDTF">2012-11-08T22:54:22Z</dcterms:modified>
</cp:coreProperties>
</file>