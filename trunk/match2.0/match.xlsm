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3305" windowHeight="12675" tabRatio="754" firstSheet="1" activeTab="3"/>
  </bookViews>
  <sheets>
    <sheet name="TOCmatch" sheetId="1988" r:id="rId1"/>
    <sheet name="Process" sheetId="1989" r:id="rId2"/>
    <sheet name="We" sheetId="659" r:id="rId3"/>
    <sheet name="Log" sheetId="791" r:id="rId4"/>
    <sheet name="Header" sheetId="763" r:id="rId5"/>
    <sheet name="WP" sheetId="2005"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Header!$A$181:$S$205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Process!$A$94:$L$102</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N48" i="1989" l="1"/>
  <c r="D72" i="763" l="1"/>
  <c r="M48" i="1989" l="1"/>
  <c r="L48" i="1989"/>
  <c r="N55" i="1989"/>
  <c r="L46" i="1989"/>
  <c r="C55" i="1989"/>
  <c r="C54" i="1989"/>
  <c r="C53" i="1989"/>
  <c r="C48" i="1989"/>
  <c r="C46" i="1989"/>
  <c r="C45" i="1989"/>
  <c r="L54" i="1989" l="1"/>
  <c r="L55" i="1989" s="1"/>
  <c r="K50" i="1989" l="1"/>
  <c r="K54" i="1989" s="1"/>
  <c r="F55" i="1989"/>
  <c r="K43" i="1989"/>
  <c r="F48" i="1989"/>
  <c r="K44" i="1989" l="1"/>
  <c r="K46" i="1989"/>
  <c r="K53" i="1989"/>
  <c r="K52" i="1989"/>
  <c r="K55" i="1989"/>
  <c r="K48" i="1989"/>
  <c r="K45" i="1989"/>
  <c r="C86" i="1989" l="1"/>
  <c r="C85" i="1989"/>
  <c r="F85" i="1989" l="1"/>
  <c r="F84" i="1989"/>
  <c r="L75" i="1989" l="1"/>
  <c r="C87" i="1989" l="1"/>
  <c r="K82" i="1989"/>
  <c r="K86" i="1989" s="1"/>
  <c r="F88" i="1989"/>
  <c r="C88" i="1989"/>
  <c r="K62" i="1989" l="1"/>
  <c r="C70"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0" i="1989" l="1"/>
  <c r="K68" i="1989" l="1"/>
  <c r="F71" i="1989"/>
  <c r="C71" i="1989"/>
  <c r="C65" i="1989"/>
  <c r="F66" i="1989"/>
  <c r="C66" i="1989"/>
  <c r="L65" i="1989"/>
  <c r="K65" i="1989"/>
  <c r="C76" i="1989" l="1"/>
  <c r="M75" i="1989" l="1"/>
  <c r="L28" i="1989" l="1"/>
  <c r="V26" i="763" l="1"/>
  <c r="U26" i="763"/>
  <c r="T26" i="763"/>
  <c r="V1115" i="763" l="1"/>
  <c r="U1115" i="763"/>
  <c r="M15" i="1989" l="1"/>
  <c r="C18" i="1989"/>
  <c r="C16" i="1989"/>
  <c r="F15" i="1989" l="1"/>
  <c r="L15" i="1989"/>
  <c r="C15" i="1989"/>
  <c r="L99" i="1989" l="1"/>
  <c r="F99"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0" i="1989" l="1"/>
  <c r="L98" i="1989" l="1"/>
  <c r="F98" i="1989" s="1"/>
  <c r="I28" i="1988" l="1"/>
  <c r="I22" i="1988"/>
  <c r="F36" i="1989" l="1"/>
  <c r="F76"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87" i="1989" s="1"/>
  <c r="K21" i="1989"/>
  <c r="K22" i="1989"/>
  <c r="F35" i="1989" l="1"/>
  <c r="K14" i="1989" l="1"/>
  <c r="K15" i="1989" s="1"/>
  <c r="K98" i="1989"/>
  <c r="K99" i="1989" s="1"/>
  <c r="K100" i="1989"/>
  <c r="K78" i="1989" s="1"/>
  <c r="C24" i="1989" l="1"/>
  <c r="F29" i="1989" l="1"/>
  <c r="F118" i="1989"/>
  <c r="K13" i="1989" l="1"/>
  <c r="K70" i="1989" s="1"/>
  <c r="K73" i="1989" l="1"/>
  <c r="K75"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<sst xmlns="http://schemas.openxmlformats.org/spreadsheetml/2006/main" count="1977" uniqueCount="928">
  <si>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</si>
  <si>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</si>
  <si>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</si>
  <si>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</si>
  <si>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</si>
  <si>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</si>
  <si>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</si>
  <si>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</si>
  <si>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</si>
  <si>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</si>
  <si>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</si>
  <si>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</si>
  <si>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</si>
  <si>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</si>
  <si>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</si>
  <si>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</si>
  <si>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</si>
  <si>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</si>
  <si>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</si>
  <si>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</si>
  <si>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</si>
  <si>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</si>
  <si>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</si>
  <si>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</si>
  <si>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</si>
  <si>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</si>
  <si>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</si>
  <si>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</si>
  <si>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</si>
  <si>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</si>
  <si>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</si>
  <si>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</si>
  <si>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</si>
  <si>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</si>
  <si>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</si>
  <si>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</si>
  <si>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</si>
  <si>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</si>
  <si>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</si>
  <si>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</si>
  <si>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</si>
  <si>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</si>
  <si>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</si>
  <si>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</si>
  <si>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</si>
  <si>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</si>
  <si>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</si>
  <si>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</si>
  <si>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</si>
  <si>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</si>
  <si>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</si>
  <si>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</si>
  <si>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</si>
  <si>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</si>
  <si>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</si>
  <si>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</si>
  <si>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</si>
  <si>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</si>
  <si>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</si>
  <si>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</si>
  <si>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</si>
  <si>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</si>
  <si>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</si>
  <si>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</si>
  <si>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</si>
  <si>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</si>
  <si>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</si>
  <si>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</si>
  <si>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</si>
  <si>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</si>
  <si>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</si>
  <si>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</si>
  <si>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</si>
  <si>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</si>
  <si>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</si>
  <si>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</si>
  <si>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</si>
  <si>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</si>
  <si>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</si>
  <si>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</si>
  <si>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</si>
  <si>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</si>
  <si>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</si>
  <si>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</si>
  <si>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</si>
  <si>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</si>
  <si>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</si>
  <si>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</si>
  <si>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</si>
  <si>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</si>
  <si>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</si>
  <si>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</si>
  <si>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</si>
  <si>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</si>
  <si>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</si>
  <si>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</si>
  <si>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</si>
  <si>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</si>
  <si>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</si>
  <si>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</si>
  <si>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</si>
  <si>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</si>
  <si>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</si>
  <si>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</si>
  <si>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</si>
  <si>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</si>
  <si>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</si>
  <si>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</si>
  <si>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</si>
  <si>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</si>
  <si>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</si>
  <si>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</si>
  <si>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</si>
  <si>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</si>
  <si>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</si>
  <si>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</si>
  <si>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</si>
  <si>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</si>
  <si>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</si>
  <si>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</si>
  <si>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</si>
  <si>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</si>
  <si>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</si>
  <si>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</si>
  <si>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</si>
  <si>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</si>
  <si>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</si>
  <si>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</si>
  <si>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</si>
  <si>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</si>
  <si>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</si>
  <si>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</si>
  <si>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</si>
  <si>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</si>
  <si>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</si>
  <si>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</si>
  <si>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</si>
  <si>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</si>
  <si>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</si>
  <si>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</si>
  <si>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</si>
  <si>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</si>
  <si>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</si>
  <si>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</si>
  <si>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</si>
  <si>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</si>
  <si>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</si>
  <si>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</si>
  <si>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</si>
  <si>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</si>
  <si>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</si>
  <si>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</si>
  <si>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</si>
  <si>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</si>
  <si>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</si>
  <si>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</si>
  <si>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</si>
  <si>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</si>
  <si>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</si>
  <si>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</si>
  <si>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</si>
  <si>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</si>
  <si>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</si>
  <si>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</si>
  <si>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</si>
  <si>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</si>
  <si>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</si>
  <si>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</si>
  <si>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</si>
  <si>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</si>
  <si>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</si>
  <si>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</si>
  <si>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</si>
  <si>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</si>
  <si>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</si>
  <si>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</si>
  <si>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</si>
  <si>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</si>
  <si>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</si>
  <si>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</si>
  <si>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</si>
  <si>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</si>
  <si>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</si>
  <si>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</si>
  <si>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</si>
  <si>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</si>
  <si>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</si>
  <si>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</si>
  <si>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</si>
  <si>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</si>
  <si>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</si>
  <si>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</si>
  <si>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</si>
  <si>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</si>
  <si>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</si>
  <si>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</si>
  <si>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</si>
  <si>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</si>
  <si>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</si>
  <si>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</si>
  <si>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</si>
  <si>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</si>
  <si>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</si>
  <si>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</si>
  <si>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</si>
  <si>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</si>
  <si>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</si>
  <si>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</si>
  <si>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</si>
  <si>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</si>
  <si>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</si>
  <si>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</si>
  <si>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</si>
  <si>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</si>
  <si>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</si>
  <si>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</si>
  <si>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</si>
  <si>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</si>
  <si>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</si>
  <si>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</si>
  <si>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</si>
  <si>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</si>
  <si>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</si>
  <si>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</si>
  <si>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</si>
  <si>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</si>
  <si>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</si>
  <si>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</si>
  <si>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</si>
  <si>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</si>
  <si>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</si>
  <si>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</si>
  <si>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</si>
  <si>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</si>
  <si>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</si>
  <si>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</si>
  <si>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</si>
  <si>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</si>
  <si>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</si>
  <si>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</si>
  <si>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</si>
  <si>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</si>
  <si>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</si>
  <si>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</si>
  <si>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</si>
  <si>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</si>
  <si>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</si>
  <si>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</si>
  <si>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</si>
  <si>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</si>
  <si>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</si>
  <si>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</si>
  <si>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</si>
  <si>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</si>
  <si>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</si>
  <si>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</si>
  <si>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</si>
  <si>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</si>
  <si>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</si>
  <si>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</si>
  <si>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</si>
  <si>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</si>
  <si>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</si>
  <si>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</si>
  <si>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</si>
  <si>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</si>
  <si>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</si>
  <si>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</si>
  <si>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</si>
  <si>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</si>
  <si>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</si>
  <si>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</si>
  <si>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</si>
  <si>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</si>
  <si>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</si>
  <si>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</si>
  <si>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</si>
  <si>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</si>
  <si>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</si>
  <si>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</si>
  <si>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</si>
  <si>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</si>
  <si>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</si>
  <si>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</si>
  <si>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</si>
  <si>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</si>
  <si>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</si>
  <si>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</si>
  <si>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</si>
  <si>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</si>
  <si>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</si>
  <si>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</si>
  <si>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</si>
  <si>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</si>
  <si>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</si>
  <si>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</si>
  <si>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</si>
  <si>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</si>
  <si>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</si>
  <si>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</si>
  <si>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</si>
  <si>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</si>
  <si>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</si>
  <si>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</si>
  <si>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</si>
  <si>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</si>
  <si>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</si>
  <si>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</si>
  <si>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</si>
  <si>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</si>
  <si>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</si>
  <si>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</si>
  <si>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</si>
  <si>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</si>
  <si>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</si>
  <si>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</si>
  <si>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</si>
  <si>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</si>
  <si>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</si>
  <si>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</si>
  <si>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</si>
  <si>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</si>
  <si>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</si>
  <si>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</si>
  <si>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</si>
  <si>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</si>
  <si>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</si>
  <si>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</si>
  <si>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</si>
  <si>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</si>
  <si>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</si>
  <si>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</si>
  <si>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</si>
  <si>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</si>
  <si>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</si>
  <si>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</si>
  <si>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</si>
  <si>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</si>
  <si>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</si>
  <si>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</si>
  <si>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</si>
  <si>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</si>
  <si>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</si>
  <si>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</si>
  <si>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</si>
  <si>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</si>
  <si>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</si>
  <si>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</si>
  <si>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</si>
  <si>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</si>
  <si>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</si>
  <si>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</si>
  <si>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</si>
  <si>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</si>
  <si>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</si>
  <si>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</si>
  <si>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</si>
  <si>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</si>
  <si>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</si>
  <si>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</si>
  <si>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</si>
  <si>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</si>
  <si>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</si>
  <si>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</si>
  <si>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</si>
  <si>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</si>
  <si>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</si>
  <si>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</si>
  <si>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</si>
  <si>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</si>
  <si>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</si>
  <si>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</si>
  <si>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</si>
  <si>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</si>
  <si>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</si>
  <si>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</si>
  <si>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</si>
  <si>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</si>
  <si>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</si>
  <si>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</si>
  <si>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</si>
  <si>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</si>
  <si>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</si>
  <si>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</si>
  <si>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</si>
  <si>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</si>
  <si>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</si>
  <si>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</si>
  <si>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</si>
  <si>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</si>
  <si>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</si>
  <si>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</si>
  <si>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</si>
  <si>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</si>
  <si>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</si>
  <si>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</si>
  <si>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</si>
  <si>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</si>
  <si>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</si>
  <si>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</si>
  <si>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</si>
  <si>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</si>
  <si>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</si>
  <si>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</si>
  <si>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</si>
  <si>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</si>
  <si>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</si>
  <si>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</si>
  <si>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</si>
  <si>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</si>
  <si>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</si>
  <si>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</si>
  <si>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</si>
  <si>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</si>
  <si>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</si>
  <si>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</si>
  <si>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</si>
  <si>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</si>
  <si>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</si>
  <si>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</si>
  <si>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</si>
  <si>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</si>
  <si>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</si>
  <si>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</si>
  <si>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</si>
  <si>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</si>
  <si>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</si>
  <si>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</si>
  <si>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</si>
  <si>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</si>
  <si>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</si>
  <si>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</si>
  <si>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</si>
  <si>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</si>
  <si>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</si>
  <si>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</si>
  <si>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</si>
  <si>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</si>
  <si>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</si>
  <si>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</si>
  <si>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</si>
  <si>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</si>
  <si>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</si>
  <si>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</si>
  <si>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</si>
  <si>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</si>
  <si>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</si>
  <si>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</si>
  <si>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</si>
  <si>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</si>
  <si>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</si>
  <si>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</si>
  <si>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</si>
  <si>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</si>
  <si>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</si>
  <si>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</si>
  <si>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</si>
  <si>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</si>
  <si>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</si>
  <si>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</si>
  <si>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</si>
  <si>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</si>
  <si>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</si>
  <si>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</si>
  <si>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</si>
  <si>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</si>
  <si>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</si>
  <si>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</si>
  <si>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</si>
  <si>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</si>
  <si>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</si>
  <si>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</si>
  <si>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</si>
  <si>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</si>
  <si>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</si>
  <si>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</si>
  <si>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</si>
  <si>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</si>
  <si>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</si>
  <si>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</si>
  <si>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</si>
  <si>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</si>
  <si>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</si>
  <si>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</si>
  <si>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</si>
  <si>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</si>
  <si>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</si>
  <si>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</si>
  <si>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</si>
  <si>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</si>
  <si>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</si>
  <si>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</si>
  <si>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</si>
  <si>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</si>
  <si>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</si>
  <si>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</si>
  <si>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</si>
  <si>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</si>
  <si>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</si>
  <si>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</si>
  <si>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</si>
  <si>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</si>
  <si>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</si>
  <si>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</si>
  <si>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</si>
  <si>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</si>
  <si>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</si>
  <si>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</si>
  <si>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</si>
  <si>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</si>
  <si>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</si>
  <si>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</si>
  <si>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</si>
  <si>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</si>
  <si>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</si>
  <si>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</si>
  <si>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</si>
  <si>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</si>
  <si>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</si>
  <si>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</si>
  <si>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</si>
  <si>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</si>
  <si>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</si>
  <si>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</si>
  <si>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</si>
  <si>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</si>
  <si>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</si>
  <si>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</si>
  <si>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</si>
  <si>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</si>
  <si>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</si>
  <si>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</si>
  <si>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</si>
  <si>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</si>
  <si>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</si>
  <si>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</si>
  <si>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</si>
  <si>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</si>
  <si>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</si>
  <si>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</si>
  <si>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</si>
  <si>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</si>
  <si>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</si>
  <si>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</si>
  <si>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</si>
  <si>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</si>
  <si>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</si>
  <si>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</si>
  <si>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</si>
  <si>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</si>
  <si>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</si>
  <si>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</si>
  <si>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</si>
  <si>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</si>
  <si>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</si>
  <si>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</si>
  <si>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</si>
  <si>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</si>
  <si>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</si>
  <si>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</si>
  <si>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</si>
  <si>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</si>
  <si>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</si>
  <si>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</si>
  <si>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</si>
  <si>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</si>
  <si>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</si>
  <si>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</si>
  <si>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</si>
  <si>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</si>
  <si>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</si>
  <si>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</si>
  <si>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</si>
  <si>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</si>
  <si>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</si>
  <si>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</si>
  <si>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</si>
  <si>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</si>
  <si>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</si>
  <si>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</si>
  <si>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</si>
  <si>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</si>
  <si>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</si>
  <si>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</si>
  <si>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</si>
  <si>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</si>
  <si>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</si>
  <si>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</si>
  <si>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</si>
  <si>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</si>
  <si>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</si>
  <si>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</si>
  <si>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</si>
  <si>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</si>
  <si>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</si>
  <si>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</si>
  <si>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</si>
  <si>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</si>
  <si>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</si>
  <si>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</si>
  <si>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</si>
  <si>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</si>
  <si>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</si>
  <si>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</si>
  <si>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</si>
  <si>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</si>
  <si>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</si>
  <si>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</si>
  <si>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</si>
  <si>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</si>
  <si>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</si>
  <si>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</si>
  <si>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</si>
  <si>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</si>
  <si>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</si>
  <si>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</si>
  <si>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</si>
  <si>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</si>
  <si>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</si>
  <si>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</si>
  <si>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</si>
  <si>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</si>
  <si>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</si>
  <si>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</si>
  <si>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</si>
  <si>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</si>
  <si>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</si>
  <si>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</si>
  <si>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</si>
  <si>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</si>
  <si>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</si>
  <si>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</si>
  <si>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</si>
  <si>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</si>
  <si>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</si>
  <si>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</si>
  <si>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</si>
  <si>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</si>
  <si>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</si>
  <si>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</si>
  <si>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</si>
  <si>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</si>
  <si>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</si>
  <si>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</si>
  <si>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</si>
  <si>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</si>
  <si>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</si>
  <si>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</si>
  <si>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</si>
  <si>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</si>
  <si>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</si>
  <si>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</si>
  <si>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</si>
  <si>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</si>
  <si>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</si>
  <si>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</si>
  <si>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</si>
  <si>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</si>
  <si>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</si>
  <si>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</si>
  <si>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</si>
  <si>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</si>
  <si>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</si>
  <si>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</si>
  <si>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</si>
  <si>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</si>
  <si>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</si>
  <si>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</si>
  <si>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</si>
  <si>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</si>
  <si>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</si>
  <si>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</si>
  <si>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</si>
  <si>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</si>
  <si>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</si>
  <si>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</si>
  <si>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</si>
  <si>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</si>
  <si>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</si>
  <si>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</si>
  <si>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</si>
  <si>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</si>
  <si>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</si>
  <si>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</si>
  <si>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</si>
  <si>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</si>
  <si>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</si>
  <si>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</si>
  <si>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</si>
  <si>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</si>
  <si>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</si>
  <si>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</si>
  <si>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</si>
  <si>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</si>
  <si>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</si>
  <si>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</si>
  <si>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</si>
  <si>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</si>
  <si>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</si>
  <si>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</si>
  <si>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</si>
  <si>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</si>
  <si>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</si>
  <si>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</si>
  <si>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</si>
  <si>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</si>
  <si>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</si>
  <si>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</si>
  <si>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</si>
  <si>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</si>
  <si>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</si>
  <si>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</si>
  <si>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</si>
  <si>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</si>
  <si>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</si>
  <si>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</si>
  <si>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</si>
  <si>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</si>
  <si>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</si>
  <si>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</si>
  <si>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</si>
  <si>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</si>
  <si>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</si>
  <si>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</si>
  <si>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</si>
  <si>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</si>
  <si>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</si>
  <si>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</si>
  <si>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</si>
  <si>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</si>
  <si>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</si>
  <si>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</si>
  <si>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</si>
  <si>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</si>
  <si>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</si>
  <si>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</si>
  <si>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</si>
  <si>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</si>
  <si>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</si>
  <si>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</si>
  <si>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</si>
  <si>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</si>
  <si>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</si>
  <si>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</si>
  <si>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</si>
  <si>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</si>
  <si>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</si>
  <si>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</si>
  <si>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</si>
  <si>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</si>
  <si>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</si>
  <si>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</si>
  <si>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</si>
  <si>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</si>
  <si>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</si>
  <si>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</si>
  <si>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</si>
  <si>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</si>
  <si>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</si>
  <si>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</si>
  <si>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</si>
  <si>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</si>
  <si>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</si>
  <si>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</si>
  <si>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</si>
  <si>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</si>
  <si>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</si>
  <si>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</si>
  <si>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</si>
  <si>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</si>
  <si>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</si>
  <si>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</si>
  <si>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</si>
  <si>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</si>
  <si>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</si>
  <si>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</si>
  <si>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</si>
  <si>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</si>
  <si>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</si>
  <si>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</si>
  <si>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</si>
  <si>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</si>
  <si>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</si>
  <si>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</si>
  <si>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</si>
  <si>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</si>
  <si>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</si>
  <si>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</si>
  <si>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</si>
  <si>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</si>
  <si>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</si>
  <si>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</si>
  <si>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</si>
  <si>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</si>
  <si>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</si>
  <si>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</si>
  <si>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</si>
  <si>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</si>
  <si>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</si>
  <si>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</si>
  <si>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</si>
  <si>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</si>
  <si>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</si>
  <si>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</si>
  <si>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</si>
  <si>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</si>
  <si>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</si>
  <si>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</si>
  <si>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</si>
  <si>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</si>
  <si>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</si>
  <si>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</si>
  <si>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</si>
  <si>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</si>
  <si>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</si>
  <si>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</si>
  <si>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</si>
  <si>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</si>
  <si>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</si>
  <si>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</si>
  <si>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</si>
  <si>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</si>
  <si>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</si>
  <si>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</si>
  <si>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</si>
  <si>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</si>
  <si>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</si>
  <si>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</si>
  <si>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</si>
  <si>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</si>
  <si>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</si>
  <si>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</si>
  <si>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</si>
  <si>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</si>
  <si>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</si>
  <si>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</si>
  <si>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</si>
  <si>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</si>
  <si>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</si>
  <si>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</si>
  <si>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</si>
  <si>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</si>
  <si>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</si>
  <si>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</si>
  <si>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</si>
  <si>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</si>
  <si>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</si>
  <si>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</si>
  <si>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</si>
  <si>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</si>
  <si>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</si>
  <si>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</si>
  <si>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</si>
  <si>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</si>
  <si>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</si>
  <si>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</si>
  <si>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</si>
  <si>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</si>
  <si>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</si>
  <si>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</si>
  <si>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</si>
  <si>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</si>
  <si>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</si>
  <si>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</si>
  <si>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</si>
  <si>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WP</t>
  </si>
  <si>
    <t>HDR_WP</t>
  </si>
  <si>
    <t>2, 12</t>
  </si>
  <si>
    <t>4, 14</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</si>
  <si>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</si>
  <si>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</si>
  <si>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</si>
  <si>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</si>
  <si>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</si>
  <si>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</si>
  <si>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</si>
  <si>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</si>
  <si>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</si>
  <si>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</si>
  <si>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</si>
  <si>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</si>
  <si>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</si>
  <si>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</si>
  <si>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</si>
  <si>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</si>
  <si>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</si>
  <si>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</si>
  <si>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</si>
  <si>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</si>
  <si>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</si>
  <si>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</si>
  <si>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</si>
  <si>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</si>
  <si>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</si>
  <si>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</si>
  <si>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</si>
  <si>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</si>
  <si>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</si>
  <si>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</si>
  <si>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</si>
  <si>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</si>
  <si>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</si>
  <si>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</si>
  <si>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</si>
  <si>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</si>
  <si>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</si>
  <si>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</si>
  <si>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</si>
  <si>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</si>
  <si>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</si>
  <si>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</si>
  <si>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</si>
  <si>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</si>
  <si>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</si>
  <si>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</si>
  <si>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</si>
  <si>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</si>
  <si>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</si>
  <si>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</si>
  <si>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</si>
  <si>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</si>
  <si>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</si>
  <si>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</si>
  <si>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</si>
  <si>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</si>
  <si>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=D189</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</si>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</sst>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7">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49">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49" fontId="0" fillId="0" borderId="41" xfId="0" applyNumberFormat="1" applyFill="1" applyBorder="1" applyAlignment="1">
      <alignment horizontal="center"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xf numFmtId="49" fontId="268" fillId="36" borderId="68" xfId="0" applyNumberFormat="1" applyFont="1" applyFill="1" applyBorder="1" applyAlignment="1">
      <alignment horizontal="left" vertic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0" fontId="0" fillId="0" borderId="0" xfId="0" applyNumberFormat="1" applyFill="1" applyAlignment="1">
      <alignment horizontal="left" vertical="center"/>
    </xf>
    <xf numFmtId="49" fontId="268" fillId="36" borderId="65" xfId="0" applyNumberFormat="1" applyFont="1"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35" sqref="M3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41187.014374999999</v>
      </c>
      <c r="C1" s="125" t="s">
        <v>596</v>
      </c>
      <c r="J1" s="468" t="s">
        <v>826</v>
      </c>
      <c r="K1" s="167"/>
      <c r="L1" s="57"/>
      <c r="M1" s="57"/>
      <c r="N1" s="57"/>
      <c r="O1" s="634" t="s">
        <v>605</v>
      </c>
      <c r="P1" s="634" t="s">
        <v>872</v>
      </c>
      <c r="Q1" s="634"/>
      <c r="R1" s="634"/>
      <c r="S1" s="634"/>
    </row>
    <row r="2" spans="1:23" ht="20.25" customHeight="1" x14ac:dyDescent="0.25">
      <c r="O2" s="635"/>
      <c r="P2" s="635"/>
      <c r="Q2" s="635"/>
      <c r="R2" s="635"/>
      <c r="S2" s="635"/>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6"/>
      <c r="H7" s="169"/>
      <c r="I7" s="169"/>
      <c r="J7" s="169" t="s">
        <v>625</v>
      </c>
      <c r="K7" s="172" t="s">
        <v>600</v>
      </c>
      <c r="L7" s="153">
        <v>6</v>
      </c>
      <c r="M7" s="153">
        <v>1</v>
      </c>
      <c r="N7" s="168"/>
    </row>
    <row r="8" spans="1:23" s="136" customFormat="1" x14ac:dyDescent="0.25">
      <c r="A8" s="250">
        <v>41187.014374999999</v>
      </c>
      <c r="B8" s="136" t="s">
        <v>574</v>
      </c>
      <c r="C8" s="141">
        <v>4752</v>
      </c>
      <c r="D8" s="141">
        <v>5</v>
      </c>
      <c r="E8" s="141">
        <v>2</v>
      </c>
      <c r="F8" t="s">
        <v>697</v>
      </c>
      <c r="G8" s="141" t="s">
        <v>112</v>
      </c>
      <c r="H8" s="136" t="s">
        <v>699</v>
      </c>
      <c r="I8" s="147" t="s">
        <v>574</v>
      </c>
      <c r="J8" s="137" t="s">
        <v>68</v>
      </c>
      <c r="K8" s="144" t="s">
        <v>600</v>
      </c>
      <c r="L8" s="142">
        <v>1</v>
      </c>
      <c r="M8" s="142" t="s">
        <v>673</v>
      </c>
      <c r="N8" s="135">
        <v>41184</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41185.985289351855</v>
      </c>
      <c r="B10" t="s">
        <v>579</v>
      </c>
      <c r="C10" s="145">
        <v>1047</v>
      </c>
      <c r="D10" s="139">
        <v>10</v>
      </c>
      <c r="E10" s="139">
        <v>2</v>
      </c>
      <c r="F10" t="s">
        <v>671</v>
      </c>
      <c r="G10" s="150" t="s">
        <v>112</v>
      </c>
      <c r="H10" t="s">
        <v>699</v>
      </c>
      <c r="I10" s="163" t="s">
        <v>579</v>
      </c>
      <c r="J10" s="128" t="s">
        <v>607</v>
      </c>
      <c r="K10" s="129" t="s">
        <v>600</v>
      </c>
      <c r="L10" s="153">
        <v>1</v>
      </c>
      <c r="M10" s="153" t="s">
        <v>867</v>
      </c>
      <c r="N10" s="124">
        <v>41185</v>
      </c>
      <c r="O10" s="138" t="s">
        <v>317</v>
      </c>
      <c r="P10" s="138"/>
      <c r="Q10" s="138"/>
      <c r="T10" t="s">
        <v>654</v>
      </c>
    </row>
    <row r="11" spans="1:23" x14ac:dyDescent="0.25">
      <c r="A11" s="251"/>
      <c r="B11" t="s">
        <v>579</v>
      </c>
      <c r="C11" s="145"/>
      <c r="D11" s="139"/>
      <c r="E11" s="139"/>
      <c r="G11" s="149"/>
      <c r="I11" s="149"/>
      <c r="J11" s="128" t="s">
        <v>608</v>
      </c>
      <c r="K11" s="129" t="s">
        <v>600</v>
      </c>
      <c r="L11" s="153">
        <v>1</v>
      </c>
      <c r="M11" s="153" t="s">
        <v>868</v>
      </c>
      <c r="N11" s="124"/>
      <c r="O11" s="161"/>
      <c r="P11" s="161"/>
      <c r="Q11" s="161"/>
    </row>
    <row r="12" spans="1:23" x14ac:dyDescent="0.25">
      <c r="A12" s="249">
        <v>41185.985381944447</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41185.975289351853</v>
      </c>
      <c r="B14" s="136" t="s">
        <v>581</v>
      </c>
      <c r="C14" s="141">
        <v>3629</v>
      </c>
      <c r="D14" s="141">
        <v>2</v>
      </c>
      <c r="E14" s="141">
        <v>6</v>
      </c>
      <c r="F14" s="136" t="s">
        <v>630</v>
      </c>
      <c r="G14" s="141" t="s">
        <v>91</v>
      </c>
      <c r="H14" s="136" t="str">
        <f>H$6</f>
        <v>SFDC.xlsx</v>
      </c>
      <c r="I14" s="165" t="s">
        <v>581</v>
      </c>
      <c r="J14" s="137" t="s">
        <v>583</v>
      </c>
      <c r="K14" s="144" t="s">
        <v>600</v>
      </c>
      <c r="L14" s="142">
        <v>2</v>
      </c>
      <c r="M14" s="142" t="s">
        <v>676</v>
      </c>
      <c r="N14" s="271">
        <v>41185.974305555559</v>
      </c>
      <c r="O14" s="146"/>
      <c r="P14" s="146"/>
      <c r="Q14" s="146"/>
      <c r="T14" s="136" t="str">
        <f>Process!F26</f>
        <v>LOAD_SF</v>
      </c>
    </row>
    <row r="15" spans="1:23" ht="15.75" customHeight="1" x14ac:dyDescent="0.25">
      <c r="A15" s="249">
        <v>41185.964398148149</v>
      </c>
      <c r="B15" t="s">
        <v>584</v>
      </c>
      <c r="C15" s="145">
        <v>748</v>
      </c>
      <c r="D15" s="139">
        <v>2</v>
      </c>
      <c r="E15" s="139">
        <v>6</v>
      </c>
      <c r="F15" t="s">
        <v>630</v>
      </c>
      <c r="G15" s="150" t="s">
        <v>91</v>
      </c>
      <c r="H15" t="str">
        <f>H$6</f>
        <v>SFDC.xlsx</v>
      </c>
      <c r="I15" s="166" t="s">
        <v>584</v>
      </c>
      <c r="J15" s="128" t="s">
        <v>585</v>
      </c>
      <c r="K15" s="129" t="s">
        <v>600</v>
      </c>
      <c r="L15" s="140">
        <v>2</v>
      </c>
      <c r="M15" s="140" t="s">
        <v>676</v>
      </c>
      <c r="N15" s="124">
        <v>41185.963888888888</v>
      </c>
      <c r="O15" s="138"/>
      <c r="Q15" s="138"/>
      <c r="T15" s="149" t="str">
        <f>Process!F32</f>
        <v>LOAD_SFD</v>
      </c>
    </row>
    <row r="16" spans="1:23" ht="15.75" x14ac:dyDescent="0.3">
      <c r="A16" s="249">
        <v>41185.940081018518</v>
      </c>
      <c r="B16" t="s">
        <v>586</v>
      </c>
      <c r="C16" s="145">
        <v>2782</v>
      </c>
      <c r="D16" s="139" t="s">
        <v>603</v>
      </c>
      <c r="E16" s="139">
        <v>6</v>
      </c>
      <c r="F16" t="s">
        <v>617</v>
      </c>
      <c r="G16" s="150" t="s">
        <v>91</v>
      </c>
      <c r="H16" t="str">
        <f t="shared" ref="H16:H20" si="0">H$6</f>
        <v>SFDC.xlsx</v>
      </c>
      <c r="I16" s="166" t="s">
        <v>586</v>
      </c>
      <c r="J16" s="130" t="s">
        <v>587</v>
      </c>
      <c r="K16" s="129" t="s">
        <v>600</v>
      </c>
      <c r="L16" s="140">
        <v>2</v>
      </c>
      <c r="M16" s="140">
        <v>1</v>
      </c>
      <c r="N16" s="124">
        <v>41185.939583333333</v>
      </c>
      <c r="O16" s="138"/>
      <c r="Q16" s="138"/>
    </row>
    <row r="17" spans="1:20" ht="15.75" x14ac:dyDescent="0.3">
      <c r="A17" s="249">
        <v>41185.984178240738</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41185.98333333333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H$6</f>
        <v>SFDC.xlsx</v>
      </c>
      <c r="I21" s="601" t="s">
        <v>594</v>
      </c>
      <c r="J21" s="134" t="s">
        <v>595</v>
      </c>
      <c r="K21" s="298" t="s">
        <v>600</v>
      </c>
      <c r="L21" s="140">
        <v>2</v>
      </c>
      <c r="M21" s="140">
        <v>1</v>
      </c>
      <c r="N21" s="162">
        <v>41185.96875</v>
      </c>
      <c r="O21" s="600"/>
      <c r="P21" s="300"/>
      <c r="Q21" s="600"/>
      <c r="R21" s="300"/>
      <c r="S21" s="300"/>
    </row>
    <row r="22" spans="1:20" s="136" customFormat="1" x14ac:dyDescent="0.25">
      <c r="A22" s="250">
        <v>41185.98810185185</v>
      </c>
      <c r="B22" s="136" t="s">
        <v>611</v>
      </c>
      <c r="C22" s="157">
        <v>8579</v>
      </c>
      <c r="D22" s="157" t="s">
        <v>130</v>
      </c>
      <c r="E22" s="157" t="s">
        <v>603</v>
      </c>
      <c r="F22" s="136" t="s">
        <v>801</v>
      </c>
      <c r="G22" s="571">
        <v>10</v>
      </c>
      <c r="H22" s="136" t="s">
        <v>700</v>
      </c>
      <c r="I22" s="280" t="str">
        <f>B22</f>
        <v>Склад</v>
      </c>
      <c r="J22" s="137" t="s">
        <v>65</v>
      </c>
      <c r="K22" s="152" t="s">
        <v>623</v>
      </c>
      <c r="L22" s="142" t="s">
        <v>676</v>
      </c>
      <c r="M22" s="142" t="s">
        <v>908</v>
      </c>
      <c r="N22" s="135">
        <v>41184.082175925927</v>
      </c>
      <c r="O22" s="154" t="s">
        <v>317</v>
      </c>
      <c r="P22" s="160"/>
      <c r="Q22" s="599" t="s">
        <v>897</v>
      </c>
      <c r="R22" s="279"/>
      <c r="S22" s="160"/>
      <c r="T22" s="136" t="s">
        <v>659</v>
      </c>
    </row>
    <row r="23" spans="1:20" s="149" customFormat="1" x14ac:dyDescent="0.25">
      <c r="A23" s="276"/>
      <c r="C23" s="277"/>
      <c r="D23" s="277"/>
      <c r="E23" s="277"/>
      <c r="I23" s="160"/>
      <c r="J23" s="151" t="s">
        <v>701</v>
      </c>
      <c r="K23" s="152" t="s">
        <v>600</v>
      </c>
      <c r="L23" s="153" t="s">
        <v>676</v>
      </c>
      <c r="M23" s="153" t="s">
        <v>909</v>
      </c>
      <c r="N23" s="148"/>
      <c r="O23" s="154" t="s">
        <v>317</v>
      </c>
      <c r="Q23" s="154"/>
      <c r="R23" s="279"/>
    </row>
    <row r="24" spans="1:20" s="149" customFormat="1" x14ac:dyDescent="0.25">
      <c r="A24" s="276"/>
      <c r="C24" s="277"/>
      <c r="D24" s="277"/>
      <c r="E24" s="277"/>
      <c r="I24" s="160"/>
      <c r="J24" s="151" t="s">
        <v>702</v>
      </c>
      <c r="K24" s="152" t="s">
        <v>600</v>
      </c>
      <c r="L24" s="153" t="s">
        <v>676</v>
      </c>
      <c r="M24" s="153" t="s">
        <v>904</v>
      </c>
      <c r="N24" s="148"/>
      <c r="O24" s="154" t="s">
        <v>317</v>
      </c>
      <c r="Q24" s="154"/>
      <c r="R24" s="279"/>
    </row>
    <row r="25" spans="1:20" s="149" customFormat="1" x14ac:dyDescent="0.25">
      <c r="A25" s="276"/>
      <c r="C25" s="277"/>
      <c r="D25" s="277"/>
      <c r="E25" s="277"/>
      <c r="I25" s="160"/>
      <c r="J25" s="151" t="s">
        <v>703</v>
      </c>
      <c r="K25" s="152" t="s">
        <v>600</v>
      </c>
      <c r="L25" s="153" t="s">
        <v>676</v>
      </c>
      <c r="M25" s="153" t="s">
        <v>905</v>
      </c>
      <c r="N25" s="148"/>
      <c r="O25" s="154" t="s">
        <v>317</v>
      </c>
      <c r="Q25" s="154"/>
      <c r="R25" s="279"/>
    </row>
    <row r="26" spans="1:20" s="149" customFormat="1" x14ac:dyDescent="0.25">
      <c r="A26" s="276"/>
      <c r="C26" s="277"/>
      <c r="D26" s="277"/>
      <c r="E26" s="277"/>
      <c r="I26" s="160"/>
      <c r="J26" s="151" t="s">
        <v>704</v>
      </c>
      <c r="K26" s="152" t="s">
        <v>600</v>
      </c>
      <c r="L26" s="153" t="s">
        <v>676</v>
      </c>
      <c r="M26" s="153" t="s">
        <v>906</v>
      </c>
      <c r="N26" s="148"/>
      <c r="O26" s="154" t="s">
        <v>317</v>
      </c>
      <c r="Q26" s="154"/>
      <c r="R26" s="279"/>
    </row>
    <row r="27" spans="1:20" s="282" customFormat="1" x14ac:dyDescent="0.25">
      <c r="A27" s="281"/>
      <c r="C27" s="283"/>
      <c r="D27" s="283"/>
      <c r="E27" s="283"/>
      <c r="I27" s="160"/>
      <c r="J27" s="284" t="s">
        <v>705</v>
      </c>
      <c r="K27" s="285" t="s">
        <v>600</v>
      </c>
      <c r="L27" s="286" t="s">
        <v>676</v>
      </c>
      <c r="M27" s="286" t="s">
        <v>907</v>
      </c>
      <c r="N27" s="287"/>
      <c r="O27" s="288"/>
      <c r="Q27" s="288"/>
      <c r="R27" s="289"/>
    </row>
    <row r="28" spans="1:20" s="291" customFormat="1" x14ac:dyDescent="0.25">
      <c r="A28" s="290">
        <v>41186.075243055559</v>
      </c>
      <c r="B28" s="291" t="s">
        <v>615</v>
      </c>
      <c r="C28" s="292">
        <v>1221</v>
      </c>
      <c r="D28" s="572">
        <v>8</v>
      </c>
      <c r="E28" s="572">
        <v>19</v>
      </c>
      <c r="F28" s="291" t="s">
        <v>801</v>
      </c>
      <c r="G28" s="572">
        <v>10</v>
      </c>
      <c r="H28" s="291" t="s">
        <v>700</v>
      </c>
      <c r="I28" s="278" t="str">
        <f>B28</f>
        <v>Заказы</v>
      </c>
      <c r="J28" s="293" t="s">
        <v>706</v>
      </c>
      <c r="K28" s="294" t="s">
        <v>600</v>
      </c>
      <c r="L28" s="295" t="s">
        <v>676</v>
      </c>
      <c r="M28" s="295" t="s">
        <v>913</v>
      </c>
      <c r="N28" s="296">
        <v>41186.066840277781</v>
      </c>
      <c r="O28" s="291" t="s">
        <v>317</v>
      </c>
      <c r="P28" s="573">
        <v>2</v>
      </c>
      <c r="Q28" s="598" t="s">
        <v>896</v>
      </c>
      <c r="R28" s="149"/>
      <c r="S28" s="149"/>
      <c r="T28" s="291" t="s">
        <v>660</v>
      </c>
    </row>
    <row r="29" spans="1:20" s="149" customFormat="1" x14ac:dyDescent="0.25">
      <c r="A29" s="297"/>
      <c r="C29" s="277"/>
      <c r="J29" s="151" t="s">
        <v>707</v>
      </c>
      <c r="K29" s="152" t="s">
        <v>600</v>
      </c>
      <c r="L29" s="153" t="s">
        <v>676</v>
      </c>
      <c r="M29" s="153" t="s">
        <v>914</v>
      </c>
      <c r="N29" s="148"/>
      <c r="O29" s="149" t="s">
        <v>317</v>
      </c>
      <c r="P29" s="574">
        <v>2</v>
      </c>
    </row>
    <row r="30" spans="1:20" x14ac:dyDescent="0.25">
      <c r="A30" s="264"/>
      <c r="C30" s="270"/>
      <c r="H30" s="149"/>
      <c r="I30" s="149"/>
      <c r="J30" s="151" t="s">
        <v>65</v>
      </c>
      <c r="K30" s="152" t="s">
        <v>600</v>
      </c>
      <c r="L30" s="153" t="s">
        <v>676</v>
      </c>
      <c r="M30" s="153" t="s">
        <v>915</v>
      </c>
      <c r="N30" s="148"/>
      <c r="O30" t="s">
        <v>317</v>
      </c>
      <c r="P30" s="574">
        <v>2</v>
      </c>
    </row>
    <row r="31" spans="1:20" x14ac:dyDescent="0.25">
      <c r="A31" s="264"/>
      <c r="C31" s="270"/>
      <c r="H31" s="149"/>
      <c r="I31" s="149"/>
      <c r="J31" s="151" t="s">
        <v>1</v>
      </c>
      <c r="K31" s="152" t="s">
        <v>600</v>
      </c>
      <c r="L31" s="153" t="s">
        <v>676</v>
      </c>
      <c r="M31" s="153" t="s">
        <v>916</v>
      </c>
      <c r="N31" s="148"/>
      <c r="O31" t="s">
        <v>317</v>
      </c>
      <c r="P31" s="574">
        <v>2</v>
      </c>
    </row>
    <row r="32" spans="1:20" x14ac:dyDescent="0.25">
      <c r="A32" s="264"/>
      <c r="C32" s="270"/>
      <c r="H32" s="149"/>
      <c r="I32" s="149"/>
      <c r="J32" s="151" t="s">
        <v>708</v>
      </c>
      <c r="K32" s="152" t="s">
        <v>600</v>
      </c>
      <c r="L32" s="153" t="s">
        <v>676</v>
      </c>
      <c r="M32" s="153" t="s">
        <v>917</v>
      </c>
      <c r="N32" s="148"/>
      <c r="O32" t="s">
        <v>317</v>
      </c>
      <c r="P32" s="574">
        <v>2</v>
      </c>
    </row>
    <row r="33" spans="1:20" x14ac:dyDescent="0.25">
      <c r="A33" s="264"/>
      <c r="C33" s="270"/>
      <c r="H33" s="149"/>
      <c r="I33" s="149"/>
      <c r="J33" s="151" t="s">
        <v>709</v>
      </c>
      <c r="K33" s="152" t="s">
        <v>600</v>
      </c>
      <c r="L33" s="153" t="s">
        <v>676</v>
      </c>
      <c r="M33" s="153" t="s">
        <v>918</v>
      </c>
      <c r="N33" s="148"/>
      <c r="O33" t="s">
        <v>317</v>
      </c>
      <c r="P33" s="574">
        <v>2</v>
      </c>
    </row>
    <row r="34" spans="1:20" x14ac:dyDescent="0.25">
      <c r="A34" s="264"/>
      <c r="C34" s="270"/>
      <c r="H34" s="149"/>
      <c r="I34" s="149"/>
      <c r="J34" s="151" t="s">
        <v>710</v>
      </c>
      <c r="K34" s="298" t="s">
        <v>600</v>
      </c>
      <c r="L34" s="153" t="s">
        <v>676</v>
      </c>
      <c r="M34" s="153" t="s">
        <v>919</v>
      </c>
      <c r="N34" s="148"/>
      <c r="P34" s="575">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18"/>
  <sheetViews>
    <sheetView zoomScale="90" zoomScaleNormal="90" workbookViewId="0">
      <pane ySplit="1" topLeftCell="A70" activePane="bottomLeft" state="frozen"/>
      <selection pane="bottomLeft" activeCell="J90" sqref="J90"/>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41187.014374999999</v>
      </c>
      <c r="C1" s="125" t="s">
        <v>627</v>
      </c>
      <c r="D1" s="125"/>
      <c r="G1" s="469" t="s">
        <v>864</v>
      </c>
      <c r="H1" s="469"/>
      <c r="I1" s="469" t="s">
        <v>926</v>
      </c>
    </row>
    <row r="2" spans="1:21" ht="15" customHeight="1" thickBot="1" x14ac:dyDescent="0.35">
      <c r="B2" s="125"/>
    </row>
    <row r="3" spans="1:21" ht="15.75" customHeight="1" x14ac:dyDescent="0.25">
      <c r="E3" s="636" t="s">
        <v>631</v>
      </c>
      <c r="F3" s="638" t="s">
        <v>632</v>
      </c>
      <c r="G3" s="639"/>
      <c r="H3" s="639"/>
      <c r="I3" s="639"/>
      <c r="J3" s="640"/>
      <c r="K3" s="638" t="s">
        <v>633</v>
      </c>
      <c r="L3" s="639"/>
      <c r="M3" s="639"/>
      <c r="N3" s="639"/>
      <c r="O3" s="640"/>
    </row>
    <row r="4" spans="1:21" s="123" customFormat="1" ht="15.75" thickBot="1" x14ac:dyDescent="0.3">
      <c r="B4" s="158" t="s">
        <v>628</v>
      </c>
      <c r="C4" s="123" t="s">
        <v>629</v>
      </c>
      <c r="E4" s="637"/>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6"/>
      <c r="B6" s="497" t="s">
        <v>637</v>
      </c>
      <c r="C6" s="496"/>
      <c r="E6" s="190"/>
      <c r="F6" s="189" t="s">
        <v>653</v>
      </c>
      <c r="G6" s="174"/>
      <c r="H6" s="174"/>
      <c r="I6" s="174"/>
      <c r="J6" s="175"/>
      <c r="K6" s="188" t="s">
        <v>574</v>
      </c>
      <c r="L6" s="174"/>
      <c r="M6" s="174"/>
      <c r="N6" s="174"/>
      <c r="O6" s="175"/>
      <c r="T6" s="123"/>
      <c r="U6" s="123"/>
    </row>
    <row r="7" spans="1:21" s="173" customFormat="1" hidden="1" outlineLevel="1" x14ac:dyDescent="0.25">
      <c r="A7" s="265">
        <v>41185.863171296296</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41185.984733796293</v>
      </c>
      <c r="B8" s="266" t="s">
        <v>801</v>
      </c>
      <c r="C8" s="498"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41185.863553240742</v>
      </c>
      <c r="B9" s="266" t="s">
        <v>630</v>
      </c>
      <c r="C9" s="474"/>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12">
        <v>41185.984953703701</v>
      </c>
      <c r="B10" s="470" t="s">
        <v>642</v>
      </c>
      <c r="C10" s="498"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41185.985000000001</v>
      </c>
      <c r="B11" s="266" t="s">
        <v>671</v>
      </c>
      <c r="C11" s="498"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1"/>
      <c r="B12" s="472" t="s">
        <v>638</v>
      </c>
      <c r="C12" s="238"/>
      <c r="D12" s="205"/>
      <c r="E12" s="206"/>
      <c r="F12" s="207"/>
      <c r="G12" s="208"/>
      <c r="H12" s="208"/>
      <c r="I12" s="208"/>
      <c r="J12" s="209"/>
      <c r="K12" s="210"/>
      <c r="L12" s="211"/>
      <c r="M12" s="208"/>
      <c r="N12" s="211"/>
      <c r="O12" s="209"/>
    </row>
    <row r="13" spans="1:21" s="173" customFormat="1" collapsed="1" x14ac:dyDescent="0.25">
      <c r="A13" s="482"/>
      <c r="B13" s="483" t="s">
        <v>637</v>
      </c>
      <c r="C13" s="484"/>
      <c r="D13" s="485"/>
      <c r="E13" s="486" t="s">
        <v>201</v>
      </c>
      <c r="F13" s="487" t="s">
        <v>654</v>
      </c>
      <c r="G13" s="485"/>
      <c r="H13" s="485"/>
      <c r="I13" s="485"/>
      <c r="J13" s="488"/>
      <c r="K13" s="489" t="str">
        <f>TOCmatch!B10</f>
        <v>Договоры</v>
      </c>
      <c r="L13" s="490"/>
      <c r="M13" s="485"/>
      <c r="N13" s="490"/>
      <c r="O13" s="488"/>
    </row>
    <row r="14" spans="1:21" s="149" customFormat="1" hidden="1" outlineLevel="1" x14ac:dyDescent="0.25">
      <c r="A14" s="265">
        <v>41185.936979166669</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41185.985150462962</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12">
        <v>41185.985196759262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612">
        <v>41185.985254629632</v>
      </c>
      <c r="B17" s="470" t="s">
        <v>634</v>
      </c>
      <c r="C17" s="613"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41185.985289351855</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1"/>
      <c r="B19" s="472" t="s">
        <v>638</v>
      </c>
      <c r="C19" s="238"/>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41185.985381944447</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614"/>
      <c r="B25" s="615" t="s">
        <v>638</v>
      </c>
      <c r="C25" s="596"/>
      <c r="D25" s="241"/>
      <c r="E25" s="242"/>
      <c r="F25" s="243"/>
      <c r="G25" s="244"/>
      <c r="H25" s="244"/>
      <c r="I25" s="244"/>
      <c r="J25" s="245"/>
      <c r="K25" s="246"/>
      <c r="L25" s="247"/>
      <c r="M25" s="244"/>
      <c r="N25" s="247"/>
      <c r="O25" s="245"/>
    </row>
    <row r="26" spans="1:15" s="173" customFormat="1" ht="15.75" collapsed="1" thickTop="1" x14ac:dyDescent="0.25">
      <c r="A26" s="609"/>
      <c r="B26" s="610" t="s">
        <v>637</v>
      </c>
      <c r="C26" s="611"/>
      <c r="D26" s="315"/>
      <c r="E26" s="316" t="s">
        <v>201</v>
      </c>
      <c r="F26" s="317" t="s">
        <v>656</v>
      </c>
      <c r="G26" s="315"/>
      <c r="H26" s="315"/>
      <c r="I26" s="315"/>
      <c r="J26" s="318"/>
      <c r="K26" s="319" t="s">
        <v>581</v>
      </c>
      <c r="L26" s="320"/>
      <c r="M26" s="315"/>
      <c r="N26" s="320"/>
      <c r="O26" s="318"/>
    </row>
    <row r="27" spans="1:15" hidden="1" outlineLevel="1" x14ac:dyDescent="0.25">
      <c r="A27" s="265">
        <v>41185.975208333337</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41185.975277777776</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41185.975289351853</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41185.98574074074</v>
      </c>
      <c r="B30" s="470"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1"/>
      <c r="B31" s="472" t="s">
        <v>638</v>
      </c>
      <c r="C31" s="238"/>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41185.96435185185</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41185.964375000003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41185.964398148149</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41185.986215277779</v>
      </c>
      <c r="B36" s="470" t="s">
        <v>679</v>
      </c>
      <c r="C36" s="613"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1"/>
      <c r="B37" s="472" t="s">
        <v>638</v>
      </c>
      <c r="C37" s="238"/>
      <c r="D37" s="205"/>
      <c r="E37" s="206" t="s">
        <v>201</v>
      </c>
      <c r="F37" s="207"/>
      <c r="G37" s="208"/>
      <c r="H37" s="208"/>
      <c r="I37" s="208"/>
      <c r="J37" s="209"/>
      <c r="K37" s="210"/>
      <c r="L37" s="211"/>
      <c r="M37" s="208"/>
      <c r="N37" s="211"/>
      <c r="O37" s="209"/>
    </row>
    <row r="38" spans="1:21" s="173" customFormat="1" collapsed="1" x14ac:dyDescent="0.25">
      <c r="A38" s="482"/>
      <c r="B38" s="483" t="s">
        <v>637</v>
      </c>
      <c r="C38" s="484"/>
      <c r="D38" s="485"/>
      <c r="E38" s="486" t="s">
        <v>201</v>
      </c>
      <c r="F38" s="487" t="s">
        <v>658</v>
      </c>
      <c r="G38" s="485"/>
      <c r="H38" s="485"/>
      <c r="I38" s="485"/>
      <c r="J38" s="488"/>
      <c r="K38" s="489" t="str">
        <f>TOCmatch!B17</f>
        <v>SFacc</v>
      </c>
      <c r="L38" s="490"/>
      <c r="M38" s="485"/>
      <c r="N38" s="490"/>
      <c r="O38" s="488"/>
    </row>
    <row r="39" spans="1:21" hidden="1" outlineLevel="1" x14ac:dyDescent="0.25">
      <c r="A39" s="265">
        <v>41185.985000000001</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41185.985289351855</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41185.985381944447</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14"/>
      <c r="B42" s="615" t="s">
        <v>638</v>
      </c>
      <c r="C42" s="596"/>
      <c r="D42" s="241"/>
      <c r="E42" s="242"/>
      <c r="F42" s="243"/>
      <c r="G42" s="244"/>
      <c r="H42" s="244"/>
      <c r="I42" s="244"/>
      <c r="J42" s="245"/>
      <c r="K42" s="246"/>
      <c r="L42" s="247"/>
      <c r="M42" s="244"/>
      <c r="N42" s="247"/>
      <c r="O42" s="245"/>
    </row>
    <row r="43" spans="1:21" s="173" customFormat="1" collapsed="1" x14ac:dyDescent="0.25">
      <c r="A43" s="496"/>
      <c r="B43" s="497" t="s">
        <v>637</v>
      </c>
      <c r="C43" s="496"/>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41186.068043981482</v>
      </c>
      <c r="B44" s="266" t="s">
        <v>890</v>
      </c>
      <c r="C44" s="305" t="s">
        <v>617</v>
      </c>
      <c r="D44" s="196"/>
      <c r="E44" s="197" t="s">
        <v>70</v>
      </c>
      <c r="F44" s="214" t="s">
        <v>894</v>
      </c>
      <c r="G44" s="221"/>
      <c r="H44" s="198"/>
      <c r="I44" s="198"/>
      <c r="J44" s="199"/>
      <c r="K44" s="200" t="str">
        <f>K43</f>
        <v>Заказы</v>
      </c>
      <c r="L44" s="201"/>
      <c r="M44" s="198"/>
      <c r="N44" s="201"/>
      <c r="O44" s="199"/>
    </row>
    <row r="45" spans="1:21" s="173" customFormat="1" outlineLevel="1" x14ac:dyDescent="0.25">
      <c r="A45" s="265">
        <v>41186.068101851852</v>
      </c>
      <c r="B45" s="266" t="s">
        <v>619</v>
      </c>
      <c r="C45" s="498" t="str">
        <f>B44</f>
        <v>RowDel</v>
      </c>
      <c r="D45" s="196"/>
      <c r="E45" s="197" t="s">
        <v>70</v>
      </c>
      <c r="F45" s="200" t="s">
        <v>895</v>
      </c>
      <c r="G45" s="438"/>
      <c r="H45" s="198"/>
      <c r="I45" s="198"/>
      <c r="J45" s="199"/>
      <c r="K45" s="200" t="str">
        <f>K43</f>
        <v>Заказы</v>
      </c>
      <c r="L45" s="201"/>
      <c r="M45" s="198"/>
      <c r="N45" s="201"/>
      <c r="O45" s="199"/>
      <c r="T45" s="123"/>
      <c r="U45" s="123"/>
    </row>
    <row r="46" spans="1:21" s="173" customFormat="1" outlineLevel="1" x14ac:dyDescent="0.25">
      <c r="A46" s="265">
        <v>41186.06826388889</v>
      </c>
      <c r="B46" s="266" t="s">
        <v>893</v>
      </c>
      <c r="C46" s="498" t="str">
        <f>B45</f>
        <v>InsMyCol</v>
      </c>
      <c r="D46" s="196"/>
      <c r="E46" s="197" t="s">
        <v>70</v>
      </c>
      <c r="F46" s="214" t="s">
        <v>94</v>
      </c>
      <c r="G46" s="221" t="s">
        <v>126</v>
      </c>
      <c r="H46" s="221" t="s">
        <v>130</v>
      </c>
      <c r="I46" s="221" t="s">
        <v>833</v>
      </c>
      <c r="J46" s="595"/>
      <c r="K46" s="200" t="str">
        <f>K43</f>
        <v>Заказы</v>
      </c>
      <c r="L46" s="201" t="str">
        <f>TOCmatch!B8</f>
        <v>Платежи</v>
      </c>
      <c r="M46" s="198"/>
      <c r="O46" s="199"/>
    </row>
    <row r="47" spans="1:21" s="173" customFormat="1" outlineLevel="1" x14ac:dyDescent="0.25">
      <c r="A47" s="217"/>
      <c r="B47" s="196" t="s">
        <v>643</v>
      </c>
      <c r="C47" s="237"/>
      <c r="D47" s="196"/>
      <c r="E47" s="197"/>
      <c r="F47" s="214" t="s">
        <v>70</v>
      </c>
      <c r="G47" s="221"/>
      <c r="H47" s="198"/>
      <c r="I47" s="198"/>
      <c r="J47" s="199"/>
      <c r="K47" s="597"/>
      <c r="L47" s="201"/>
      <c r="M47" s="198"/>
      <c r="N47" s="201"/>
      <c r="O47" s="199"/>
    </row>
    <row r="48" spans="1:21" s="173" customFormat="1" outlineLevel="1" x14ac:dyDescent="0.25">
      <c r="A48" s="265">
        <v>41186.075243055559</v>
      </c>
      <c r="B48" s="266" t="s">
        <v>801</v>
      </c>
      <c r="C48" s="498" t="str">
        <f>B46</f>
        <v>GetInv1C</v>
      </c>
      <c r="D48" s="196"/>
      <c r="E48" s="197" t="s">
        <v>70</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outlineLevel="1" x14ac:dyDescent="0.25">
      <c r="A49" s="471"/>
      <c r="B49" s="472" t="s">
        <v>638</v>
      </c>
      <c r="C49" s="238"/>
      <c r="D49" s="205"/>
      <c r="E49" s="206"/>
      <c r="F49" s="207"/>
      <c r="G49" s="208"/>
      <c r="H49" s="208"/>
      <c r="I49" s="208"/>
      <c r="J49" s="209"/>
      <c r="K49" s="210"/>
      <c r="L49" s="211"/>
      <c r="M49" s="208"/>
      <c r="N49" s="211"/>
      <c r="O49" s="209"/>
    </row>
    <row r="50" spans="1:21" s="173" customFormat="1" x14ac:dyDescent="0.25">
      <c r="A50" s="496"/>
      <c r="B50" s="497" t="s">
        <v>637</v>
      </c>
      <c r="C50" s="496"/>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597"/>
      <c r="L51" s="201"/>
      <c r="M51" s="198"/>
      <c r="N51" s="201"/>
      <c r="O51" s="199"/>
    </row>
    <row r="52" spans="1:21" s="173" customFormat="1" outlineLevel="1" x14ac:dyDescent="0.25">
      <c r="A52" s="265">
        <v>41184.979722222219</v>
      </c>
      <c r="B52" s="266" t="s">
        <v>890</v>
      </c>
      <c r="C52" s="236" t="s">
        <v>617</v>
      </c>
      <c r="D52" s="196"/>
      <c r="E52" s="197" t="s">
        <v>70</v>
      </c>
      <c r="F52" s="214" t="s">
        <v>891</v>
      </c>
      <c r="G52" s="221"/>
      <c r="H52" s="198"/>
      <c r="I52" s="198"/>
      <c r="J52" s="199"/>
      <c r="K52" s="597" t="str">
        <f>K50</f>
        <v>Склад</v>
      </c>
      <c r="L52" s="201"/>
      <c r="M52" s="198"/>
      <c r="N52" s="201"/>
      <c r="O52" s="199"/>
    </row>
    <row r="53" spans="1:21" s="173" customFormat="1" outlineLevel="1" x14ac:dyDescent="0.25">
      <c r="A53" s="265">
        <v>41184.980092592596</v>
      </c>
      <c r="B53" s="266" t="s">
        <v>619</v>
      </c>
      <c r="C53" s="498" t="str">
        <f>B52</f>
        <v>RowDel</v>
      </c>
      <c r="D53" s="196"/>
      <c r="E53" s="197" t="s">
        <v>70</v>
      </c>
      <c r="F53" s="200" t="s">
        <v>892</v>
      </c>
      <c r="G53" s="221"/>
      <c r="H53" s="198"/>
      <c r="I53" s="198"/>
      <c r="J53" s="199"/>
      <c r="K53" s="200" t="str">
        <f>K50</f>
        <v>Склад</v>
      </c>
      <c r="L53" s="201"/>
      <c r="M53" s="198"/>
      <c r="N53" s="201"/>
      <c r="O53" s="199"/>
      <c r="T53" s="123"/>
      <c r="U53" s="123"/>
    </row>
    <row r="54" spans="1:21" s="149" customFormat="1" outlineLevel="1" x14ac:dyDescent="0.25">
      <c r="A54" s="265">
        <v>41185.987870370373</v>
      </c>
      <c r="B54" s="266" t="s">
        <v>893</v>
      </c>
      <c r="C54" s="498" t="str">
        <f>B53</f>
        <v>InsMyCol</v>
      </c>
      <c r="D54" s="196"/>
      <c r="E54" s="197" t="s">
        <v>70</v>
      </c>
      <c r="F54" s="214" t="s">
        <v>128</v>
      </c>
      <c r="G54" s="221" t="s">
        <v>91</v>
      </c>
      <c r="H54" s="221" t="s">
        <v>110</v>
      </c>
      <c r="I54" s="221" t="s">
        <v>833</v>
      </c>
      <c r="J54" s="595"/>
      <c r="K54" s="597" t="str">
        <f>K50</f>
        <v>Склад</v>
      </c>
      <c r="L54" s="201" t="str">
        <f>TOCmatch!B8</f>
        <v>Платежи</v>
      </c>
      <c r="M54" s="215"/>
      <c r="N54" s="173"/>
      <c r="O54" s="199"/>
    </row>
    <row r="55" spans="1:21" s="173" customFormat="1" outlineLevel="1" x14ac:dyDescent="0.25">
      <c r="A55" s="265">
        <v>41185.98810185185</v>
      </c>
      <c r="B55" s="266" t="s">
        <v>801</v>
      </c>
      <c r="C55" s="498" t="str">
        <f>B54</f>
        <v>GetInv1C</v>
      </c>
      <c r="D55" s="196"/>
      <c r="E55" s="197" t="s">
        <v>70</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outlineLevel="1" thickBot="1" x14ac:dyDescent="0.3">
      <c r="A56" s="471"/>
      <c r="B56" s="472" t="s">
        <v>638</v>
      </c>
      <c r="C56" s="238"/>
      <c r="D56" s="205"/>
      <c r="E56" s="206"/>
      <c r="F56" s="207"/>
      <c r="G56" s="208"/>
      <c r="H56" s="208"/>
      <c r="I56" s="208"/>
      <c r="J56" s="209"/>
      <c r="K56" s="210"/>
      <c r="L56" s="211"/>
      <c r="M56" s="208"/>
      <c r="N56" s="211"/>
      <c r="O56" s="209"/>
    </row>
    <row r="57" spans="1:21" s="173" customFormat="1" ht="15.75" thickTop="1" x14ac:dyDescent="0.25">
      <c r="A57" s="491"/>
      <c r="B57" s="492" t="s">
        <v>637</v>
      </c>
      <c r="C57" s="493"/>
      <c r="D57" s="315"/>
      <c r="E57" s="316" t="s">
        <v>201</v>
      </c>
      <c r="F57" s="317" t="s">
        <v>662</v>
      </c>
      <c r="G57" s="315"/>
      <c r="H57" s="315"/>
      <c r="I57" s="315"/>
      <c r="J57" s="318"/>
      <c r="K57" s="494" t="s">
        <v>574</v>
      </c>
      <c r="L57" s="320"/>
      <c r="M57" s="315"/>
      <c r="N57" s="320"/>
      <c r="O57" s="318"/>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x14ac:dyDescent="0.25">
      <c r="A61" s="204"/>
      <c r="B61" s="205" t="s">
        <v>638</v>
      </c>
      <c r="C61" s="238"/>
      <c r="D61" s="205"/>
      <c r="E61" s="206" t="s">
        <v>201</v>
      </c>
      <c r="F61" s="207"/>
      <c r="G61" s="208"/>
      <c r="H61" s="208"/>
      <c r="I61" s="208"/>
      <c r="J61" s="209"/>
      <c r="K61" s="210"/>
      <c r="L61" s="211"/>
      <c r="M61" s="208"/>
      <c r="N61" s="211"/>
      <c r="O61" s="209"/>
    </row>
    <row r="62" spans="1:21" s="173" customFormat="1" x14ac:dyDescent="0.25">
      <c r="A62" s="265"/>
      <c r="B62" s="266" t="s">
        <v>637</v>
      </c>
      <c r="C62" s="267"/>
      <c r="D62" s="212"/>
      <c r="E62" s="197"/>
      <c r="F62" s="213" t="s">
        <v>827</v>
      </c>
      <c r="G62" s="198"/>
      <c r="H62" s="198"/>
      <c r="I62" s="198"/>
      <c r="J62" s="199"/>
      <c r="K62" s="188" t="str">
        <f>TOCmatch!B8</f>
        <v>Платежи</v>
      </c>
      <c r="L62" s="201"/>
      <c r="M62" s="198"/>
      <c r="N62" s="201"/>
      <c r="O62" s="199"/>
      <c r="P62" s="478"/>
    </row>
    <row r="63" spans="1:21" s="173" customFormat="1" x14ac:dyDescent="0.25">
      <c r="A63" s="265">
        <v>41176.83766203704</v>
      </c>
      <c r="B63" s="266" t="s">
        <v>697</v>
      </c>
      <c r="C63" s="267"/>
      <c r="D63" s="212"/>
      <c r="E63" s="197"/>
      <c r="F63" s="268" t="s">
        <v>828</v>
      </c>
      <c r="G63" s="198"/>
      <c r="H63" s="198"/>
      <c r="I63" s="198"/>
      <c r="J63" s="199"/>
      <c r="K63" s="188"/>
      <c r="L63" s="201"/>
      <c r="M63" s="198"/>
      <c r="N63" s="201"/>
      <c r="O63" s="199"/>
      <c r="P63" s="478"/>
    </row>
    <row r="64" spans="1:21" s="173" customFormat="1" x14ac:dyDescent="0.25">
      <c r="A64" s="217"/>
      <c r="B64" s="196" t="s">
        <v>643</v>
      </c>
      <c r="C64" s="237"/>
      <c r="D64" s="196"/>
      <c r="E64" s="197"/>
      <c r="F64" s="214" t="s">
        <v>70</v>
      </c>
      <c r="G64" s="221"/>
      <c r="H64" s="198"/>
      <c r="I64" s="198"/>
      <c r="J64" s="199"/>
      <c r="K64" s="200"/>
      <c r="L64" s="201"/>
      <c r="M64" s="198"/>
      <c r="N64" s="201"/>
      <c r="O64" s="199"/>
      <c r="P64" s="478"/>
    </row>
    <row r="65" spans="1:16" s="173" customFormat="1" x14ac:dyDescent="0.25">
      <c r="A65" s="265">
        <v>41176.837731481479</v>
      </c>
      <c r="B65" s="266" t="s">
        <v>829</v>
      </c>
      <c r="C65" s="475" t="e">
        <f>#REF!&amp;"/"&amp;#REF!</f>
        <v>#REF!</v>
      </c>
      <c r="D65" s="196"/>
      <c r="E65" s="197"/>
      <c r="F65" s="214"/>
      <c r="G65" s="221"/>
      <c r="H65" s="198"/>
      <c r="I65" s="198"/>
      <c r="J65" s="199"/>
      <c r="K65" s="200" t="str">
        <f>K62</f>
        <v>Платежи</v>
      </c>
      <c r="L65" s="304" t="str">
        <f>TOCmatch!B11</f>
        <v>Договоры</v>
      </c>
      <c r="M65" s="198"/>
      <c r="N65" s="201"/>
      <c r="O65" s="199"/>
      <c r="P65" s="478"/>
    </row>
    <row r="66" spans="1:16" s="173" customFormat="1" x14ac:dyDescent="0.25">
      <c r="A66" s="265">
        <v>41176.837766203702</v>
      </c>
      <c r="B66" s="470" t="s">
        <v>646</v>
      </c>
      <c r="C66" s="475" t="str">
        <f>B65</f>
        <v>NewPaidOpp</v>
      </c>
      <c r="D66" s="196"/>
      <c r="E66" s="197"/>
      <c r="F66" s="269" t="str">
        <f>F63</f>
        <v>NewPayment</v>
      </c>
      <c r="G66" s="201" t="s">
        <v>825</v>
      </c>
      <c r="H66" s="215" t="s">
        <v>687</v>
      </c>
      <c r="I66" s="215" t="s">
        <v>688</v>
      </c>
      <c r="J66" s="199"/>
      <c r="K66" s="200"/>
      <c r="L66" s="201"/>
      <c r="M66" s="198"/>
      <c r="N66" s="201"/>
      <c r="O66" s="199"/>
      <c r="P66" s="478"/>
    </row>
    <row r="67" spans="1:16" s="187" customFormat="1" x14ac:dyDescent="0.25">
      <c r="A67" s="471"/>
      <c r="B67" s="472" t="s">
        <v>638</v>
      </c>
      <c r="C67" s="473"/>
      <c r="D67" s="205"/>
      <c r="E67" s="206"/>
      <c r="F67" s="207"/>
      <c r="G67" s="208"/>
      <c r="H67" s="208"/>
      <c r="I67" s="208"/>
      <c r="J67" s="209"/>
      <c r="K67" s="210"/>
      <c r="L67" s="211"/>
      <c r="M67" s="208"/>
      <c r="N67" s="211"/>
      <c r="O67" s="209"/>
      <c r="P67" s="479"/>
    </row>
    <row r="68" spans="1:16" s="173" customFormat="1" x14ac:dyDescent="0.25">
      <c r="A68" s="195"/>
      <c r="B68" s="196" t="s">
        <v>637</v>
      </c>
      <c r="C68" s="239"/>
      <c r="D68" s="212"/>
      <c r="E68" s="197"/>
      <c r="F68" s="213" t="s">
        <v>830</v>
      </c>
      <c r="G68" s="198"/>
      <c r="H68" s="198"/>
      <c r="I68" s="198"/>
      <c r="J68" s="199"/>
      <c r="K68" s="188" t="str">
        <f>TOCmatch!B8</f>
        <v>Платежи</v>
      </c>
      <c r="L68" s="201"/>
      <c r="M68" s="198"/>
      <c r="N68" s="201"/>
      <c r="O68" s="199"/>
      <c r="P68" s="476"/>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6"/>
    </row>
    <row r="70" spans="1:16" s="173" customFormat="1" ht="30" x14ac:dyDescent="0.25">
      <c r="A70" s="195">
        <v>41180.018483796295</v>
      </c>
      <c r="B70" s="196" t="s">
        <v>831</v>
      </c>
      <c r="C70" s="236" t="str">
        <f>F6&amp;"/"&amp;B10</f>
        <v>LOAD_1C_P/PaymentPaint</v>
      </c>
      <c r="D70" s="196"/>
      <c r="E70" s="197" t="s">
        <v>201</v>
      </c>
      <c r="F70" s="214"/>
      <c r="G70" s="221"/>
      <c r="H70" s="198"/>
      <c r="I70" s="198"/>
      <c r="J70" s="199"/>
      <c r="K70" s="200" t="str">
        <f>K68</f>
        <v>Платежи</v>
      </c>
      <c r="L70" s="304" t="str">
        <f>TOCmatch!B15</f>
        <v>SFD</v>
      </c>
      <c r="M70" s="198"/>
      <c r="N70" s="201"/>
      <c r="O70" s="199"/>
      <c r="P70" s="476"/>
    </row>
    <row r="71" spans="1:16" s="173" customFormat="1" x14ac:dyDescent="0.25">
      <c r="A71" s="195">
        <v>41180.018495370372</v>
      </c>
      <c r="B71" s="202" t="s">
        <v>646</v>
      </c>
      <c r="C71" s="481" t="str">
        <f>B70</f>
        <v>NewPaidDog</v>
      </c>
      <c r="D71" s="196"/>
      <c r="E71" s="197" t="s">
        <v>201</v>
      </c>
      <c r="F71" s="269" t="str">
        <f>F69</f>
        <v>NewPayment</v>
      </c>
      <c r="G71" s="201" t="s">
        <v>825</v>
      </c>
      <c r="H71" s="215" t="s">
        <v>836</v>
      </c>
      <c r="I71" s="215" t="s">
        <v>837</v>
      </c>
      <c r="J71" s="199"/>
      <c r="K71" s="200"/>
      <c r="L71" s="201"/>
      <c r="M71" s="198"/>
      <c r="N71" s="201"/>
      <c r="O71" s="199"/>
      <c r="P71" s="476"/>
    </row>
    <row r="72" spans="1:16" s="187" customFormat="1" ht="15.75" thickBot="1" x14ac:dyDescent="0.3">
      <c r="A72" s="204"/>
      <c r="B72" s="205" t="s">
        <v>638</v>
      </c>
      <c r="C72" s="238"/>
      <c r="D72" s="205"/>
      <c r="E72" s="203"/>
      <c r="F72" s="207"/>
      <c r="G72" s="208"/>
      <c r="H72" s="208"/>
      <c r="I72" s="208"/>
      <c r="J72" s="209"/>
      <c r="K72" s="210"/>
      <c r="L72" s="211"/>
      <c r="M72" s="208"/>
      <c r="N72" s="211"/>
      <c r="O72" s="209"/>
      <c r="P72" s="477"/>
    </row>
    <row r="73" spans="1:16" s="173" customFormat="1" ht="16.5" thickTop="1" thickBot="1" x14ac:dyDescent="0.3">
      <c r="A73" s="195"/>
      <c r="B73" s="196" t="s">
        <v>637</v>
      </c>
      <c r="C73" s="239"/>
      <c r="D73" s="212"/>
      <c r="E73" s="501" t="s">
        <v>201</v>
      </c>
      <c r="F73" s="500" t="s">
        <v>686</v>
      </c>
      <c r="G73" s="198"/>
      <c r="H73" s="198"/>
      <c r="I73" s="198"/>
      <c r="J73" s="199"/>
      <c r="K73" s="188" t="str">
        <f>K13</f>
        <v>Договоры</v>
      </c>
      <c r="L73" s="201"/>
      <c r="M73" s="198"/>
      <c r="N73" s="201"/>
      <c r="O73" s="199"/>
    </row>
    <row r="74" spans="1:16" s="173" customFormat="1" ht="15.75" thickTop="1" x14ac:dyDescent="0.25">
      <c r="A74" s="265">
        <v>41183.074756944443</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41183.074791666666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41183.074849537035</v>
      </c>
      <c r="B76" s="202" t="s">
        <v>646</v>
      </c>
      <c r="C76" s="481"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08">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K100</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54"/>
      <c r="B81" s="202" t="s">
        <v>638</v>
      </c>
      <c r="C81" s="555"/>
      <c r="D81" s="202"/>
      <c r="E81" s="203" t="s">
        <v>201</v>
      </c>
      <c r="F81" s="556"/>
      <c r="G81" s="198"/>
      <c r="H81" s="198"/>
      <c r="I81" s="198"/>
      <c r="J81" s="199"/>
      <c r="K81" s="200"/>
      <c r="L81" s="201"/>
      <c r="M81" s="198"/>
      <c r="N81" s="201"/>
      <c r="O81" s="199"/>
    </row>
    <row r="82" spans="1:15" s="563" customFormat="1" ht="16.5" thickTop="1" thickBot="1" x14ac:dyDescent="0.3">
      <c r="A82" s="629"/>
      <c r="B82" s="630" t="s">
        <v>637</v>
      </c>
      <c r="C82" s="631"/>
      <c r="D82" s="557"/>
      <c r="E82" s="558" t="s">
        <v>201</v>
      </c>
      <c r="F82" s="559" t="s">
        <v>864</v>
      </c>
      <c r="G82" s="557"/>
      <c r="H82" s="557"/>
      <c r="I82" s="557"/>
      <c r="J82" s="560"/>
      <c r="K82" s="561" t="str">
        <f>K6</f>
        <v>Платежи</v>
      </c>
      <c r="L82" s="562"/>
      <c r="M82" s="557"/>
      <c r="N82" s="562"/>
      <c r="O82" s="560"/>
    </row>
    <row r="83" spans="1:15" s="173" customFormat="1" ht="15.75" thickTop="1" x14ac:dyDescent="0.25">
      <c r="A83" s="195"/>
      <c r="B83" s="196" t="s">
        <v>643</v>
      </c>
      <c r="C83" s="237"/>
      <c r="D83" s="196" t="s">
        <v>201</v>
      </c>
      <c r="E83" s="197" t="s">
        <v>201</v>
      </c>
      <c r="F83" s="214" t="s">
        <v>70</v>
      </c>
      <c r="G83" s="221"/>
      <c r="H83" s="198"/>
      <c r="I83" s="198"/>
      <c r="J83" s="199"/>
      <c r="K83" s="200"/>
      <c r="L83" s="201"/>
      <c r="M83" s="198"/>
      <c r="N83" s="201"/>
      <c r="O83" s="199"/>
    </row>
    <row r="84" spans="1:15" s="173" customFormat="1" x14ac:dyDescent="0.25">
      <c r="A84" s="265">
        <v>41183.074849537035</v>
      </c>
      <c r="B84" s="470" t="s">
        <v>870</v>
      </c>
      <c r="C84" s="474"/>
      <c r="D84" s="196"/>
      <c r="E84" s="462" t="s">
        <v>70</v>
      </c>
      <c r="F84" s="200" t="str">
        <f>F73</f>
        <v>HANDL_NewContract</v>
      </c>
      <c r="G84" s="221"/>
      <c r="H84" s="198"/>
      <c r="I84" s="198"/>
      <c r="J84" s="199"/>
      <c r="K84" s="200"/>
      <c r="L84" s="201"/>
      <c r="M84" s="198"/>
      <c r="N84" s="201"/>
      <c r="O84" s="199"/>
    </row>
    <row r="85" spans="1:15" s="173" customFormat="1" x14ac:dyDescent="0.25">
      <c r="A85" s="265">
        <v>41183.074895833335</v>
      </c>
      <c r="B85" s="266" t="s">
        <v>869</v>
      </c>
      <c r="C85" s="475" t="str">
        <f>B84</f>
        <v>ProcReset</v>
      </c>
      <c r="D85" s="196"/>
      <c r="E85" s="197" t="s">
        <v>70</v>
      </c>
      <c r="F85" s="564">
        <f>C77</f>
        <v>0</v>
      </c>
      <c r="G85" s="221"/>
      <c r="H85" s="198"/>
      <c r="I85" s="198"/>
      <c r="J85" s="199"/>
      <c r="K85" s="200"/>
      <c r="L85" s="201"/>
      <c r="M85" s="198"/>
      <c r="N85" s="201"/>
      <c r="O85" s="199"/>
    </row>
    <row r="86" spans="1:15" s="173" customFormat="1" x14ac:dyDescent="0.25">
      <c r="A86" s="265">
        <v>41187.014374999999</v>
      </c>
      <c r="B86" s="266" t="s">
        <v>697</v>
      </c>
      <c r="C86" s="475" t="str">
        <f>B85</f>
        <v>CheckProc0</v>
      </c>
      <c r="D86" s="212"/>
      <c r="E86" s="197" t="s">
        <v>70</v>
      </c>
      <c r="F86" s="268" t="s">
        <v>865</v>
      </c>
      <c r="G86" s="198"/>
      <c r="H86" s="198"/>
      <c r="I86" s="198"/>
      <c r="J86" s="199"/>
      <c r="K86" s="188" t="str">
        <f>K82</f>
        <v>Платежи</v>
      </c>
      <c r="L86" s="201"/>
      <c r="M86" s="198"/>
      <c r="N86" s="201"/>
      <c r="O86" s="199"/>
    </row>
    <row r="87" spans="1:15" s="173" customFormat="1" x14ac:dyDescent="0.25">
      <c r="A87" s="195"/>
      <c r="B87" s="196" t="s">
        <v>926</v>
      </c>
      <c r="C87" s="481" t="str">
        <f>B86</f>
        <v>NewSheet</v>
      </c>
      <c r="D87" s="196"/>
      <c r="E87" s="197" t="s">
        <v>201</v>
      </c>
      <c r="F87" s="214" t="s">
        <v>866</v>
      </c>
      <c r="G87" s="221"/>
      <c r="H87" s="198"/>
      <c r="I87" s="198"/>
      <c r="J87" s="199"/>
      <c r="K87" s="200" t="str">
        <f>K82</f>
        <v>Платежи</v>
      </c>
      <c r="L87" s="201"/>
      <c r="M87" s="198"/>
      <c r="N87" s="201"/>
      <c r="O87" s="199"/>
    </row>
    <row r="88" spans="1:15" s="173" customFormat="1" x14ac:dyDescent="0.25">
      <c r="A88" s="195"/>
      <c r="B88" s="202" t="s">
        <v>646</v>
      </c>
      <c r="C88" s="481" t="str">
        <f>B87</f>
        <v>WP_PdOpp</v>
      </c>
      <c r="D88" s="196"/>
      <c r="E88" s="197" t="s">
        <v>201</v>
      </c>
      <c r="F88" s="269" t="str">
        <f>F86</f>
        <v>WP</v>
      </c>
      <c r="G88" s="201" t="s">
        <v>825</v>
      </c>
      <c r="H88" s="215" t="s">
        <v>687</v>
      </c>
      <c r="I88" s="215" t="s">
        <v>688</v>
      </c>
      <c r="J88" s="199"/>
      <c r="K88" s="200"/>
      <c r="L88" s="201"/>
      <c r="M88" s="198"/>
      <c r="N88" s="201"/>
      <c r="O88" s="199"/>
    </row>
    <row r="89" spans="1:15" s="187" customFormat="1" x14ac:dyDescent="0.25">
      <c r="A89" s="204"/>
      <c r="B89" s="205" t="s">
        <v>638</v>
      </c>
      <c r="C89" s="238"/>
      <c r="D89" s="205"/>
      <c r="E89" s="206" t="s">
        <v>201</v>
      </c>
      <c r="F89" s="207"/>
      <c r="G89" s="208"/>
      <c r="H89" s="208"/>
      <c r="I89" s="208"/>
      <c r="J89" s="209"/>
      <c r="K89" s="210"/>
      <c r="L89" s="211"/>
      <c r="M89" s="208"/>
      <c r="N89" s="211"/>
      <c r="O89" s="209"/>
    </row>
    <row r="90" spans="1:15" s="173" customFormat="1" x14ac:dyDescent="0.25">
      <c r="A90" s="195"/>
      <c r="B90" s="196" t="s">
        <v>637</v>
      </c>
      <c r="C90" s="239"/>
      <c r="D90" s="212"/>
      <c r="E90" s="197" t="s">
        <v>201</v>
      </c>
      <c r="F90" s="213" t="s">
        <v>663</v>
      </c>
      <c r="G90" s="198"/>
      <c r="H90" s="198"/>
      <c r="I90" s="198"/>
      <c r="J90" s="199"/>
      <c r="K90" s="188" t="s">
        <v>574</v>
      </c>
      <c r="L90" s="201"/>
      <c r="M90" s="198"/>
      <c r="N90" s="201"/>
      <c r="O90" s="199"/>
    </row>
    <row r="91" spans="1:15" s="173" customFormat="1" x14ac:dyDescent="0.25">
      <c r="A91" s="217"/>
      <c r="B91" s="196" t="s">
        <v>643</v>
      </c>
      <c r="C91" s="237"/>
      <c r="D91" s="196"/>
      <c r="E91" s="197"/>
      <c r="F91" s="214" t="s">
        <v>70</v>
      </c>
      <c r="G91" s="221"/>
      <c r="H91" s="198"/>
      <c r="I91" s="198"/>
      <c r="J91" s="199"/>
      <c r="K91" s="200"/>
      <c r="L91" s="201"/>
      <c r="M91" s="198"/>
      <c r="N91" s="201"/>
      <c r="O91" s="199"/>
    </row>
    <row r="92" spans="1:15" ht="30" x14ac:dyDescent="0.25">
      <c r="A92" s="217"/>
      <c r="B92" s="202" t="s">
        <v>651</v>
      </c>
      <c r="C92" s="236" t="s">
        <v>681</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8"/>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8" spans="1:15" s="173" customFormat="1" outlineLevel="1" x14ac:dyDescent="0.25">
      <c r="A98" s="265">
        <v>41163.913182870368</v>
      </c>
      <c r="B98" s="266" t="s">
        <v>644</v>
      </c>
      <c r="C98" s="305" t="s">
        <v>619</v>
      </c>
      <c r="D98" s="5"/>
      <c r="E98" s="462"/>
      <c r="F98" s="304" t="str">
        <f>L98</f>
        <v>SFacc</v>
      </c>
      <c r="G98" s="221" t="s">
        <v>94</v>
      </c>
      <c r="H98" s="221" t="s">
        <v>92</v>
      </c>
      <c r="I98" s="221" t="s">
        <v>110</v>
      </c>
      <c r="J98" s="221" t="s">
        <v>70</v>
      </c>
      <c r="K98" s="200" t="str">
        <f>TOCmatch!B11</f>
        <v>Договоры</v>
      </c>
      <c r="L98" s="304" t="str">
        <f>TOCmatch!B17</f>
        <v>SFacc</v>
      </c>
      <c r="M98" s="215"/>
      <c r="N98" s="201"/>
      <c r="O98" s="199"/>
    </row>
    <row r="99" spans="1:15" s="173" customFormat="1" ht="45" outlineLevel="1" x14ac:dyDescent="0.25">
      <c r="A99" s="265">
        <v>41163.914687500001</v>
      </c>
      <c r="B99" s="266" t="s">
        <v>644</v>
      </c>
      <c r="C99" s="305" t="s">
        <v>664</v>
      </c>
      <c r="D99" s="5"/>
      <c r="E99" s="462"/>
      <c r="F99" s="304" t="str">
        <f>L99</f>
        <v>SFD</v>
      </c>
      <c r="G99" s="221" t="s">
        <v>94</v>
      </c>
      <c r="H99" s="221" t="s">
        <v>110</v>
      </c>
      <c r="I99" s="221" t="s">
        <v>128</v>
      </c>
      <c r="J99" s="221" t="s">
        <v>92</v>
      </c>
      <c r="K99" s="200" t="str">
        <f>K98</f>
        <v>Договоры</v>
      </c>
      <c r="L99" s="304" t="str">
        <f>TOCmatch!B15</f>
        <v>SFD</v>
      </c>
      <c r="M99" s="198"/>
      <c r="N99" s="201"/>
      <c r="O99" s="199"/>
    </row>
    <row r="100" spans="1:15" outlineLevel="1" x14ac:dyDescent="0.25">
      <c r="A100" s="195">
        <v>41162.93513888889</v>
      </c>
      <c r="B100" s="196" t="s">
        <v>652</v>
      </c>
      <c r="C100" s="235" t="s">
        <v>644</v>
      </c>
      <c r="D100" s="5"/>
      <c r="E100" s="218" t="s">
        <v>201</v>
      </c>
      <c r="F100" s="273"/>
      <c r="G100" s="201"/>
      <c r="H100" s="215"/>
      <c r="I100" s="215"/>
      <c r="J100" s="216"/>
      <c r="K100" s="200" t="str">
        <f>TOCmatch!B10</f>
        <v>Договоры</v>
      </c>
      <c r="L100" s="304" t="str">
        <f>TOCmatch!B15</f>
        <v>SFD</v>
      </c>
      <c r="M100" s="201"/>
      <c r="N100" s="215"/>
      <c r="O100" s="216"/>
    </row>
    <row r="101" spans="1:15" x14ac:dyDescent="0.25">
      <c r="B101" s="145"/>
    </row>
    <row r="102" spans="1:15" x14ac:dyDescent="0.25">
      <c r="A102" s="145"/>
    </row>
    <row r="118" spans="6:6" x14ac:dyDescent="0.25">
      <c r="F118"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41" t="s">
        <v>359</v>
      </c>
      <c r="I39" s="642"/>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
  <sheetViews>
    <sheetView tabSelected="1"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1</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179" zoomScale="80" zoomScaleNormal="80" workbookViewId="0">
      <selection activeCell="B195" sqref="B19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23.2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34"/>
      <c r="E6" s="534"/>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495" t="s">
        <v>798</v>
      </c>
      <c r="C10" s="495"/>
      <c r="D10" s="495" t="s">
        <v>839</v>
      </c>
      <c r="E10" s="495"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43">
        <f>1 - COUNTIF(A$3:A12,"")/COUNTA(A$3:A12)</f>
        <v>0.75</v>
      </c>
      <c r="B14" s="644"/>
      <c r="C14" s="644"/>
      <c r="D14" s="645"/>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75"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5" s="419" customFormat="1" x14ac:dyDescent="0.25">
      <c r="A65" s="433" t="s">
        <v>763</v>
      </c>
      <c r="B65" s="433" t="s">
        <v>764</v>
      </c>
      <c r="C65" s="433" t="s">
        <v>765</v>
      </c>
      <c r="D65" s="433" t="s">
        <v>766</v>
      </c>
      <c r="E65" s="433" t="s">
        <v>767</v>
      </c>
      <c r="F65" s="433" t="s">
        <v>768</v>
      </c>
      <c r="G65" s="433" t="s">
        <v>769</v>
      </c>
      <c r="H65" s="433" t="s">
        <v>770</v>
      </c>
      <c r="I65" s="433" t="s">
        <v>771</v>
      </c>
    </row>
    <row r="66" spans="1:35" s="419" customFormat="1" x14ac:dyDescent="0.25">
      <c r="A66" s="419" t="s">
        <v>772</v>
      </c>
      <c r="B66" s="419" t="s">
        <v>773</v>
      </c>
      <c r="D66" s="425" t="s">
        <v>581</v>
      </c>
      <c r="E66" s="425">
        <v>1</v>
      </c>
      <c r="F66" s="419" t="s">
        <v>774</v>
      </c>
      <c r="G66" s="419" t="s">
        <v>775</v>
      </c>
      <c r="H66" s="419" t="s">
        <v>574</v>
      </c>
      <c r="I66" s="419" t="s">
        <v>776</v>
      </c>
    </row>
    <row r="67" spans="1:35" s="435" customFormat="1" ht="7.5" customHeight="1" x14ac:dyDescent="0.25">
      <c r="D67" s="436"/>
      <c r="E67" s="436"/>
    </row>
    <row r="68" spans="1:35" s="419" customFormat="1" ht="19.5" x14ac:dyDescent="0.3">
      <c r="A68" s="322"/>
      <c r="C68" s="421" t="s">
        <v>873</v>
      </c>
    </row>
    <row r="69" spans="1:35" s="322" customFormat="1" x14ac:dyDescent="0.25"/>
    <row r="70" spans="1:35" s="322" customFormat="1" x14ac:dyDescent="0.25">
      <c r="A70" s="322" t="s">
        <v>920</v>
      </c>
    </row>
    <row r="71" spans="1:35" s="322" customFormat="1" ht="25.5" x14ac:dyDescent="0.25">
      <c r="A71" s="255" t="s">
        <v>802</v>
      </c>
      <c r="B71" s="619" t="s">
        <v>874</v>
      </c>
      <c r="C71" s="621" t="s">
        <v>364</v>
      </c>
      <c r="D71" s="622" t="s">
        <v>875</v>
      </c>
      <c r="E71" s="590" t="s">
        <v>876</v>
      </c>
      <c r="F71" s="590" t="s">
        <v>58</v>
      </c>
      <c r="G71" s="590" t="s">
        <v>812</v>
      </c>
      <c r="H71" s="590" t="s">
        <v>843</v>
      </c>
      <c r="I71" s="590" t="s">
        <v>923</v>
      </c>
      <c r="K71" s="587" t="s">
        <v>882</v>
      </c>
      <c r="L71" s="588" t="s">
        <v>877</v>
      </c>
      <c r="M71" s="589"/>
      <c r="N71" s="577" t="s">
        <v>706</v>
      </c>
      <c r="O71" s="577" t="s">
        <v>707</v>
      </c>
      <c r="P71" s="577" t="s">
        <v>65</v>
      </c>
      <c r="Q71" s="577" t="s">
        <v>1</v>
      </c>
      <c r="R71" s="578" t="s">
        <v>708</v>
      </c>
      <c r="S71" s="579" t="s">
        <v>878</v>
      </c>
      <c r="T71" s="580" t="s">
        <v>709</v>
      </c>
      <c r="U71" s="577" t="s">
        <v>710</v>
      </c>
      <c r="V71" s="581" t="s">
        <v>703</v>
      </c>
      <c r="W71" s="582" t="s">
        <v>703</v>
      </c>
      <c r="X71" s="582" t="s">
        <v>703</v>
      </c>
      <c r="Y71" s="582" t="s">
        <v>703</v>
      </c>
      <c r="Z71" s="577" t="s">
        <v>703</v>
      </c>
      <c r="AA71" s="577" t="s">
        <v>879</v>
      </c>
      <c r="AB71" s="577" t="s">
        <v>703</v>
      </c>
      <c r="AC71" s="577" t="s">
        <v>703</v>
      </c>
      <c r="AD71" s="583" t="s">
        <v>880</v>
      </c>
      <c r="AE71" s="584" t="s">
        <v>703</v>
      </c>
      <c r="AF71" s="577" t="s">
        <v>703</v>
      </c>
      <c r="AG71" s="577" t="s">
        <v>703</v>
      </c>
      <c r="AH71" s="585" t="s">
        <v>881</v>
      </c>
      <c r="AI71" s="586"/>
    </row>
    <row r="72" spans="1:35" s="322" customFormat="1" x14ac:dyDescent="0.25">
      <c r="A72" s="256" t="s">
        <v>803</v>
      </c>
      <c r="B72" s="620"/>
      <c r="C72" s="333"/>
      <c r="D72" s="623">
        <f>R72</f>
        <v>0</v>
      </c>
      <c r="E72" s="534"/>
      <c r="F72" s="336"/>
      <c r="G72" s="616"/>
    </row>
    <row r="73" spans="1:35" s="322" customFormat="1" x14ac:dyDescent="0.25">
      <c r="A73" s="255" t="s">
        <v>804</v>
      </c>
      <c r="B73" s="335">
        <v>8</v>
      </c>
      <c r="C73" s="335">
        <v>13</v>
      </c>
      <c r="D73" s="335">
        <v>7</v>
      </c>
      <c r="E73" s="335">
        <v>11</v>
      </c>
      <c r="F73" s="336">
        <v>20</v>
      </c>
      <c r="G73" s="337">
        <v>5</v>
      </c>
      <c r="H73" s="337">
        <v>15</v>
      </c>
      <c r="I73" s="337">
        <v>10</v>
      </c>
      <c r="J73" s="337">
        <v>6</v>
      </c>
      <c r="K73" s="337">
        <v>6</v>
      </c>
      <c r="L73" s="337">
        <v>10</v>
      </c>
      <c r="M73" s="337">
        <v>1</v>
      </c>
      <c r="N73" s="337">
        <v>45</v>
      </c>
      <c r="O73" s="337">
        <v>13</v>
      </c>
      <c r="P73" s="337">
        <v>16</v>
      </c>
      <c r="Q73" s="337">
        <v>10</v>
      </c>
      <c r="R73" s="337">
        <v>10</v>
      </c>
      <c r="S73" s="337">
        <v>10</v>
      </c>
      <c r="T73" s="337">
        <v>10</v>
      </c>
      <c r="U73" s="337">
        <v>10</v>
      </c>
      <c r="V73" s="337">
        <v>10</v>
      </c>
      <c r="W73" s="337">
        <v>0</v>
      </c>
      <c r="X73" s="337">
        <v>0</v>
      </c>
      <c r="Y73" s="337">
        <v>0</v>
      </c>
      <c r="Z73" s="337">
        <v>0</v>
      </c>
      <c r="AA73" s="337">
        <v>0</v>
      </c>
      <c r="AB73" s="337">
        <v>0</v>
      </c>
      <c r="AC73" s="337">
        <v>0</v>
      </c>
      <c r="AD73" s="337">
        <v>0</v>
      </c>
      <c r="AE73" s="337">
        <v>0</v>
      </c>
      <c r="AF73" s="337">
        <v>0</v>
      </c>
      <c r="AG73" s="337">
        <v>0</v>
      </c>
      <c r="AH73" s="337">
        <v>0</v>
      </c>
      <c r="AI73" s="337">
        <v>0</v>
      </c>
    </row>
    <row r="74" spans="1:35" s="322" customFormat="1" x14ac:dyDescent="0.25">
      <c r="A74" s="255" t="s">
        <v>805</v>
      </c>
      <c r="B74" s="335">
        <v>6</v>
      </c>
      <c r="C74" s="335">
        <v>6</v>
      </c>
      <c r="D74" s="335"/>
      <c r="E74" s="335">
        <v>6</v>
      </c>
      <c r="F74" s="322">
        <v>6</v>
      </c>
      <c r="G74" s="335">
        <v>6</v>
      </c>
      <c r="H74" s="322">
        <v>6</v>
      </c>
      <c r="I74" s="335">
        <v>6</v>
      </c>
      <c r="J74" s="336">
        <v>-1</v>
      </c>
      <c r="K74" s="335"/>
      <c r="N74" s="335"/>
      <c r="O74" s="337"/>
      <c r="P74" s="337"/>
      <c r="Q74" s="337"/>
      <c r="R74" s="337"/>
      <c r="S74" s="337"/>
      <c r="T74" s="337"/>
      <c r="U74" s="337"/>
      <c r="V74" s="337"/>
      <c r="W74" s="337"/>
      <c r="X74" s="372"/>
      <c r="Y74" s="337"/>
      <c r="Z74" s="337"/>
      <c r="AA74" s="337"/>
      <c r="AB74" s="337"/>
      <c r="AC74" s="337"/>
      <c r="AD74" s="337"/>
    </row>
    <row r="75" spans="1:35" s="322" customFormat="1" ht="44.25" customHeight="1" x14ac:dyDescent="0.25">
      <c r="A75" s="255" t="s">
        <v>806</v>
      </c>
      <c r="B75" s="617" t="s">
        <v>921</v>
      </c>
      <c r="C75" s="617" t="s">
        <v>922</v>
      </c>
      <c r="D75" s="335"/>
      <c r="E75" s="617" t="s">
        <v>901</v>
      </c>
      <c r="F75" s="617" t="s">
        <v>900</v>
      </c>
      <c r="G75" s="618"/>
      <c r="H75" s="618" t="s">
        <v>912</v>
      </c>
      <c r="I75" s="618" t="s">
        <v>924</v>
      </c>
      <c r="J75" s="335"/>
      <c r="K75" s="335"/>
      <c r="N75" s="607" t="s">
        <v>910</v>
      </c>
      <c r="O75" s="337"/>
      <c r="P75" s="337"/>
      <c r="Q75" s="337"/>
      <c r="R75" s="337"/>
      <c r="S75" s="337"/>
      <c r="T75" s="337"/>
      <c r="U75" s="337"/>
      <c r="V75" s="337"/>
      <c r="W75" s="337"/>
      <c r="X75" s="372"/>
      <c r="Y75" s="337"/>
      <c r="Z75" s="337"/>
      <c r="AA75" s="337"/>
      <c r="AB75" s="337"/>
      <c r="AC75" s="337"/>
      <c r="AD75" s="337"/>
    </row>
    <row r="76" spans="1:35" s="322" customFormat="1" x14ac:dyDescent="0.25">
      <c r="A76" s="255" t="s">
        <v>807</v>
      </c>
      <c r="B76" s="495"/>
      <c r="C76" s="495"/>
      <c r="D76" s="495"/>
      <c r="E76" s="495"/>
      <c r="F76" s="336"/>
      <c r="G76" s="335"/>
      <c r="H76" s="335"/>
      <c r="I76" s="335"/>
      <c r="J76" s="335"/>
      <c r="K76" s="335"/>
      <c r="N76" s="335"/>
      <c r="O76" s="337"/>
      <c r="P76" s="337"/>
      <c r="Q76" s="337"/>
      <c r="R76" s="337"/>
      <c r="S76" s="337"/>
      <c r="T76" s="337"/>
      <c r="U76" s="337"/>
      <c r="V76" s="337"/>
      <c r="W76" s="337"/>
      <c r="X76" s="372"/>
      <c r="Y76" s="337"/>
      <c r="Z76" s="337"/>
      <c r="AA76" s="337"/>
      <c r="AB76" s="337"/>
      <c r="AC76" s="337"/>
      <c r="AD76" s="337"/>
    </row>
    <row r="77" spans="1:35" s="322" customFormat="1" x14ac:dyDescent="0.25">
      <c r="N77" s="322" t="s">
        <v>911</v>
      </c>
    </row>
    <row r="78" spans="1:35" s="322" customFormat="1" x14ac:dyDescent="0.25">
      <c r="A78" s="322" t="s">
        <v>898</v>
      </c>
      <c r="F78" s="322">
        <v>5</v>
      </c>
      <c r="I78" s="322">
        <v>8</v>
      </c>
      <c r="P78" s="322">
        <v>10</v>
      </c>
      <c r="T78" s="322">
        <v>14</v>
      </c>
    </row>
    <row r="79" spans="1:35" s="322" customFormat="1" ht="75" x14ac:dyDescent="0.25">
      <c r="A79" s="255" t="s">
        <v>802</v>
      </c>
      <c r="B79" s="590" t="s">
        <v>883</v>
      </c>
      <c r="C79" s="591" t="s">
        <v>188</v>
      </c>
      <c r="D79" s="590" t="s">
        <v>884</v>
      </c>
      <c r="E79" s="590" t="s">
        <v>885</v>
      </c>
      <c r="F79" s="590" t="s">
        <v>812</v>
      </c>
      <c r="G79" s="590" t="s">
        <v>374</v>
      </c>
      <c r="H79" s="602" t="s">
        <v>1</v>
      </c>
      <c r="I79" s="590" t="s">
        <v>66</v>
      </c>
      <c r="J79" s="602" t="s">
        <v>902</v>
      </c>
      <c r="K79" s="606" t="s">
        <v>843</v>
      </c>
      <c r="L79" s="606" t="s">
        <v>149</v>
      </c>
      <c r="M79" s="606" t="s">
        <v>62</v>
      </c>
      <c r="N79" s="606"/>
      <c r="O79" s="606"/>
      <c r="P79" s="593" t="s">
        <v>889</v>
      </c>
      <c r="Q79" s="593" t="s">
        <v>701</v>
      </c>
      <c r="R79" s="592" t="s">
        <v>702</v>
      </c>
      <c r="S79" s="593" t="s">
        <v>705</v>
      </c>
      <c r="T79" s="594" t="s">
        <v>703</v>
      </c>
      <c r="U79" s="594" t="s">
        <v>704</v>
      </c>
      <c r="V79" s="594" t="s">
        <v>886</v>
      </c>
      <c r="W79" s="594" t="s">
        <v>887</v>
      </c>
      <c r="X79" s="594" t="s">
        <v>888</v>
      </c>
    </row>
    <row r="80" spans="1:35" s="322" customFormat="1" x14ac:dyDescent="0.25">
      <c r="A80" s="256" t="s">
        <v>803</v>
      </c>
      <c r="B80" s="336"/>
      <c r="C80" s="333"/>
      <c r="D80" s="534"/>
      <c r="E80" s="534"/>
      <c r="F80" s="603"/>
      <c r="P80" s="335" t="s">
        <v>899</v>
      </c>
      <c r="Q80" s="335" t="s">
        <v>899</v>
      </c>
      <c r="R80" s="335" t="s">
        <v>899</v>
      </c>
      <c r="S80" s="335" t="s">
        <v>899</v>
      </c>
      <c r="T80" s="335" t="s">
        <v>899</v>
      </c>
      <c r="U80" s="335" t="s">
        <v>899</v>
      </c>
      <c r="V80" s="335" t="s">
        <v>899</v>
      </c>
      <c r="W80" s="335" t="s">
        <v>899</v>
      </c>
      <c r="X80" s="335" t="s">
        <v>899</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0</v>
      </c>
      <c r="X81" s="337">
        <v>0</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04" t="s">
        <v>900</v>
      </c>
      <c r="H83" s="604" t="s">
        <v>901</v>
      </c>
      <c r="I83" s="335"/>
      <c r="J83" s="605" t="s">
        <v>903</v>
      </c>
      <c r="K83" s="605" t="s">
        <v>912</v>
      </c>
      <c r="L83" s="605"/>
      <c r="M83" s="605"/>
      <c r="N83" s="605"/>
      <c r="O83" s="605"/>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495"/>
      <c r="C84" s="495"/>
      <c r="D84" s="495"/>
      <c r="E84" s="495"/>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495"/>
      <c r="B85" s="495"/>
      <c r="C85" s="495"/>
      <c r="D85" s="495"/>
      <c r="E85" s="495"/>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80" t="s">
        <v>115</v>
      </c>
      <c r="H96" s="480"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03" t="s">
        <v>165</v>
      </c>
      <c r="S101" s="503" t="s">
        <v>166</v>
      </c>
      <c r="T101" s="503" t="s">
        <v>167</v>
      </c>
      <c r="U101" s="503" t="s">
        <v>168</v>
      </c>
      <c r="V101" s="503"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927</v>
      </c>
    </row>
    <row r="181" spans="1:28" s="1" customFormat="1" ht="15.75" thickBot="1" x14ac:dyDescent="0.3">
      <c r="A181" s="511" t="s">
        <v>845</v>
      </c>
      <c r="B181" s="504"/>
      <c r="C181" s="510" t="s">
        <v>94</v>
      </c>
      <c r="D181" s="509"/>
      <c r="H181" s="506" t="s">
        <v>842</v>
      </c>
      <c r="I181" s="505" t="s">
        <v>843</v>
      </c>
      <c r="J181" s="508" t="s">
        <v>844</v>
      </c>
      <c r="M181" s="145"/>
      <c r="N181" s="8"/>
      <c r="O181" s="6"/>
      <c r="P181" s="12"/>
      <c r="Q181"/>
      <c r="R181"/>
      <c r="S181"/>
      <c r="T181"/>
      <c r="U181"/>
      <c r="V181"/>
      <c r="W181"/>
      <c r="X181"/>
      <c r="Y181"/>
      <c r="Z181"/>
    </row>
    <row r="182" spans="1:28" s="567" customFormat="1" x14ac:dyDescent="0.25">
      <c r="A182" s="565"/>
      <c r="B182" s="566"/>
      <c r="C182" s="570"/>
      <c r="D182" s="509"/>
      <c r="H182" s="568"/>
      <c r="I182" s="568"/>
      <c r="J182" s="569"/>
      <c r="M182" s="270"/>
      <c r="N182" s="8"/>
      <c r="O182" s="6"/>
      <c r="P182" s="12"/>
      <c r="Q182" s="2"/>
      <c r="R182" s="2"/>
      <c r="S182" s="2"/>
      <c r="T182" s="2"/>
      <c r="U182" s="2"/>
      <c r="V182" s="2"/>
      <c r="W182" s="2"/>
      <c r="X182" s="2"/>
      <c r="Y182" s="2"/>
      <c r="Z182" s="2"/>
    </row>
    <row r="183" spans="1:28" x14ac:dyDescent="0.25">
      <c r="A183" s="632">
        <v>5</v>
      </c>
      <c r="B183" s="521" t="s">
        <v>91</v>
      </c>
      <c r="C183" s="519" t="s">
        <v>70</v>
      </c>
      <c r="D183" s="520" t="s">
        <v>41</v>
      </c>
      <c r="E183" s="625">
        <v>0.5</v>
      </c>
      <c r="F183" s="625">
        <v>0.5</v>
      </c>
      <c r="G183" s="625">
        <v>0.5</v>
      </c>
      <c r="H183" s="626" t="s">
        <v>113</v>
      </c>
      <c r="I183" s="626" t="s">
        <v>113</v>
      </c>
      <c r="J183" s="626" t="s">
        <v>113</v>
      </c>
      <c r="K183" s="626" t="s">
        <v>113</v>
      </c>
      <c r="L183" s="626" t="s">
        <v>113</v>
      </c>
      <c r="M183" s="626" t="s">
        <v>113</v>
      </c>
      <c r="N183" s="626" t="s">
        <v>242</v>
      </c>
      <c r="O183" s="626" t="s">
        <v>113</v>
      </c>
      <c r="P183" s="626" t="s">
        <v>128</v>
      </c>
      <c r="Q183" s="626" t="s">
        <v>128</v>
      </c>
      <c r="R183" s="627"/>
      <c r="S183" s="626" t="s">
        <v>871</v>
      </c>
      <c r="U183" s="465"/>
      <c r="V183" s="92"/>
    </row>
    <row r="184" spans="1:28" x14ac:dyDescent="0.25">
      <c r="A184" s="565"/>
      <c r="B184" s="521"/>
      <c r="C184" s="519"/>
      <c r="D184" s="520"/>
      <c r="E184" s="624"/>
      <c r="F184" s="624"/>
      <c r="G184" s="624"/>
      <c r="H184" s="270"/>
      <c r="I184" s="270"/>
      <c r="J184" s="270"/>
      <c r="K184" s="2"/>
      <c r="L184" s="2"/>
      <c r="M184" s="270"/>
      <c r="N184" s="270"/>
      <c r="O184" s="270"/>
      <c r="P184" s="270"/>
      <c r="Q184" s="270"/>
      <c r="R184" s="2"/>
      <c r="S184" s="2"/>
      <c r="T184" s="2"/>
      <c r="U184" s="465"/>
      <c r="V184" s="92"/>
    </row>
    <row r="185" spans="1:28" x14ac:dyDescent="0.25">
      <c r="A185" s="565"/>
      <c r="B185" s="521"/>
      <c r="C185" s="519"/>
      <c r="D185" s="520"/>
      <c r="E185" s="624"/>
      <c r="F185" s="624"/>
      <c r="G185" s="624"/>
      <c r="H185" s="270"/>
      <c r="I185" s="270"/>
      <c r="J185" s="270"/>
      <c r="K185" s="2"/>
      <c r="L185" s="2"/>
      <c r="M185" s="270"/>
      <c r="N185" s="270"/>
      <c r="O185" s="270"/>
      <c r="P185" s="270"/>
      <c r="Q185" s="270"/>
      <c r="R185" s="2"/>
      <c r="S185" s="2"/>
      <c r="T185" s="2"/>
      <c r="U185" s="465"/>
      <c r="V185" s="92"/>
    </row>
    <row r="186" spans="1:28" ht="15.75" thickBot="1" x14ac:dyDescent="0.3">
      <c r="A186" s="565"/>
      <c r="B186" s="522"/>
      <c r="C186" s="519"/>
      <c r="D186" s="520"/>
      <c r="E186" s="624"/>
      <c r="F186" s="624"/>
      <c r="G186" s="624"/>
      <c r="H186" s="270"/>
      <c r="I186" s="270"/>
      <c r="J186" s="270"/>
      <c r="K186" s="2"/>
      <c r="L186" s="2"/>
      <c r="M186" s="270"/>
      <c r="N186" s="270"/>
      <c r="O186" s="270"/>
      <c r="P186" s="270"/>
      <c r="Q186" s="270"/>
      <c r="R186" s="2"/>
      <c r="S186" s="2"/>
      <c r="T186" s="2"/>
      <c r="U186" s="465"/>
      <c r="V186" s="92"/>
    </row>
    <row r="187" spans="1:28" ht="15.75" thickBot="1" x14ac:dyDescent="0.3">
      <c r="A187" s="565"/>
      <c r="B187" s="521"/>
      <c r="C187" s="519"/>
      <c r="D187" s="520"/>
      <c r="E187" s="624"/>
      <c r="F187" s="624"/>
      <c r="G187" s="624"/>
      <c r="H187" s="270"/>
      <c r="I187" s="270"/>
      <c r="J187" s="270"/>
      <c r="K187" s="2"/>
      <c r="L187" s="2"/>
      <c r="M187" s="270"/>
      <c r="N187" s="270"/>
      <c r="O187" s="270"/>
      <c r="P187" s="270"/>
      <c r="Q187" s="270"/>
      <c r="R187" s="2"/>
      <c r="S187" s="2"/>
      <c r="T187" s="2"/>
      <c r="U187" s="465"/>
      <c r="V187" s="92"/>
    </row>
    <row r="188" spans="1:28" s="5" customFormat="1" ht="23.25" thickBot="1" x14ac:dyDescent="0.3">
      <c r="A188" s="646" t="s">
        <v>574</v>
      </c>
      <c r="B188" s="633" t="s">
        <v>812</v>
      </c>
      <c r="C188" s="516" t="s">
        <v>847</v>
      </c>
      <c r="D188" s="517"/>
      <c r="E188" s="324" t="s">
        <v>715</v>
      </c>
      <c r="F188" s="325" t="s">
        <v>716</v>
      </c>
      <c r="G188" s="325" t="s">
        <v>592</v>
      </c>
      <c r="H188" s="525" t="s">
        <v>68</v>
      </c>
      <c r="I188" s="513" t="s">
        <v>67</v>
      </c>
      <c r="J188" s="512" t="s">
        <v>66</v>
      </c>
      <c r="K188" s="513" t="s">
        <v>849</v>
      </c>
      <c r="L188" s="513" t="s">
        <v>850</v>
      </c>
      <c r="M188" s="514" t="s">
        <v>65</v>
      </c>
      <c r="N188" s="515" t="s">
        <v>0</v>
      </c>
      <c r="O188" s="514" t="s">
        <v>2</v>
      </c>
      <c r="P188" s="514" t="s">
        <v>1</v>
      </c>
      <c r="Q188" s="512" t="s">
        <v>62</v>
      </c>
      <c r="R188" s="514" t="s">
        <v>64</v>
      </c>
      <c r="S188" s="514" t="s">
        <v>57</v>
      </c>
      <c r="T188"/>
    </row>
    <row r="189" spans="1:28" x14ac:dyDescent="0.25">
      <c r="A189" s="647"/>
      <c r="B189" s="518" t="s">
        <v>601</v>
      </c>
      <c r="C189" s="519" t="s">
        <v>847</v>
      </c>
      <c r="D189" s="628"/>
      <c r="E189" s="533"/>
      <c r="F189" s="534"/>
      <c r="G189" s="534"/>
      <c r="H189" s="1"/>
      <c r="I189" s="1"/>
      <c r="J189" s="1"/>
      <c r="M189" s="1"/>
      <c r="N189" s="1"/>
      <c r="O189" s="1"/>
      <c r="P189" s="1"/>
      <c r="Q189" s="145"/>
      <c r="R189" s="145"/>
      <c r="S189" s="145"/>
    </row>
    <row r="190" spans="1:28" x14ac:dyDescent="0.25">
      <c r="A190" s="647"/>
      <c r="B190" s="521" t="s">
        <v>693</v>
      </c>
      <c r="C190" s="519"/>
      <c r="D190" s="520"/>
      <c r="E190" s="540">
        <v>0.5</v>
      </c>
      <c r="F190" s="540">
        <v>0.5</v>
      </c>
      <c r="G190" s="540">
        <v>0.5</v>
      </c>
      <c r="H190" s="542" t="s">
        <v>113</v>
      </c>
      <c r="I190" s="542" t="s">
        <v>113</v>
      </c>
      <c r="J190" s="542" t="s">
        <v>113</v>
      </c>
      <c r="K190" s="502"/>
      <c r="L190" s="502"/>
      <c r="M190" s="542" t="s">
        <v>113</v>
      </c>
      <c r="N190" s="542" t="s">
        <v>242</v>
      </c>
      <c r="O190" s="542" t="s">
        <v>113</v>
      </c>
      <c r="P190" s="542" t="s">
        <v>128</v>
      </c>
      <c r="Q190" s="542" t="s">
        <v>128</v>
      </c>
      <c r="R190" s="502"/>
      <c r="S190" s="502"/>
      <c r="U190" s="465"/>
      <c r="V190" s="92"/>
    </row>
    <row r="191" spans="1:28" x14ac:dyDescent="0.25">
      <c r="A191" s="647"/>
      <c r="B191" s="521" t="s">
        <v>694</v>
      </c>
      <c r="C191" s="519"/>
      <c r="D191" s="520"/>
      <c r="E191" s="540">
        <v>9</v>
      </c>
      <c r="F191" s="540">
        <v>5</v>
      </c>
      <c r="G191" s="540">
        <v>3</v>
      </c>
      <c r="H191" s="542" t="s">
        <v>126</v>
      </c>
      <c r="I191" s="542" t="s">
        <v>112</v>
      </c>
      <c r="J191" s="542" t="s">
        <v>128</v>
      </c>
      <c r="K191" s="502"/>
      <c r="L191" s="502"/>
      <c r="M191" s="542" t="s">
        <v>111</v>
      </c>
      <c r="N191" s="542" t="s">
        <v>833</v>
      </c>
      <c r="O191" s="542" t="s">
        <v>115</v>
      </c>
      <c r="P191" s="542" t="s">
        <v>115</v>
      </c>
      <c r="Q191" s="542" t="s">
        <v>91</v>
      </c>
      <c r="R191" s="502"/>
      <c r="S191" s="502"/>
      <c r="X191" s="466"/>
      <c r="Y191" s="466"/>
      <c r="Z191" s="466"/>
      <c r="AA191" s="466"/>
      <c r="AB191" s="466"/>
    </row>
    <row r="192" spans="1:28" x14ac:dyDescent="0.25">
      <c r="A192" s="647"/>
      <c r="B192" s="521" t="s">
        <v>695</v>
      </c>
      <c r="C192" s="519"/>
      <c r="D192" s="520"/>
      <c r="E192" s="540"/>
      <c r="F192" s="540"/>
      <c r="G192" s="540"/>
      <c r="H192" s="502"/>
      <c r="I192" s="502"/>
      <c r="J192" s="502"/>
      <c r="K192" s="502"/>
      <c r="L192" s="502"/>
      <c r="M192" s="502" t="s">
        <v>817</v>
      </c>
      <c r="N192" s="502"/>
      <c r="O192" s="502"/>
      <c r="P192" s="502"/>
      <c r="Q192" s="543"/>
      <c r="R192" s="502"/>
      <c r="S192" s="502"/>
      <c r="X192" s="466"/>
      <c r="Y192" s="466"/>
      <c r="Z192" s="466"/>
      <c r="AA192" s="466"/>
      <c r="AB192" s="466"/>
    </row>
    <row r="193" spans="1:31" ht="15.75" thickBot="1" x14ac:dyDescent="0.3">
      <c r="A193" s="648"/>
      <c r="B193" s="522" t="s">
        <v>816</v>
      </c>
      <c r="C193" s="526"/>
      <c r="D193" s="527"/>
      <c r="E193" s="541" t="s">
        <v>798</v>
      </c>
      <c r="F193" s="541" t="s">
        <v>839</v>
      </c>
      <c r="G193" s="541" t="s">
        <v>840</v>
      </c>
      <c r="H193" s="502"/>
      <c r="I193" s="502"/>
      <c r="J193" s="502"/>
      <c r="K193" s="502"/>
      <c r="L193" s="502"/>
      <c r="M193" s="544"/>
      <c r="N193" s="502"/>
      <c r="O193" s="544" t="s">
        <v>834</v>
      </c>
      <c r="P193" s="544" t="s">
        <v>835</v>
      </c>
      <c r="Q193" s="540"/>
      <c r="R193" s="502"/>
      <c r="S193" s="502"/>
      <c r="X193" s="466"/>
      <c r="Y193" s="466"/>
      <c r="Z193" s="466"/>
      <c r="AA193" s="466"/>
      <c r="AB193" s="466"/>
    </row>
    <row r="194" spans="1:31" s="5" customFormat="1" ht="45.75" thickBot="1" x14ac:dyDescent="0.3">
      <c r="A194" s="646" t="s">
        <v>136</v>
      </c>
      <c r="B194" s="633" t="s">
        <v>841</v>
      </c>
      <c r="C194" s="516" t="s">
        <v>847</v>
      </c>
      <c r="D194" s="517"/>
      <c r="E194" s="545" t="s">
        <v>716</v>
      </c>
      <c r="F194" s="546" t="s">
        <v>862</v>
      </c>
      <c r="G194" s="547" t="s">
        <v>612</v>
      </c>
      <c r="H194" s="548" t="s">
        <v>841</v>
      </c>
      <c r="I194" s="549" t="s">
        <v>374</v>
      </c>
      <c r="J194" s="552" t="s">
        <v>859</v>
      </c>
      <c r="K194" s="549" t="s">
        <v>853</v>
      </c>
      <c r="L194" s="551" t="s">
        <v>858</v>
      </c>
      <c r="M194" s="551" t="s">
        <v>854</v>
      </c>
      <c r="N194" s="550" t="s">
        <v>856</v>
      </c>
      <c r="O194" s="551" t="s">
        <v>855</v>
      </c>
      <c r="P194" s="552" t="s">
        <v>857</v>
      </c>
      <c r="Q194" s="552" t="s">
        <v>860</v>
      </c>
      <c r="R194" s="552" t="s">
        <v>861</v>
      </c>
      <c r="S194" s="552" t="s">
        <v>862</v>
      </c>
      <c r="T194" s="553"/>
    </row>
    <row r="195" spans="1:31" x14ac:dyDescent="0.25">
      <c r="A195" s="647"/>
      <c r="B195" s="518" t="s">
        <v>601</v>
      </c>
      <c r="C195" s="519" t="s">
        <v>847</v>
      </c>
      <c r="D195" s="520" t="s">
        <v>925</v>
      </c>
      <c r="E195" s="535"/>
      <c r="F195" s="538"/>
      <c r="G195" s="536"/>
      <c r="H195" s="530"/>
      <c r="I195" s="530"/>
      <c r="J195" s="530"/>
      <c r="K195" s="530"/>
      <c r="L195" s="530"/>
      <c r="M195" s="530"/>
      <c r="N195" s="530"/>
      <c r="O195" s="530"/>
      <c r="P195" s="530"/>
      <c r="Q195" s="530"/>
      <c r="R195" s="530"/>
      <c r="S195" s="530"/>
      <c r="T195" s="499"/>
    </row>
    <row r="196" spans="1:31" x14ac:dyDescent="0.25">
      <c r="A196" s="647"/>
      <c r="B196" s="521" t="s">
        <v>693</v>
      </c>
      <c r="C196" s="519"/>
      <c r="D196" s="520"/>
      <c r="E196" s="335">
        <v>0.5</v>
      </c>
      <c r="F196" s="335">
        <v>0.5</v>
      </c>
      <c r="G196" s="335">
        <v>0.5</v>
      </c>
      <c r="H196" s="528">
        <v>20</v>
      </c>
      <c r="I196" s="528">
        <v>20</v>
      </c>
      <c r="J196" s="528">
        <v>10</v>
      </c>
      <c r="K196" s="528">
        <v>10</v>
      </c>
      <c r="L196" s="528">
        <v>10</v>
      </c>
      <c r="M196" s="528">
        <v>10</v>
      </c>
      <c r="N196" s="528">
        <v>10</v>
      </c>
      <c r="O196" s="528">
        <v>10</v>
      </c>
      <c r="P196" s="528">
        <v>10</v>
      </c>
      <c r="Q196" s="528">
        <v>8</v>
      </c>
      <c r="R196" s="528">
        <v>8</v>
      </c>
      <c r="S196" s="528">
        <v>8</v>
      </c>
      <c r="T196" s="499"/>
    </row>
    <row r="197" spans="1:31" x14ac:dyDescent="0.25">
      <c r="A197" s="647"/>
      <c r="B197" s="521" t="s">
        <v>694</v>
      </c>
      <c r="C197" s="519"/>
      <c r="D197" s="520"/>
      <c r="E197" s="540">
        <v>5</v>
      </c>
      <c r="F197" s="540">
        <v>5</v>
      </c>
      <c r="G197" s="540">
        <v>5</v>
      </c>
      <c r="H197" s="499"/>
      <c r="I197" s="499"/>
      <c r="J197" s="499"/>
      <c r="K197" s="499"/>
      <c r="L197" s="528"/>
      <c r="M197" s="528"/>
      <c r="N197" s="528"/>
      <c r="O197" s="528"/>
      <c r="P197" s="528"/>
      <c r="Q197" s="528"/>
      <c r="R197" s="528"/>
      <c r="S197" s="528"/>
      <c r="T197" s="499"/>
    </row>
    <row r="198" spans="1:31" x14ac:dyDescent="0.25">
      <c r="A198" s="647"/>
      <c r="B198" s="521" t="s">
        <v>695</v>
      </c>
      <c r="C198" s="519"/>
      <c r="D198" s="520"/>
      <c r="E198" s="540"/>
      <c r="F198" s="540"/>
      <c r="G198" s="540"/>
      <c r="H198" s="499"/>
      <c r="I198" s="499"/>
      <c r="J198" s="499"/>
      <c r="K198" s="499"/>
      <c r="L198" s="499"/>
      <c r="M198" s="499"/>
      <c r="N198" s="499"/>
      <c r="O198" s="499"/>
      <c r="P198" s="499"/>
      <c r="Q198" s="499"/>
      <c r="R198" s="499"/>
      <c r="S198" s="499"/>
      <c r="T198" s="499"/>
    </row>
    <row r="199" spans="1:31" s="1" customFormat="1" ht="15.75" thickBot="1" x14ac:dyDescent="0.3">
      <c r="A199" s="648"/>
      <c r="B199" s="522" t="s">
        <v>816</v>
      </c>
      <c r="C199" s="523"/>
      <c r="D199" s="524"/>
      <c r="E199" s="541" t="s">
        <v>839</v>
      </c>
      <c r="F199" s="541" t="s">
        <v>839</v>
      </c>
      <c r="G199" s="541" t="s">
        <v>839</v>
      </c>
      <c r="H199" s="507"/>
      <c r="I199" s="507"/>
      <c r="J199" s="507"/>
      <c r="K199" s="507"/>
      <c r="L199" s="507"/>
      <c r="M199" s="507"/>
      <c r="N199" s="507"/>
      <c r="O199" s="507"/>
      <c r="P199" s="507"/>
      <c r="Q199" s="507"/>
      <c r="R199" s="528"/>
      <c r="S199" s="529"/>
      <c r="T199" s="529"/>
      <c r="U199" s="12"/>
      <c r="V199"/>
      <c r="W199"/>
      <c r="X199"/>
      <c r="Y199"/>
      <c r="Z199"/>
      <c r="AA199"/>
      <c r="AB199"/>
      <c r="AC199"/>
      <c r="AD199"/>
      <c r="AE199"/>
    </row>
    <row r="200" spans="1:31" ht="15.75" thickBot="1" x14ac:dyDescent="0.3">
      <c r="A200" s="646" t="s">
        <v>586</v>
      </c>
      <c r="B200" s="633" t="s">
        <v>846</v>
      </c>
      <c r="C200" s="516" t="s">
        <v>847</v>
      </c>
      <c r="D200" s="517"/>
      <c r="E200" s="325" t="s">
        <v>716</v>
      </c>
      <c r="F200" s="539" t="s">
        <v>62</v>
      </c>
      <c r="G200" s="537" t="s">
        <v>612</v>
      </c>
      <c r="H200" s="531" t="s">
        <v>843</v>
      </c>
      <c r="I200" s="532" t="s">
        <v>1</v>
      </c>
      <c r="J200" s="532" t="s">
        <v>851</v>
      </c>
      <c r="K200" s="532" t="s">
        <v>848</v>
      </c>
      <c r="L200" s="532" t="s">
        <v>62</v>
      </c>
      <c r="M200" s="532" t="s">
        <v>852</v>
      </c>
      <c r="N200" s="532" t="s">
        <v>706</v>
      </c>
      <c r="O200" s="532" t="s">
        <v>611</v>
      </c>
      <c r="P200" s="532" t="s">
        <v>863</v>
      </c>
      <c r="Q200" s="532" t="s">
        <v>372</v>
      </c>
      <c r="R200" s="145"/>
      <c r="S200" s="145"/>
      <c r="T200" s="145"/>
    </row>
    <row r="201" spans="1:31" x14ac:dyDescent="0.25">
      <c r="A201" s="647"/>
      <c r="B201" s="518" t="s">
        <v>601</v>
      </c>
      <c r="C201" s="519" t="s">
        <v>847</v>
      </c>
      <c r="D201" s="520"/>
      <c r="E201" s="535"/>
      <c r="F201" s="538"/>
      <c r="G201" s="536"/>
      <c r="H201" s="1"/>
      <c r="I201" s="1"/>
      <c r="J201" s="1"/>
      <c r="K201" s="1"/>
      <c r="M201" s="1"/>
      <c r="N201" s="1"/>
      <c r="O201" s="1"/>
      <c r="P201" s="145"/>
      <c r="Q201" s="145"/>
      <c r="R201" s="145"/>
      <c r="S201" s="145"/>
      <c r="T201" s="145"/>
    </row>
    <row r="202" spans="1:31" x14ac:dyDescent="0.25">
      <c r="A202" s="647"/>
      <c r="B202" s="521" t="s">
        <v>693</v>
      </c>
      <c r="C202" s="519"/>
      <c r="D202" s="520"/>
      <c r="E202" s="335">
        <v>0.5</v>
      </c>
      <c r="F202" s="335">
        <v>0.5</v>
      </c>
      <c r="G202" s="335">
        <v>0.5</v>
      </c>
      <c r="H202" s="542" t="s">
        <v>113</v>
      </c>
      <c r="I202" s="542" t="s">
        <v>113</v>
      </c>
      <c r="J202" s="542" t="s">
        <v>113</v>
      </c>
      <c r="K202" s="542" t="s">
        <v>113</v>
      </c>
      <c r="L202" s="502"/>
      <c r="M202" s="542" t="s">
        <v>242</v>
      </c>
      <c r="N202" s="542" t="s">
        <v>113</v>
      </c>
      <c r="O202" s="542" t="s">
        <v>128</v>
      </c>
      <c r="P202" s="542" t="s">
        <v>128</v>
      </c>
      <c r="Q202" s="542" t="s">
        <v>128</v>
      </c>
      <c r="T202" s="92"/>
      <c r="V202" s="465"/>
      <c r="W202" s="92"/>
    </row>
    <row r="203" spans="1:31" x14ac:dyDescent="0.25">
      <c r="A203" s="647"/>
      <c r="B203" s="521" t="s">
        <v>694</v>
      </c>
      <c r="C203" s="519"/>
      <c r="D203" s="520"/>
      <c r="E203" s="540">
        <v>5</v>
      </c>
      <c r="F203" s="540">
        <v>5</v>
      </c>
      <c r="G203" s="540">
        <v>5</v>
      </c>
      <c r="H203" s="542" t="s">
        <v>126</v>
      </c>
      <c r="I203" s="542" t="s">
        <v>112</v>
      </c>
      <c r="J203" s="542" t="s">
        <v>128</v>
      </c>
      <c r="K203" s="542" t="s">
        <v>111</v>
      </c>
      <c r="L203" s="502"/>
      <c r="M203" s="542" t="s">
        <v>833</v>
      </c>
      <c r="N203" s="542" t="s">
        <v>115</v>
      </c>
      <c r="O203" s="542" t="s">
        <v>115</v>
      </c>
      <c r="P203" s="542" t="s">
        <v>91</v>
      </c>
      <c r="Q203" s="542" t="s">
        <v>91</v>
      </c>
      <c r="Y203" s="466"/>
      <c r="Z203" s="466"/>
      <c r="AA203" s="466"/>
      <c r="AB203" s="466"/>
      <c r="AC203" s="466"/>
    </row>
    <row r="204" spans="1:31" x14ac:dyDescent="0.25">
      <c r="A204" s="647"/>
      <c r="B204" s="521" t="s">
        <v>695</v>
      </c>
      <c r="C204" s="519"/>
      <c r="D204" s="520"/>
      <c r="E204" s="540"/>
      <c r="F204" s="540"/>
      <c r="G204" s="540"/>
      <c r="H204" s="502"/>
      <c r="I204" s="502"/>
      <c r="J204" s="502"/>
      <c r="K204" s="502" t="s">
        <v>817</v>
      </c>
      <c r="L204" s="502"/>
      <c r="M204" s="502"/>
      <c r="N204" s="502"/>
      <c r="O204" s="502"/>
      <c r="P204" s="543"/>
      <c r="Q204" s="543"/>
      <c r="Y204" s="466"/>
      <c r="Z204" s="466"/>
      <c r="AA204" s="466"/>
      <c r="AB204" s="466"/>
      <c r="AC204" s="466"/>
    </row>
    <row r="205" spans="1:31" ht="15.75" thickBot="1" x14ac:dyDescent="0.3">
      <c r="A205" s="648"/>
      <c r="B205" s="522" t="s">
        <v>816</v>
      </c>
      <c r="C205" s="526"/>
      <c r="D205" s="527"/>
      <c r="E205" s="541" t="s">
        <v>839</v>
      </c>
      <c r="F205" s="541" t="s">
        <v>839</v>
      </c>
      <c r="G205" s="541" t="s">
        <v>839</v>
      </c>
      <c r="H205" s="502"/>
      <c r="I205" s="502"/>
      <c r="J205" s="502"/>
      <c r="K205" s="544"/>
      <c r="L205" s="502"/>
      <c r="M205" s="502"/>
      <c r="N205" s="544" t="s">
        <v>834</v>
      </c>
      <c r="O205" s="544" t="s">
        <v>835</v>
      </c>
      <c r="P205" s="540"/>
      <c r="Q205" s="540"/>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ADD8E6"/>
  </sheetPr>
  <dimension ref="A1:Q20"/>
  <sheetViews>
    <sheetView workbookViewId="0">
      <selection activeCell="B3" sqref="B3"/>
    </sheetView>
  </sheetViews>
  <sheetFormatPr defaultRowHeight="15" x14ac:dyDescent="0.25"/>
  <cols>
    <col min="2" max="2" width="31" customWidth="1"/>
    <col min="3" max="5" width="0.85546875" customWidth="1"/>
    <col min="6" max="11" width="10.7109375" customWidth="1"/>
    <col min="12" max="12" width="20.7109375" customWidth="1"/>
    <col min="13" max="13" width="10.7109375" customWidth="1"/>
    <col min="14" max="15" width="8.7109375" customWidth="1"/>
    <col min="17" max="17" width="9.7109375" customWidth="1"/>
  </cols>
  <sheetData>
    <row r="1" spans="1:17" ht="15.75" thickBot="1" x14ac:dyDescent="0.3">
      <c r="A1" s="510" t="s">
        <v>94</v>
      </c>
      <c r="B1" s="509"/>
      <c r="C1" s="1"/>
      <c r="D1" s="1"/>
      <c r="E1" s="1"/>
      <c r="F1" s="506" t="s">
        <v>842</v>
      </c>
      <c r="G1" s="505" t="s">
        <v>843</v>
      </c>
      <c r="H1" s="508" t="s">
        <v>844</v>
      </c>
      <c r="I1" s="1"/>
      <c r="J1" s="1"/>
      <c r="K1" s="145"/>
      <c r="L1" s="8"/>
      <c r="M1" s="6"/>
      <c r="N1" s="12"/>
    </row>
    <row r="2" spans="1:17" ht="15.75" thickBot="1" x14ac:dyDescent="0.3">
      <c r="A2" s="519"/>
      <c r="B2" s="520"/>
      <c r="C2" s="624"/>
      <c r="D2" s="624"/>
      <c r="E2" s="624"/>
      <c r="F2" s="270"/>
      <c r="G2" s="270"/>
      <c r="H2" s="270"/>
      <c r="I2" s="2"/>
      <c r="J2" s="2"/>
      <c r="K2" s="270"/>
      <c r="L2" s="270"/>
      <c r="M2" s="270"/>
      <c r="N2" s="270"/>
      <c r="O2" s="270"/>
      <c r="P2" s="2"/>
      <c r="Q2" s="2"/>
    </row>
    <row r="3" spans="1:17" ht="23.25" thickBot="1" x14ac:dyDescent="0.3">
      <c r="A3" s="516" t="s">
        <v>847</v>
      </c>
      <c r="B3" s="517"/>
      <c r="C3" s="324" t="s">
        <v>715</v>
      </c>
      <c r="D3" s="325" t="s">
        <v>716</v>
      </c>
      <c r="E3" s="325" t="s">
        <v>592</v>
      </c>
      <c r="F3" s="525" t="s">
        <v>68</v>
      </c>
      <c r="G3" s="513" t="s">
        <v>67</v>
      </c>
      <c r="H3" s="512" t="s">
        <v>66</v>
      </c>
      <c r="I3" s="513" t="s">
        <v>849</v>
      </c>
      <c r="J3" s="513" t="s">
        <v>850</v>
      </c>
      <c r="K3" s="514" t="s">
        <v>65</v>
      </c>
      <c r="L3" s="515" t="s">
        <v>0</v>
      </c>
      <c r="M3" s="514" t="s">
        <v>2</v>
      </c>
      <c r="N3" s="514" t="s">
        <v>1</v>
      </c>
      <c r="O3" s="512" t="s">
        <v>62</v>
      </c>
      <c r="P3" s="514" t="s">
        <v>64</v>
      </c>
      <c r="Q3" s="514" t="s">
        <v>57</v>
      </c>
    </row>
    <row r="4" spans="1:17" x14ac:dyDescent="0.25">
      <c r="A4" s="519" t="s">
        <v>847</v>
      </c>
      <c r="B4" s="628"/>
      <c r="C4" s="533"/>
      <c r="D4" s="534"/>
      <c r="E4" s="534"/>
      <c r="F4" s="1"/>
      <c r="G4" s="1"/>
      <c r="H4" s="1"/>
      <c r="K4" s="1"/>
      <c r="L4" s="1"/>
      <c r="M4" s="1"/>
      <c r="N4" s="1"/>
      <c r="O4" s="145"/>
      <c r="P4" s="145"/>
      <c r="Q4" s="145"/>
    </row>
    <row r="5" spans="1:17" x14ac:dyDescent="0.25">
      <c r="A5" s="519"/>
      <c r="B5" s="520">
        <v>4</v>
      </c>
      <c r="C5" s="540">
        <v>0.5</v>
      </c>
      <c r="D5" s="540">
        <v>0.5</v>
      </c>
      <c r="E5" s="540">
        <v>0.5</v>
      </c>
      <c r="F5" s="542" t="s">
        <v>113</v>
      </c>
      <c r="G5" s="542" t="s">
        <v>113</v>
      </c>
      <c r="H5" s="542" t="s">
        <v>113</v>
      </c>
      <c r="I5" s="502"/>
      <c r="J5" s="502"/>
      <c r="K5" s="542" t="s">
        <v>113</v>
      </c>
      <c r="L5" s="542" t="s">
        <v>242</v>
      </c>
      <c r="M5" s="542" t="s">
        <v>113</v>
      </c>
      <c r="N5" s="542" t="s">
        <v>128</v>
      </c>
      <c r="O5" s="542" t="s">
        <v>128</v>
      </c>
      <c r="P5" s="502"/>
      <c r="Q5" s="502"/>
    </row>
    <row r="6" spans="1:17" x14ac:dyDescent="0.25">
      <c r="A6" s="519"/>
      <c r="B6" s="520"/>
      <c r="C6" s="540">
        <v>9</v>
      </c>
      <c r="D6" s="540">
        <v>5</v>
      </c>
      <c r="E6" s="540">
        <v>3</v>
      </c>
      <c r="F6" s="542" t="s">
        <v>126</v>
      </c>
      <c r="G6" s="542" t="s">
        <v>112</v>
      </c>
      <c r="H6" s="542" t="s">
        <v>128</v>
      </c>
      <c r="I6" s="502"/>
      <c r="J6" s="502"/>
      <c r="K6" s="542" t="s">
        <v>111</v>
      </c>
      <c r="L6" s="542" t="s">
        <v>833</v>
      </c>
      <c r="M6" s="542" t="s">
        <v>115</v>
      </c>
      <c r="N6" s="542" t="s">
        <v>115</v>
      </c>
      <c r="O6" s="542" t="s">
        <v>91</v>
      </c>
      <c r="P6" s="502"/>
      <c r="Q6" s="502"/>
    </row>
    <row r="7" spans="1:17" x14ac:dyDescent="0.25">
      <c r="A7" s="519"/>
      <c r="B7" s="520"/>
      <c r="C7" s="540"/>
      <c r="D7" s="540"/>
      <c r="E7" s="540"/>
      <c r="F7" s="502"/>
      <c r="G7" s="502"/>
      <c r="H7" s="502"/>
      <c r="I7" s="502"/>
      <c r="J7" s="502"/>
      <c r="K7" s="502" t="s">
        <v>817</v>
      </c>
      <c r="L7" s="502"/>
      <c r="M7" s="502"/>
      <c r="N7" s="502"/>
      <c r="O7" s="543"/>
      <c r="P7" s="502"/>
      <c r="Q7" s="502"/>
    </row>
    <row r="8" spans="1:17" ht="15.75" thickBot="1" x14ac:dyDescent="0.3">
      <c r="A8" s="526"/>
      <c r="B8" s="527"/>
      <c r="C8" s="541" t="s">
        <v>798</v>
      </c>
      <c r="D8" s="541" t="s">
        <v>839</v>
      </c>
      <c r="E8" s="541" t="s">
        <v>840</v>
      </c>
      <c r="F8" s="502"/>
      <c r="G8" s="502"/>
      <c r="H8" s="502"/>
      <c r="I8" s="502"/>
      <c r="J8" s="502"/>
      <c r="K8" s="544"/>
      <c r="L8" s="502"/>
      <c r="M8" s="544" t="s">
        <v>834</v>
      </c>
      <c r="N8" s="544" t="s">
        <v>835</v>
      </c>
      <c r="O8" s="540"/>
      <c r="P8" s="502"/>
      <c r="Q8" s="502"/>
    </row>
    <row r="9" spans="1:17" ht="45.75" thickBot="1" x14ac:dyDescent="0.3">
      <c r="A9" s="516" t="s">
        <v>847</v>
      </c>
      <c r="B9" s="517"/>
      <c r="C9" s="545" t="s">
        <v>716</v>
      </c>
      <c r="D9" s="546" t="s">
        <v>862</v>
      </c>
      <c r="E9" s="547" t="s">
        <v>612</v>
      </c>
      <c r="F9" s="548" t="s">
        <v>841</v>
      </c>
      <c r="G9" s="549" t="s">
        <v>374</v>
      </c>
      <c r="H9" s="552" t="s">
        <v>859</v>
      </c>
      <c r="I9" s="549" t="s">
        <v>853</v>
      </c>
      <c r="J9" s="551" t="s">
        <v>858</v>
      </c>
      <c r="K9" s="551" t="s">
        <v>854</v>
      </c>
      <c r="L9" s="550" t="s">
        <v>856</v>
      </c>
      <c r="M9" s="551" t="s">
        <v>855</v>
      </c>
      <c r="N9" s="552" t="s">
        <v>857</v>
      </c>
      <c r="O9" s="552" t="s">
        <v>860</v>
      </c>
      <c r="P9" s="552" t="s">
        <v>861</v>
      </c>
      <c r="Q9" s="552" t="s">
        <v>862</v>
      </c>
    </row>
    <row r="10" spans="1:17" x14ac:dyDescent="0.25">
      <c r="A10" s="519" t="s">
        <v>847</v>
      </c>
      <c r="B10" s="520" t="s">
        <v>925</v>
      </c>
      <c r="C10" s="535"/>
      <c r="D10" s="538"/>
      <c r="E10" s="536"/>
      <c r="F10" s="530"/>
      <c r="G10" s="530"/>
      <c r="H10" s="530"/>
      <c r="I10" s="530"/>
      <c r="J10" s="530"/>
      <c r="K10" s="530"/>
      <c r="L10" s="530"/>
      <c r="M10" s="530"/>
      <c r="N10" s="530"/>
      <c r="O10" s="530"/>
      <c r="P10" s="530"/>
      <c r="Q10" s="530"/>
    </row>
    <row r="11" spans="1:17" x14ac:dyDescent="0.25">
      <c r="A11" s="519"/>
      <c r="B11" s="520"/>
      <c r="C11" s="335">
        <v>0.5</v>
      </c>
      <c r="D11" s="335">
        <v>0.5</v>
      </c>
      <c r="E11" s="335">
        <v>0.5</v>
      </c>
      <c r="F11" s="528">
        <v>20</v>
      </c>
      <c r="G11" s="528">
        <v>20</v>
      </c>
      <c r="H11" s="528">
        <v>10</v>
      </c>
      <c r="I11" s="528">
        <v>10</v>
      </c>
      <c r="J11" s="528">
        <v>10</v>
      </c>
      <c r="K11" s="528">
        <v>10</v>
      </c>
      <c r="L11" s="528">
        <v>10</v>
      </c>
      <c r="M11" s="528">
        <v>10</v>
      </c>
      <c r="N11" s="528">
        <v>10</v>
      </c>
      <c r="O11" s="528">
        <v>8</v>
      </c>
      <c r="P11" s="528">
        <v>8</v>
      </c>
      <c r="Q11" s="528">
        <v>8</v>
      </c>
    </row>
    <row r="12" spans="1:17" x14ac:dyDescent="0.25">
      <c r="A12" s="519"/>
      <c r="B12" s="520"/>
      <c r="C12" s="540">
        <v>5</v>
      </c>
      <c r="D12" s="540">
        <v>5</v>
      </c>
      <c r="E12" s="540">
        <v>5</v>
      </c>
      <c r="F12" s="499"/>
      <c r="G12" s="499"/>
      <c r="H12" s="499"/>
      <c r="I12" s="499"/>
      <c r="J12" s="528"/>
      <c r="K12" s="528"/>
      <c r="L12" s="528"/>
      <c r="M12" s="528"/>
      <c r="N12" s="528"/>
      <c r="O12" s="528"/>
      <c r="P12" s="528"/>
      <c r="Q12" s="528"/>
    </row>
    <row r="13" spans="1:17" x14ac:dyDescent="0.25">
      <c r="A13" s="519"/>
      <c r="B13" s="520"/>
      <c r="C13" s="540"/>
      <c r="D13" s="540"/>
      <c r="E13" s="540"/>
      <c r="F13" s="499"/>
      <c r="G13" s="499"/>
      <c r="H13" s="499"/>
      <c r="I13" s="499"/>
      <c r="J13" s="499"/>
      <c r="K13" s="499"/>
      <c r="L13" s="499"/>
      <c r="M13" s="499"/>
      <c r="N13" s="499"/>
      <c r="O13" s="499"/>
      <c r="P13" s="499"/>
      <c r="Q13" s="499"/>
    </row>
    <row r="14" spans="1:17" ht="15.75" thickBot="1" x14ac:dyDescent="0.3">
      <c r="A14" s="523"/>
      <c r="B14" s="524"/>
      <c r="C14" s="541" t="s">
        <v>839</v>
      </c>
      <c r="D14" s="541" t="s">
        <v>839</v>
      </c>
      <c r="E14" s="541" t="s">
        <v>839</v>
      </c>
      <c r="F14" s="507"/>
      <c r="G14" s="507"/>
      <c r="H14" s="507"/>
      <c r="I14" s="507"/>
      <c r="J14" s="507"/>
      <c r="K14" s="507"/>
      <c r="L14" s="507"/>
      <c r="M14" s="507"/>
      <c r="N14" s="507"/>
      <c r="O14" s="507"/>
      <c r="P14" s="528"/>
      <c r="Q14" s="529"/>
    </row>
    <row r="15" spans="1:17" ht="15.75" thickBot="1" x14ac:dyDescent="0.3">
      <c r="A15" s="516" t="s">
        <v>847</v>
      </c>
      <c r="B15" s="517"/>
      <c r="C15" s="325" t="s">
        <v>716</v>
      </c>
      <c r="D15" s="539" t="s">
        <v>62</v>
      </c>
      <c r="E15" s="537" t="s">
        <v>612</v>
      </c>
      <c r="F15" s="531" t="s">
        <v>843</v>
      </c>
      <c r="G15" s="532" t="s">
        <v>1</v>
      </c>
      <c r="H15" s="532" t="s">
        <v>851</v>
      </c>
      <c r="I15" s="532" t="s">
        <v>848</v>
      </c>
      <c r="J15" s="532" t="s">
        <v>62</v>
      </c>
      <c r="K15" s="532" t="s">
        <v>852</v>
      </c>
      <c r="L15" s="532" t="s">
        <v>706</v>
      </c>
      <c r="M15" s="532" t="s">
        <v>611</v>
      </c>
      <c r="N15" s="532" t="s">
        <v>863</v>
      </c>
      <c r="O15" s="532" t="s">
        <v>372</v>
      </c>
      <c r="P15" s="145"/>
      <c r="Q15" s="145"/>
    </row>
    <row r="16" spans="1:17" x14ac:dyDescent="0.25">
      <c r="A16" s="519" t="s">
        <v>847</v>
      </c>
      <c r="B16" s="520"/>
      <c r="C16" s="535"/>
      <c r="D16" s="538"/>
      <c r="E16" s="536"/>
      <c r="F16" s="1"/>
      <c r="G16" s="1"/>
      <c r="H16" s="1"/>
      <c r="I16" s="1"/>
      <c r="K16" s="1"/>
      <c r="L16" s="1"/>
      <c r="M16" s="1"/>
      <c r="N16" s="145"/>
      <c r="O16" s="145"/>
      <c r="P16" s="145"/>
      <c r="Q16" s="145"/>
    </row>
    <row r="17" spans="1:15" x14ac:dyDescent="0.25">
      <c r="A17" s="519"/>
      <c r="B17" s="520"/>
      <c r="C17" s="335">
        <v>0.5</v>
      </c>
      <c r="D17" s="335">
        <v>0.5</v>
      </c>
      <c r="E17" s="335">
        <v>0.5</v>
      </c>
      <c r="F17" s="542" t="s">
        <v>113</v>
      </c>
      <c r="G17" s="542" t="s">
        <v>113</v>
      </c>
      <c r="H17" s="542" t="s">
        <v>113</v>
      </c>
      <c r="I17" s="542" t="s">
        <v>113</v>
      </c>
      <c r="J17" s="502"/>
      <c r="K17" s="542" t="s">
        <v>242</v>
      </c>
      <c r="L17" s="542" t="s">
        <v>113</v>
      </c>
      <c r="M17" s="542" t="s">
        <v>128</v>
      </c>
      <c r="N17" s="542" t="s">
        <v>128</v>
      </c>
      <c r="O17" s="542" t="s">
        <v>128</v>
      </c>
    </row>
    <row r="18" spans="1:15" x14ac:dyDescent="0.25">
      <c r="A18" s="519"/>
      <c r="B18" s="520"/>
      <c r="C18" s="540">
        <v>5</v>
      </c>
      <c r="D18" s="540">
        <v>5</v>
      </c>
      <c r="E18" s="540">
        <v>5</v>
      </c>
      <c r="F18" s="542" t="s">
        <v>126</v>
      </c>
      <c r="G18" s="542" t="s">
        <v>112</v>
      </c>
      <c r="H18" s="542" t="s">
        <v>128</v>
      </c>
      <c r="I18" s="542" t="s">
        <v>111</v>
      </c>
      <c r="J18" s="502"/>
      <c r="K18" s="542" t="s">
        <v>833</v>
      </c>
      <c r="L18" s="542" t="s">
        <v>115</v>
      </c>
      <c r="M18" s="542" t="s">
        <v>115</v>
      </c>
      <c r="N18" s="542" t="s">
        <v>91</v>
      </c>
      <c r="O18" s="542" t="s">
        <v>91</v>
      </c>
    </row>
    <row r="19" spans="1:15" x14ac:dyDescent="0.25">
      <c r="A19" s="519"/>
      <c r="B19" s="520"/>
      <c r="C19" s="540"/>
      <c r="D19" s="540"/>
      <c r="E19" s="540"/>
      <c r="F19" s="502"/>
      <c r="G19" s="502"/>
      <c r="H19" s="502"/>
      <c r="I19" s="502" t="s">
        <v>817</v>
      </c>
      <c r="J19" s="502"/>
      <c r="K19" s="502"/>
      <c r="L19" s="502"/>
      <c r="M19" s="502"/>
      <c r="N19" s="543"/>
      <c r="O19" s="543"/>
    </row>
    <row r="20" spans="1:15" ht="15.75" thickBot="1" x14ac:dyDescent="0.3">
      <c r="A20" s="526"/>
      <c r="B20" s="527"/>
      <c r="C20" s="541" t="s">
        <v>839</v>
      </c>
      <c r="D20" s="541" t="s">
        <v>839</v>
      </c>
      <c r="E20" s="541" t="s">
        <v>839</v>
      </c>
      <c r="F20" s="502"/>
      <c r="G20" s="502"/>
      <c r="H20" s="502"/>
      <c r="I20" s="544"/>
      <c r="J20" s="502"/>
      <c r="K20" s="502"/>
      <c r="L20" s="544" t="s">
        <v>834</v>
      </c>
      <c r="M20" s="544" t="s">
        <v>835</v>
      </c>
      <c r="N20" s="540"/>
      <c r="O20" s="5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2012-10-04T22:12:52Z</dcterms:modified>
</cp:coreProperties>
</file>