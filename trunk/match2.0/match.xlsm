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15" windowWidth="14520" windowHeight="14250" activeTab="4"/>
  </bookViews>
  <sheets>
    <sheet name="TOCmatch" sheetId="1988" r:id="rId1"/>
    <sheet name="Process" sheetId="1989" r:id="rId2"/>
    <sheet name="We" sheetId="659" r:id="rId3"/>
    <sheet name="Log" sheetId="791" r:id="rId4"/>
    <sheet name="Header" sheetId="763" r:id="rId5"/>
    <sheet name="WP" sheetId="2004"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30.9.12 HDR_WP - Шапка листа WP для &quot;ручного&quot; просмотра и анализа Платежей выбранной Организации">Header!$C$181:$S$205</definedName>
    <definedName name="NewOppHeader">Header!$A$90:$J$90</definedName>
    <definedName name="OppTypeRng" comment="22.3.12">We!$A$41:$D$53</definedName>
    <definedName name="Order_MyCol" comment="1.10.12 Order_MyCol  - шаблон для колонок листа Заказов">Header!$B$79:$S$84</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Process!$A$102:$L$110</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L55" i="1989" l="1"/>
  <c r="L54" i="1989"/>
  <c r="C53" i="1989" l="1"/>
  <c r="F62" i="1989" l="1"/>
  <c r="L61" i="1989"/>
  <c r="C61" i="1989"/>
  <c r="C59" i="1989"/>
  <c r="K50" i="1989" l="1"/>
  <c r="K54" i="1989" s="1"/>
  <c r="F55" i="1989"/>
  <c r="C55" i="1989"/>
  <c r="K43" i="1989"/>
  <c r="K48" i="1989" s="1"/>
  <c r="C48" i="1989"/>
  <c r="C47" i="1989"/>
  <c r="N45" i="1989"/>
  <c r="M45" i="1989"/>
  <c r="L45" i="1989"/>
  <c r="F45" i="1989"/>
  <c r="C45" i="1989"/>
  <c r="K53" i="1989" l="1"/>
  <c r="K52" i="1989"/>
  <c r="K55" i="1989"/>
  <c r="K47" i="1989"/>
  <c r="K45" i="1989"/>
  <c r="F46" i="1989"/>
  <c r="K44" i="1989"/>
  <c r="K46" i="1989"/>
  <c r="C94" i="1989" l="1"/>
  <c r="C93" i="1989"/>
  <c r="F93" i="1989" l="1"/>
  <c r="F92" i="1989"/>
  <c r="L83" i="1989" l="1"/>
  <c r="C95" i="1989" l="1"/>
  <c r="K90" i="1989"/>
  <c r="K94" i="1989" s="1"/>
  <c r="F96" i="1989"/>
  <c r="C96" i="1989"/>
  <c r="L95" i="1989"/>
  <c r="K70" i="1989" l="1"/>
  <c r="C78" i="1989" l="1"/>
  <c r="F39" i="1989"/>
  <c r="F30" i="1989"/>
  <c r="B49" i="763" l="1"/>
  <c r="AT166" i="763"/>
  <c r="AG166" i="763"/>
  <c r="T166" i="763"/>
  <c r="G166" i="763"/>
  <c r="F53" i="763"/>
  <c r="AU166" i="763" l="1"/>
  <c r="C11" i="1989"/>
  <c r="C10" i="1989"/>
  <c r="K11" i="1989"/>
  <c r="K10" i="1989"/>
  <c r="K9" i="1989"/>
  <c r="K7" i="1989"/>
  <c r="N8" i="1989"/>
  <c r="M8" i="1989"/>
  <c r="L8" i="1989"/>
  <c r="K8" i="1989"/>
  <c r="F8" i="1989"/>
  <c r="C8" i="1989"/>
  <c r="F9" i="1989"/>
  <c r="L78" i="1989" l="1"/>
  <c r="K76" i="1989" l="1"/>
  <c r="F79" i="1989"/>
  <c r="C79" i="1989"/>
  <c r="C73" i="1989"/>
  <c r="F74" i="1989"/>
  <c r="C74" i="1989"/>
  <c r="L73" i="1989"/>
  <c r="K73" i="1989"/>
  <c r="C84" i="1989" l="1"/>
  <c r="M83" i="1989" l="1"/>
  <c r="L28" i="1989" l="1"/>
  <c r="V26" i="763" l="1"/>
  <c r="U26" i="763"/>
  <c r="T26" i="763"/>
  <c r="V1115" i="763" l="1"/>
  <c r="U1115" i="763"/>
  <c r="M15" i="1989" l="1"/>
  <c r="C18" i="1989"/>
  <c r="C16" i="1989"/>
  <c r="F15" i="1989" l="1"/>
  <c r="L15" i="1989"/>
  <c r="C15" i="1989"/>
  <c r="L107" i="1989" l="1"/>
  <c r="F107" i="1989" s="1"/>
  <c r="A53" i="763" l="1"/>
  <c r="F54" i="763"/>
  <c r="A54" i="763" s="1"/>
  <c r="B58" i="763"/>
  <c r="A58" i="763" s="1"/>
  <c r="C6" i="763"/>
  <c r="F6" i="763"/>
  <c r="A14" i="763"/>
  <c r="A39" i="763" s="1"/>
  <c r="R14" i="763"/>
  <c r="F18" i="763"/>
  <c r="G18" i="763"/>
  <c r="I18" i="763"/>
  <c r="A62" i="763" l="1"/>
  <c r="J1119" i="763"/>
  <c r="J1118" i="763"/>
  <c r="J1117" i="763"/>
  <c r="J1116" i="763"/>
  <c r="J1115" i="763"/>
  <c r="C1119" i="763"/>
  <c r="C1118" i="763"/>
  <c r="C1117" i="763"/>
  <c r="C1116" i="763"/>
  <c r="C1115" i="763"/>
  <c r="J27" i="763"/>
  <c r="C28" i="763"/>
  <c r="J28" i="763"/>
  <c r="C29" i="763"/>
  <c r="J29" i="763"/>
  <c r="C30" i="763"/>
  <c r="J30" i="763"/>
  <c r="F14" i="763"/>
  <c r="G14" i="763" s="1"/>
  <c r="H14" i="763" s="1"/>
  <c r="C26" i="763"/>
  <c r="J26" i="763"/>
  <c r="C27" i="763"/>
  <c r="J1120" i="763" l="1"/>
  <c r="L1115" i="763" s="1"/>
  <c r="C1120" i="763"/>
  <c r="D1115" i="763" s="1"/>
  <c r="J31" i="763"/>
  <c r="L26" i="763" s="1"/>
  <c r="C31" i="763"/>
  <c r="D29" i="763" s="1"/>
  <c r="L1116" i="763" l="1"/>
  <c r="L1118" i="763"/>
  <c r="D1119" i="763"/>
  <c r="L1117" i="763"/>
  <c r="D1117" i="763"/>
  <c r="L1119" i="763"/>
  <c r="D1118" i="763"/>
  <c r="D1116" i="763"/>
  <c r="L29" i="763"/>
  <c r="L27" i="763"/>
  <c r="D28" i="763"/>
  <c r="L28" i="763"/>
  <c r="L30" i="763"/>
  <c r="D26" i="763"/>
  <c r="D30" i="763"/>
  <c r="D27" i="763"/>
  <c r="L34" i="1989" l="1"/>
  <c r="K34" i="1989"/>
  <c r="L108" i="1989" l="1"/>
  <c r="L106" i="1989" l="1"/>
  <c r="F106" i="1989" s="1"/>
  <c r="I28" i="1988" l="1"/>
  <c r="I22" i="1988"/>
  <c r="F36" i="1989" l="1"/>
  <c r="F84"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95" i="1989" s="1"/>
  <c r="K21" i="1989"/>
  <c r="K22" i="1989"/>
  <c r="F35" i="1989" l="1"/>
  <c r="K14" i="1989" l="1"/>
  <c r="K15" i="1989" s="1"/>
  <c r="K106" i="1989"/>
  <c r="K107" i="1989" s="1"/>
  <c r="K108" i="1989"/>
  <c r="K86" i="1989" s="1"/>
  <c r="C24" i="1989" l="1"/>
  <c r="F29" i="1989" l="1"/>
  <c r="F126" i="1989"/>
  <c r="K13" i="1989" l="1"/>
  <c r="K78" i="1989" s="1"/>
  <c r="K81" i="1989" l="1"/>
  <c r="K83" i="1989" s="1"/>
  <c r="K18" i="1989"/>
  <c r="K17" i="1989"/>
  <c r="K16" i="1989"/>
  <c r="AS175" i="763" l="1"/>
  <c r="AR175" i="763"/>
  <c r="AQ175" i="763"/>
  <c r="AP175" i="763"/>
  <c r="AO175" i="763"/>
  <c r="AN175" i="763"/>
  <c r="AM175" i="763"/>
  <c r="AL175" i="763"/>
  <c r="AT173" i="763" s="1"/>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T175" i="763" l="1"/>
  <c r="AG175" i="763"/>
  <c r="AT175" i="763"/>
  <c r="G175" i="763"/>
  <c r="AU143"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7" i="763"/>
  <c r="AU168" i="763"/>
  <c r="AU169" i="763"/>
  <c r="AU170" i="763"/>
  <c r="AU171" i="763"/>
  <c r="AU172" i="763"/>
  <c r="AU173" i="763"/>
  <c r="AU174" i="763"/>
  <c r="AU142" i="763"/>
  <c r="AU175"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<sst xmlns="http://schemas.openxmlformats.org/spreadsheetml/2006/main" count="2025" uniqueCount="935">
  <si>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</si>
  <si>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</si>
  <si>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</si>
  <si>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</si>
  <si>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</si>
  <si>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</si>
  <si>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</si>
  <si>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</si>
  <si>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</si>
  <si>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</si>
  <si>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</si>
  <si>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</si>
  <si>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</si>
  <si>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</si>
  <si>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</si>
  <si>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</si>
  <si>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</si>
  <si>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</si>
  <si>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</si>
  <si>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</si>
  <si>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</si>
  <si>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</si>
  <si>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</si>
  <si>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</si>
  <si>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</si>
  <si>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</si>
  <si>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</si>
  <si>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</si>
  <si>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</si>
  <si>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</si>
  <si>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</si>
  <si>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</si>
  <si>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</si>
  <si>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</si>
  <si>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</si>
  <si>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</si>
  <si>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</si>
  <si>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</si>
  <si>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</si>
  <si>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</si>
  <si>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</si>
  <si>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</si>
  <si>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</si>
  <si>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</si>
  <si>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</si>
  <si>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</si>
  <si>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</si>
  <si>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</si>
  <si>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</si>
  <si>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</si>
  <si>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</si>
  <si>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</si>
  <si>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</si>
  <si>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</si>
  <si>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</si>
  <si>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</si>
  <si>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</si>
  <si>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</si>
  <si>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</si>
  <si>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</si>
  <si>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</si>
  <si>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</si>
  <si>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</si>
  <si>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</si>
  <si>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</si>
  <si>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</si>
  <si>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</si>
  <si>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</si>
  <si>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</si>
  <si>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</si>
  <si>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</si>
  <si>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</si>
  <si>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</si>
  <si>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</si>
  <si>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</si>
  <si>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</si>
  <si>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</si>
  <si>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</si>
  <si>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</si>
  <si>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</si>
  <si>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</si>
  <si>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</si>
  <si>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</si>
  <si>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</si>
  <si>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</si>
  <si>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</si>
  <si>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</si>
  <si>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</si>
  <si>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</si>
  <si>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</si>
  <si>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</si>
  <si>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</si>
  <si>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</si>
  <si>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</si>
  <si>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</si>
  <si>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</si>
  <si>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</si>
  <si>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</si>
  <si>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</si>
  <si>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</si>
  <si>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</si>
  <si>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</si>
  <si>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</si>
  <si>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</si>
  <si>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</si>
  <si>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</si>
  <si>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</si>
  <si>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</si>
  <si>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</si>
  <si>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</si>
  <si>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</si>
  <si>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</si>
  <si>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</si>
  <si>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</si>
  <si>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</si>
  <si>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</si>
  <si>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</si>
  <si>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</si>
  <si>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</si>
  <si>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</si>
  <si>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</si>
  <si>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</si>
  <si>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</si>
  <si>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</si>
  <si>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</si>
  <si>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</si>
  <si>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</si>
  <si>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</si>
  <si>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</si>
  <si>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</si>
  <si>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</si>
  <si>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</si>
  <si>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</si>
  <si>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</si>
  <si>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</si>
  <si>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</si>
  <si>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</si>
  <si>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</si>
  <si>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</si>
  <si>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</si>
  <si>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</si>
  <si>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</si>
  <si>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</si>
  <si>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</si>
  <si>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</si>
  <si>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</si>
  <si>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</si>
  <si>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</si>
  <si>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</si>
  <si>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</si>
  <si>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</si>
  <si>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</si>
  <si>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</si>
  <si>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</si>
  <si>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</si>
  <si>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</si>
  <si>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</si>
  <si>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</si>
  <si>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</si>
  <si>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</si>
  <si>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</si>
  <si>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</si>
  <si>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</si>
  <si>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</si>
  <si>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</si>
  <si>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</si>
  <si>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</si>
  <si>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</si>
  <si>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</si>
  <si>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</si>
  <si>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</si>
  <si>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</si>
  <si>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</si>
  <si>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</si>
  <si>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</si>
  <si>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</si>
  <si>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</si>
  <si>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</si>
  <si>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</si>
  <si>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</si>
  <si>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</si>
  <si>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</si>
  <si>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</si>
  <si>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</si>
  <si>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</si>
  <si>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</si>
  <si>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</si>
  <si>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</si>
  <si>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</si>
  <si>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</si>
  <si>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</si>
  <si>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</si>
  <si>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</si>
  <si>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</si>
  <si>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</si>
  <si>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</si>
  <si>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</si>
  <si>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</si>
  <si>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</si>
  <si>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</si>
  <si>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</si>
  <si>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</si>
  <si>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</si>
  <si>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</si>
  <si>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</si>
  <si>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</si>
  <si>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</si>
  <si>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</si>
  <si>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</si>
  <si>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</si>
  <si>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</si>
  <si>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</si>
  <si>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</si>
  <si>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</si>
  <si>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</si>
  <si>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</si>
  <si>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</si>
  <si>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</si>
  <si>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</si>
  <si>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</si>
  <si>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</si>
  <si>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</si>
  <si>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</si>
  <si>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</si>
  <si>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</si>
  <si>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</si>
  <si>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</si>
  <si>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</si>
  <si>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</si>
  <si>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</si>
  <si>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</si>
  <si>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</si>
  <si>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</si>
  <si>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</si>
  <si>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</si>
  <si>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</si>
  <si>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</si>
  <si>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</si>
  <si>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</si>
  <si>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</si>
  <si>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</si>
  <si>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</si>
  <si>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</si>
  <si>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</si>
  <si>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</si>
  <si>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</si>
  <si>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</si>
  <si>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</si>
  <si>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</si>
  <si>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</si>
  <si>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</si>
  <si>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</si>
  <si>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</si>
  <si>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</si>
  <si>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</si>
  <si>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</si>
  <si>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</si>
  <si>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</si>
  <si>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</si>
  <si>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</si>
  <si>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</si>
  <si>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</si>
  <si>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</si>
  <si>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</si>
  <si>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</si>
  <si>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</si>
  <si>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</si>
  <si>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</si>
  <si>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</si>
  <si>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</si>
  <si>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</si>
  <si>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</si>
  <si>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</si>
  <si>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</si>
  <si>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</si>
  <si>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</si>
  <si>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</si>
  <si>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</si>
  <si>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</si>
  <si>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</si>
  <si>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</si>
  <si>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</si>
  <si>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</si>
  <si>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</si>
  <si>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</si>
  <si>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</si>
  <si>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</si>
  <si>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</si>
  <si>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</si>
  <si>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</si>
  <si>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</si>
  <si>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</si>
  <si>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</si>
  <si>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</si>
  <si>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</si>
  <si>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</si>
  <si>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</si>
  <si>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</si>
  <si>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</si>
  <si>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</si>
  <si>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</si>
  <si>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</si>
  <si>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</si>
  <si>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</si>
  <si>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</si>
  <si>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</si>
  <si>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</si>
  <si>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</si>
  <si>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</si>
  <si>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</si>
  <si>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</si>
  <si>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</si>
  <si>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</si>
  <si>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</si>
  <si>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</si>
  <si>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</si>
  <si>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</si>
  <si>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</si>
  <si>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</si>
  <si>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</si>
  <si>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</si>
  <si>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</si>
  <si>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</si>
  <si>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</si>
  <si>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</si>
  <si>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</si>
  <si>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</si>
  <si>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</si>
  <si>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</si>
  <si>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</si>
  <si>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</si>
  <si>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</si>
  <si>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</si>
  <si>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</si>
  <si>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</si>
  <si>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</si>
  <si>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</si>
  <si>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</si>
  <si>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</si>
  <si>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</si>
  <si>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</si>
  <si>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</si>
  <si>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</si>
  <si>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</si>
  <si>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</si>
  <si>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</si>
  <si>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</si>
  <si>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</si>
  <si>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</si>
  <si>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</si>
  <si>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</si>
  <si>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</si>
  <si>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</si>
  <si>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</si>
  <si>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</si>
  <si>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</si>
  <si>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</si>
  <si>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</si>
  <si>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</si>
  <si>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</si>
  <si>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</si>
  <si>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</si>
  <si>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</si>
  <si>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</si>
  <si>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</si>
  <si>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</si>
  <si>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</si>
  <si>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</si>
  <si>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</si>
  <si>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</si>
  <si>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</si>
  <si>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</si>
  <si>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</si>
  <si>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</si>
  <si>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</si>
  <si>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</si>
  <si>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</si>
  <si>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</si>
  <si>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</si>
  <si>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</si>
  <si>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</si>
  <si>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</si>
  <si>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</si>
  <si>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</si>
  <si>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</si>
  <si>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</si>
  <si>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</si>
  <si>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</si>
  <si>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</si>
  <si>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</si>
  <si>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</si>
  <si>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</si>
  <si>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</si>
  <si>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</si>
  <si>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</si>
  <si>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</si>
  <si>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</si>
  <si>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</si>
  <si>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</si>
  <si>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</si>
  <si>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</si>
  <si>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</si>
  <si>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</si>
  <si>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</si>
  <si>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</si>
  <si>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</si>
  <si>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</si>
  <si>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</si>
  <si>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</si>
  <si>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</si>
  <si>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</si>
  <si>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</si>
  <si>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</si>
  <si>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</si>
  <si>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</si>
  <si>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</si>
  <si>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</si>
  <si>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</si>
  <si>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</si>
  <si>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</si>
  <si>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</si>
  <si>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</si>
  <si>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</si>
  <si>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</si>
  <si>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</si>
  <si>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</si>
  <si>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</si>
  <si>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</si>
  <si>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</si>
  <si>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</si>
  <si>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</si>
  <si>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</si>
  <si>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</si>
  <si>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</si>
  <si>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</si>
  <si>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</si>
  <si>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</si>
  <si>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</si>
  <si>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</si>
  <si>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</si>
  <si>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</si>
  <si>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</si>
  <si>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</si>
  <si>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</si>
  <si>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</si>
  <si>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</si>
  <si>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</si>
  <si>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</si>
  <si>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</si>
  <si>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</si>
  <si>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</si>
  <si>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</si>
  <si>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</si>
  <si>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</si>
  <si>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</si>
  <si>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</si>
  <si>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</si>
  <si>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</si>
  <si>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</si>
  <si>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</si>
  <si>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</si>
  <si>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</si>
  <si>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</si>
  <si>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</si>
  <si>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</si>
  <si>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</si>
  <si>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</si>
  <si>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</si>
  <si>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</si>
  <si>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</si>
  <si>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</si>
  <si>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</si>
  <si>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</si>
  <si>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</si>
  <si>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</si>
  <si>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</si>
  <si>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</si>
  <si>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</si>
  <si>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</si>
  <si>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</si>
  <si>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</si>
  <si>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</si>
  <si>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</si>
  <si>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</si>
  <si>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</si>
  <si>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</si>
  <si>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</si>
  <si>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</si>
  <si>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</si>
  <si>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</si>
  <si>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</si>
  <si>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</si>
  <si>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</si>
  <si>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</si>
  <si>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</si>
  <si>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</si>
  <si>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</si>
  <si>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</si>
  <si>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</si>
  <si>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</si>
  <si>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</si>
  <si>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</si>
  <si>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</si>
  <si>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</si>
  <si>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</si>
  <si>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</si>
  <si>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</si>
  <si>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</si>
  <si>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</si>
  <si>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</si>
  <si>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</si>
  <si>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</si>
  <si>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</si>
  <si>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</si>
  <si>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</si>
  <si>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</si>
  <si>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</si>
  <si>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</si>
  <si>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</si>
  <si>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</si>
  <si>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</si>
  <si>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</si>
  <si>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</si>
  <si>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</si>
  <si>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</si>
  <si>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</si>
  <si>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</si>
  <si>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</si>
  <si>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</si>
  <si>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</si>
  <si>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</si>
  <si>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</si>
  <si>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</si>
  <si>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</si>
  <si>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</si>
  <si>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</si>
  <si>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</si>
  <si>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</si>
  <si>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</si>
  <si>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</si>
  <si>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</si>
  <si>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</si>
  <si>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</si>
  <si>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</si>
  <si>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</si>
  <si>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</si>
  <si>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</si>
  <si>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</si>
  <si>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</si>
  <si>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</si>
  <si>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</si>
  <si>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</si>
  <si>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</si>
  <si>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</si>
  <si>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</si>
  <si>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</si>
  <si>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</si>
  <si>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</si>
  <si>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</si>
  <si>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</si>
  <si>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</si>
  <si>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</si>
  <si>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</si>
  <si>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</si>
  <si>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</si>
  <si>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</si>
  <si>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</si>
  <si>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</si>
  <si>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</si>
  <si>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</si>
  <si>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</si>
  <si>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</si>
  <si>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</si>
  <si>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</si>
  <si>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</si>
  <si>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</si>
  <si>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</si>
  <si>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</si>
  <si>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</si>
  <si>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</si>
  <si>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</si>
  <si>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</si>
  <si>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</si>
  <si>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</si>
  <si>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</si>
  <si>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</si>
  <si>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</si>
  <si>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</si>
  <si>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</si>
  <si>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</si>
  <si>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</si>
  <si>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</si>
  <si>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</si>
  <si>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</si>
  <si>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</si>
  <si>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</si>
  <si>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</si>
  <si>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</si>
  <si>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</si>
  <si>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</si>
  <si>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</si>
  <si>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</si>
  <si>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</si>
  <si>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</si>
  <si>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</si>
  <si>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</si>
  <si>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</si>
  <si>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</si>
  <si>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</si>
  <si>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</si>
  <si>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</si>
  <si>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</si>
  <si>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</si>
  <si>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</si>
  <si>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</si>
  <si>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</si>
  <si>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</si>
  <si>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</si>
  <si>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</si>
  <si>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</si>
  <si>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</si>
  <si>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</si>
  <si>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</si>
  <si>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</si>
  <si>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</si>
  <si>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</si>
  <si>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</si>
  <si>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</si>
  <si>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</si>
  <si>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</si>
  <si>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</si>
  <si>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</si>
  <si>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</si>
  <si>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</si>
  <si>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</si>
  <si>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</si>
  <si>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</si>
  <si>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</si>
  <si>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</si>
  <si>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</si>
  <si>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</si>
  <si>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</si>
  <si>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</si>
  <si>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</si>
  <si>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</si>
  <si>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</si>
  <si>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</si>
  <si>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</si>
  <si>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</si>
  <si>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</si>
  <si>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</si>
  <si>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</si>
  <si>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</si>
  <si>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</si>
  <si>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</si>
  <si>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</si>
  <si>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</si>
  <si>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</si>
  <si>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</si>
  <si>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</si>
  <si>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</si>
  <si>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</si>
  <si>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</si>
  <si>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</si>
  <si>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</si>
  <si>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</si>
  <si>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</si>
  <si>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</si>
  <si>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</si>
  <si>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</si>
  <si>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</si>
  <si>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</si>
  <si>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</si>
  <si>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</si>
  <si>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</si>
  <si>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</si>
  <si>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</si>
  <si>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</si>
  <si>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</si>
  <si>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</si>
  <si>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</si>
  <si>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</si>
  <si>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</si>
  <si>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</si>
  <si>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</si>
  <si>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</si>
  <si>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</si>
  <si>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</si>
  <si>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</si>
  <si>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</si>
  <si>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</si>
  <si>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</si>
  <si>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</si>
  <si>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</si>
  <si>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</si>
  <si>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</si>
  <si>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</si>
  <si>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</si>
  <si>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</si>
  <si>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</si>
  <si>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</si>
  <si>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</si>
  <si>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</si>
  <si>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</si>
  <si>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</si>
  <si>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</si>
  <si>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</si>
  <si>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</si>
  <si>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</si>
  <si>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</si>
  <si>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</si>
  <si>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</si>
  <si>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</si>
  <si>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</si>
  <si>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</si>
  <si>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</si>
  <si>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</si>
  <si>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</si>
  <si>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</si>
  <si>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</si>
  <si>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</si>
  <si>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</si>
  <si>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</si>
  <si>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</si>
  <si>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</si>
  <si>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</si>
  <si>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</si>
  <si>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</si>
  <si>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</si>
  <si>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</si>
  <si>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</si>
  <si>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</si>
  <si>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</si>
  <si>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</si>
  <si>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</si>
  <si>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</si>
  <si>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</si>
  <si>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</si>
  <si>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</si>
  <si>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</si>
  <si>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</si>
  <si>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</si>
  <si>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</si>
  <si>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</si>
  <si>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</si>
  <si>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</si>
  <si>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</si>
  <si>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</si>
  <si>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</si>
  <si>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</si>
  <si>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</si>
  <si>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</si>
  <si>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</si>
  <si>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</si>
  <si>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</si>
  <si>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</si>
  <si>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</si>
  <si>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</si>
  <si>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</si>
  <si>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</si>
  <si>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</si>
  <si>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</si>
  <si>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</si>
  <si>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</si>
  <si>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</si>
  <si>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</si>
  <si>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</si>
  <si>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</si>
  <si>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</si>
  <si>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</si>
  <si>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</si>
  <si>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</si>
  <si>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</si>
  <si>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</si>
  <si>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</si>
  <si>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</si>
  <si>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</si>
  <si>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</si>
  <si>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</si>
  <si>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</si>
  <si>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</si>
  <si>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</si>
  <si>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</si>
  <si>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</si>
  <si>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</si>
  <si>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</si>
  <si>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</si>
  <si>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</si>
  <si>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</si>
  <si>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</si>
  <si>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</si>
  <si>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</si>
  <si>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</si>
  <si>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</si>
  <si>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</si>
  <si>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</si>
  <si>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</si>
  <si>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</si>
  <si>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</si>
  <si>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</si>
  <si>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</si>
  <si>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</si>
  <si>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</si>
  <si>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</si>
  <si>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</si>
  <si>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</si>
  <si>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</si>
  <si>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</si>
  <si>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</si>
  <si>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</si>
  <si>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</si>
  <si>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</si>
  <si>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</si>
  <si>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</si>
  <si>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</si>
  <si>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</si>
  <si>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</si>
  <si>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</si>
  <si>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</si>
  <si>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</si>
  <si>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</si>
  <si>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</si>
  <si>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</si>
  <si>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</si>
  <si>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</si>
  <si>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</si>
  <si>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</si>
  <si>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</si>
  <si>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</si>
  <si>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</si>
  <si>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</si>
  <si>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</si>
  <si>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</si>
  <si>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</si>
  <si>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</si>
  <si>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</si>
  <si>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</si>
  <si>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</si>
  <si>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</si>
  <si>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</si>
  <si>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</si>
  <si>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</si>
  <si>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 xml:space="preserve">Account </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</si>
  <si>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</si>
  <si>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</si>
  <si>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</si>
  <si>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</si>
  <si>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</si>
  <si>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</si>
  <si>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</si>
  <si>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</si>
  <si>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</si>
  <si>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</si>
  <si>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</si>
  <si>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</si>
  <si>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</si>
  <si>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</si>
  <si>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</si>
  <si>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</si>
  <si>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</si>
  <si>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</si>
  <si>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</si>
  <si>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</si>
  <si>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</si>
  <si>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W</t>
  </si>
  <si>
    <t>КонтрADSK</t>
  </si>
  <si>
    <t>WP_PaidOpp</t>
  </si>
  <si>
    <t>WP</t>
  </si>
  <si>
    <r>
      <rPr>
        <sz val="11"/>
        <color theme="1"/>
        <rFont val="Calibri"/>
        <family val="2"/>
        <charset val="204"/>
        <scheme val="minor"/>
      </rPr>
      <t>30.9.12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</si>
  <si>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HDR_WP</t>
  </si>
  <si>
    <t>2, 12</t>
  </si>
  <si>
    <t>4, 14</t>
  </si>
  <si>
    <t>CheckProc0</t>
  </si>
  <si>
    <t>ProcReset</t>
  </si>
  <si>
    <t>9</t>
  </si>
  <si>
    <t>5, 10</t>
  </si>
  <si>
    <t>6, 11</t>
  </si>
  <si>
    <t>7, 12</t>
  </si>
  <si>
    <t>8, 13</t>
  </si>
  <si>
    <t>9, 14</t>
  </si>
  <si>
    <t>11, 16</t>
  </si>
  <si>
    <t>12, 17</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</si>
  <si>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</si>
  <si>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</si>
  <si>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</si>
  <si>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</si>
  <si>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</si>
  <si>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</si>
  <si>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</si>
  <si>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</si>
  <si>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</si>
  <si>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</si>
  <si>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</si>
  <si>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</si>
  <si>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</si>
  <si>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</si>
  <si>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</si>
  <si>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</si>
  <si>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</si>
  <si>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</si>
  <si>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</si>
  <si>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</si>
  <si>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</si>
  <si>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</si>
  <si>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LOAD_Заказы</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</si>
  <si>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</si>
  <si>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</si>
  <si>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</si>
  <si>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</si>
  <si>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t>ВНИМАНИЕ:&lt;&gt; Процесс LOAD_Stock перед выполнением Шага GetInv1C</t>
  </si>
  <si>
    <t>&lt;! ERROR !&gt; MoveToMatch: файл Серийные номера  на 28.09.12. см АРХИВ Начало 06.11.2001г..xls&gt; Запрос не существующего в ТОС отчета Кратко ПО</t>
  </si>
  <si>
    <t>MoveToMatch: В файл 'Stock.xlsx' загружен новый отчет 'Заказы'; EOL=1221 строк, в прежнем 1240</t>
  </si>
  <si>
    <t>MoveToMatch: В файл 'Stock.xlsx' загружен новый отчет 'Склад'; EOL=8579 строк, в прежнем 3586</t>
  </si>
  <si>
    <t>ВНИМАНИЕ:Отчет Склад действительно 'Loaded'</t>
  </si>
  <si>
    <t>ВНИМАНИЕ:&lt;&gt; Процесс LOAD_Stock перед выполнением Шага RowDel</t>
  </si>
  <si>
    <t>&lt;! ERROR !&gt; IsDone: Не 'Loaded' файл для Процесса LOAD_Stock на Шаге Loaded_x000D_
_x000D_
Отчет Склад надо загрузить заново!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</si>
  <si>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</si>
  <si>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r>
      <t>1.10.12</t>
    </r>
    <r>
      <rPr>
        <b/>
        <i/>
        <u/>
        <sz val="11"/>
        <color theme="1"/>
        <rFont val="Calibri"/>
        <family val="2"/>
        <charset val="204"/>
      </rPr>
      <t xml:space="preserve"> Order_MyCol</t>
    </r>
    <r>
      <rPr>
        <sz val="11"/>
        <color theme="1"/>
        <rFont val="Calibri"/>
        <family val="2"/>
        <charset val="204"/>
        <scheme val="minor"/>
      </rPr>
      <t xml:space="preserve">  - шаблон для колонок листа Заказов</t>
    </r>
  </si>
  <si>
    <t>ВНИМАНИЕ:&lt;&gt; Процесс LOAD_Stock перед выполнением Шага InsMyCol</t>
  </si>
  <si>
    <t>&lt;! ERROR !&gt; GetRep.CheckStamp&gt; Запрос не существующего в ТОС отчета Склад</t>
  </si>
  <si>
    <t>1, 10</t>
  </si>
  <si>
    <t>2, 11</t>
  </si>
  <si>
    <t>3, 12</t>
  </si>
  <si>
    <t>5, 14</t>
  </si>
  <si>
    <t>6, 15</t>
  </si>
  <si>
    <t>4, 13</t>
  </si>
  <si>
    <t>CopyHdr</t>
  </si>
  <si>
    <t>MoveToMatch: В файл 'Stock.xlsx' загружен новый отчет 'Склад'; EOL=8579 строк, в прежнем 8579</t>
  </si>
  <si>
    <t>ВНИМАНИЕ:&lt;&gt; Процесс LOAD_Stock перед выполнением Шага Adapt</t>
  </si>
  <si>
    <t>&lt;! ERROR !&gt; GetRep &gt; Запрос не существующего в ТОС отчета 0</t>
  </si>
  <si>
    <t>GetCol/1C.xlsx,Платежи,9</t>
  </si>
  <si>
    <t>ВНИМАНИЕ:&lt;&gt; Процесс LOAD_Заказы перед выполнением Шага GetInv1C</t>
  </si>
  <si>
    <t>GetCol/1C.xlsx,Платежи,22</t>
  </si>
  <si>
    <t>IdSF</t>
  </si>
  <si>
    <t>GetCol/1C.xlsx,Платежи,3</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</si>
</sst>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0_ ;\-#,##0\ "/>
    <numFmt numFmtId="167" formatCode="dd\-mm\-yyyy"/>
    <numFmt numFmtId="168" formatCode="_(* #,##0_);_(* \(#,##0\);_(* &quot;-&quot;??_);_(@_)"/>
    <numFmt numFmtId="169" formatCode="dd/mm/yy\ h:mm;@"/>
    <numFmt numFmtId="170" formatCode="_(&quot;$&quot;* #,##0.00_);_(&quot;$&quot;* \(#,##0.00\);_(&quot;$&quot;* &quot;-&quot;??_);_(@_)"/>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28"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rgb="FF008000"/>
        <bgColor indexed="64"/>
      </patternFill>
    </fill>
    <fill>
      <patternFill patternType="solid">
        <fgColor indexed="11"/>
        <bgColor indexed="64"/>
      </patternFill>
    </fill>
    <fill>
      <patternFill patternType="solid">
        <fgColor rgb="FF00FF00"/>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medium">
        <color indexed="64"/>
      </left>
      <right/>
      <top style="thin">
        <color indexed="64"/>
      </top>
      <bottom/>
      <diagonal/>
    </border>
    <border>
      <left style="thin">
        <color auto="1"/>
      </left>
      <right style="thin">
        <color auto="1"/>
      </right>
      <top style="thin">
        <color auto="1"/>
      </top>
      <bottom style="thin">
        <color auto="1"/>
      </bottom>
      <diagonal/>
    </border>
  </borders>
  <cellStyleXfs count="765">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70"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0"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70"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70"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cellStyleXfs>
  <cellXfs count="641">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7"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7"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6"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6"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8" fontId="0" fillId="0" borderId="0" xfId="1" applyNumberFormat="1" applyFont="1"/>
    <xf numFmtId="171" fontId="0" fillId="6" borderId="0" xfId="0" applyFill="1"/>
    <xf numFmtId="49" fontId="264" fillId="0" borderId="0" xfId="0" applyNumberFormat="1" applyFont="1"/>
    <xf numFmtId="169" fontId="0" fillId="0" borderId="0" xfId="0" applyNumberFormat="1" applyFill="1" applyBorder="1"/>
    <xf numFmtId="171" fontId="0" fillId="2" borderId="0" xfId="95" applyFont="1" applyFill="1"/>
    <xf numFmtId="168" fontId="249" fillId="0" borderId="0" xfId="1" applyNumberFormat="1"/>
    <xf numFmtId="168" fontId="262" fillId="0" borderId="0" xfId="1" applyNumberFormat="1" applyFont="1"/>
    <xf numFmtId="168"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69" fontId="0" fillId="0" borderId="0" xfId="0" applyNumberFormat="1" applyAlignment="1">
      <alignment horizontal="center"/>
    </xf>
    <xf numFmtId="171" fontId="295" fillId="0" borderId="0" xfId="0" applyFont="1"/>
    <xf numFmtId="169"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69"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69"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69"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69"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9"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9"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69"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69"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69"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69" fontId="0" fillId="11" borderId="0" xfId="0" applyNumberFormat="1" applyFill="1" applyAlignment="1">
      <alignment horizontal="center"/>
    </xf>
    <xf numFmtId="169"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0" fillId="11" borderId="0" xfId="0" applyNumberFormat="1" applyFill="1"/>
    <xf numFmtId="169"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69" fontId="0" fillId="0" borderId="31" xfId="0" applyNumberFormat="1" applyFill="1" applyBorder="1" applyAlignment="1">
      <alignment horizontal="center"/>
    </xf>
    <xf numFmtId="49" fontId="0" fillId="0" borderId="11" xfId="0" applyNumberFormat="1" applyBorder="1" applyAlignment="1">
      <alignment vertic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69"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69"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69"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11" borderId="47" xfId="0" applyNumberFormat="1" applyFill="1" applyBorder="1"/>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69" fontId="0" fillId="0" borderId="47" xfId="0" applyNumberFormat="1" applyBorder="1" applyAlignment="1">
      <alignment horizontal="center"/>
    </xf>
    <xf numFmtId="169"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171"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6" fontId="300" fillId="42" borderId="52" xfId="732" applyNumberFormat="1" applyFont="1" applyFill="1" applyBorder="1" applyAlignment="1">
      <alignment horizontal="center"/>
    </xf>
    <xf numFmtId="166"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7"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6" fontId="258" fillId="11" borderId="0" xfId="732" applyNumberFormat="1" applyFont="1" applyFill="1" applyAlignment="1">
      <alignment horizontal="center"/>
    </xf>
    <xf numFmtId="166"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6"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7"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171" fontId="258" fillId="45" borderId="0" xfId="56" applyFont="1" applyFill="1"/>
    <xf numFmtId="171"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7"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7"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7"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169"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9"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71" fontId="268" fillId="40" borderId="0" xfId="0" applyFont="1" applyFill="1" applyAlignment="1">
      <alignment horizontal="left"/>
    </xf>
    <xf numFmtId="171" fontId="0" fillId="40" borderId="0" xfId="0" applyFill="1" applyBorder="1" applyAlignment="1">
      <alignment horizontal="left" vertical="center"/>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69"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69"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71" fontId="0" fillId="0" borderId="50" xfId="0" applyFont="1" applyFill="1" applyBorder="1"/>
    <xf numFmtId="169"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0" fontId="258" fillId="0" borderId="0" xfId="731" applyFont="1" applyAlignment="1">
      <alignment horizontal="center"/>
    </xf>
    <xf numFmtId="169"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71" fontId="0" fillId="8" borderId="0" xfId="0" applyFill="1"/>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50" borderId="63" xfId="63" applyFont="1" applyFill="1" applyBorder="1" applyAlignment="1">
      <alignment horizontal="center"/>
    </xf>
    <xf numFmtId="171"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49" fillId="38" borderId="0" xfId="63" applyNumberFormat="1" applyFont="1" applyFill="1" applyAlignment="1">
      <alignment horizontal="center" vertical="center"/>
    </xf>
    <xf numFmtId="171"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7"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7" borderId="65" xfId="0" applyNumberFormat="1" applyFont="1" applyFill="1" applyBorder="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6" fontId="1" fillId="11" borderId="0" xfId="732" applyNumberFormat="1" applyFont="1" applyFill="1" applyAlignment="1">
      <alignment horizontal="center"/>
    </xf>
    <xf numFmtId="166" fontId="1" fillId="7" borderId="0" xfId="732" applyNumberFormat="1" applyFont="1" applyFill="1" applyAlignment="1">
      <alignment horizontal="center"/>
    </xf>
    <xf numFmtId="166" fontId="1" fillId="54" borderId="0" xfId="732" applyNumberFormat="1" applyFont="1" applyFill="1" applyAlignment="1">
      <alignment horizontal="center"/>
    </xf>
    <xf numFmtId="166" fontId="300" fillId="8" borderId="52" xfId="732" applyNumberFormat="1" applyFont="1" applyFill="1" applyBorder="1" applyAlignment="1">
      <alignment horizontal="center"/>
    </xf>
    <xf numFmtId="166" fontId="1" fillId="51" borderId="0" xfId="732" applyNumberFormat="1" applyFont="1" applyFill="1" applyAlignment="1">
      <alignment horizontal="center"/>
    </xf>
    <xf numFmtId="166"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71" fontId="0" fillId="8" borderId="0" xfId="0" applyFill="1" applyAlignment="1">
      <alignment horizontal="center"/>
    </xf>
    <xf numFmtId="171" fontId="258" fillId="8" borderId="0" xfId="94" applyFont="1" applyFill="1" applyAlignment="1">
      <alignment horizontal="center" vertical="top"/>
    </xf>
    <xf numFmtId="166" fontId="300" fillId="42" borderId="52" xfId="732" applyNumberFormat="1" applyFont="1" applyFill="1" applyBorder="1" applyAlignment="1">
      <alignment horizontal="center" vertical="center"/>
    </xf>
    <xf numFmtId="166" fontId="300" fillId="47" borderId="52" xfId="732" applyNumberFormat="1" applyFont="1" applyFill="1" applyBorder="1" applyAlignment="1">
      <alignment horizontal="center" vertical="center"/>
    </xf>
    <xf numFmtId="166"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9"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169"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0" fontId="0" fillId="5" borderId="11" xfId="0" applyNumberFormat="1" applyFont="1" applyFill="1" applyBorder="1" applyAlignment="1">
      <alignment horizontal="center" vertical="center"/>
    </xf>
    <xf numFmtId="49" fontId="0" fillId="55" borderId="41" xfId="0" applyNumberFormat="1" applyFill="1" applyBorder="1" applyAlignment="1">
      <alignment horizontal="center" vertical="center" wrapText="1"/>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0" xfId="709" applyAlignment="1">
      <alignment vertical="center" wrapText="1"/>
    </xf>
    <xf numFmtId="171" fontId="293" fillId="0" borderId="77" xfId="709" applyBorder="1" applyAlignment="1">
      <alignment horizontal="center" vertical="center" wrapText="1"/>
    </xf>
    <xf numFmtId="171" fontId="293" fillId="56"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69"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7" borderId="77" xfId="709" applyFont="1" applyFill="1" applyBorder="1" applyAlignment="1">
      <alignment horizontal="center" vertical="center" wrapText="1"/>
    </xf>
    <xf numFmtId="171" fontId="319" fillId="57" borderId="77" xfId="709" applyFont="1" applyFill="1" applyBorder="1" applyAlignment="1">
      <alignment horizontal="center" vertical="center" wrapText="1"/>
    </xf>
    <xf numFmtId="171" fontId="325" fillId="57"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171" fontId="0" fillId="0" borderId="78" xfId="0" applyBorder="1" applyAlignment="1">
      <alignment horizontal="left" vertical="center"/>
    </xf>
    <xf numFmtId="171" fontId="0" fillId="39" borderId="0" xfId="0" applyNumberFormat="1" applyFill="1" applyBorder="1"/>
    <xf numFmtId="169" fontId="0" fillId="0" borderId="43" xfId="0" applyNumberFormat="1" applyFill="1" applyBorder="1" applyAlignment="1">
      <alignment horizontal="center"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0" fillId="0" borderId="0" xfId="0" applyFont="1" applyFill="1" applyAlignment="1">
      <alignment horizontal="left"/>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49" fontId="0" fillId="0" borderId="0" xfId="0" applyNumberFormat="1" applyAlignment="1">
      <alignment wrapText="1"/>
    </xf>
    <xf numFmtId="171" fontId="319" fillId="39" borderId="79" xfId="709" applyFont="1" applyFill="1" applyBorder="1" applyAlignment="1">
      <alignment horizontal="center" vertical="center" wrapText="1"/>
    </xf>
    <xf numFmtId="169" fontId="0" fillId="8" borderId="0" xfId="0" applyNumberFormat="1" applyFill="1" applyAlignment="1">
      <alignment horizontal="center"/>
    </xf>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33</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19</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19</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19</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33</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10</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topLeftCell="A4" zoomScale="70" zoomScaleNormal="70" workbookViewId="0">
      <selection activeCell="M28" sqref="M28"/>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3" width="4.42578125" bestFit="1" customWidth="1"/>
    <col min="14" max="14" width="14.7109375" bestFit="1" customWidth="1"/>
    <col min="15" max="15" width="3" customWidth="1"/>
    <col min="16" max="19" width="2" bestFit="1" customWidth="1"/>
  </cols>
  <sheetData>
    <row r="1" spans="1:24" ht="19.5" thickBot="1" x14ac:dyDescent="0.35">
      <c r="A1" s="126">
        <v>41184.081296296295</v>
      </c>
      <c r="C1" s="125" t="s">
        <v>596</v>
      </c>
      <c r="J1" s="468" t="s">
        <v>826</v>
      </c>
      <c r="K1" s="167"/>
      <c r="L1" s="57"/>
      <c r="M1" s="57"/>
      <c r="N1" s="57"/>
      <c r="O1" s="623" t="s">
        <v>605</v>
      </c>
      <c r="P1" s="623" t="s">
        <v>882</v>
      </c>
      <c r="Q1" s="623"/>
      <c r="R1" s="623"/>
      <c r="S1" s="623"/>
    </row>
    <row r="2" spans="1:24" ht="20.25" customHeight="1" x14ac:dyDescent="0.25">
      <c r="O2" s="624"/>
      <c r="P2" s="624"/>
      <c r="Q2" s="624"/>
      <c r="R2" s="624"/>
      <c r="S2" s="624"/>
    </row>
    <row r="3" spans="1:24"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4" s="171" customFormat="1" x14ac:dyDescent="0.25">
      <c r="A4" s="249"/>
      <c r="B4" s="169" t="s">
        <v>621</v>
      </c>
      <c r="C4" s="170">
        <v>38</v>
      </c>
      <c r="H4" s="169" t="s">
        <v>622</v>
      </c>
      <c r="I4" s="169" t="s">
        <v>621</v>
      </c>
      <c r="J4" s="169" t="s">
        <v>621</v>
      </c>
      <c r="K4" s="172" t="s">
        <v>623</v>
      </c>
      <c r="L4" s="153">
        <v>1</v>
      </c>
      <c r="M4" s="153">
        <v>3</v>
      </c>
      <c r="N4" s="168">
        <v>41112.947581018518</v>
      </c>
    </row>
    <row r="5" spans="1:24" s="171" customFormat="1" x14ac:dyDescent="0.25">
      <c r="A5" s="249"/>
      <c r="B5" s="169" t="s">
        <v>640</v>
      </c>
      <c r="C5" s="170" t="s">
        <v>690</v>
      </c>
      <c r="H5" s="169" t="s">
        <v>622</v>
      </c>
      <c r="I5" s="169" t="s">
        <v>640</v>
      </c>
      <c r="J5" s="169" t="s">
        <v>640</v>
      </c>
      <c r="K5" s="172" t="s">
        <v>623</v>
      </c>
      <c r="L5" s="153">
        <v>1</v>
      </c>
      <c r="M5" s="153">
        <v>3</v>
      </c>
      <c r="N5" s="168">
        <v>41120.947581018518</v>
      </c>
    </row>
    <row r="6" spans="1:24" s="171" customFormat="1" x14ac:dyDescent="0.25">
      <c r="A6" s="249"/>
      <c r="B6" s="169" t="s">
        <v>626</v>
      </c>
      <c r="C6" s="170" t="s">
        <v>576</v>
      </c>
      <c r="H6" s="169" t="s">
        <v>696</v>
      </c>
      <c r="I6" s="169"/>
      <c r="J6" s="169" t="s">
        <v>624</v>
      </c>
      <c r="K6" s="172" t="s">
        <v>623</v>
      </c>
      <c r="L6" s="153">
        <v>3</v>
      </c>
      <c r="M6" s="153">
        <v>1</v>
      </c>
      <c r="N6" s="168">
        <v>41112.947581018518</v>
      </c>
      <c r="O6" s="169" t="s">
        <v>317</v>
      </c>
    </row>
    <row r="7" spans="1:24" s="171" customFormat="1" x14ac:dyDescent="0.25">
      <c r="A7" s="249"/>
      <c r="B7" s="169"/>
      <c r="C7" s="170">
        <v>0</v>
      </c>
      <c r="D7" s="252"/>
      <c r="F7" s="589"/>
      <c r="H7" s="169"/>
      <c r="I7" s="169"/>
      <c r="J7" s="169" t="s">
        <v>625</v>
      </c>
      <c r="K7" s="172" t="s">
        <v>600</v>
      </c>
      <c r="L7" s="153">
        <v>6</v>
      </c>
      <c r="M7" s="153">
        <v>1</v>
      </c>
      <c r="N7" s="168"/>
    </row>
    <row r="8" spans="1:24" s="136" customFormat="1" x14ac:dyDescent="0.25">
      <c r="A8" s="250">
        <v>41183.122025462966</v>
      </c>
      <c r="B8" s="136" t="s">
        <v>574</v>
      </c>
      <c r="C8" s="141">
        <v>4723</v>
      </c>
      <c r="D8" s="141">
        <v>5</v>
      </c>
      <c r="E8" s="141">
        <v>2</v>
      </c>
      <c r="F8" t="s">
        <v>697</v>
      </c>
      <c r="G8" s="141" t="s">
        <v>112</v>
      </c>
      <c r="H8" s="136" t="s">
        <v>699</v>
      </c>
      <c r="I8" s="147" t="s">
        <v>574</v>
      </c>
      <c r="J8" s="137" t="s">
        <v>68</v>
      </c>
      <c r="K8" s="144" t="s">
        <v>600</v>
      </c>
      <c r="L8" s="142">
        <v>1</v>
      </c>
      <c r="M8" s="142" t="s">
        <v>673</v>
      </c>
      <c r="N8" s="135">
        <v>41177</v>
      </c>
      <c r="O8" s="146" t="s">
        <v>317</v>
      </c>
      <c r="P8" s="146"/>
      <c r="Q8" s="146"/>
      <c r="T8" s="136" t="s">
        <v>653</v>
      </c>
      <c r="X8" s="159"/>
    </row>
    <row r="9" spans="1:24" s="149" customFormat="1" x14ac:dyDescent="0.25">
      <c r="A9" s="251"/>
      <c r="B9" s="149" t="s">
        <v>574</v>
      </c>
      <c r="C9" s="150"/>
      <c r="D9" s="150"/>
      <c r="E9" s="150"/>
      <c r="J9" s="151" t="s">
        <v>67</v>
      </c>
      <c r="K9" s="152" t="s">
        <v>600</v>
      </c>
      <c r="L9" s="153">
        <v>1</v>
      </c>
      <c r="M9" s="153" t="s">
        <v>678</v>
      </c>
      <c r="N9" s="148"/>
      <c r="O9" s="154"/>
      <c r="P9" s="154"/>
      <c r="Q9" s="154"/>
      <c r="T9" s="160"/>
    </row>
    <row r="10" spans="1:24" x14ac:dyDescent="0.25">
      <c r="A10" s="249">
        <v>41183.074849537035</v>
      </c>
      <c r="B10" t="s">
        <v>579</v>
      </c>
      <c r="C10" s="145">
        <v>1101</v>
      </c>
      <c r="D10" s="139">
        <v>10</v>
      </c>
      <c r="E10" s="139">
        <v>2</v>
      </c>
      <c r="F10" t="s">
        <v>646</v>
      </c>
      <c r="G10" s="150" t="s">
        <v>112</v>
      </c>
      <c r="H10" t="s">
        <v>699</v>
      </c>
      <c r="I10" s="163" t="s">
        <v>579</v>
      </c>
      <c r="J10" s="128" t="s">
        <v>607</v>
      </c>
      <c r="K10" s="129" t="s">
        <v>600</v>
      </c>
      <c r="L10" s="153">
        <v>1</v>
      </c>
      <c r="M10" s="153" t="s">
        <v>870</v>
      </c>
      <c r="N10" s="124">
        <v>41180</v>
      </c>
      <c r="O10" s="138" t="s">
        <v>317</v>
      </c>
      <c r="P10" s="138"/>
      <c r="Q10" s="138"/>
      <c r="T10" t="s">
        <v>654</v>
      </c>
    </row>
    <row r="11" spans="1:24" x14ac:dyDescent="0.25">
      <c r="A11" s="251"/>
      <c r="B11" t="s">
        <v>579</v>
      </c>
      <c r="C11" s="145"/>
      <c r="D11" s="139"/>
      <c r="E11" s="139"/>
      <c r="G11" s="149"/>
      <c r="I11" s="149"/>
      <c r="J11" s="128" t="s">
        <v>608</v>
      </c>
      <c r="K11" s="129" t="s">
        <v>600</v>
      </c>
      <c r="L11" s="153">
        <v>1</v>
      </c>
      <c r="M11" s="153" t="s">
        <v>871</v>
      </c>
      <c r="N11" s="124"/>
      <c r="O11" s="161"/>
      <c r="P11" s="161"/>
      <c r="Q11" s="161"/>
    </row>
    <row r="12" spans="1:24" x14ac:dyDescent="0.25">
      <c r="A12" s="249">
        <v>41180.913240740738</v>
      </c>
      <c r="B12" t="s">
        <v>580</v>
      </c>
      <c r="C12" s="145">
        <v>2661</v>
      </c>
      <c r="D12" s="145">
        <v>1</v>
      </c>
      <c r="E12" s="145">
        <v>0</v>
      </c>
      <c r="F12" t="s">
        <v>671</v>
      </c>
      <c r="G12" s="150" t="s">
        <v>71</v>
      </c>
      <c r="H12" t="s">
        <v>699</v>
      </c>
      <c r="I12" s="164" t="s">
        <v>580</v>
      </c>
      <c r="J12" s="128" t="s">
        <v>609</v>
      </c>
      <c r="K12" s="129" t="s">
        <v>600</v>
      </c>
      <c r="L12" s="153" t="s">
        <v>672</v>
      </c>
      <c r="M12" s="153" t="s">
        <v>674</v>
      </c>
      <c r="N12" s="124">
        <v>41180</v>
      </c>
      <c r="O12" s="138" t="s">
        <v>317</v>
      </c>
      <c r="P12" s="138"/>
      <c r="Q12" s="138"/>
      <c r="T12" t="s">
        <v>655</v>
      </c>
    </row>
    <row r="13" spans="1:24" x14ac:dyDescent="0.25">
      <c r="A13" s="251"/>
      <c r="B13" t="s">
        <v>580</v>
      </c>
      <c r="C13" s="145"/>
      <c r="D13" s="145"/>
      <c r="E13" s="145"/>
      <c r="G13" s="2"/>
      <c r="I13" s="149"/>
      <c r="J13" s="128" t="s">
        <v>610</v>
      </c>
      <c r="K13" s="129" t="s">
        <v>600</v>
      </c>
      <c r="L13" s="153" t="s">
        <v>672</v>
      </c>
      <c r="M13" s="153" t="s">
        <v>675</v>
      </c>
      <c r="N13" s="162"/>
      <c r="O13" s="161"/>
      <c r="P13" s="161"/>
      <c r="Q13" s="161"/>
      <c r="T13" s="2"/>
    </row>
    <row r="14" spans="1:24" s="136" customFormat="1" ht="15.75" customHeight="1" x14ac:dyDescent="0.25">
      <c r="A14" s="250">
        <v>41180.973020833335</v>
      </c>
      <c r="B14" s="136" t="s">
        <v>581</v>
      </c>
      <c r="C14" s="141">
        <v>3624</v>
      </c>
      <c r="D14" s="141">
        <v>2</v>
      </c>
      <c r="E14" s="141">
        <v>6</v>
      </c>
      <c r="F14" s="136" t="s">
        <v>630</v>
      </c>
      <c r="G14" s="141" t="s">
        <v>91</v>
      </c>
      <c r="H14" s="136" t="str">
        <f>H$6</f>
        <v>SFDC.xlsx</v>
      </c>
      <c r="I14" s="165" t="s">
        <v>581</v>
      </c>
      <c r="J14" s="137" t="s">
        <v>583</v>
      </c>
      <c r="K14" s="144" t="s">
        <v>600</v>
      </c>
      <c r="L14" s="142">
        <v>2</v>
      </c>
      <c r="M14" s="142" t="s">
        <v>676</v>
      </c>
      <c r="N14" s="271">
        <v>41180.972222222219</v>
      </c>
      <c r="O14" s="146"/>
      <c r="P14" s="146"/>
      <c r="Q14" s="146"/>
      <c r="T14" s="136" t="str">
        <f>Process!F26</f>
        <v>LOAD_SF</v>
      </c>
    </row>
    <row r="15" spans="1:24" ht="15.75" customHeight="1" x14ac:dyDescent="0.25">
      <c r="A15" s="249">
        <v>41181.0153125</v>
      </c>
      <c r="B15" t="s">
        <v>584</v>
      </c>
      <c r="C15" s="145">
        <v>748</v>
      </c>
      <c r="D15" s="139">
        <v>2</v>
      </c>
      <c r="E15" s="139">
        <v>6</v>
      </c>
      <c r="F15" t="s">
        <v>630</v>
      </c>
      <c r="G15" s="150" t="s">
        <v>91</v>
      </c>
      <c r="H15" t="str">
        <f>H$6</f>
        <v>SFDC.xlsx</v>
      </c>
      <c r="I15" s="166" t="s">
        <v>584</v>
      </c>
      <c r="J15" s="128" t="s">
        <v>585</v>
      </c>
      <c r="K15" s="129" t="s">
        <v>600</v>
      </c>
      <c r="L15" s="140">
        <v>2</v>
      </c>
      <c r="M15" s="140" t="s">
        <v>676</v>
      </c>
      <c r="N15" s="124">
        <v>41181.01458333333</v>
      </c>
      <c r="O15" s="138"/>
      <c r="Q15" s="138"/>
      <c r="T15" s="149" t="str">
        <f>Process!F32</f>
        <v>LOAD_SFD</v>
      </c>
    </row>
    <row r="16" spans="1:24" ht="15.75" x14ac:dyDescent="0.3">
      <c r="A16" s="249">
        <v>41180.897372685184</v>
      </c>
      <c r="B16" t="s">
        <v>586</v>
      </c>
      <c r="C16" s="145">
        <v>2771</v>
      </c>
      <c r="D16" s="139" t="s">
        <v>603</v>
      </c>
      <c r="E16" s="139">
        <v>6</v>
      </c>
      <c r="F16" t="s">
        <v>617</v>
      </c>
      <c r="G16" s="150" t="s">
        <v>91</v>
      </c>
      <c r="H16" t="str">
        <f t="shared" ref="H16:H20" si="0">H$6</f>
        <v>SFDC.xlsx</v>
      </c>
      <c r="I16" s="166" t="s">
        <v>586</v>
      </c>
      <c r="J16" s="130" t="s">
        <v>587</v>
      </c>
      <c r="K16" s="129" t="s">
        <v>600</v>
      </c>
      <c r="L16" s="140">
        <v>2</v>
      </c>
      <c r="M16" s="140">
        <v>1</v>
      </c>
      <c r="N16" s="124">
        <v>41180.896527777775</v>
      </c>
      <c r="O16" s="138"/>
      <c r="Q16" s="138"/>
    </row>
    <row r="17" spans="1:20" ht="15.75" x14ac:dyDescent="0.3">
      <c r="A17" s="249">
        <v>41180.895497685182</v>
      </c>
      <c r="B17" t="s">
        <v>136</v>
      </c>
      <c r="C17" s="145">
        <v>3882</v>
      </c>
      <c r="D17" s="139" t="s">
        <v>603</v>
      </c>
      <c r="E17" s="139">
        <v>6</v>
      </c>
      <c r="F17" t="s">
        <v>617</v>
      </c>
      <c r="G17" s="150" t="s">
        <v>91</v>
      </c>
      <c r="H17" t="str">
        <f t="shared" si="0"/>
        <v>SFDC.xlsx</v>
      </c>
      <c r="I17" s="166" t="s">
        <v>136</v>
      </c>
      <c r="J17" s="131" t="s">
        <v>136</v>
      </c>
      <c r="K17" s="129" t="s">
        <v>600</v>
      </c>
      <c r="L17" s="140">
        <v>2</v>
      </c>
      <c r="M17" s="140">
        <v>1</v>
      </c>
      <c r="N17" s="124">
        <v>41180.894444444442</v>
      </c>
      <c r="O17" s="138"/>
      <c r="Q17" s="138"/>
      <c r="T17" t="str">
        <f>Process!F38</f>
        <v>LOAD_SFacc</v>
      </c>
    </row>
    <row r="18" spans="1:20" ht="15.75" x14ac:dyDescent="0.3">
      <c r="A18" s="622">
        <v>41170.018645833334</v>
      </c>
      <c r="B18" t="s">
        <v>589</v>
      </c>
      <c r="C18" s="145">
        <v>7326</v>
      </c>
      <c r="D18" s="139" t="s">
        <v>603</v>
      </c>
      <c r="E18" s="139">
        <v>6</v>
      </c>
      <c r="F18" t="s">
        <v>617</v>
      </c>
      <c r="G18" s="150" t="s">
        <v>113</v>
      </c>
      <c r="H18" t="str">
        <f t="shared" si="0"/>
        <v>SFDC.xlsx</v>
      </c>
      <c r="I18" s="166" t="s">
        <v>589</v>
      </c>
      <c r="J18" s="131" t="s">
        <v>588</v>
      </c>
      <c r="K18" s="129" t="s">
        <v>600</v>
      </c>
      <c r="L18" s="140">
        <v>2</v>
      </c>
      <c r="M18" s="140">
        <v>1</v>
      </c>
      <c r="N18" s="124">
        <v>41170.018055555556</v>
      </c>
      <c r="O18" s="138"/>
      <c r="Q18" s="138"/>
    </row>
    <row r="19" spans="1:20" ht="15.75" x14ac:dyDescent="0.3">
      <c r="A19" s="249">
        <v>41170.020729166667</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41170.020138888889</v>
      </c>
      <c r="O19" s="138"/>
      <c r="Q19" s="138"/>
    </row>
    <row r="20" spans="1:20" ht="15.75" x14ac:dyDescent="0.3">
      <c r="A20" s="622">
        <v>41170.021736111114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41170.020833333336</v>
      </c>
      <c r="O20" s="138"/>
      <c r="Q20" s="138"/>
    </row>
    <row r="21" spans="1:20" ht="15.75" x14ac:dyDescent="0.3">
      <c r="A21" s="622">
        <v>41170.022337962961</v>
      </c>
      <c r="B21" t="s">
        <v>594</v>
      </c>
      <c r="C21" s="145">
        <v>362</v>
      </c>
      <c r="D21" s="139" t="s">
        <v>603</v>
      </c>
      <c r="E21" s="139">
        <v>6</v>
      </c>
      <c r="F21" t="s">
        <v>617</v>
      </c>
      <c r="G21" s="150" t="s">
        <v>113</v>
      </c>
      <c r="H21" t="str">
        <f>H$6</f>
        <v>SFDC.xlsx</v>
      </c>
      <c r="I21" s="619" t="s">
        <v>594</v>
      </c>
      <c r="J21" s="134" t="s">
        <v>595</v>
      </c>
      <c r="K21" s="298" t="s">
        <v>600</v>
      </c>
      <c r="L21" s="140">
        <v>2</v>
      </c>
      <c r="M21" s="140">
        <v>1</v>
      </c>
      <c r="N21" s="162">
        <v>41170.021527777775</v>
      </c>
      <c r="O21" s="618"/>
      <c r="P21" s="300"/>
      <c r="Q21" s="618"/>
      <c r="R21" s="300"/>
      <c r="S21" s="300"/>
    </row>
    <row r="22" spans="1:20" s="136" customFormat="1" x14ac:dyDescent="0.25">
      <c r="A22" s="250">
        <v>41184.081296296295</v>
      </c>
      <c r="B22" s="136" t="s">
        <v>611</v>
      </c>
      <c r="C22" s="157">
        <v>8579</v>
      </c>
      <c r="D22" s="157" t="s">
        <v>874</v>
      </c>
      <c r="E22" s="157" t="s">
        <v>603</v>
      </c>
      <c r="F22" s="136" t="s">
        <v>801</v>
      </c>
      <c r="G22" s="584">
        <v>10</v>
      </c>
      <c r="H22" s="136" t="s">
        <v>700</v>
      </c>
      <c r="I22" s="280" t="str">
        <f>B22</f>
        <v>Склад</v>
      </c>
      <c r="J22" s="137" t="s">
        <v>65</v>
      </c>
      <c r="K22" s="152" t="s">
        <v>623</v>
      </c>
      <c r="L22" s="142" t="s">
        <v>676</v>
      </c>
      <c r="M22" s="142" t="s">
        <v>920</v>
      </c>
      <c r="N22" s="135">
        <v>41183.996516203704</v>
      </c>
      <c r="O22" s="154" t="s">
        <v>317</v>
      </c>
      <c r="P22" s="160"/>
      <c r="Q22" s="617" t="s">
        <v>908</v>
      </c>
      <c r="R22" s="279"/>
      <c r="S22" s="160"/>
      <c r="T22" s="136" t="s">
        <v>659</v>
      </c>
    </row>
    <row r="23" spans="1:20" s="149" customFormat="1" x14ac:dyDescent="0.25">
      <c r="A23" s="276"/>
      <c r="C23" s="277"/>
      <c r="D23" s="277"/>
      <c r="E23" s="277"/>
      <c r="I23" s="160"/>
      <c r="J23" s="151" t="s">
        <v>701</v>
      </c>
      <c r="K23" s="152" t="s">
        <v>600</v>
      </c>
      <c r="L23" s="153" t="s">
        <v>676</v>
      </c>
      <c r="M23" s="153" t="s">
        <v>921</v>
      </c>
      <c r="N23" s="148"/>
      <c r="O23" s="154" t="s">
        <v>317</v>
      </c>
      <c r="Q23" s="154"/>
      <c r="R23" s="279"/>
    </row>
    <row r="24" spans="1:20" s="149" customFormat="1" x14ac:dyDescent="0.25">
      <c r="A24" s="276"/>
      <c r="C24" s="277"/>
      <c r="D24" s="277"/>
      <c r="E24" s="277"/>
      <c r="I24" s="160"/>
      <c r="J24" s="151" t="s">
        <v>702</v>
      </c>
      <c r="K24" s="152" t="s">
        <v>600</v>
      </c>
      <c r="L24" s="153" t="s">
        <v>676</v>
      </c>
      <c r="M24" s="153" t="s">
        <v>922</v>
      </c>
      <c r="N24" s="148"/>
      <c r="O24" s="154" t="s">
        <v>317</v>
      </c>
      <c r="Q24" s="154"/>
      <c r="R24" s="279"/>
    </row>
    <row r="25" spans="1:20" s="149" customFormat="1" x14ac:dyDescent="0.25">
      <c r="A25" s="276"/>
      <c r="C25" s="277"/>
      <c r="D25" s="277"/>
      <c r="E25" s="277"/>
      <c r="I25" s="160"/>
      <c r="J25" s="151" t="s">
        <v>703</v>
      </c>
      <c r="K25" s="152" t="s">
        <v>600</v>
      </c>
      <c r="L25" s="153" t="s">
        <v>676</v>
      </c>
      <c r="M25" s="153" t="s">
        <v>923</v>
      </c>
      <c r="N25" s="148"/>
      <c r="O25" s="154" t="s">
        <v>317</v>
      </c>
      <c r="Q25" s="154"/>
      <c r="R25" s="279"/>
    </row>
    <row r="26" spans="1:20" s="149" customFormat="1" x14ac:dyDescent="0.25">
      <c r="A26" s="276"/>
      <c r="C26" s="277"/>
      <c r="D26" s="277"/>
      <c r="E26" s="277"/>
      <c r="I26" s="160"/>
      <c r="J26" s="151" t="s">
        <v>704</v>
      </c>
      <c r="K26" s="152" t="s">
        <v>600</v>
      </c>
      <c r="L26" s="153" t="s">
        <v>676</v>
      </c>
      <c r="M26" s="153" t="s">
        <v>924</v>
      </c>
      <c r="N26" s="148"/>
      <c r="O26" s="154" t="s">
        <v>317</v>
      </c>
      <c r="Q26" s="154"/>
      <c r="R26" s="279"/>
    </row>
    <row r="27" spans="1:20" s="282" customFormat="1" x14ac:dyDescent="0.25">
      <c r="A27" s="281"/>
      <c r="C27" s="283"/>
      <c r="D27" s="283"/>
      <c r="E27" s="283"/>
      <c r="I27" s="160"/>
      <c r="J27" s="284" t="s">
        <v>705</v>
      </c>
      <c r="K27" s="285" t="s">
        <v>600</v>
      </c>
      <c r="L27" s="286" t="s">
        <v>676</v>
      </c>
      <c r="M27" s="286" t="s">
        <v>925</v>
      </c>
      <c r="N27" s="287"/>
      <c r="O27" s="288"/>
      <c r="Q27" s="288"/>
      <c r="R27" s="289"/>
    </row>
    <row r="28" spans="1:20" s="291" customFormat="1" x14ac:dyDescent="0.25">
      <c r="A28" s="290">
        <v>41183.944467592592</v>
      </c>
      <c r="B28" s="291" t="s">
        <v>615</v>
      </c>
      <c r="C28" s="292">
        <v>1221</v>
      </c>
      <c r="D28" s="585">
        <v>8</v>
      </c>
      <c r="E28" s="585">
        <v>19</v>
      </c>
      <c r="F28" s="291" t="s">
        <v>617</v>
      </c>
      <c r="G28" s="585">
        <v>10</v>
      </c>
      <c r="H28" s="291" t="s">
        <v>700</v>
      </c>
      <c r="I28" s="278" t="str">
        <f>B28</f>
        <v>Заказы</v>
      </c>
      <c r="J28" s="293" t="s">
        <v>706</v>
      </c>
      <c r="K28" s="294" t="s">
        <v>600</v>
      </c>
      <c r="L28" s="295" t="s">
        <v>676</v>
      </c>
      <c r="M28" s="295" t="s">
        <v>875</v>
      </c>
      <c r="N28" s="296">
        <v>41176.722685185188</v>
      </c>
      <c r="O28" s="291" t="s">
        <v>317</v>
      </c>
      <c r="P28" s="586">
        <v>2</v>
      </c>
      <c r="Q28" s="616" t="s">
        <v>907</v>
      </c>
      <c r="R28" s="149"/>
      <c r="S28" s="149"/>
      <c r="T28" s="291" t="s">
        <v>660</v>
      </c>
    </row>
    <row r="29" spans="1:20" s="149" customFormat="1" x14ac:dyDescent="0.25">
      <c r="A29" s="297"/>
      <c r="C29" s="277"/>
      <c r="J29" s="151" t="s">
        <v>707</v>
      </c>
      <c r="K29" s="152" t="s">
        <v>600</v>
      </c>
      <c r="L29" s="153" t="s">
        <v>676</v>
      </c>
      <c r="M29" s="153" t="s">
        <v>876</v>
      </c>
      <c r="N29" s="148"/>
      <c r="O29" s="149" t="s">
        <v>317</v>
      </c>
      <c r="P29" s="587">
        <v>2</v>
      </c>
    </row>
    <row r="30" spans="1:20" x14ac:dyDescent="0.25">
      <c r="A30" s="264"/>
      <c r="C30" s="270"/>
      <c r="H30" s="149"/>
      <c r="I30" s="149"/>
      <c r="J30" s="151" t="s">
        <v>65</v>
      </c>
      <c r="K30" s="152" t="s">
        <v>600</v>
      </c>
      <c r="L30" s="153" t="s">
        <v>676</v>
      </c>
      <c r="M30" s="153" t="s">
        <v>877</v>
      </c>
      <c r="N30" s="148"/>
      <c r="O30" t="s">
        <v>317</v>
      </c>
      <c r="P30" s="587">
        <v>2</v>
      </c>
    </row>
    <row r="31" spans="1:20" x14ac:dyDescent="0.25">
      <c r="A31" s="264"/>
      <c r="C31" s="270"/>
      <c r="H31" s="149"/>
      <c r="I31" s="149"/>
      <c r="J31" s="151" t="s">
        <v>1</v>
      </c>
      <c r="K31" s="152" t="s">
        <v>600</v>
      </c>
      <c r="L31" s="153" t="s">
        <v>676</v>
      </c>
      <c r="M31" s="153" t="s">
        <v>878</v>
      </c>
      <c r="N31" s="148"/>
      <c r="O31" t="s">
        <v>317</v>
      </c>
      <c r="P31" s="587">
        <v>2</v>
      </c>
    </row>
    <row r="32" spans="1:20" x14ac:dyDescent="0.25">
      <c r="A32" s="264"/>
      <c r="C32" s="270"/>
      <c r="H32" s="149"/>
      <c r="I32" s="149"/>
      <c r="J32" s="151" t="s">
        <v>708</v>
      </c>
      <c r="K32" s="152" t="s">
        <v>600</v>
      </c>
      <c r="L32" s="153" t="s">
        <v>676</v>
      </c>
      <c r="M32" s="153" t="s">
        <v>879</v>
      </c>
      <c r="N32" s="148"/>
      <c r="O32" t="s">
        <v>317</v>
      </c>
      <c r="P32" s="587">
        <v>2</v>
      </c>
    </row>
    <row r="33" spans="1:20" x14ac:dyDescent="0.25">
      <c r="A33" s="264"/>
      <c r="C33" s="270"/>
      <c r="H33" s="149"/>
      <c r="I33" s="149"/>
      <c r="J33" s="151" t="s">
        <v>709</v>
      </c>
      <c r="K33" s="152" t="s">
        <v>600</v>
      </c>
      <c r="L33" s="153" t="s">
        <v>676</v>
      </c>
      <c r="M33" s="153" t="s">
        <v>880</v>
      </c>
      <c r="N33" s="148"/>
      <c r="O33" t="s">
        <v>317</v>
      </c>
      <c r="P33" s="587">
        <v>2</v>
      </c>
    </row>
    <row r="34" spans="1:20" x14ac:dyDescent="0.25">
      <c r="A34" s="264"/>
      <c r="C34" s="270"/>
      <c r="H34" s="149"/>
      <c r="I34" s="149"/>
      <c r="J34" s="151" t="s">
        <v>710</v>
      </c>
      <c r="K34" s="298" t="s">
        <v>600</v>
      </c>
      <c r="L34" s="153" t="s">
        <v>676</v>
      </c>
      <c r="M34" s="153" t="s">
        <v>881</v>
      </c>
      <c r="N34" s="148"/>
      <c r="P34" s="588">
        <v>2</v>
      </c>
    </row>
    <row r="35" spans="1:20" s="136" customFormat="1" x14ac:dyDescent="0.25">
      <c r="A35" s="250"/>
      <c r="B35" s="136" t="s">
        <v>612</v>
      </c>
      <c r="C35" s="157" t="s">
        <v>614</v>
      </c>
      <c r="D35" s="157" t="s">
        <v>126</v>
      </c>
      <c r="E35" s="157"/>
      <c r="F35" s="467"/>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26"/>
  <sheetViews>
    <sheetView topLeftCell="A46" workbookViewId="0">
      <selection activeCell="F67" sqref="F67"/>
    </sheetView>
  </sheetViews>
  <sheetFormatPr defaultRowHeight="15" outlineLevelRow="2"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41184.081296296295</v>
      </c>
      <c r="C1" s="125" t="s">
        <v>627</v>
      </c>
      <c r="D1" s="125"/>
      <c r="G1" s="469"/>
      <c r="H1" s="469"/>
      <c r="I1" s="469"/>
    </row>
    <row r="2" spans="1:21" ht="15" customHeight="1" thickBot="1" x14ac:dyDescent="0.35">
      <c r="B2" s="125"/>
    </row>
    <row r="3" spans="1:21" ht="15.75" customHeight="1" x14ac:dyDescent="0.25">
      <c r="E3" s="625" t="s">
        <v>631</v>
      </c>
      <c r="F3" s="627" t="s">
        <v>632</v>
      </c>
      <c r="G3" s="628"/>
      <c r="H3" s="628"/>
      <c r="I3" s="628"/>
      <c r="J3" s="629"/>
      <c r="K3" s="627" t="s">
        <v>633</v>
      </c>
      <c r="L3" s="628"/>
      <c r="M3" s="628"/>
      <c r="N3" s="628"/>
      <c r="O3" s="629"/>
    </row>
    <row r="4" spans="1:21" s="123" customFormat="1" ht="15.75" thickBot="1" x14ac:dyDescent="0.3">
      <c r="B4" s="158" t="s">
        <v>628</v>
      </c>
      <c r="C4" s="123" t="s">
        <v>629</v>
      </c>
      <c r="E4" s="626"/>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504"/>
      <c r="B6" s="505" t="s">
        <v>637</v>
      </c>
      <c r="C6" s="504"/>
      <c r="E6" s="190"/>
      <c r="F6" s="189" t="s">
        <v>653</v>
      </c>
      <c r="G6" s="174"/>
      <c r="H6" s="174"/>
      <c r="I6" s="174"/>
      <c r="J6" s="175"/>
      <c r="K6" s="188" t="s">
        <v>574</v>
      </c>
      <c r="L6" s="174"/>
      <c r="M6" s="174"/>
      <c r="N6" s="174"/>
      <c r="O6" s="175"/>
      <c r="T6" s="123"/>
      <c r="U6" s="123"/>
    </row>
    <row r="7" spans="1:21" s="173" customFormat="1" hidden="1" outlineLevel="1" x14ac:dyDescent="0.25">
      <c r="A7" s="265">
        <v>41180.907037037039</v>
      </c>
      <c r="B7" s="266" t="s">
        <v>619</v>
      </c>
      <c r="C7" s="305" t="s">
        <v>617</v>
      </c>
      <c r="D7" s="196"/>
      <c r="E7" s="197" t="s">
        <v>70</v>
      </c>
      <c r="F7" s="437" t="s">
        <v>792</v>
      </c>
      <c r="G7" s="438" t="s">
        <v>793</v>
      </c>
      <c r="H7" s="198"/>
      <c r="I7" s="198"/>
      <c r="J7" s="199"/>
      <c r="K7" s="200" t="str">
        <f>K6</f>
        <v>Платежи</v>
      </c>
      <c r="L7" s="201"/>
      <c r="M7" s="198"/>
      <c r="N7" s="201"/>
      <c r="O7" s="199"/>
      <c r="T7" s="123"/>
      <c r="U7" s="123"/>
    </row>
    <row r="8" spans="1:21" s="173" customFormat="1" hidden="1" outlineLevel="1" x14ac:dyDescent="0.25">
      <c r="A8" s="265">
        <v>41180.973414351851</v>
      </c>
      <c r="B8" s="266" t="s">
        <v>801</v>
      </c>
      <c r="C8" s="506"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41180.907453703701</v>
      </c>
      <c r="B9" s="266" t="s">
        <v>630</v>
      </c>
      <c r="C9" s="476"/>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470">
        <v>41180.973599537036</v>
      </c>
      <c r="B10" s="471" t="s">
        <v>642</v>
      </c>
      <c r="C10" s="506" t="str">
        <f>B8</f>
        <v>Adapt</v>
      </c>
      <c r="D10" s="5"/>
      <c r="E10" s="203" t="s">
        <v>70</v>
      </c>
      <c r="F10" s="214"/>
      <c r="G10" s="198"/>
      <c r="H10" s="198"/>
      <c r="I10" s="198"/>
      <c r="J10" s="199"/>
      <c r="K10" s="200" t="str">
        <f>K6</f>
        <v>Платежи</v>
      </c>
      <c r="L10" s="201"/>
      <c r="M10" s="198"/>
      <c r="N10" s="201"/>
      <c r="O10" s="199"/>
    </row>
    <row r="11" spans="1:21" hidden="1" outlineLevel="1" x14ac:dyDescent="0.25">
      <c r="A11" s="265">
        <v>41180.973645833335</v>
      </c>
      <c r="B11" s="266" t="s">
        <v>671</v>
      </c>
      <c r="C11" s="506"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73"/>
      <c r="B12" s="474" t="s">
        <v>638</v>
      </c>
      <c r="C12" s="475"/>
      <c r="D12" s="205"/>
      <c r="E12" s="206"/>
      <c r="F12" s="207"/>
      <c r="G12" s="208"/>
      <c r="H12" s="208"/>
      <c r="I12" s="208"/>
      <c r="J12" s="209"/>
      <c r="K12" s="210"/>
      <c r="L12" s="211"/>
      <c r="M12" s="208"/>
      <c r="N12" s="211"/>
      <c r="O12" s="209"/>
    </row>
    <row r="13" spans="1:21" s="173" customFormat="1" collapsed="1" x14ac:dyDescent="0.25">
      <c r="A13" s="484"/>
      <c r="B13" s="485" t="s">
        <v>637</v>
      </c>
      <c r="C13" s="486"/>
      <c r="D13" s="487"/>
      <c r="E13" s="488" t="s">
        <v>201</v>
      </c>
      <c r="F13" s="489" t="s">
        <v>654</v>
      </c>
      <c r="G13" s="487"/>
      <c r="H13" s="487"/>
      <c r="I13" s="487"/>
      <c r="J13" s="490"/>
      <c r="K13" s="491" t="str">
        <f>TOCmatch!B10</f>
        <v>Договоры</v>
      </c>
      <c r="L13" s="492"/>
      <c r="M13" s="487"/>
      <c r="N13" s="492"/>
      <c r="O13" s="490"/>
    </row>
    <row r="14" spans="1:21" s="149" customFormat="1" hidden="1" outlineLevel="1" x14ac:dyDescent="0.25">
      <c r="A14" s="265">
        <v>41180.891631944447</v>
      </c>
      <c r="B14" s="266" t="s">
        <v>619</v>
      </c>
      <c r="C14" s="305" t="s">
        <v>617</v>
      </c>
      <c r="D14" s="196"/>
      <c r="E14" s="197" t="s">
        <v>70</v>
      </c>
      <c r="F14" s="437" t="s">
        <v>799</v>
      </c>
      <c r="G14" s="438" t="s">
        <v>800</v>
      </c>
      <c r="H14" s="198"/>
      <c r="I14" s="198"/>
      <c r="J14" s="216"/>
      <c r="K14" s="200" t="str">
        <f>TOCmatch!B10</f>
        <v>Договоры</v>
      </c>
      <c r="L14" s="215"/>
      <c r="M14" s="215"/>
      <c r="N14" s="215"/>
      <c r="O14" s="216"/>
    </row>
    <row r="15" spans="1:21" s="173" customFormat="1" hidden="1" outlineLevel="1" x14ac:dyDescent="0.25">
      <c r="A15" s="265">
        <v>41181.015428240738</v>
      </c>
      <c r="B15" s="266" t="s">
        <v>801</v>
      </c>
      <c r="C15" s="305" t="str">
        <f>B14</f>
        <v>InsMyCol</v>
      </c>
      <c r="D15" s="196"/>
      <c r="E15" s="462" t="s">
        <v>70</v>
      </c>
      <c r="F15" s="437" t="str">
        <f>F14</f>
        <v>HDR_1C_Contract_MyCol</v>
      </c>
      <c r="G15" s="221"/>
      <c r="H15" s="198"/>
      <c r="I15" s="198"/>
      <c r="J15" s="198"/>
      <c r="K15" s="200" t="str">
        <f>K14</f>
        <v>Договоры</v>
      </c>
      <c r="L15" s="304" t="str">
        <f>TOCmatch!B17</f>
        <v>SFacc</v>
      </c>
      <c r="M15" s="304" t="str">
        <f>TOCmatch!B15</f>
        <v>SFD</v>
      </c>
      <c r="N15" s="201"/>
      <c r="O15" s="199"/>
    </row>
    <row r="16" spans="1:21" s="149" customFormat="1" hidden="1" outlineLevel="1" x14ac:dyDescent="0.25">
      <c r="A16" s="470">
        <v>41181.0155787037</v>
      </c>
      <c r="B16" s="266" t="s">
        <v>630</v>
      </c>
      <c r="C16" s="305" t="str">
        <f>B15</f>
        <v>Adapt</v>
      </c>
      <c r="D16" s="196"/>
      <c r="E16" s="197" t="s">
        <v>70</v>
      </c>
      <c r="F16" s="273" t="s">
        <v>579</v>
      </c>
      <c r="G16" s="221" t="s">
        <v>132</v>
      </c>
      <c r="H16" s="215"/>
      <c r="I16" s="215"/>
      <c r="J16" s="216"/>
      <c r="K16" s="200" t="str">
        <f>TOCmatch!B10</f>
        <v>Договоры</v>
      </c>
      <c r="L16" s="215"/>
      <c r="M16" s="215"/>
      <c r="N16" s="215"/>
      <c r="O16" s="216"/>
    </row>
    <row r="17" spans="1:15" s="149" customFormat="1" hidden="1" outlineLevel="1" x14ac:dyDescent="0.25">
      <c r="A17" s="470">
        <v>41181.015625</v>
      </c>
      <c r="B17" s="471" t="s">
        <v>634</v>
      </c>
      <c r="C17" s="472" t="s">
        <v>801</v>
      </c>
      <c r="D17" s="5"/>
      <c r="E17" s="219" t="s">
        <v>70</v>
      </c>
      <c r="F17" s="274"/>
      <c r="G17" s="215"/>
      <c r="H17" s="215"/>
      <c r="I17" s="215"/>
      <c r="J17" s="216"/>
      <c r="K17" s="200" t="str">
        <f>TOCmatch!B10</f>
        <v>Договоры</v>
      </c>
      <c r="L17" s="304" t="str">
        <f>TOCmatch!B15</f>
        <v>SFD</v>
      </c>
      <c r="N17" s="215"/>
      <c r="O17" s="216"/>
    </row>
    <row r="18" spans="1:15" hidden="1" outlineLevel="1" x14ac:dyDescent="0.25">
      <c r="A18" s="265">
        <v>41181.0156712963</v>
      </c>
      <c r="B18" s="266" t="s">
        <v>671</v>
      </c>
      <c r="C18" s="305" t="str">
        <f t="shared" ref="C18" si="0">B17</f>
        <v>ContractPaint</v>
      </c>
      <c r="D18" s="5"/>
      <c r="E18" s="218" t="s">
        <v>70</v>
      </c>
      <c r="F18" s="273"/>
      <c r="G18" s="201"/>
      <c r="H18" s="215"/>
      <c r="I18" s="215"/>
      <c r="J18" s="216"/>
      <c r="K18" s="200" t="str">
        <f>K13</f>
        <v>Договоры</v>
      </c>
      <c r="L18" s="201"/>
      <c r="M18" s="201"/>
      <c r="N18" s="304" t="str">
        <f>TOCmatch!B17</f>
        <v>SFacc</v>
      </c>
      <c r="O18" s="216"/>
    </row>
    <row r="19" spans="1:15" s="187" customFormat="1" hidden="1" outlineLevel="1" x14ac:dyDescent="0.25">
      <c r="A19" s="473"/>
      <c r="B19" s="474" t="s">
        <v>638</v>
      </c>
      <c r="C19" s="475"/>
      <c r="D19" s="205"/>
      <c r="E19" s="206"/>
      <c r="F19" s="207"/>
      <c r="G19" s="208"/>
      <c r="H19" s="208"/>
      <c r="I19" s="208"/>
      <c r="J19" s="209"/>
      <c r="K19" s="210"/>
      <c r="L19" s="211"/>
      <c r="M19" s="208"/>
      <c r="N19" s="211"/>
      <c r="O19" s="209"/>
    </row>
    <row r="20" spans="1:15" s="173" customFormat="1" ht="15.75" collapsed="1" thickBot="1" x14ac:dyDescent="0.3">
      <c r="A20" s="265"/>
      <c r="B20" s="266" t="s">
        <v>637</v>
      </c>
      <c r="C20" s="267"/>
      <c r="D20" s="212"/>
      <c r="E20" s="197"/>
      <c r="F20" s="220" t="s">
        <v>655</v>
      </c>
      <c r="G20" s="198"/>
      <c r="H20" s="198"/>
      <c r="I20" s="198"/>
      <c r="J20" s="199"/>
      <c r="K20" s="200" t="str">
        <f>TOCmatch!B12</f>
        <v>Список клиентов 1C</v>
      </c>
      <c r="L20" s="201"/>
      <c r="M20" s="198"/>
      <c r="N20" s="201"/>
      <c r="O20" s="199"/>
    </row>
    <row r="21" spans="1:15" s="173" customFormat="1" hidden="1" outlineLevel="1" x14ac:dyDescent="0.25">
      <c r="A21" s="265">
        <v>41180.913182870368</v>
      </c>
      <c r="B21" s="266" t="s">
        <v>670</v>
      </c>
      <c r="C21" s="305" t="s">
        <v>617</v>
      </c>
      <c r="D21" s="5"/>
      <c r="E21" s="197" t="s">
        <v>70</v>
      </c>
      <c r="F21" s="273"/>
      <c r="G21" s="221"/>
      <c r="H21" s="198"/>
      <c r="I21" s="198"/>
      <c r="J21" s="199"/>
      <c r="K21" s="200" t="str">
        <f>K20</f>
        <v>Список клиентов 1C</v>
      </c>
      <c r="L21" s="201"/>
      <c r="M21" s="198"/>
      <c r="N21" s="201"/>
      <c r="O21" s="199"/>
    </row>
    <row r="22" spans="1:15" s="149" customFormat="1" hidden="1" outlineLevel="1" x14ac:dyDescent="0.25">
      <c r="A22" s="265">
        <v>41180.913194444445</v>
      </c>
      <c r="B22" s="266" t="s">
        <v>619</v>
      </c>
      <c r="C22" s="321" t="str">
        <f>B21</f>
        <v>Acc1C_Bottom</v>
      </c>
      <c r="D22" s="196"/>
      <c r="E22" s="197" t="s">
        <v>70</v>
      </c>
      <c r="F22" s="200" t="s">
        <v>677</v>
      </c>
      <c r="G22" s="201"/>
      <c r="H22" s="198"/>
      <c r="I22" s="198"/>
      <c r="J22" s="216"/>
      <c r="K22" s="200" t="str">
        <f>K20</f>
        <v>Список клиентов 1C</v>
      </c>
      <c r="L22" s="215"/>
      <c r="M22" s="215"/>
      <c r="N22" s="215"/>
      <c r="O22" s="216"/>
    </row>
    <row r="23" spans="1:15" s="173" customFormat="1" hidden="1" outlineLevel="1" x14ac:dyDescent="0.25">
      <c r="A23" s="265">
        <v>41180.913240740738</v>
      </c>
      <c r="B23" s="266" t="s">
        <v>644</v>
      </c>
      <c r="C23" s="305" t="s">
        <v>619</v>
      </c>
      <c r="D23" s="5"/>
      <c r="E23" s="197" t="s">
        <v>70</v>
      </c>
      <c r="F23" s="272" t="s">
        <v>136</v>
      </c>
      <c r="G23" s="221" t="s">
        <v>94</v>
      </c>
      <c r="H23" s="221" t="s">
        <v>92</v>
      </c>
      <c r="I23" s="202" t="s">
        <v>92</v>
      </c>
      <c r="J23" s="221" t="s">
        <v>70</v>
      </c>
      <c r="K23" s="188" t="str">
        <f>K20</f>
        <v>Список клиентов 1C</v>
      </c>
      <c r="L23" s="201"/>
      <c r="M23" s="198"/>
      <c r="N23" s="201"/>
      <c r="O23" s="199"/>
    </row>
    <row r="24" spans="1:15" hidden="1" outlineLevel="1" x14ac:dyDescent="0.25">
      <c r="A24" s="265">
        <v>41180.913240740738</v>
      </c>
      <c r="B24" s="266" t="s">
        <v>671</v>
      </c>
      <c r="C24" s="305" t="str">
        <f>B22</f>
        <v>InsMyCol</v>
      </c>
      <c r="D24" s="5"/>
      <c r="E24" s="218" t="s">
        <v>70</v>
      </c>
      <c r="F24" s="200"/>
      <c r="G24" s="201"/>
      <c r="H24" s="215"/>
      <c r="I24" s="215"/>
      <c r="J24" s="216"/>
      <c r="K24" s="200" t="str">
        <f>K20</f>
        <v>Список клиентов 1C</v>
      </c>
      <c r="L24" s="201"/>
      <c r="M24" s="201"/>
      <c r="N24" s="304" t="str">
        <f>TOCmatch!B17</f>
        <v>SFacc</v>
      </c>
      <c r="O24" s="216"/>
    </row>
    <row r="25" spans="1:15" s="248" customFormat="1" ht="15.75" hidden="1" outlineLevel="1" thickBot="1" x14ac:dyDescent="0.3">
      <c r="A25" s="497"/>
      <c r="B25" s="498" t="s">
        <v>638</v>
      </c>
      <c r="C25" s="499"/>
      <c r="D25" s="241"/>
      <c r="E25" s="242"/>
      <c r="F25" s="243"/>
      <c r="G25" s="244"/>
      <c r="H25" s="244"/>
      <c r="I25" s="244"/>
      <c r="J25" s="245"/>
      <c r="K25" s="246"/>
      <c r="L25" s="247"/>
      <c r="M25" s="244"/>
      <c r="N25" s="247"/>
      <c r="O25" s="245"/>
    </row>
    <row r="26" spans="1:15" s="173" customFormat="1" ht="15.75" collapsed="1" thickTop="1" x14ac:dyDescent="0.25">
      <c r="A26" s="501"/>
      <c r="B26" s="502" t="s">
        <v>637</v>
      </c>
      <c r="C26" s="503"/>
      <c r="D26" s="315"/>
      <c r="E26" s="316" t="s">
        <v>201</v>
      </c>
      <c r="F26" s="317" t="s">
        <v>656</v>
      </c>
      <c r="G26" s="315"/>
      <c r="H26" s="315"/>
      <c r="I26" s="315"/>
      <c r="J26" s="318"/>
      <c r="K26" s="319" t="s">
        <v>581</v>
      </c>
      <c r="L26" s="320"/>
      <c r="M26" s="315"/>
      <c r="N26" s="320"/>
      <c r="O26" s="318"/>
    </row>
    <row r="27" spans="1:15" hidden="1" outlineLevel="1" x14ac:dyDescent="0.25">
      <c r="A27" s="265">
        <v>41180.972962962966</v>
      </c>
      <c r="B27" s="266" t="s">
        <v>619</v>
      </c>
      <c r="C27" s="305" t="s">
        <v>617</v>
      </c>
      <c r="D27" s="196"/>
      <c r="E27" s="197" t="s">
        <v>70</v>
      </c>
      <c r="F27" s="200" t="s">
        <v>635</v>
      </c>
      <c r="G27" s="201" t="s">
        <v>636</v>
      </c>
      <c r="H27" s="215"/>
      <c r="I27" s="215"/>
      <c r="J27" s="222"/>
      <c r="K27" s="223" t="s">
        <v>581</v>
      </c>
      <c r="L27" s="215"/>
      <c r="M27" s="215"/>
      <c r="N27" s="215"/>
      <c r="O27" s="222"/>
    </row>
    <row r="28" spans="1:15" ht="45" hidden="1" outlineLevel="1" x14ac:dyDescent="0.25">
      <c r="A28" s="265">
        <v>41180.973009259258</v>
      </c>
      <c r="B28" s="266" t="s">
        <v>639</v>
      </c>
      <c r="C28" s="305" t="s">
        <v>665</v>
      </c>
      <c r="D28" s="215"/>
      <c r="E28" s="218" t="s">
        <v>70</v>
      </c>
      <c r="F28" s="214"/>
      <c r="G28" s="201"/>
      <c r="H28" s="215"/>
      <c r="I28" s="215"/>
      <c r="J28" s="222"/>
      <c r="K28" s="223" t="s">
        <v>581</v>
      </c>
      <c r="L28" s="215" t="str">
        <f>TOCmatch!B8</f>
        <v>Платежи</v>
      </c>
      <c r="M28" s="215"/>
      <c r="N28" s="215"/>
      <c r="O28" s="222"/>
    </row>
    <row r="29" spans="1:15" hidden="1" outlineLevel="1" x14ac:dyDescent="0.25">
      <c r="A29" s="265">
        <v>41180.973020833335</v>
      </c>
      <c r="B29" s="266" t="s">
        <v>630</v>
      </c>
      <c r="C29" s="305"/>
      <c r="D29" s="196"/>
      <c r="E29" s="197" t="s">
        <v>70</v>
      </c>
      <c r="F29" s="220" t="str">
        <f>K29</f>
        <v>SF</v>
      </c>
      <c r="G29" s="221" t="s">
        <v>91</v>
      </c>
      <c r="H29" s="215"/>
      <c r="I29" s="215"/>
      <c r="J29" s="216"/>
      <c r="K29" s="200" t="s">
        <v>581</v>
      </c>
      <c r="L29" s="215"/>
      <c r="M29" s="215"/>
      <c r="N29" s="215"/>
      <c r="O29" s="216"/>
    </row>
    <row r="30" spans="1:15" hidden="1" outlineLevel="1" x14ac:dyDescent="0.25">
      <c r="A30" s="265">
        <v>41180.973645833335</v>
      </c>
      <c r="B30" s="471" t="s">
        <v>679</v>
      </c>
      <c r="C30" s="305" t="s">
        <v>639</v>
      </c>
      <c r="D30" s="5"/>
      <c r="E30" s="218" t="s">
        <v>70</v>
      </c>
      <c r="F30" s="200" t="str">
        <f>F6</f>
        <v>LOAD_1C_P</v>
      </c>
      <c r="G30" s="201"/>
      <c r="H30" s="215"/>
      <c r="I30" s="215"/>
      <c r="J30" s="222"/>
      <c r="K30" s="223" t="s">
        <v>574</v>
      </c>
      <c r="L30" s="215"/>
      <c r="M30" s="215"/>
      <c r="N30" s="215"/>
      <c r="O30" s="222"/>
    </row>
    <row r="31" spans="1:15" s="187" customFormat="1" hidden="1" outlineLevel="1" x14ac:dyDescent="0.25">
      <c r="A31" s="473"/>
      <c r="B31" s="474" t="s">
        <v>638</v>
      </c>
      <c r="C31" s="475"/>
      <c r="D31" s="205"/>
      <c r="E31" s="206" t="s">
        <v>201</v>
      </c>
      <c r="F31" s="207"/>
      <c r="G31" s="208"/>
      <c r="H31" s="208"/>
      <c r="I31" s="208"/>
      <c r="J31" s="209"/>
      <c r="K31" s="210" t="s">
        <v>581</v>
      </c>
      <c r="L31" s="211"/>
      <c r="M31" s="208"/>
      <c r="N31" s="211"/>
      <c r="O31" s="209"/>
    </row>
    <row r="32" spans="1:15" s="173" customFormat="1" collapsed="1" x14ac:dyDescent="0.25">
      <c r="A32" s="306"/>
      <c r="B32" s="307" t="s">
        <v>637</v>
      </c>
      <c r="C32" s="308"/>
      <c r="D32" s="309"/>
      <c r="E32" s="310" t="s">
        <v>201</v>
      </c>
      <c r="F32" s="311" t="s">
        <v>657</v>
      </c>
      <c r="G32" s="309"/>
      <c r="H32" s="309"/>
      <c r="I32" s="309"/>
      <c r="J32" s="312"/>
      <c r="K32" s="313" t="s">
        <v>584</v>
      </c>
      <c r="L32" s="314"/>
      <c r="M32" s="309"/>
      <c r="N32" s="314"/>
      <c r="O32" s="312"/>
    </row>
    <row r="33" spans="1:21" hidden="1" outlineLevel="1" x14ac:dyDescent="0.25">
      <c r="A33" s="265">
        <v>41181.015185185184</v>
      </c>
      <c r="B33" s="266" t="s">
        <v>619</v>
      </c>
      <c r="C33" s="305" t="s">
        <v>617</v>
      </c>
      <c r="D33" s="196"/>
      <c r="E33" s="197" t="s">
        <v>70</v>
      </c>
      <c r="F33" s="200" t="s">
        <v>666</v>
      </c>
      <c r="G33" s="201" t="s">
        <v>667</v>
      </c>
      <c r="H33" s="215"/>
      <c r="I33" s="215"/>
      <c r="J33" s="222"/>
      <c r="K33" s="223" t="s">
        <v>584</v>
      </c>
      <c r="L33" s="215"/>
      <c r="M33" s="215"/>
      <c r="N33" s="215"/>
      <c r="O33" s="222"/>
    </row>
    <row r="34" spans="1:21" ht="45" hidden="1" outlineLevel="1" x14ac:dyDescent="0.25">
      <c r="A34" s="265">
        <v>41181.015243055554</v>
      </c>
      <c r="B34" s="266" t="s">
        <v>669</v>
      </c>
      <c r="C34" s="305" t="s">
        <v>668</v>
      </c>
      <c r="D34" s="215"/>
      <c r="E34" s="218" t="s">
        <v>70</v>
      </c>
      <c r="F34" s="214" t="s">
        <v>584</v>
      </c>
      <c r="G34" s="201" t="s">
        <v>579</v>
      </c>
      <c r="H34" s="221" t="s">
        <v>94</v>
      </c>
      <c r="I34" s="221" t="s">
        <v>128</v>
      </c>
      <c r="J34" s="222"/>
      <c r="K34" s="5" t="str">
        <f>TOCmatch!B10</f>
        <v>Договоры</v>
      </c>
      <c r="L34" s="304" t="str">
        <f>TOCmatch!B15</f>
        <v>SFD</v>
      </c>
      <c r="M34" s="215"/>
      <c r="N34" s="215"/>
      <c r="O34" s="222"/>
    </row>
    <row r="35" spans="1:21" hidden="1" outlineLevel="1" x14ac:dyDescent="0.25">
      <c r="A35" s="265">
        <v>41181.0153125</v>
      </c>
      <c r="B35" s="266" t="s">
        <v>630</v>
      </c>
      <c r="C35" s="305"/>
      <c r="D35" s="196"/>
      <c r="E35" s="197" t="s">
        <v>70</v>
      </c>
      <c r="F35" s="220" t="str">
        <f>K35</f>
        <v>SFD</v>
      </c>
      <c r="G35" s="221" t="s">
        <v>128</v>
      </c>
      <c r="H35" s="215"/>
      <c r="I35" s="215"/>
      <c r="J35" s="216"/>
      <c r="K35" s="223" t="s">
        <v>584</v>
      </c>
      <c r="L35" s="215"/>
      <c r="M35" s="215"/>
      <c r="N35" s="215"/>
      <c r="O35" s="216"/>
    </row>
    <row r="36" spans="1:21" hidden="1" outlineLevel="1" x14ac:dyDescent="0.25">
      <c r="A36" s="265">
        <v>41181.0156712963</v>
      </c>
      <c r="B36" s="471" t="s">
        <v>679</v>
      </c>
      <c r="C36" s="472" t="s">
        <v>669</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73"/>
      <c r="B37" s="474" t="s">
        <v>638</v>
      </c>
      <c r="C37" s="475"/>
      <c r="D37" s="205"/>
      <c r="E37" s="206" t="s">
        <v>201</v>
      </c>
      <c r="F37" s="207"/>
      <c r="G37" s="208"/>
      <c r="H37" s="208"/>
      <c r="I37" s="208"/>
      <c r="J37" s="209"/>
      <c r="K37" s="210"/>
      <c r="L37" s="211"/>
      <c r="M37" s="208"/>
      <c r="N37" s="211"/>
      <c r="O37" s="209"/>
    </row>
    <row r="38" spans="1:21" s="173" customFormat="1" collapsed="1" x14ac:dyDescent="0.25">
      <c r="A38" s="484"/>
      <c r="B38" s="485" t="s">
        <v>637</v>
      </c>
      <c r="C38" s="486"/>
      <c r="D38" s="487"/>
      <c r="E38" s="488" t="s">
        <v>201</v>
      </c>
      <c r="F38" s="489" t="s">
        <v>658</v>
      </c>
      <c r="G38" s="487"/>
      <c r="H38" s="487"/>
      <c r="I38" s="487"/>
      <c r="J38" s="490"/>
      <c r="K38" s="491" t="str">
        <f>TOCmatch!B17</f>
        <v>SFacc</v>
      </c>
      <c r="L38" s="492"/>
      <c r="M38" s="487"/>
      <c r="N38" s="492"/>
      <c r="O38" s="490"/>
    </row>
    <row r="39" spans="1:21" hidden="1" outlineLevel="1" x14ac:dyDescent="0.25">
      <c r="A39" s="265">
        <v>41180.895532407405</v>
      </c>
      <c r="B39" s="266" t="s">
        <v>679</v>
      </c>
      <c r="C39" s="305"/>
      <c r="D39" s="5"/>
      <c r="E39" s="218" t="s">
        <v>70</v>
      </c>
      <c r="F39" s="200" t="str">
        <f>F6</f>
        <v>LOAD_1C_P</v>
      </c>
      <c r="G39" s="201"/>
      <c r="H39" s="215"/>
      <c r="I39" s="215"/>
      <c r="J39" s="216"/>
      <c r="K39" s="200" t="str">
        <f>K38</f>
        <v>SFacc</v>
      </c>
      <c r="L39" s="201"/>
      <c r="M39" s="201"/>
      <c r="N39" s="215"/>
      <c r="O39" s="216"/>
    </row>
    <row r="40" spans="1:21" hidden="1" outlineLevel="1" x14ac:dyDescent="0.25">
      <c r="A40" s="265">
        <v>41180.895601851851</v>
      </c>
      <c r="B40" s="266" t="s">
        <v>679</v>
      </c>
      <c r="C40" s="305"/>
      <c r="D40" s="5"/>
      <c r="E40" s="218" t="s">
        <v>70</v>
      </c>
      <c r="F40" s="200" t="str">
        <f>F13</f>
        <v>LOAD_1C_DOG</v>
      </c>
      <c r="G40" s="201"/>
      <c r="H40" s="215"/>
      <c r="I40" s="215"/>
      <c r="J40" s="216"/>
      <c r="K40" s="200" t="str">
        <f>K38</f>
        <v>SFacc</v>
      </c>
      <c r="L40" s="201"/>
      <c r="M40" s="201"/>
      <c r="N40" s="215"/>
      <c r="O40" s="216"/>
    </row>
    <row r="41" spans="1:21" hidden="1" outlineLevel="1" x14ac:dyDescent="0.25">
      <c r="A41" s="265">
        <v>41180.895648148151</v>
      </c>
      <c r="B41" s="266" t="s">
        <v>679</v>
      </c>
      <c r="C41" s="305"/>
      <c r="D41" s="5"/>
      <c r="E41" s="218" t="s">
        <v>70</v>
      </c>
      <c r="F41" s="200" t="str">
        <f>F20</f>
        <v>LOAD_1C_ACC</v>
      </c>
      <c r="G41" s="201"/>
      <c r="H41" s="215"/>
      <c r="I41" s="215"/>
      <c r="J41" s="216"/>
      <c r="K41" s="200" t="str">
        <f>K38</f>
        <v>SFacc</v>
      </c>
      <c r="L41" s="201"/>
      <c r="M41" s="201"/>
      <c r="N41" s="215"/>
      <c r="O41" s="216"/>
    </row>
    <row r="42" spans="1:21" s="248" customFormat="1" ht="15.75" hidden="1" outlineLevel="1" thickBot="1" x14ac:dyDescent="0.3">
      <c r="A42" s="497"/>
      <c r="B42" s="498" t="s">
        <v>638</v>
      </c>
      <c r="C42" s="499"/>
      <c r="D42" s="241"/>
      <c r="E42" s="242"/>
      <c r="F42" s="243"/>
      <c r="G42" s="244"/>
      <c r="H42" s="244"/>
      <c r="I42" s="244"/>
      <c r="J42" s="245"/>
      <c r="K42" s="246"/>
      <c r="L42" s="247"/>
      <c r="M42" s="244"/>
      <c r="N42" s="247"/>
      <c r="O42" s="245"/>
    </row>
    <row r="43" spans="1:21" s="173" customFormat="1" collapsed="1" x14ac:dyDescent="0.25">
      <c r="A43" s="504"/>
      <c r="B43" s="505" t="s">
        <v>637</v>
      </c>
      <c r="C43" s="504"/>
      <c r="E43" s="190"/>
      <c r="F43" s="189" t="s">
        <v>660</v>
      </c>
      <c r="G43" s="174"/>
      <c r="H43" s="174"/>
      <c r="I43" s="174"/>
      <c r="J43" s="175"/>
      <c r="K43" s="188" t="str">
        <f>TOCmatch!B28</f>
        <v>Заказы</v>
      </c>
      <c r="L43" s="174"/>
      <c r="M43" s="174"/>
      <c r="N43" s="174"/>
      <c r="O43" s="175"/>
      <c r="T43" s="123"/>
      <c r="U43" s="123"/>
    </row>
    <row r="44" spans="1:21" s="173" customFormat="1" outlineLevel="1" x14ac:dyDescent="0.25">
      <c r="A44" s="265">
        <v>41183.944467592592</v>
      </c>
      <c r="B44" s="266" t="s">
        <v>619</v>
      </c>
      <c r="C44" s="305" t="s">
        <v>617</v>
      </c>
      <c r="D44" s="196"/>
      <c r="E44" s="197" t="s">
        <v>70</v>
      </c>
      <c r="F44" s="437" t="s">
        <v>792</v>
      </c>
      <c r="G44" s="438" t="s">
        <v>793</v>
      </c>
      <c r="H44" s="198"/>
      <c r="I44" s="198"/>
      <c r="J44" s="199"/>
      <c r="K44" s="200" t="str">
        <f>K43</f>
        <v>Заказы</v>
      </c>
      <c r="L44" s="201"/>
      <c r="M44" s="198"/>
      <c r="N44" s="201"/>
      <c r="O44" s="199"/>
      <c r="T44" s="123"/>
      <c r="U44" s="123"/>
    </row>
    <row r="45" spans="1:21" s="173" customFormat="1" outlineLevel="1" x14ac:dyDescent="0.25">
      <c r="A45" s="195">
        <v>41180.973414351851</v>
      </c>
      <c r="B45" s="196" t="s">
        <v>801</v>
      </c>
      <c r="C45" s="615" t="str">
        <f>B44</f>
        <v>InsMyCol</v>
      </c>
      <c r="D45" s="196"/>
      <c r="E45" s="197" t="s">
        <v>201</v>
      </c>
      <c r="F45" s="189" t="str">
        <f>F44</f>
        <v>HDR_1C_Payment_MyCol</v>
      </c>
      <c r="G45" s="221"/>
      <c r="H45" s="198"/>
      <c r="I45" s="198"/>
      <c r="J45" s="199"/>
      <c r="K45" s="200" t="str">
        <f>K43</f>
        <v>Заказы</v>
      </c>
      <c r="L45" s="304">
        <f>TOCmatch!B54</f>
        <v>0</v>
      </c>
      <c r="M45" s="304">
        <f>TOCmatch!B51</f>
        <v>0</v>
      </c>
      <c r="N45" s="304">
        <f>TOCmatch!B57</f>
        <v>0</v>
      </c>
      <c r="O45" s="199"/>
    </row>
    <row r="46" spans="1:21" s="173" customFormat="1" outlineLevel="1" x14ac:dyDescent="0.25">
      <c r="A46" s="195">
        <v>41180.907453703701</v>
      </c>
      <c r="B46" s="196" t="s">
        <v>630</v>
      </c>
      <c r="C46" s="237"/>
      <c r="D46" s="196"/>
      <c r="E46" s="197" t="s">
        <v>201</v>
      </c>
      <c r="F46" s="200" t="str">
        <f>K43</f>
        <v>Заказы</v>
      </c>
      <c r="G46" s="221" t="s">
        <v>112</v>
      </c>
      <c r="H46" s="198"/>
      <c r="I46" s="198"/>
      <c r="J46" s="199"/>
      <c r="K46" s="200" t="str">
        <f>K43</f>
        <v>Заказы</v>
      </c>
      <c r="L46" s="201"/>
      <c r="M46" s="198"/>
      <c r="N46" s="201"/>
      <c r="O46" s="199"/>
    </row>
    <row r="47" spans="1:21" s="174" customFormat="1" outlineLevel="1" x14ac:dyDescent="0.25">
      <c r="A47" s="563">
        <v>41180.973599537036</v>
      </c>
      <c r="B47" s="202" t="s">
        <v>642</v>
      </c>
      <c r="C47" s="615" t="str">
        <f>B45</f>
        <v>Adapt</v>
      </c>
      <c r="D47" s="5"/>
      <c r="E47" s="203" t="s">
        <v>201</v>
      </c>
      <c r="F47" s="214"/>
      <c r="G47" s="198"/>
      <c r="H47" s="198"/>
      <c r="I47" s="198"/>
      <c r="J47" s="199"/>
      <c r="K47" s="200" t="str">
        <f>K43</f>
        <v>Заказы</v>
      </c>
      <c r="L47" s="201"/>
      <c r="M47" s="198"/>
      <c r="N47" s="201"/>
      <c r="O47" s="199"/>
    </row>
    <row r="48" spans="1:21" outlineLevel="1" x14ac:dyDescent="0.25">
      <c r="A48" s="195">
        <v>41180.973645833335</v>
      </c>
      <c r="B48" s="196" t="s">
        <v>671</v>
      </c>
      <c r="C48" s="615" t="str">
        <f>B47</f>
        <v>PaymentPaint</v>
      </c>
      <c r="D48" s="5"/>
      <c r="E48" s="218" t="s">
        <v>201</v>
      </c>
      <c r="F48" s="200"/>
      <c r="G48" s="201"/>
      <c r="H48" s="215"/>
      <c r="I48" s="215"/>
      <c r="J48" s="216"/>
      <c r="K48" s="200" t="str">
        <f>K43</f>
        <v>Заказы</v>
      </c>
      <c r="L48" s="201"/>
      <c r="M48" s="201"/>
      <c r="N48" s="201"/>
      <c r="O48" s="216"/>
    </row>
    <row r="49" spans="1:21" s="187" customFormat="1" outlineLevel="1" x14ac:dyDescent="0.25">
      <c r="A49" s="204"/>
      <c r="B49" s="205" t="s">
        <v>638</v>
      </c>
      <c r="C49" s="238"/>
      <c r="D49" s="205"/>
      <c r="E49" s="206"/>
      <c r="F49" s="207"/>
      <c r="G49" s="208"/>
      <c r="H49" s="208"/>
      <c r="I49" s="208"/>
      <c r="J49" s="209"/>
      <c r="K49" s="210"/>
      <c r="L49" s="211"/>
      <c r="M49" s="208"/>
      <c r="N49" s="211"/>
      <c r="O49" s="209"/>
    </row>
    <row r="50" spans="1:21" s="173" customFormat="1" x14ac:dyDescent="0.25">
      <c r="A50" s="504"/>
      <c r="B50" s="505" t="s">
        <v>637</v>
      </c>
      <c r="C50" s="504"/>
      <c r="E50" s="190"/>
      <c r="F50" s="189" t="s">
        <v>659</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7"/>
      <c r="D51" s="196"/>
      <c r="E51" s="197"/>
      <c r="F51" s="214" t="s">
        <v>70</v>
      </c>
      <c r="G51" s="221"/>
      <c r="H51" s="198"/>
      <c r="I51" s="198"/>
      <c r="J51" s="199"/>
      <c r="K51" s="614"/>
      <c r="L51" s="201"/>
      <c r="M51" s="198"/>
      <c r="N51" s="201"/>
      <c r="O51" s="199"/>
    </row>
    <row r="52" spans="1:21" s="173" customFormat="1" outlineLevel="1" x14ac:dyDescent="0.25">
      <c r="A52" s="265">
        <v>41184.008402777778</v>
      </c>
      <c r="B52" s="266" t="s">
        <v>900</v>
      </c>
      <c r="C52" s="305" t="s">
        <v>617</v>
      </c>
      <c r="D52" s="196"/>
      <c r="E52" s="197" t="s">
        <v>70</v>
      </c>
      <c r="F52" s="214" t="s">
        <v>901</v>
      </c>
      <c r="G52" s="221"/>
      <c r="H52" s="198"/>
      <c r="I52" s="198"/>
      <c r="J52" s="199"/>
      <c r="K52" s="614" t="str">
        <f>K50</f>
        <v>Склад</v>
      </c>
      <c r="L52" s="201"/>
      <c r="M52" s="198"/>
      <c r="N52" s="201"/>
      <c r="O52" s="199"/>
    </row>
    <row r="53" spans="1:21" s="173" customFormat="1" outlineLevel="1" x14ac:dyDescent="0.25">
      <c r="A53" s="265">
        <v>41184.008703703701</v>
      </c>
      <c r="B53" s="266" t="s">
        <v>619</v>
      </c>
      <c r="C53" s="506" t="str">
        <f>B52</f>
        <v>RowDel</v>
      </c>
      <c r="D53" s="196"/>
      <c r="E53" s="197" t="s">
        <v>70</v>
      </c>
      <c r="F53" s="200" t="s">
        <v>902</v>
      </c>
      <c r="G53" s="221"/>
      <c r="H53" s="198"/>
      <c r="I53" s="198"/>
      <c r="J53" s="199"/>
      <c r="K53" s="200" t="str">
        <f>K50</f>
        <v>Склад</v>
      </c>
      <c r="L53" s="201"/>
      <c r="M53" s="198"/>
      <c r="N53" s="201"/>
      <c r="O53" s="199"/>
      <c r="T53" s="123"/>
      <c r="U53" s="123"/>
    </row>
    <row r="54" spans="1:21" s="149" customFormat="1" outlineLevel="1" x14ac:dyDescent="0.25">
      <c r="A54" s="265">
        <v>41184.027986111112</v>
      </c>
      <c r="B54" s="266" t="s">
        <v>903</v>
      </c>
      <c r="C54" s="266" t="s">
        <v>619</v>
      </c>
      <c r="D54" s="196"/>
      <c r="E54" s="197" t="s">
        <v>70</v>
      </c>
      <c r="F54" s="214" t="s">
        <v>128</v>
      </c>
      <c r="G54" s="221" t="s">
        <v>91</v>
      </c>
      <c r="H54" s="221" t="s">
        <v>113</v>
      </c>
      <c r="I54" s="221" t="s">
        <v>130</v>
      </c>
      <c r="J54" s="609"/>
      <c r="K54" s="614" t="str">
        <f>K50</f>
        <v>Склад</v>
      </c>
      <c r="L54" s="201" t="str">
        <f>TOCmatch!B8</f>
        <v>Платежи</v>
      </c>
      <c r="M54" s="215"/>
      <c r="N54" s="173"/>
      <c r="O54" s="199"/>
    </row>
    <row r="55" spans="1:21" s="173" customFormat="1" outlineLevel="1" x14ac:dyDescent="0.25">
      <c r="A55" s="265">
        <v>41184.081296296295</v>
      </c>
      <c r="B55" s="266" t="s">
        <v>801</v>
      </c>
      <c r="C55" s="506" t="str">
        <f>B53</f>
        <v>InsMyCol</v>
      </c>
      <c r="D55" s="196"/>
      <c r="E55" s="197" t="s">
        <v>70</v>
      </c>
      <c r="F55" s="189" t="str">
        <f>F53</f>
        <v>Stock_MyCol</v>
      </c>
      <c r="G55" s="221"/>
      <c r="H55" s="198"/>
      <c r="I55" s="198"/>
      <c r="J55" s="199"/>
      <c r="K55" s="200" t="str">
        <f>K50</f>
        <v>Склад</v>
      </c>
      <c r="L55" s="201" t="str">
        <f>L54</f>
        <v>Платежи</v>
      </c>
      <c r="M55" s="198"/>
      <c r="N55" s="201"/>
      <c r="O55" s="199"/>
    </row>
    <row r="56" spans="1:21" s="187" customFormat="1" outlineLevel="1" x14ac:dyDescent="0.25">
      <c r="A56" s="473"/>
      <c r="B56" s="474" t="s">
        <v>638</v>
      </c>
      <c r="C56" s="238"/>
      <c r="D56" s="205"/>
      <c r="E56" s="206"/>
      <c r="F56" s="207"/>
      <c r="G56" s="208"/>
      <c r="H56" s="208"/>
      <c r="I56" s="208"/>
      <c r="J56" s="209"/>
      <c r="K56" s="210"/>
      <c r="L56" s="211"/>
      <c r="M56" s="208"/>
      <c r="N56" s="211"/>
      <c r="O56" s="209"/>
    </row>
    <row r="57" spans="1:21" s="173" customFormat="1" x14ac:dyDescent="0.25">
      <c r="A57" s="306"/>
      <c r="B57" s="307" t="s">
        <v>637</v>
      </c>
      <c r="C57" s="308"/>
      <c r="D57" s="309"/>
      <c r="E57" s="310" t="s">
        <v>201</v>
      </c>
      <c r="F57" s="610" t="s">
        <v>904</v>
      </c>
      <c r="G57" s="309"/>
      <c r="H57" s="309"/>
      <c r="I57" s="309"/>
      <c r="J57" s="312"/>
      <c r="K57" s="313"/>
      <c r="L57" s="314"/>
      <c r="M57" s="309"/>
      <c r="N57" s="314"/>
      <c r="O57" s="312"/>
    </row>
    <row r="58" spans="1:21" s="173" customFormat="1" outlineLevel="1" x14ac:dyDescent="0.25">
      <c r="A58" s="265">
        <v>41147.791817129626</v>
      </c>
      <c r="B58" s="266" t="s">
        <v>900</v>
      </c>
      <c r="C58" s="305" t="s">
        <v>617</v>
      </c>
      <c r="D58" s="196"/>
      <c r="E58" s="197" t="s">
        <v>70</v>
      </c>
      <c r="F58" s="214" t="s">
        <v>905</v>
      </c>
      <c r="G58" s="221"/>
      <c r="H58" s="198"/>
      <c r="I58" s="198"/>
      <c r="J58" s="199"/>
      <c r="K58" s="200"/>
      <c r="L58" s="201"/>
      <c r="M58" s="198"/>
      <c r="N58" s="201"/>
      <c r="O58" s="199"/>
    </row>
    <row r="59" spans="1:21" s="149" customFormat="1" outlineLevel="1" x14ac:dyDescent="0.25">
      <c r="A59" s="265">
        <v>41147.791875000003</v>
      </c>
      <c r="B59" s="266" t="s">
        <v>619</v>
      </c>
      <c r="C59" s="321" t="str">
        <f>B58</f>
        <v>RowDel</v>
      </c>
      <c r="D59" s="196"/>
      <c r="E59" s="197" t="s">
        <v>70</v>
      </c>
      <c r="F59" s="200" t="s">
        <v>906</v>
      </c>
      <c r="G59" s="201"/>
      <c r="H59" s="198"/>
      <c r="I59" s="198"/>
      <c r="J59" s="216"/>
      <c r="K59" s="200"/>
      <c r="L59" s="215"/>
      <c r="M59" s="215"/>
      <c r="N59" s="215"/>
      <c r="O59" s="216"/>
    </row>
    <row r="60" spans="1:21" s="173" customFormat="1" outlineLevel="1" x14ac:dyDescent="0.25">
      <c r="A60" s="217"/>
      <c r="B60" s="196" t="s">
        <v>643</v>
      </c>
      <c r="C60" s="237"/>
      <c r="D60" s="196"/>
      <c r="E60" s="197"/>
      <c r="F60" s="214" t="s">
        <v>70</v>
      </c>
      <c r="G60" s="221"/>
      <c r="H60" s="198"/>
      <c r="I60" s="198"/>
      <c r="J60" s="199"/>
      <c r="K60" s="200"/>
      <c r="L60" s="201"/>
      <c r="M60" s="198"/>
      <c r="N60" s="201"/>
      <c r="O60" s="199"/>
    </row>
    <row r="61" spans="1:21" s="173" customFormat="1" outlineLevel="1" x14ac:dyDescent="0.25">
      <c r="A61" s="195">
        <v>41147.792256944442</v>
      </c>
      <c r="B61" s="196" t="s">
        <v>903</v>
      </c>
      <c r="C61" s="236" t="str">
        <f>B59</f>
        <v>InsMyCol</v>
      </c>
      <c r="D61" s="196"/>
      <c r="E61" s="197" t="s">
        <v>201</v>
      </c>
      <c r="F61" s="214" t="s">
        <v>92</v>
      </c>
      <c r="G61" s="221" t="s">
        <v>126</v>
      </c>
      <c r="H61" s="221" t="s">
        <v>130</v>
      </c>
      <c r="I61" s="221" t="s">
        <v>833</v>
      </c>
      <c r="J61" s="609">
        <v>13</v>
      </c>
      <c r="K61" s="200"/>
      <c r="L61" s="201" t="str">
        <f>K33</f>
        <v>SFD</v>
      </c>
      <c r="M61" s="198"/>
      <c r="O61" s="199"/>
    </row>
    <row r="62" spans="1:21" s="173" customFormat="1" outlineLevel="2" x14ac:dyDescent="0.25">
      <c r="A62" s="195"/>
      <c r="B62" s="196" t="s">
        <v>644</v>
      </c>
      <c r="C62" s="235" t="s">
        <v>903</v>
      </c>
      <c r="D62" s="5" t="s">
        <v>775</v>
      </c>
      <c r="E62" s="197" t="s">
        <v>201</v>
      </c>
      <c r="F62" s="611">
        <f>L62</f>
        <v>0</v>
      </c>
      <c r="G62" s="202" t="s">
        <v>133</v>
      </c>
      <c r="H62" s="202" t="s">
        <v>112</v>
      </c>
      <c r="I62" s="202" t="s">
        <v>94</v>
      </c>
      <c r="J62" s="202" t="s">
        <v>41</v>
      </c>
      <c r="K62" s="200"/>
      <c r="L62" s="166"/>
      <c r="M62" s="198"/>
      <c r="N62" s="201"/>
      <c r="O62" s="199"/>
    </row>
    <row r="63" spans="1:21" outlineLevel="2" x14ac:dyDescent="0.25">
      <c r="A63" s="195"/>
      <c r="B63" s="196" t="s">
        <v>652</v>
      </c>
      <c r="C63" s="235" t="s">
        <v>644</v>
      </c>
      <c r="D63" s="5" t="s">
        <v>775</v>
      </c>
      <c r="E63" s="218" t="s">
        <v>201</v>
      </c>
      <c r="F63" s="200"/>
      <c r="G63" s="201"/>
      <c r="H63" s="215"/>
      <c r="I63" s="215"/>
      <c r="J63" s="216"/>
      <c r="K63" s="200"/>
      <c r="L63" s="201"/>
      <c r="M63" s="201"/>
      <c r="N63" s="215"/>
      <c r="O63" s="216"/>
    </row>
    <row r="64" spans="1:21" s="248" customFormat="1" ht="15.75" outlineLevel="2" thickBot="1" x14ac:dyDescent="0.3">
      <c r="A64" s="612"/>
      <c r="B64" s="241" t="s">
        <v>638</v>
      </c>
      <c r="C64" s="613"/>
      <c r="D64" s="241"/>
      <c r="E64" s="242" t="s">
        <v>201</v>
      </c>
      <c r="F64" s="243"/>
      <c r="G64" s="244"/>
      <c r="H64" s="244"/>
      <c r="I64" s="244"/>
      <c r="J64" s="245"/>
      <c r="K64" s="246"/>
      <c r="L64" s="247"/>
      <c r="M64" s="244"/>
      <c r="N64" s="247"/>
      <c r="O64" s="245"/>
    </row>
    <row r="65" spans="1:16" s="173" customFormat="1" ht="15.75" thickTop="1" x14ac:dyDescent="0.25">
      <c r="A65" s="493"/>
      <c r="B65" s="494" t="s">
        <v>637</v>
      </c>
      <c r="C65" s="495"/>
      <c r="D65" s="315"/>
      <c r="E65" s="316" t="s">
        <v>201</v>
      </c>
      <c r="F65" s="317" t="s">
        <v>662</v>
      </c>
      <c r="G65" s="315"/>
      <c r="H65" s="315"/>
      <c r="I65" s="315"/>
      <c r="J65" s="318"/>
      <c r="K65" s="496" t="s">
        <v>574</v>
      </c>
      <c r="L65" s="320"/>
      <c r="M65" s="315"/>
      <c r="N65" s="320"/>
      <c r="O65" s="318"/>
    </row>
    <row r="66" spans="1:16" s="173" customFormat="1" x14ac:dyDescent="0.25">
      <c r="A66" s="217"/>
      <c r="B66" s="196" t="s">
        <v>643</v>
      </c>
      <c r="C66" s="237"/>
      <c r="D66" s="196"/>
      <c r="E66" s="197"/>
      <c r="F66" s="214" t="s">
        <v>70</v>
      </c>
      <c r="G66" s="221"/>
      <c r="H66" s="198"/>
      <c r="I66" s="198"/>
      <c r="J66" s="199"/>
      <c r="K66" s="200"/>
      <c r="L66" s="201"/>
      <c r="M66" s="198"/>
      <c r="N66" s="201"/>
      <c r="O66" s="199"/>
    </row>
    <row r="67" spans="1:16" ht="30" x14ac:dyDescent="0.25">
      <c r="A67" s="217"/>
      <c r="B67" s="202" t="s">
        <v>680</v>
      </c>
      <c r="C67" s="236" t="s">
        <v>681</v>
      </c>
      <c r="D67" s="5"/>
      <c r="E67" s="218" t="s">
        <v>201</v>
      </c>
      <c r="F67" s="200"/>
      <c r="G67" s="201"/>
      <c r="H67" s="215"/>
      <c r="I67" s="215"/>
      <c r="J67" s="222"/>
      <c r="K67" s="223" t="s">
        <v>574</v>
      </c>
      <c r="L67" s="215"/>
      <c r="M67" s="215"/>
      <c r="N67" s="215"/>
      <c r="O67" s="222"/>
    </row>
    <row r="68" spans="1:16" x14ac:dyDescent="0.25">
      <c r="A68" s="217"/>
      <c r="B68" s="202" t="s">
        <v>646</v>
      </c>
      <c r="C68" s="240" t="s">
        <v>645</v>
      </c>
      <c r="D68" s="5"/>
      <c r="E68" s="218"/>
      <c r="F68" s="200" t="s">
        <v>647</v>
      </c>
      <c r="G68" s="201" t="s">
        <v>648</v>
      </c>
      <c r="H68" s="215" t="s">
        <v>649</v>
      </c>
      <c r="I68" s="215" t="s">
        <v>650</v>
      </c>
      <c r="J68" s="222"/>
      <c r="K68" s="223"/>
      <c r="L68" s="215"/>
      <c r="M68" s="215"/>
      <c r="N68" s="215"/>
      <c r="O68" s="222"/>
    </row>
    <row r="69" spans="1:16" s="187" customFormat="1" x14ac:dyDescent="0.25">
      <c r="A69" s="204"/>
      <c r="B69" s="205" t="s">
        <v>638</v>
      </c>
      <c r="C69" s="238"/>
      <c r="D69" s="205"/>
      <c r="E69" s="206" t="s">
        <v>201</v>
      </c>
      <c r="F69" s="207"/>
      <c r="G69" s="208"/>
      <c r="H69" s="208"/>
      <c r="I69" s="208"/>
      <c r="J69" s="209"/>
      <c r="K69" s="210"/>
      <c r="L69" s="211"/>
      <c r="M69" s="208"/>
      <c r="N69" s="211"/>
      <c r="O69" s="209"/>
    </row>
    <row r="70" spans="1:16" s="173" customFormat="1" x14ac:dyDescent="0.25">
      <c r="A70" s="265"/>
      <c r="B70" s="266" t="s">
        <v>637</v>
      </c>
      <c r="C70" s="267"/>
      <c r="D70" s="212"/>
      <c r="E70" s="197"/>
      <c r="F70" s="213" t="s">
        <v>827</v>
      </c>
      <c r="G70" s="198"/>
      <c r="H70" s="198"/>
      <c r="I70" s="198"/>
      <c r="J70" s="199"/>
      <c r="K70" s="188" t="str">
        <f>TOCmatch!B8</f>
        <v>Платежи</v>
      </c>
      <c r="L70" s="201"/>
      <c r="M70" s="198"/>
      <c r="N70" s="201"/>
      <c r="O70" s="199"/>
      <c r="P70" s="480"/>
    </row>
    <row r="71" spans="1:16" s="173" customFormat="1" x14ac:dyDescent="0.25">
      <c r="A71" s="265">
        <v>41176.83766203704</v>
      </c>
      <c r="B71" s="266" t="s">
        <v>697</v>
      </c>
      <c r="C71" s="267"/>
      <c r="D71" s="212"/>
      <c r="E71" s="197"/>
      <c r="F71" s="268" t="s">
        <v>828</v>
      </c>
      <c r="G71" s="198"/>
      <c r="H71" s="198"/>
      <c r="I71" s="198"/>
      <c r="J71" s="199"/>
      <c r="K71" s="188"/>
      <c r="L71" s="201"/>
      <c r="M71" s="198"/>
      <c r="N71" s="201"/>
      <c r="O71" s="199"/>
      <c r="P71" s="480"/>
    </row>
    <row r="72" spans="1:16" s="173" customFormat="1" x14ac:dyDescent="0.25">
      <c r="A72" s="217"/>
      <c r="B72" s="196" t="s">
        <v>643</v>
      </c>
      <c r="C72" s="237"/>
      <c r="D72" s="196"/>
      <c r="E72" s="197"/>
      <c r="F72" s="214" t="s">
        <v>70</v>
      </c>
      <c r="G72" s="221"/>
      <c r="H72" s="198"/>
      <c r="I72" s="198"/>
      <c r="J72" s="199"/>
      <c r="K72" s="200"/>
      <c r="L72" s="201"/>
      <c r="M72" s="198"/>
      <c r="N72" s="201"/>
      <c r="O72" s="199"/>
      <c r="P72" s="480"/>
    </row>
    <row r="73" spans="1:16" s="173" customFormat="1" x14ac:dyDescent="0.25">
      <c r="A73" s="265">
        <v>41176.837731481479</v>
      </c>
      <c r="B73" s="266" t="s">
        <v>829</v>
      </c>
      <c r="C73" s="477" t="e">
        <f>#REF!&amp;"/"&amp;#REF!</f>
        <v>#REF!</v>
      </c>
      <c r="D73" s="196"/>
      <c r="E73" s="197"/>
      <c r="F73" s="214"/>
      <c r="G73" s="221"/>
      <c r="H73" s="198"/>
      <c r="I73" s="198"/>
      <c r="J73" s="199"/>
      <c r="K73" s="200" t="str">
        <f>K70</f>
        <v>Платежи</v>
      </c>
      <c r="L73" s="304" t="str">
        <f>TOCmatch!B11</f>
        <v>Договоры</v>
      </c>
      <c r="M73" s="198"/>
      <c r="N73" s="201"/>
      <c r="O73" s="199"/>
      <c r="P73" s="480"/>
    </row>
    <row r="74" spans="1:16" s="173" customFormat="1" x14ac:dyDescent="0.25">
      <c r="A74" s="265">
        <v>41176.837766203702</v>
      </c>
      <c r="B74" s="471" t="s">
        <v>646</v>
      </c>
      <c r="C74" s="477" t="str">
        <f>B73</f>
        <v>NewPaidOpp</v>
      </c>
      <c r="D74" s="196"/>
      <c r="E74" s="197"/>
      <c r="F74" s="269" t="str">
        <f>F71</f>
        <v>NewPayment</v>
      </c>
      <c r="G74" s="201" t="s">
        <v>825</v>
      </c>
      <c r="H74" s="215" t="s">
        <v>687</v>
      </c>
      <c r="I74" s="215" t="s">
        <v>688</v>
      </c>
      <c r="J74" s="199"/>
      <c r="K74" s="200"/>
      <c r="L74" s="201"/>
      <c r="M74" s="198"/>
      <c r="N74" s="201"/>
      <c r="O74" s="199"/>
      <c r="P74" s="480"/>
    </row>
    <row r="75" spans="1:16" s="187" customFormat="1" x14ac:dyDescent="0.25">
      <c r="A75" s="473"/>
      <c r="B75" s="474" t="s">
        <v>638</v>
      </c>
      <c r="C75" s="475"/>
      <c r="D75" s="205"/>
      <c r="E75" s="206"/>
      <c r="F75" s="207"/>
      <c r="G75" s="208"/>
      <c r="H75" s="208"/>
      <c r="I75" s="208"/>
      <c r="J75" s="209"/>
      <c r="K75" s="210"/>
      <c r="L75" s="211"/>
      <c r="M75" s="208"/>
      <c r="N75" s="211"/>
      <c r="O75" s="209"/>
      <c r="P75" s="481"/>
    </row>
    <row r="76" spans="1:16" s="173" customFormat="1" x14ac:dyDescent="0.25">
      <c r="A76" s="195"/>
      <c r="B76" s="196" t="s">
        <v>637</v>
      </c>
      <c r="C76" s="239"/>
      <c r="D76" s="212"/>
      <c r="E76" s="197"/>
      <c r="F76" s="213" t="s">
        <v>830</v>
      </c>
      <c r="G76" s="198"/>
      <c r="H76" s="198"/>
      <c r="I76" s="198"/>
      <c r="J76" s="199"/>
      <c r="K76" s="188" t="str">
        <f>TOCmatch!B8</f>
        <v>Платежи</v>
      </c>
      <c r="L76" s="201"/>
      <c r="M76" s="198"/>
      <c r="N76" s="201"/>
      <c r="O76" s="199"/>
      <c r="P76" s="478"/>
    </row>
    <row r="77" spans="1:16" s="173" customFormat="1" x14ac:dyDescent="0.25">
      <c r="A77" s="265">
        <v>41178.030405092592</v>
      </c>
      <c r="B77" s="266" t="s">
        <v>697</v>
      </c>
      <c r="C77" s="267"/>
      <c r="D77" s="212"/>
      <c r="E77" s="197" t="s">
        <v>70</v>
      </c>
      <c r="F77" s="268" t="s">
        <v>828</v>
      </c>
      <c r="G77" s="198"/>
      <c r="H77" s="198"/>
      <c r="I77" s="198"/>
      <c r="J77" s="199"/>
      <c r="K77" s="188"/>
      <c r="L77" s="201"/>
      <c r="M77" s="198"/>
      <c r="N77" s="201"/>
      <c r="O77" s="199"/>
      <c r="P77" s="478"/>
    </row>
    <row r="78" spans="1:16" s="173" customFormat="1" ht="30" x14ac:dyDescent="0.25">
      <c r="A78" s="195">
        <v>41180.018483796295</v>
      </c>
      <c r="B78" s="196" t="s">
        <v>831</v>
      </c>
      <c r="C78" s="236" t="str">
        <f>F6&amp;"/"&amp;B10</f>
        <v>LOAD_1C_P/PaymentPaint</v>
      </c>
      <c r="D78" s="196"/>
      <c r="E78" s="197" t="s">
        <v>201</v>
      </c>
      <c r="F78" s="214"/>
      <c r="G78" s="221"/>
      <c r="H78" s="198"/>
      <c r="I78" s="198"/>
      <c r="J78" s="199"/>
      <c r="K78" s="200" t="str">
        <f>K76</f>
        <v>Платежи</v>
      </c>
      <c r="L78" s="304" t="str">
        <f>TOCmatch!B15</f>
        <v>SFD</v>
      </c>
      <c r="M78" s="198"/>
      <c r="N78" s="201"/>
      <c r="O78" s="199"/>
      <c r="P78" s="478"/>
    </row>
    <row r="79" spans="1:16" s="173" customFormat="1" x14ac:dyDescent="0.25">
      <c r="A79" s="195">
        <v>41180.018495370372</v>
      </c>
      <c r="B79" s="202" t="s">
        <v>646</v>
      </c>
      <c r="C79" s="483" t="str">
        <f>B78</f>
        <v>NewPaidDog</v>
      </c>
      <c r="D79" s="196"/>
      <c r="E79" s="197" t="s">
        <v>201</v>
      </c>
      <c r="F79" s="269" t="str">
        <f>F77</f>
        <v>NewPayment</v>
      </c>
      <c r="G79" s="201" t="s">
        <v>825</v>
      </c>
      <c r="H79" s="215" t="s">
        <v>836</v>
      </c>
      <c r="I79" s="215" t="s">
        <v>837</v>
      </c>
      <c r="J79" s="199"/>
      <c r="K79" s="200"/>
      <c r="L79" s="201"/>
      <c r="M79" s="198"/>
      <c r="N79" s="201"/>
      <c r="O79" s="199"/>
      <c r="P79" s="478"/>
    </row>
    <row r="80" spans="1:16" s="187" customFormat="1" ht="15.75" thickBot="1" x14ac:dyDescent="0.3">
      <c r="A80" s="204"/>
      <c r="B80" s="205" t="s">
        <v>638</v>
      </c>
      <c r="C80" s="238"/>
      <c r="D80" s="205"/>
      <c r="E80" s="203"/>
      <c r="F80" s="207"/>
      <c r="G80" s="208"/>
      <c r="H80" s="208"/>
      <c r="I80" s="208"/>
      <c r="J80" s="209"/>
      <c r="K80" s="210"/>
      <c r="L80" s="211"/>
      <c r="M80" s="208"/>
      <c r="N80" s="211"/>
      <c r="O80" s="209"/>
      <c r="P80" s="479"/>
    </row>
    <row r="81" spans="1:15" s="173" customFormat="1" ht="16.5" thickTop="1" thickBot="1" x14ac:dyDescent="0.3">
      <c r="A81" s="265"/>
      <c r="B81" s="266" t="s">
        <v>637</v>
      </c>
      <c r="C81" s="267"/>
      <c r="D81" s="212"/>
      <c r="E81" s="509" t="s">
        <v>603</v>
      </c>
      <c r="F81" s="508" t="s">
        <v>686</v>
      </c>
      <c r="G81" s="198"/>
      <c r="H81" s="198"/>
      <c r="I81" s="198"/>
      <c r="J81" s="199"/>
      <c r="K81" s="188" t="str">
        <f>K13</f>
        <v>Договоры</v>
      </c>
      <c r="L81" s="201"/>
      <c r="M81" s="198"/>
      <c r="N81" s="201"/>
      <c r="O81" s="199"/>
    </row>
    <row r="82" spans="1:15" s="173" customFormat="1" ht="15.75" thickTop="1" x14ac:dyDescent="0.25">
      <c r="A82" s="265">
        <v>41183.074756944443</v>
      </c>
      <c r="B82" s="266" t="s">
        <v>697</v>
      </c>
      <c r="C82" s="267"/>
      <c r="D82" s="212"/>
      <c r="E82" s="197" t="s">
        <v>70</v>
      </c>
      <c r="F82" s="268" t="s">
        <v>698</v>
      </c>
      <c r="G82" s="198"/>
      <c r="H82" s="198"/>
      <c r="I82" s="198"/>
      <c r="J82" s="199"/>
      <c r="K82" s="188"/>
      <c r="L82" s="201"/>
      <c r="M82" s="198"/>
      <c r="N82" s="201"/>
      <c r="O82" s="199"/>
    </row>
    <row r="83" spans="1:15" s="173" customFormat="1" ht="30" x14ac:dyDescent="0.25">
      <c r="A83" s="265">
        <v>41183.074791666666</v>
      </c>
      <c r="B83" s="266" t="s">
        <v>685</v>
      </c>
      <c r="C83" s="305" t="s">
        <v>813</v>
      </c>
      <c r="D83" s="196"/>
      <c r="E83" s="197" t="s">
        <v>70</v>
      </c>
      <c r="F83" s="214"/>
      <c r="G83" s="221"/>
      <c r="H83" s="198"/>
      <c r="I83" s="198"/>
      <c r="J83" s="199"/>
      <c r="K83" s="200" t="str">
        <f>K81</f>
        <v>Договоры</v>
      </c>
      <c r="L83" s="304" t="str">
        <f>TOCmatch!B15</f>
        <v>SFD</v>
      </c>
      <c r="M83" s="304" t="str">
        <f>TOCmatch!B17</f>
        <v>SFacc</v>
      </c>
      <c r="N83" s="201"/>
      <c r="O83" s="199"/>
    </row>
    <row r="84" spans="1:15" s="173" customFormat="1" x14ac:dyDescent="0.25">
      <c r="A84" s="265">
        <v>41183.074849537035</v>
      </c>
      <c r="B84" s="471" t="s">
        <v>646</v>
      </c>
      <c r="C84" s="477" t="str">
        <f>B83</f>
        <v>NewContr</v>
      </c>
      <c r="D84" s="196"/>
      <c r="E84" s="197" t="s">
        <v>70</v>
      </c>
      <c r="F84" s="269" t="str">
        <f>F82</f>
        <v>NewContract</v>
      </c>
      <c r="G84" s="201" t="s">
        <v>825</v>
      </c>
      <c r="H84" s="215" t="s">
        <v>687</v>
      </c>
      <c r="I84" s="215" t="s">
        <v>688</v>
      </c>
      <c r="J84" s="199"/>
      <c r="K84" s="200"/>
      <c r="M84" s="198"/>
      <c r="N84" s="201"/>
      <c r="O84" s="199"/>
    </row>
    <row r="85" spans="1:15" s="187" customFormat="1" x14ac:dyDescent="0.25">
      <c r="A85" s="473"/>
      <c r="B85" s="474" t="s">
        <v>638</v>
      </c>
      <c r="C85" s="577">
        <v>0</v>
      </c>
      <c r="D85" s="205"/>
      <c r="E85" s="206" t="s">
        <v>201</v>
      </c>
      <c r="F85" s="207"/>
      <c r="G85" s="208"/>
      <c r="H85" s="208"/>
      <c r="I85" s="208"/>
      <c r="J85" s="209"/>
      <c r="K85" s="210"/>
      <c r="L85" s="211"/>
      <c r="M85" s="208"/>
      <c r="N85" s="211"/>
      <c r="O85" s="209"/>
    </row>
    <row r="86" spans="1:15" s="173" customFormat="1" x14ac:dyDescent="0.25">
      <c r="A86" s="265"/>
      <c r="B86" s="266" t="s">
        <v>637</v>
      </c>
      <c r="C86" s="267"/>
      <c r="D86" s="212"/>
      <c r="E86" s="197" t="s">
        <v>201</v>
      </c>
      <c r="F86" s="213" t="s">
        <v>682</v>
      </c>
      <c r="G86" s="198"/>
      <c r="H86" s="198"/>
      <c r="I86" s="198"/>
      <c r="J86" s="199"/>
      <c r="K86" s="188" t="str">
        <f>K108</f>
        <v>Договоры</v>
      </c>
      <c r="L86" s="201"/>
      <c r="M86" s="198"/>
      <c r="N86" s="201"/>
      <c r="O86" s="199"/>
    </row>
    <row r="87" spans="1:15" x14ac:dyDescent="0.25">
      <c r="A87" s="217"/>
      <c r="B87" s="202" t="s">
        <v>683</v>
      </c>
      <c r="C87" s="236" t="s">
        <v>685</v>
      </c>
      <c r="D87" s="5"/>
      <c r="E87" s="218" t="s">
        <v>201</v>
      </c>
      <c r="F87" s="200"/>
      <c r="G87" s="201"/>
      <c r="H87" s="215"/>
      <c r="I87" s="215"/>
      <c r="J87" s="222"/>
      <c r="K87" s="223" t="s">
        <v>579</v>
      </c>
      <c r="L87" s="215"/>
      <c r="M87" s="215"/>
      <c r="N87" s="215"/>
      <c r="O87" s="222"/>
    </row>
    <row r="88" spans="1:15" x14ac:dyDescent="0.25">
      <c r="A88" s="217"/>
      <c r="B88" s="202" t="s">
        <v>646</v>
      </c>
      <c r="C88" s="240" t="s">
        <v>683</v>
      </c>
      <c r="D88" s="5"/>
      <c r="E88" s="218"/>
      <c r="F88" s="200" t="s">
        <v>684</v>
      </c>
      <c r="G88" s="201" t="s">
        <v>648</v>
      </c>
      <c r="H88" s="215" t="s">
        <v>649</v>
      </c>
      <c r="I88" s="215" t="s">
        <v>650</v>
      </c>
      <c r="J88" s="222"/>
      <c r="K88" s="223"/>
      <c r="L88" s="215"/>
      <c r="M88" s="215"/>
      <c r="N88" s="215"/>
      <c r="O88" s="222"/>
    </row>
    <row r="89" spans="1:15" s="174" customFormat="1" ht="15.75" thickBot="1" x14ac:dyDescent="0.3">
      <c r="A89" s="563"/>
      <c r="B89" s="202" t="s">
        <v>638</v>
      </c>
      <c r="C89" s="564"/>
      <c r="D89" s="202"/>
      <c r="E89" s="203" t="s">
        <v>201</v>
      </c>
      <c r="F89" s="565"/>
      <c r="G89" s="198"/>
      <c r="H89" s="198"/>
      <c r="I89" s="198"/>
      <c r="J89" s="199"/>
      <c r="K89" s="200"/>
      <c r="L89" s="201"/>
      <c r="M89" s="198"/>
      <c r="N89" s="201"/>
      <c r="O89" s="199"/>
    </row>
    <row r="90" spans="1:15" s="572" customFormat="1" ht="16.5" thickTop="1" thickBot="1" x14ac:dyDescent="0.3">
      <c r="A90" s="573"/>
      <c r="B90" s="574" t="s">
        <v>637</v>
      </c>
      <c r="C90" s="575"/>
      <c r="D90" s="566"/>
      <c r="E90" s="567" t="s">
        <v>603</v>
      </c>
      <c r="F90" s="568" t="s">
        <v>866</v>
      </c>
      <c r="G90" s="566"/>
      <c r="H90" s="566"/>
      <c r="I90" s="566"/>
      <c r="J90" s="569"/>
      <c r="K90" s="570" t="str">
        <f>K6</f>
        <v>Платежи</v>
      </c>
      <c r="L90" s="571"/>
      <c r="M90" s="566"/>
      <c r="N90" s="571"/>
      <c r="O90" s="569"/>
    </row>
    <row r="91" spans="1:15" s="173" customFormat="1" ht="15.75" thickTop="1" x14ac:dyDescent="0.25">
      <c r="A91" s="195"/>
      <c r="B91" s="196" t="s">
        <v>643</v>
      </c>
      <c r="C91" s="237"/>
      <c r="D91" s="196" t="s">
        <v>201</v>
      </c>
      <c r="E91" s="197" t="s">
        <v>201</v>
      </c>
      <c r="F91" s="214" t="s">
        <v>70</v>
      </c>
      <c r="G91" s="221"/>
      <c r="H91" s="198"/>
      <c r="I91" s="198"/>
      <c r="J91" s="199"/>
      <c r="K91" s="200"/>
      <c r="L91" s="201"/>
      <c r="M91" s="198"/>
      <c r="N91" s="201"/>
      <c r="O91" s="199"/>
    </row>
    <row r="92" spans="1:15" s="173" customFormat="1" x14ac:dyDescent="0.25">
      <c r="A92" s="265">
        <v>41183.074849537035</v>
      </c>
      <c r="B92" s="471" t="s">
        <v>873</v>
      </c>
      <c r="C92" s="476"/>
      <c r="D92" s="196"/>
      <c r="E92" s="462" t="s">
        <v>70</v>
      </c>
      <c r="F92" s="200" t="str">
        <f>F81</f>
        <v>HANDL_NewContract</v>
      </c>
      <c r="G92" s="221"/>
      <c r="H92" s="198"/>
      <c r="I92" s="198"/>
      <c r="J92" s="199"/>
      <c r="K92" s="200"/>
      <c r="L92" s="201"/>
      <c r="M92" s="198"/>
      <c r="N92" s="201"/>
      <c r="O92" s="199"/>
    </row>
    <row r="93" spans="1:15" s="173" customFormat="1" x14ac:dyDescent="0.25">
      <c r="A93" s="265">
        <v>41183.074895833335</v>
      </c>
      <c r="B93" s="266" t="s">
        <v>872</v>
      </c>
      <c r="C93" s="477" t="str">
        <f>B92</f>
        <v>ProcReset</v>
      </c>
      <c r="D93" s="196"/>
      <c r="E93" s="197" t="s">
        <v>70</v>
      </c>
      <c r="F93" s="576">
        <f>C85</f>
        <v>0</v>
      </c>
      <c r="G93" s="221"/>
      <c r="H93" s="198"/>
      <c r="I93" s="198"/>
      <c r="J93" s="199"/>
      <c r="K93" s="200"/>
      <c r="L93" s="201"/>
      <c r="M93" s="198"/>
      <c r="N93" s="201"/>
      <c r="O93" s="199"/>
    </row>
    <row r="94" spans="1:15" s="173" customFormat="1" x14ac:dyDescent="0.25">
      <c r="A94" s="265">
        <v>41183.122025462966</v>
      </c>
      <c r="B94" s="266" t="s">
        <v>697</v>
      </c>
      <c r="C94" s="477" t="str">
        <f>B93</f>
        <v>CheckProc0</v>
      </c>
      <c r="D94" s="212"/>
      <c r="E94" s="197" t="s">
        <v>70</v>
      </c>
      <c r="F94" s="268" t="s">
        <v>867</v>
      </c>
      <c r="G94" s="198"/>
      <c r="H94" s="198"/>
      <c r="I94" s="198"/>
      <c r="J94" s="199"/>
      <c r="K94" s="188" t="str">
        <f>K90</f>
        <v>Платежи</v>
      </c>
      <c r="L94" s="201"/>
      <c r="M94" s="198"/>
      <c r="N94" s="201"/>
      <c r="O94" s="199"/>
    </row>
    <row r="95" spans="1:15" s="173" customFormat="1" x14ac:dyDescent="0.25">
      <c r="A95" s="195"/>
      <c r="B95" s="196" t="s">
        <v>866</v>
      </c>
      <c r="C95" s="483" t="str">
        <f>B94</f>
        <v>NewSheet</v>
      </c>
      <c r="D95" s="196"/>
      <c r="E95" s="197" t="s">
        <v>201</v>
      </c>
      <c r="F95" s="214" t="s">
        <v>869</v>
      </c>
      <c r="G95" s="221"/>
      <c r="H95" s="198"/>
      <c r="I95" s="198"/>
      <c r="J95" s="199"/>
      <c r="K95" s="200" t="str">
        <f>K90</f>
        <v>Платежи</v>
      </c>
      <c r="L95" s="304">
        <f>TOCmatch!B27</f>
        <v>0</v>
      </c>
      <c r="M95" s="198"/>
      <c r="N95" s="201"/>
      <c r="O95" s="199"/>
    </row>
    <row r="96" spans="1:15" s="173" customFormat="1" x14ac:dyDescent="0.25">
      <c r="A96" s="195"/>
      <c r="B96" s="202" t="s">
        <v>646</v>
      </c>
      <c r="C96" s="483" t="str">
        <f>B95</f>
        <v>WP_PaidOpp</v>
      </c>
      <c r="D96" s="196"/>
      <c r="E96" s="197" t="s">
        <v>201</v>
      </c>
      <c r="F96" s="269" t="str">
        <f>F94</f>
        <v>WP</v>
      </c>
      <c r="G96" s="201" t="s">
        <v>825</v>
      </c>
      <c r="H96" s="215" t="s">
        <v>687</v>
      </c>
      <c r="I96" s="215" t="s">
        <v>688</v>
      </c>
      <c r="J96" s="199"/>
      <c r="K96" s="200"/>
      <c r="L96" s="201"/>
      <c r="M96" s="198"/>
      <c r="N96" s="201"/>
      <c r="O96" s="199"/>
    </row>
    <row r="97" spans="1:15" s="187" customFormat="1" x14ac:dyDescent="0.25">
      <c r="A97" s="204"/>
      <c r="B97" s="205" t="s">
        <v>638</v>
      </c>
      <c r="C97" s="238"/>
      <c r="D97" s="205"/>
      <c r="E97" s="206" t="s">
        <v>201</v>
      </c>
      <c r="F97" s="207"/>
      <c r="G97" s="208"/>
      <c r="H97" s="208"/>
      <c r="I97" s="208"/>
      <c r="J97" s="209"/>
      <c r="K97" s="210"/>
      <c r="L97" s="211"/>
      <c r="M97" s="208"/>
      <c r="N97" s="211"/>
      <c r="O97" s="209"/>
    </row>
    <row r="98" spans="1:15" s="173" customFormat="1" x14ac:dyDescent="0.25">
      <c r="A98" s="195"/>
      <c r="B98" s="196" t="s">
        <v>637</v>
      </c>
      <c r="C98" s="239"/>
      <c r="D98" s="212"/>
      <c r="E98" s="197" t="s">
        <v>201</v>
      </c>
      <c r="F98" s="213" t="s">
        <v>663</v>
      </c>
      <c r="G98" s="198"/>
      <c r="H98" s="198"/>
      <c r="I98" s="198"/>
      <c r="J98" s="199"/>
      <c r="K98" s="188" t="s">
        <v>574</v>
      </c>
      <c r="L98" s="201"/>
      <c r="M98" s="198"/>
      <c r="N98" s="201"/>
      <c r="O98" s="199"/>
    </row>
    <row r="99" spans="1:15" s="173" customFormat="1" x14ac:dyDescent="0.25">
      <c r="A99" s="217"/>
      <c r="B99" s="196" t="s">
        <v>643</v>
      </c>
      <c r="C99" s="237"/>
      <c r="D99" s="196"/>
      <c r="E99" s="197"/>
      <c r="F99" s="214" t="s">
        <v>70</v>
      </c>
      <c r="G99" s="221"/>
      <c r="H99" s="198"/>
      <c r="I99" s="198"/>
      <c r="J99" s="199"/>
      <c r="K99" s="200"/>
      <c r="L99" s="201"/>
      <c r="M99" s="198"/>
      <c r="N99" s="201"/>
      <c r="O99" s="199"/>
    </row>
    <row r="100" spans="1:15" ht="30" x14ac:dyDescent="0.25">
      <c r="A100" s="217"/>
      <c r="B100" s="202" t="s">
        <v>651</v>
      </c>
      <c r="C100" s="236" t="s">
        <v>681</v>
      </c>
      <c r="D100" s="5"/>
      <c r="E100" s="218" t="s">
        <v>201</v>
      </c>
      <c r="F100" s="200"/>
      <c r="G100" s="201"/>
      <c r="H100" s="215"/>
      <c r="I100" s="215"/>
      <c r="J100" s="222"/>
      <c r="K100" s="223" t="s">
        <v>574</v>
      </c>
      <c r="L100" s="215" t="s">
        <v>586</v>
      </c>
      <c r="M100" s="215"/>
      <c r="N100" s="215"/>
      <c r="O100" s="222"/>
    </row>
    <row r="101" spans="1:15" s="187" customFormat="1" x14ac:dyDescent="0.25">
      <c r="A101" s="204"/>
      <c r="B101" s="205" t="s">
        <v>638</v>
      </c>
      <c r="C101" s="238"/>
      <c r="D101" s="205"/>
      <c r="E101" s="206" t="s">
        <v>201</v>
      </c>
      <c r="F101" s="207"/>
      <c r="G101" s="208"/>
      <c r="H101" s="208"/>
      <c r="I101" s="208"/>
      <c r="J101" s="209"/>
      <c r="K101" s="210"/>
      <c r="L101" s="211"/>
      <c r="M101" s="208"/>
      <c r="N101" s="211"/>
      <c r="O101" s="209"/>
    </row>
    <row r="102" spans="1:15" s="136" customFormat="1" x14ac:dyDescent="0.25">
      <c r="A102" s="225"/>
      <c r="B102" s="226" t="s">
        <v>614</v>
      </c>
      <c r="C102" s="227" t="s">
        <v>126</v>
      </c>
      <c r="D102" s="228"/>
      <c r="E102" s="229"/>
      <c r="F102" s="230"/>
      <c r="G102" s="224"/>
      <c r="H102" s="224"/>
      <c r="I102" s="224"/>
      <c r="J102" s="231"/>
      <c r="K102" s="230" t="s">
        <v>613</v>
      </c>
      <c r="L102" s="224"/>
      <c r="M102" s="224"/>
      <c r="N102" s="224"/>
      <c r="O102" s="231"/>
    </row>
    <row r="103" spans="1:15" x14ac:dyDescent="0.25">
      <c r="A103" s="232"/>
      <c r="B103" s="233">
        <v>1043</v>
      </c>
      <c r="C103" s="234"/>
      <c r="D103" s="5"/>
      <c r="E103" s="197"/>
      <c r="F103" s="220"/>
      <c r="G103" s="215"/>
      <c r="H103" s="215"/>
      <c r="I103" s="215"/>
      <c r="J103" s="216"/>
      <c r="K103" s="220" t="s">
        <v>613</v>
      </c>
      <c r="L103" s="215"/>
      <c r="M103" s="215"/>
      <c r="N103" s="215"/>
      <c r="O103" s="216"/>
    </row>
    <row r="104" spans="1:15" s="136" customFormat="1" ht="15.75" thickBot="1" x14ac:dyDescent="0.3">
      <c r="A104" s="135"/>
      <c r="B104" s="156" t="s">
        <v>614</v>
      </c>
      <c r="C104" s="194" t="s">
        <v>126</v>
      </c>
      <c r="D104" s="157"/>
      <c r="E104" s="192"/>
      <c r="F104" s="176"/>
      <c r="G104" s="177"/>
      <c r="H104" s="177"/>
      <c r="I104" s="177"/>
      <c r="J104" s="178"/>
      <c r="K104" s="176" t="s">
        <v>620</v>
      </c>
      <c r="L104" s="177"/>
      <c r="M104" s="177"/>
      <c r="N104" s="177"/>
      <c r="O104" s="178"/>
    </row>
    <row r="106" spans="1:15" s="173" customFormat="1" hidden="1" outlineLevel="1" x14ac:dyDescent="0.25">
      <c r="A106" s="265">
        <v>41163.913182870368</v>
      </c>
      <c r="B106" s="266" t="s">
        <v>644</v>
      </c>
      <c r="C106" s="305" t="s">
        <v>619</v>
      </c>
      <c r="D106" s="5"/>
      <c r="E106" s="462"/>
      <c r="F106" s="304" t="str">
        <f>L106</f>
        <v>SFacc</v>
      </c>
      <c r="G106" s="221" t="s">
        <v>94</v>
      </c>
      <c r="H106" s="221" t="s">
        <v>92</v>
      </c>
      <c r="I106" s="221" t="s">
        <v>110</v>
      </c>
      <c r="J106" s="221" t="s">
        <v>70</v>
      </c>
      <c r="K106" s="200" t="str">
        <f>TOCmatch!B11</f>
        <v>Договоры</v>
      </c>
      <c r="L106" s="304" t="str">
        <f>TOCmatch!B17</f>
        <v>SFacc</v>
      </c>
      <c r="M106" s="215"/>
      <c r="N106" s="201"/>
      <c r="O106" s="199"/>
    </row>
    <row r="107" spans="1:15" s="173" customFormat="1" ht="45" hidden="1" outlineLevel="1" x14ac:dyDescent="0.25">
      <c r="A107" s="265">
        <v>41163.914687500001</v>
      </c>
      <c r="B107" s="266" t="s">
        <v>644</v>
      </c>
      <c r="C107" s="305" t="s">
        <v>664</v>
      </c>
      <c r="D107" s="5"/>
      <c r="E107" s="462"/>
      <c r="F107" s="304" t="str">
        <f>L107</f>
        <v>SFD</v>
      </c>
      <c r="G107" s="221" t="s">
        <v>94</v>
      </c>
      <c r="H107" s="221" t="s">
        <v>110</v>
      </c>
      <c r="I107" s="221" t="s">
        <v>128</v>
      </c>
      <c r="J107" s="221" t="s">
        <v>92</v>
      </c>
      <c r="K107" s="200" t="str">
        <f>K106</f>
        <v>Договоры</v>
      </c>
      <c r="L107" s="304" t="str">
        <f>TOCmatch!B15</f>
        <v>SFD</v>
      </c>
      <c r="M107" s="198"/>
      <c r="N107" s="201"/>
      <c r="O107" s="199"/>
    </row>
    <row r="108" spans="1:15" hidden="1" outlineLevel="1" x14ac:dyDescent="0.25">
      <c r="A108" s="195">
        <v>41162.93513888889</v>
      </c>
      <c r="B108" s="196" t="s">
        <v>652</v>
      </c>
      <c r="C108" s="235" t="s">
        <v>644</v>
      </c>
      <c r="D108" s="5"/>
      <c r="E108" s="218" t="s">
        <v>201</v>
      </c>
      <c r="F108" s="273"/>
      <c r="G108" s="201"/>
      <c r="H108" s="215"/>
      <c r="I108" s="215"/>
      <c r="J108" s="216"/>
      <c r="K108" s="200" t="str">
        <f>TOCmatch!B10</f>
        <v>Договоры</v>
      </c>
      <c r="L108" s="304" t="str">
        <f>TOCmatch!B15</f>
        <v>SFD</v>
      </c>
      <c r="M108" s="201"/>
      <c r="N108" s="215"/>
      <c r="O108" s="216"/>
    </row>
    <row r="109" spans="1:15" collapsed="1" x14ac:dyDescent="0.25">
      <c r="B109" s="145"/>
    </row>
    <row r="110" spans="1:15" x14ac:dyDescent="0.25">
      <c r="A110" s="145"/>
    </row>
    <row r="126" spans="6:6" x14ac:dyDescent="0.25">
      <c r="F126"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30" t="s">
        <v>359</v>
      </c>
      <c r="I39" s="631"/>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34"/>
  <sheetViews>
    <sheetView workbookViewId="0">
      <selection activeCell="A2" sqref="A2"/>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41183</v>
      </c>
      <c r="C1" s="58" t="s">
        <v>215</v>
      </c>
      <c r="D1" s="40">
        <v>34</v>
      </c>
    </row>
    <row r="2" spans="1:4" x14ac:dyDescent="0.25">
      <c r="A2" s="36">
        <v>41183</v>
      </c>
      <c r="B2" s="122">
        <v>0.92236111111111108</v>
      </c>
      <c r="C2" s="26" t="s">
        <v>909</v>
      </c>
    </row>
    <row r="3" spans="1:4" x14ac:dyDescent="0.25">
      <c r="A3" s="36">
        <v>41183</v>
      </c>
      <c r="B3" s="122">
        <v>0.92321759259259262</v>
      </c>
      <c r="C3" s="26" t="s">
        <v>910</v>
      </c>
    </row>
    <row r="4" spans="1:4" x14ac:dyDescent="0.25">
      <c r="A4" s="36">
        <v>41183</v>
      </c>
      <c r="B4" s="122">
        <v>0.94446759259259261</v>
      </c>
      <c r="C4" s="26" t="s">
        <v>911</v>
      </c>
    </row>
    <row r="5" spans="1:4" x14ac:dyDescent="0.25">
      <c r="A5" s="36">
        <v>41183</v>
      </c>
      <c r="B5" s="122">
        <v>0.96556712962962965</v>
      </c>
      <c r="C5" s="26" t="s">
        <v>912</v>
      </c>
    </row>
    <row r="6" spans="1:4" x14ac:dyDescent="0.25">
      <c r="A6" s="36">
        <v>41183</v>
      </c>
      <c r="B6" s="122">
        <v>0.96753472222222225</v>
      </c>
      <c r="C6" s="26" t="s">
        <v>913</v>
      </c>
    </row>
    <row r="7" spans="1:4" x14ac:dyDescent="0.25">
      <c r="A7" s="36">
        <v>41183</v>
      </c>
      <c r="B7" s="122">
        <v>0.96758101851851841</v>
      </c>
      <c r="C7" s="26" t="s">
        <v>914</v>
      </c>
    </row>
    <row r="8" spans="1:4" ht="45" x14ac:dyDescent="0.25">
      <c r="A8" s="36">
        <v>41183</v>
      </c>
      <c r="B8" s="122">
        <v>0.96843749999999995</v>
      </c>
      <c r="C8" s="620" t="s">
        <v>915</v>
      </c>
    </row>
    <row r="9" spans="1:4" x14ac:dyDescent="0.25">
      <c r="A9" s="36">
        <v>41183</v>
      </c>
      <c r="B9" s="122">
        <v>0.97667824074074072</v>
      </c>
      <c r="C9" s="26" t="s">
        <v>918</v>
      </c>
    </row>
    <row r="10" spans="1:4" x14ac:dyDescent="0.25">
      <c r="A10" s="36">
        <v>41183</v>
      </c>
      <c r="B10" s="122">
        <v>0.98006944444444455</v>
      </c>
      <c r="C10" s="26" t="s">
        <v>918</v>
      </c>
    </row>
    <row r="11" spans="1:4" x14ac:dyDescent="0.25">
      <c r="A11" s="36">
        <v>41183</v>
      </c>
      <c r="B11" s="122">
        <v>0.98155092592592597</v>
      </c>
      <c r="C11" s="26" t="s">
        <v>919</v>
      </c>
    </row>
    <row r="12" spans="1:4" x14ac:dyDescent="0.25">
      <c r="A12" s="36">
        <v>41183</v>
      </c>
      <c r="B12" s="122">
        <v>0.99591435185185195</v>
      </c>
      <c r="C12" s="26" t="s">
        <v>918</v>
      </c>
    </row>
    <row r="13" spans="1:4" x14ac:dyDescent="0.25">
      <c r="A13" s="36">
        <v>41184</v>
      </c>
      <c r="B13" s="122">
        <v>4.386574074074074E-3</v>
      </c>
      <c r="C13" s="26" t="s">
        <v>927</v>
      </c>
    </row>
    <row r="14" spans="1:4" x14ac:dyDescent="0.25">
      <c r="A14" s="36">
        <v>41184</v>
      </c>
      <c r="B14" s="122">
        <v>4.386574074074074E-3</v>
      </c>
      <c r="C14" s="26" t="s">
        <v>913</v>
      </c>
    </row>
    <row r="15" spans="1:4" x14ac:dyDescent="0.25">
      <c r="A15" s="36">
        <v>41184</v>
      </c>
      <c r="B15" s="122">
        <v>4.409722222222222E-3</v>
      </c>
      <c r="C15" s="26" t="s">
        <v>914</v>
      </c>
    </row>
    <row r="16" spans="1:4" x14ac:dyDescent="0.25">
      <c r="A16" s="36">
        <v>41184</v>
      </c>
      <c r="B16" s="122">
        <v>4.4791666666666669E-3</v>
      </c>
      <c r="C16" s="26" t="s">
        <v>918</v>
      </c>
    </row>
    <row r="17" spans="1:3" x14ac:dyDescent="0.25">
      <c r="A17" s="36">
        <v>41184</v>
      </c>
      <c r="B17" s="122">
        <v>8.3217592592592596E-3</v>
      </c>
      <c r="C17" s="26" t="s">
        <v>927</v>
      </c>
    </row>
    <row r="18" spans="1:3" x14ac:dyDescent="0.25">
      <c r="A18" s="36">
        <v>41184</v>
      </c>
      <c r="B18" s="122">
        <v>8.3217592592592596E-3</v>
      </c>
      <c r="C18" s="26" t="s">
        <v>913</v>
      </c>
    </row>
    <row r="19" spans="1:3" x14ac:dyDescent="0.25">
      <c r="A19" s="36">
        <v>41184</v>
      </c>
      <c r="B19" s="122">
        <v>8.3449074074074085E-3</v>
      </c>
      <c r="C19" s="26" t="s">
        <v>914</v>
      </c>
    </row>
    <row r="20" spans="1:3" x14ac:dyDescent="0.25">
      <c r="A20" s="36">
        <v>41184</v>
      </c>
      <c r="B20" s="122">
        <v>8.4027777777777781E-3</v>
      </c>
      <c r="C20" s="26" t="s">
        <v>918</v>
      </c>
    </row>
    <row r="21" spans="1:3" x14ac:dyDescent="0.25">
      <c r="A21" s="36">
        <v>41184</v>
      </c>
      <c r="B21" s="122">
        <v>8.7037037037037031E-3</v>
      </c>
      <c r="C21" s="26" t="s">
        <v>909</v>
      </c>
    </row>
    <row r="22" spans="1:3" x14ac:dyDescent="0.25">
      <c r="A22" s="36">
        <v>41184</v>
      </c>
      <c r="B22" s="122">
        <v>2.7986111111111111E-2</v>
      </c>
      <c r="C22" s="26" t="s">
        <v>928</v>
      </c>
    </row>
    <row r="23" spans="1:3" x14ac:dyDescent="0.25">
      <c r="A23" s="36">
        <v>41184</v>
      </c>
      <c r="B23" s="122">
        <v>4.6782407407407411E-2</v>
      </c>
      <c r="C23" s="26" t="s">
        <v>929</v>
      </c>
    </row>
    <row r="24" spans="1:3" x14ac:dyDescent="0.25">
      <c r="A24" s="36">
        <v>41184</v>
      </c>
      <c r="B24" s="122">
        <v>4.7384259259259258E-2</v>
      </c>
      <c r="C24" s="26" t="s">
        <v>928</v>
      </c>
    </row>
    <row r="25" spans="1:3" x14ac:dyDescent="0.25">
      <c r="A25" s="36">
        <v>41184</v>
      </c>
      <c r="B25" s="122">
        <v>4.7766203703703707E-2</v>
      </c>
      <c r="C25" s="26" t="s">
        <v>929</v>
      </c>
    </row>
    <row r="26" spans="1:3" x14ac:dyDescent="0.25">
      <c r="A26" s="36">
        <v>41184</v>
      </c>
      <c r="B26" s="122">
        <v>4.8032407407407406E-2</v>
      </c>
      <c r="C26" s="26" t="s">
        <v>928</v>
      </c>
    </row>
    <row r="27" spans="1:3" x14ac:dyDescent="0.25">
      <c r="A27" s="36">
        <v>41184</v>
      </c>
      <c r="B27" s="122">
        <v>4.853009259259259E-2</v>
      </c>
      <c r="C27" s="26" t="s">
        <v>929</v>
      </c>
    </row>
    <row r="28" spans="1:3" x14ac:dyDescent="0.25">
      <c r="A28" s="36">
        <v>41184</v>
      </c>
      <c r="B28" s="122">
        <v>4.87037037037037E-2</v>
      </c>
      <c r="C28" s="26" t="s">
        <v>928</v>
      </c>
    </row>
    <row r="29" spans="1:3" x14ac:dyDescent="0.25">
      <c r="A29" s="36">
        <v>41184</v>
      </c>
      <c r="B29" s="122">
        <v>5.0532407407407408E-2</v>
      </c>
      <c r="C29" s="26" t="s">
        <v>928</v>
      </c>
    </row>
    <row r="30" spans="1:3" x14ac:dyDescent="0.25">
      <c r="A30" s="36">
        <v>41184</v>
      </c>
      <c r="B30" s="122">
        <v>5.5543981481481486E-2</v>
      </c>
      <c r="C30" s="26" t="s">
        <v>928</v>
      </c>
    </row>
    <row r="31" spans="1:3" x14ac:dyDescent="0.25">
      <c r="A31" s="36">
        <v>41184</v>
      </c>
      <c r="B31" s="122">
        <v>6.1550925925925926E-2</v>
      </c>
      <c r="C31" s="26" t="s">
        <v>928</v>
      </c>
    </row>
    <row r="32" spans="1:3" x14ac:dyDescent="0.25">
      <c r="A32" s="36">
        <v>41184</v>
      </c>
      <c r="B32" s="122">
        <v>7.0902777777777773E-2</v>
      </c>
      <c r="C32" s="26" t="s">
        <v>931</v>
      </c>
    </row>
    <row r="33" spans="1:3" x14ac:dyDescent="0.25">
      <c r="A33" s="36">
        <v>41184</v>
      </c>
      <c r="B33" s="122">
        <v>7.1261574074074074E-2</v>
      </c>
      <c r="C33" s="26" t="s">
        <v>928</v>
      </c>
    </row>
    <row r="34" spans="1:3" x14ac:dyDescent="0.25">
      <c r="A34" s="36">
        <v>41184</v>
      </c>
      <c r="B34" s="122">
        <v>8.1122685185185187E-2</v>
      </c>
      <c r="C34" s="26" t="s">
        <v>928</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abSelected="1" topLeftCell="C49" workbookViewId="0">
      <selection activeCell="F84" sqref="F84"/>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0" customWidth="1"/>
    <col min="15" max="15" width="12.85546875" customWidth="1"/>
    <col min="16" max="17" width="10.28515625" customWidth="1"/>
    <col min="19" max="19" width="10.85546875" customWidth="1"/>
    <col min="20" max="20" width="11.140625" customWidth="1"/>
  </cols>
  <sheetData>
    <row r="1" spans="1:30" s="322" customFormat="1" ht="15.75" thickBot="1" x14ac:dyDescent="0.3">
      <c r="A1" s="434">
        <v>41178</v>
      </c>
    </row>
    <row r="2" spans="1:30" s="322" customFormat="1" ht="19.5" x14ac:dyDescent="0.3">
      <c r="C2" s="323" t="s">
        <v>714</v>
      </c>
    </row>
    <row r="3" spans="1:30" s="322" customFormat="1" x14ac:dyDescent="0.25"/>
    <row r="4" spans="1:30" s="322" customFormat="1" ht="15.75" thickBot="1" x14ac:dyDescent="0.3">
      <c r="A4" s="322" t="s">
        <v>795</v>
      </c>
    </row>
    <row r="5" spans="1:30" s="322" customFormat="1" ht="34.5" thickBot="1" x14ac:dyDescent="0.3">
      <c r="A5" s="255" t="s">
        <v>802</v>
      </c>
      <c r="B5" s="324" t="s">
        <v>715</v>
      </c>
      <c r="C5" s="325" t="s">
        <v>581</v>
      </c>
      <c r="D5" s="325" t="s">
        <v>716</v>
      </c>
      <c r="E5" s="325" t="s">
        <v>592</v>
      </c>
      <c r="F5" s="326"/>
      <c r="G5" s="327" t="s">
        <v>68</v>
      </c>
      <c r="H5" s="328" t="s">
        <v>67</v>
      </c>
      <c r="I5" s="327" t="s">
        <v>66</v>
      </c>
      <c r="J5" s="329" t="s">
        <v>65</v>
      </c>
      <c r="K5" s="330" t="s">
        <v>717</v>
      </c>
      <c r="L5" s="330" t="s">
        <v>718</v>
      </c>
      <c r="M5" s="330" t="s">
        <v>719</v>
      </c>
      <c r="N5" s="331" t="s">
        <v>720</v>
      </c>
      <c r="O5" s="331" t="s">
        <v>721</v>
      </c>
      <c r="P5" s="331" t="s">
        <v>722</v>
      </c>
      <c r="Q5" s="331" t="s">
        <v>723</v>
      </c>
      <c r="R5" s="331" t="s">
        <v>724</v>
      </c>
      <c r="S5" s="330" t="s">
        <v>0</v>
      </c>
      <c r="T5" s="329" t="s">
        <v>2</v>
      </c>
      <c r="U5" s="329" t="s">
        <v>725</v>
      </c>
      <c r="V5" s="329" t="s">
        <v>726</v>
      </c>
      <c r="W5" s="329" t="s">
        <v>1</v>
      </c>
      <c r="X5" s="329" t="s">
        <v>727</v>
      </c>
      <c r="Y5" s="329" t="s">
        <v>728</v>
      </c>
      <c r="Z5" s="327" t="s">
        <v>62</v>
      </c>
      <c r="AA5" s="329" t="s">
        <v>64</v>
      </c>
      <c r="AB5" s="330" t="s">
        <v>61</v>
      </c>
      <c r="AC5" s="329" t="s">
        <v>63</v>
      </c>
      <c r="AD5" s="329" t="s">
        <v>57</v>
      </c>
    </row>
    <row r="6" spans="1:30" s="322" customFormat="1" x14ac:dyDescent="0.25">
      <c r="A6" s="256" t="s">
        <v>803</v>
      </c>
      <c r="B6" s="332" t="s">
        <v>201</v>
      </c>
      <c r="C6" s="333" t="str">
        <f>IF(D6="","",1)</f>
        <v/>
      </c>
      <c r="D6" s="543"/>
      <c r="E6" s="543"/>
      <c r="F6" s="334" t="str">
        <f>TRIM(G6)&amp;TRIM(J6)&amp;ROUND(S6/1000,0)</f>
        <v>0</v>
      </c>
    </row>
    <row r="7" spans="1:30" s="322" customFormat="1" x14ac:dyDescent="0.25">
      <c r="A7" s="255" t="s">
        <v>804</v>
      </c>
      <c r="B7" s="335">
        <v>0.5</v>
      </c>
      <c r="C7" s="335">
        <v>1.2</v>
      </c>
      <c r="D7" s="335">
        <v>0.5</v>
      </c>
      <c r="E7" s="335">
        <v>0.5</v>
      </c>
      <c r="F7" s="336">
        <v>0.3</v>
      </c>
      <c r="G7" s="337">
        <v>12.5</v>
      </c>
      <c r="H7" s="337">
        <v>8</v>
      </c>
      <c r="I7" s="337">
        <v>12.8</v>
      </c>
      <c r="J7" s="337">
        <v>20</v>
      </c>
      <c r="K7" s="337">
        <v>0</v>
      </c>
      <c r="L7" s="337">
        <v>0</v>
      </c>
      <c r="M7" s="337">
        <v>0</v>
      </c>
      <c r="N7" s="337">
        <v>0</v>
      </c>
      <c r="O7" s="337">
        <v>0</v>
      </c>
      <c r="P7" s="337">
        <v>0</v>
      </c>
      <c r="Q7" s="337">
        <v>0</v>
      </c>
      <c r="R7" s="337">
        <v>0</v>
      </c>
      <c r="S7" s="337">
        <v>10</v>
      </c>
      <c r="T7" s="337">
        <v>40</v>
      </c>
      <c r="U7" s="337">
        <v>0</v>
      </c>
      <c r="V7" s="337">
        <v>0</v>
      </c>
      <c r="W7" s="337">
        <v>10</v>
      </c>
      <c r="X7" s="337">
        <v>0</v>
      </c>
      <c r="Y7" s="337">
        <v>0</v>
      </c>
      <c r="Z7" s="337">
        <v>8</v>
      </c>
      <c r="AA7" s="337">
        <v>8</v>
      </c>
      <c r="AB7" s="337">
        <v>10</v>
      </c>
      <c r="AC7" s="337">
        <v>5</v>
      </c>
      <c r="AD7" s="337">
        <v>15</v>
      </c>
    </row>
    <row r="8" spans="1:30" s="322" customFormat="1" x14ac:dyDescent="0.25">
      <c r="A8" s="255" t="s">
        <v>805</v>
      </c>
      <c r="B8" s="335">
        <v>9</v>
      </c>
      <c r="C8" s="335"/>
      <c r="D8" s="335">
        <v>5</v>
      </c>
      <c r="E8" s="335">
        <v>3</v>
      </c>
      <c r="F8" s="336">
        <v>-1</v>
      </c>
      <c r="G8" s="335"/>
      <c r="H8" s="335"/>
      <c r="K8" s="335"/>
      <c r="L8" s="337"/>
      <c r="M8" s="337"/>
      <c r="N8" s="337"/>
      <c r="O8" s="337"/>
      <c r="P8" s="337"/>
      <c r="Q8" s="337"/>
      <c r="R8" s="337"/>
      <c r="S8" s="337"/>
      <c r="T8" s="337"/>
      <c r="U8" s="372"/>
      <c r="V8" s="337"/>
      <c r="W8" s="337"/>
      <c r="X8" s="337"/>
      <c r="Y8" s="337"/>
      <c r="Z8" s="337"/>
      <c r="AA8" s="337"/>
    </row>
    <row r="9" spans="1:30" s="322" customFormat="1" x14ac:dyDescent="0.25">
      <c r="A9" s="255" t="s">
        <v>806</v>
      </c>
      <c r="B9" s="335"/>
      <c r="C9" s="335"/>
      <c r="D9" s="335"/>
      <c r="E9" s="335"/>
      <c r="F9" s="336"/>
      <c r="G9" s="335"/>
      <c r="H9" s="335"/>
      <c r="K9" s="335"/>
      <c r="L9" s="337"/>
      <c r="M9" s="337"/>
      <c r="N9" s="337"/>
      <c r="O9" s="337"/>
      <c r="P9" s="337"/>
      <c r="Q9" s="337"/>
      <c r="R9" s="337"/>
      <c r="S9" s="337"/>
      <c r="T9" s="337"/>
      <c r="U9" s="372"/>
      <c r="V9" s="337"/>
      <c r="W9" s="337"/>
      <c r="X9" s="337"/>
      <c r="Y9" s="337"/>
      <c r="Z9" s="337"/>
      <c r="AA9" s="337"/>
    </row>
    <row r="10" spans="1:30" s="322" customFormat="1" x14ac:dyDescent="0.25">
      <c r="A10" s="255" t="s">
        <v>807</v>
      </c>
      <c r="B10" s="500" t="s">
        <v>798</v>
      </c>
      <c r="C10" s="500"/>
      <c r="D10" s="500" t="s">
        <v>839</v>
      </c>
      <c r="E10" s="500" t="s">
        <v>840</v>
      </c>
      <c r="F10" s="336"/>
      <c r="G10" s="335"/>
      <c r="H10" s="335"/>
      <c r="K10" s="335"/>
      <c r="L10" s="337"/>
      <c r="M10" s="337"/>
      <c r="N10" s="337"/>
      <c r="O10" s="337"/>
      <c r="P10" s="337"/>
      <c r="Q10" s="337"/>
      <c r="R10" s="337"/>
      <c r="S10" s="337"/>
      <c r="T10" s="337"/>
      <c r="U10" s="372"/>
      <c r="V10" s="337"/>
      <c r="W10" s="337"/>
      <c r="X10" s="337"/>
      <c r="Y10" s="337"/>
      <c r="Z10" s="337"/>
      <c r="AA10" s="337"/>
    </row>
    <row r="11" spans="1:30" s="322" customFormat="1" x14ac:dyDescent="0.25"/>
    <row r="12" spans="1:30" s="322" customFormat="1" x14ac:dyDescent="0.25">
      <c r="A12" s="322" t="s">
        <v>794</v>
      </c>
    </row>
    <row r="13" spans="1:30" s="322" customFormat="1" ht="15.75" thickBot="1" x14ac:dyDescent="0.3">
      <c r="B13" s="322" t="s">
        <v>729</v>
      </c>
      <c r="C13" s="322" t="s">
        <v>730</v>
      </c>
      <c r="D13" s="322" t="s">
        <v>730</v>
      </c>
      <c r="E13" s="322" t="s">
        <v>730</v>
      </c>
      <c r="F13" s="322" t="s">
        <v>730</v>
      </c>
      <c r="H13" s="322" t="s">
        <v>730</v>
      </c>
      <c r="I13" s="322" t="s">
        <v>730</v>
      </c>
      <c r="J13" s="322" t="s">
        <v>730</v>
      </c>
      <c r="K13" s="322" t="s">
        <v>730</v>
      </c>
      <c r="R13" s="338" t="s">
        <v>729</v>
      </c>
    </row>
    <row r="14" spans="1:30" s="322" customFormat="1" ht="15.75" thickBot="1" x14ac:dyDescent="0.3">
      <c r="A14" s="632">
        <f>1 - COUNTIF(A$3:A12,"")/COUNTA(A$3:A12)</f>
        <v>0.75</v>
      </c>
      <c r="B14" s="633"/>
      <c r="C14" s="633"/>
      <c r="D14" s="634"/>
      <c r="E14" s="339"/>
      <c r="F14" s="340">
        <f>SUMIF(B$1:B7,"",R$1:R7)</f>
        <v>0</v>
      </c>
      <c r="G14" s="341" t="e">
        <f>F14/R14</f>
        <v>#DIV/0!</v>
      </c>
      <c r="H14" s="342" t="e">
        <f>1-G14</f>
        <v>#DIV/0!</v>
      </c>
      <c r="I14" s="343" t="s">
        <v>731</v>
      </c>
      <c r="J14" s="344"/>
      <c r="K14" s="345"/>
      <c r="L14" s="346"/>
      <c r="M14" s="346"/>
      <c r="N14" s="346"/>
      <c r="O14" s="346"/>
      <c r="P14" s="346"/>
      <c r="Q14" s="346"/>
      <c r="R14" s="340">
        <f>SUM(R$3:R12)</f>
        <v>0</v>
      </c>
    </row>
    <row r="15" spans="1:30" s="322" customFormat="1" x14ac:dyDescent="0.25"/>
    <row r="16" spans="1:30" s="322" customFormat="1" ht="15.75" thickBot="1" x14ac:dyDescent="0.3">
      <c r="A16" s="322" t="s">
        <v>796</v>
      </c>
    </row>
    <row r="17" spans="1:27" s="358" customFormat="1" ht="60" thickBot="1" x14ac:dyDescent="0.3">
      <c r="A17" s="255" t="s">
        <v>802</v>
      </c>
      <c r="B17" s="347" t="s">
        <v>732</v>
      </c>
      <c r="C17" s="348" t="s">
        <v>733</v>
      </c>
      <c r="D17" s="348" t="s">
        <v>734</v>
      </c>
      <c r="E17" s="349" t="s">
        <v>735</v>
      </c>
      <c r="F17" s="350" t="s">
        <v>736</v>
      </c>
      <c r="G17" s="351" t="s">
        <v>737</v>
      </c>
      <c r="H17" s="352" t="s">
        <v>738</v>
      </c>
      <c r="I17" s="353"/>
      <c r="J17" s="354"/>
      <c r="K17" s="355" t="s">
        <v>607</v>
      </c>
      <c r="L17" s="355"/>
      <c r="M17" s="356" t="s">
        <v>608</v>
      </c>
      <c r="N17" s="354" t="s">
        <v>725</v>
      </c>
      <c r="O17" s="354" t="s">
        <v>1</v>
      </c>
      <c r="P17" s="354" t="s">
        <v>58</v>
      </c>
      <c r="Q17" s="354" t="s">
        <v>739</v>
      </c>
      <c r="R17" s="354" t="s">
        <v>740</v>
      </c>
      <c r="S17" s="354" t="s">
        <v>741</v>
      </c>
      <c r="T17" s="355" t="s">
        <v>742</v>
      </c>
      <c r="U17" s="357" t="s">
        <v>743</v>
      </c>
      <c r="V17" s="357" t="s">
        <v>744</v>
      </c>
      <c r="W17" s="357" t="s">
        <v>745</v>
      </c>
      <c r="X17" s="354" t="s">
        <v>746</v>
      </c>
      <c r="Y17" s="354" t="s">
        <v>747</v>
      </c>
      <c r="Z17" s="354" t="s">
        <v>57</v>
      </c>
      <c r="AA17" s="354" t="s">
        <v>748</v>
      </c>
    </row>
    <row r="18" spans="1:27" s="322" customFormat="1" ht="18" customHeight="1" x14ac:dyDescent="0.25">
      <c r="A18" s="256" t="s">
        <v>803</v>
      </c>
      <c r="B18" s="359" t="s">
        <v>70</v>
      </c>
      <c r="C18" s="360" t="s">
        <v>759</v>
      </c>
      <c r="D18" s="361"/>
      <c r="E18" s="362">
        <v>1</v>
      </c>
      <c r="F18" s="363" t="str">
        <f>IF(AND(U18=W18,W18&gt;0),"1","")</f>
        <v/>
      </c>
      <c r="G18" s="364" t="str">
        <f>IF(U18=V18,"1","")</f>
        <v/>
      </c>
      <c r="H18" s="365"/>
      <c r="I18" s="366" t="str">
        <f>IF(S18="",TRIM(K18),TRIM(MID(S18,9,55))&amp;"/"&amp;TRIM(K18))</f>
        <v>2009-1-065</v>
      </c>
      <c r="J18" s="367"/>
      <c r="K18" s="368" t="s">
        <v>749</v>
      </c>
      <c r="L18" s="368"/>
      <c r="M18" s="369">
        <v>40058</v>
      </c>
      <c r="N18" s="367" t="s">
        <v>11</v>
      </c>
      <c r="O18" s="367" t="s">
        <v>80</v>
      </c>
      <c r="P18" s="367" t="s">
        <v>750</v>
      </c>
      <c r="Q18" s="367"/>
      <c r="R18" s="367" t="s">
        <v>751</v>
      </c>
      <c r="S18" s="367"/>
      <c r="T18" s="368" t="s">
        <v>100</v>
      </c>
      <c r="U18" s="370">
        <v>324000</v>
      </c>
      <c r="V18" s="370">
        <v>0</v>
      </c>
      <c r="W18" s="370">
        <v>0</v>
      </c>
      <c r="X18" s="367" t="s">
        <v>45</v>
      </c>
      <c r="Y18" s="371"/>
      <c r="Z18" s="371" t="s">
        <v>752</v>
      </c>
      <c r="AA18" s="367" t="s">
        <v>753</v>
      </c>
    </row>
    <row r="19" spans="1:27" s="322" customFormat="1" x14ac:dyDescent="0.25">
      <c r="A19" s="255" t="s">
        <v>804</v>
      </c>
      <c r="B19" s="335">
        <v>0.5</v>
      </c>
      <c r="C19" s="335">
        <v>8</v>
      </c>
      <c r="D19" s="322">
        <v>6</v>
      </c>
      <c r="E19" s="335">
        <v>5</v>
      </c>
      <c r="F19" s="336">
        <v>2</v>
      </c>
      <c r="G19" s="335">
        <v>2</v>
      </c>
      <c r="H19" s="335">
        <v>2</v>
      </c>
      <c r="I19" s="322">
        <v>0.5</v>
      </c>
      <c r="J19" s="322">
        <v>0.5</v>
      </c>
      <c r="K19" s="335">
        <v>10</v>
      </c>
      <c r="L19" s="337">
        <v>0.7</v>
      </c>
      <c r="M19" s="337">
        <v>10</v>
      </c>
      <c r="N19" s="337">
        <v>7</v>
      </c>
      <c r="O19" s="337">
        <v>10</v>
      </c>
      <c r="P19" s="337">
        <v>20</v>
      </c>
      <c r="Q19" s="337">
        <v>12</v>
      </c>
      <c r="R19" s="337">
        <v>12</v>
      </c>
      <c r="S19" s="337">
        <v>10</v>
      </c>
      <c r="T19" s="337">
        <v>8</v>
      </c>
      <c r="U19" s="372">
        <v>12</v>
      </c>
      <c r="V19" s="337">
        <v>11</v>
      </c>
      <c r="W19" s="337">
        <v>11</v>
      </c>
      <c r="X19" s="337">
        <v>10</v>
      </c>
      <c r="Y19" s="337">
        <v>12</v>
      </c>
      <c r="Z19" s="337">
        <v>20</v>
      </c>
      <c r="AA19" s="337">
        <v>10</v>
      </c>
    </row>
    <row r="20" spans="1:27" s="322" customFormat="1" x14ac:dyDescent="0.25">
      <c r="A20" s="255" t="s">
        <v>805</v>
      </c>
      <c r="B20" s="335">
        <v>15</v>
      </c>
      <c r="C20" s="335">
        <v>8</v>
      </c>
      <c r="D20" s="322">
        <v>8</v>
      </c>
      <c r="E20" s="335"/>
      <c r="F20" s="336"/>
      <c r="G20" s="335"/>
      <c r="H20" s="335">
        <v>8</v>
      </c>
      <c r="K20" s="335"/>
      <c r="L20" s="337"/>
      <c r="M20" s="337"/>
      <c r="N20" s="337"/>
      <c r="O20" s="337"/>
      <c r="P20" s="337"/>
      <c r="Q20" s="337"/>
      <c r="R20" s="337"/>
      <c r="S20" s="337"/>
      <c r="T20" s="337"/>
      <c r="U20" s="372"/>
      <c r="V20" s="337"/>
      <c r="W20" s="337"/>
      <c r="X20" s="337"/>
      <c r="Y20" s="337"/>
      <c r="Z20" s="337"/>
      <c r="AA20" s="337"/>
    </row>
    <row r="21" spans="1:27" s="322" customFormat="1" x14ac:dyDescent="0.25">
      <c r="A21" s="255" t="s">
        <v>806</v>
      </c>
      <c r="B21" s="335"/>
      <c r="C21" s="335"/>
      <c r="E21" s="335"/>
      <c r="F21" s="336"/>
      <c r="G21" s="335"/>
      <c r="H21" s="335"/>
      <c r="K21" s="335"/>
      <c r="L21" s="337"/>
      <c r="M21" s="337"/>
      <c r="N21" s="337"/>
      <c r="O21" s="337"/>
      <c r="P21" s="337"/>
      <c r="Q21" s="337"/>
      <c r="R21" s="337"/>
      <c r="S21" s="337"/>
      <c r="T21" s="337"/>
      <c r="U21" s="372"/>
      <c r="V21" s="337"/>
      <c r="W21" s="337"/>
      <c r="X21" s="337"/>
      <c r="Y21" s="337"/>
      <c r="Z21" s="337"/>
      <c r="AA21" s="337"/>
    </row>
    <row r="22" spans="1:27" s="322" customFormat="1" x14ac:dyDescent="0.25">
      <c r="A22" s="255" t="s">
        <v>807</v>
      </c>
      <c r="B22" s="335" t="s">
        <v>798</v>
      </c>
      <c r="C22" s="335" t="s">
        <v>810</v>
      </c>
      <c r="D22" s="322" t="s">
        <v>808</v>
      </c>
      <c r="E22" s="335"/>
      <c r="F22" s="336"/>
      <c r="G22" s="335"/>
      <c r="H22" s="335" t="s">
        <v>809</v>
      </c>
      <c r="K22" s="335"/>
      <c r="L22" s="337"/>
      <c r="M22" s="337"/>
      <c r="N22" s="337"/>
      <c r="O22" s="337"/>
      <c r="P22" s="337"/>
      <c r="Q22" s="337"/>
      <c r="R22" s="337"/>
      <c r="S22" s="337"/>
      <c r="T22" s="337"/>
      <c r="U22" s="372"/>
      <c r="V22" s="337"/>
      <c r="W22" s="337"/>
      <c r="X22" s="337"/>
      <c r="Y22" s="337"/>
      <c r="Z22" s="337"/>
      <c r="AA22" s="337"/>
    </row>
    <row r="23" spans="1:27" s="322" customFormat="1" x14ac:dyDescent="0.25">
      <c r="A23" s="335"/>
      <c r="B23" s="335"/>
      <c r="D23" s="335"/>
      <c r="E23" s="336"/>
      <c r="F23" s="337"/>
      <c r="G23" s="337"/>
      <c r="H23" s="337"/>
      <c r="I23" s="337"/>
      <c r="J23" s="337"/>
      <c r="K23" s="337"/>
      <c r="L23" s="337"/>
      <c r="M23" s="337"/>
      <c r="N23" s="337"/>
      <c r="O23" s="337"/>
      <c r="P23" s="337"/>
      <c r="Q23" s="337"/>
      <c r="R23" s="337"/>
      <c r="S23" s="337"/>
      <c r="T23" s="337"/>
      <c r="U23" s="337"/>
      <c r="V23" s="337"/>
      <c r="W23" s="337"/>
      <c r="X23" s="337"/>
      <c r="Y23" s="337"/>
      <c r="Z23" s="337"/>
    </row>
    <row r="24" spans="1:27" s="322" customFormat="1" x14ac:dyDescent="0.25">
      <c r="A24" s="322" t="s">
        <v>797</v>
      </c>
    </row>
    <row r="25" spans="1:27" s="387" customFormat="1" ht="15" customHeight="1" thickBot="1" x14ac:dyDescent="0.3">
      <c r="A25" s="373"/>
      <c r="B25" s="374"/>
      <c r="C25" s="375"/>
      <c r="D25" s="375"/>
      <c r="E25" s="376"/>
      <c r="F25" s="377"/>
      <c r="G25" s="378"/>
      <c r="H25" s="378"/>
      <c r="I25" s="379"/>
      <c r="J25" s="380"/>
      <c r="K25" s="380"/>
      <c r="L25" s="381"/>
      <c r="M25" s="379"/>
      <c r="N25" s="382"/>
      <c r="O25" s="382"/>
      <c r="P25" s="383"/>
      <c r="Q25" s="383"/>
      <c r="R25" s="383"/>
      <c r="S25" s="384"/>
      <c r="T25" s="385"/>
      <c r="U25" s="385"/>
      <c r="V25" s="385"/>
      <c r="W25" s="383"/>
      <c r="X25" s="386"/>
      <c r="Y25" s="386"/>
      <c r="Z25" s="383"/>
    </row>
    <row r="26" spans="1:27" s="387" customFormat="1" ht="15" customHeight="1" x14ac:dyDescent="0.25">
      <c r="A26" s="373"/>
      <c r="B26" s="388" t="s">
        <v>754</v>
      </c>
      <c r="C26" s="439">
        <f>COUNTIF(B$1:B23,B26)</f>
        <v>0</v>
      </c>
      <c r="D26" s="447" t="e">
        <f>C26/C31</f>
        <v>#DIV/0!</v>
      </c>
      <c r="E26" s="389"/>
      <c r="F26" s="377"/>
      <c r="G26" s="378"/>
      <c r="H26" s="378"/>
      <c r="I26" s="390"/>
      <c r="J26" s="440">
        <f>SUMIF(B$3:B23,B26,T$3:T30)</f>
        <v>0</v>
      </c>
      <c r="K26" s="451"/>
      <c r="L26" s="452" t="e">
        <f>J26/J31</f>
        <v>#DIV/0!</v>
      </c>
      <c r="M26" s="382"/>
      <c r="N26" s="382"/>
      <c r="O26" s="382"/>
      <c r="P26" s="383"/>
      <c r="Q26" s="383"/>
      <c r="R26" s="383"/>
      <c r="S26" s="384" t="s">
        <v>731</v>
      </c>
      <c r="T26" s="392">
        <f>SUM(T$1:T25)</f>
        <v>48</v>
      </c>
      <c r="U26" s="392">
        <f>SUM(U$1:U25)</f>
        <v>324012</v>
      </c>
      <c r="V26" s="392">
        <f>SUM(V$1:V25)</f>
        <v>11</v>
      </c>
      <c r="W26" s="383" t="s">
        <v>755</v>
      </c>
      <c r="X26" s="386"/>
      <c r="Y26" s="386"/>
      <c r="Z26" s="383"/>
    </row>
    <row r="27" spans="1:27" s="387" customFormat="1" ht="15" customHeight="1" x14ac:dyDescent="0.25">
      <c r="A27" s="373"/>
      <c r="B27" s="393" t="s">
        <v>756</v>
      </c>
      <c r="C27" s="441">
        <f>COUNTIF(B$1:B23,B27)</f>
        <v>0</v>
      </c>
      <c r="D27" s="448" t="e">
        <f>C27/C31</f>
        <v>#DIV/0!</v>
      </c>
      <c r="E27" s="389"/>
      <c r="F27" s="377"/>
      <c r="G27" s="378"/>
      <c r="H27" s="378"/>
      <c r="I27" s="390"/>
      <c r="J27" s="442">
        <f>SUMIF(B$3:B26,B27,T$3:T31)</f>
        <v>0</v>
      </c>
      <c r="K27" s="453"/>
      <c r="L27" s="454" t="e">
        <f>J27/J31</f>
        <v>#DIV/0!</v>
      </c>
      <c r="M27" s="382"/>
      <c r="N27" s="382"/>
      <c r="O27" s="382"/>
      <c r="S27" s="394"/>
      <c r="T27" s="395"/>
      <c r="U27" s="395"/>
      <c r="V27" s="395"/>
      <c r="X27" s="396"/>
      <c r="Y27" s="396"/>
    </row>
    <row r="28" spans="1:27" s="387" customFormat="1" ht="15" customHeight="1" x14ac:dyDescent="0.25">
      <c r="A28" s="373"/>
      <c r="B28" s="397" t="s">
        <v>757</v>
      </c>
      <c r="C28" s="443">
        <f>COUNTIF(B$1:B23,B28)</f>
        <v>0</v>
      </c>
      <c r="D28" s="449" t="e">
        <f>C28/C31</f>
        <v>#DIV/0!</v>
      </c>
      <c r="E28" s="389"/>
      <c r="F28" s="377"/>
      <c r="G28" s="378"/>
      <c r="H28" s="378"/>
      <c r="I28" s="390"/>
      <c r="J28" s="444">
        <f>SUMIF(B$3:B27,B28,T$3:T31)</f>
        <v>0</v>
      </c>
      <c r="K28" s="455"/>
      <c r="L28" s="456" t="e">
        <f>J28/J31</f>
        <v>#DIV/0!</v>
      </c>
      <c r="M28" s="379"/>
      <c r="N28" s="382"/>
      <c r="O28" s="382"/>
      <c r="S28" s="394"/>
      <c r="T28" s="395"/>
      <c r="U28" s="395"/>
      <c r="V28" s="395"/>
      <c r="X28" s="396"/>
      <c r="Y28" s="396"/>
    </row>
    <row r="29" spans="1:27" s="387" customFormat="1" ht="15" customHeight="1" thickBot="1" x14ac:dyDescent="0.3">
      <c r="A29" s="373"/>
      <c r="B29" s="398" t="s">
        <v>758</v>
      </c>
      <c r="C29" s="445">
        <f>COUNTIF(B$1:B26,B29)</f>
        <v>0</v>
      </c>
      <c r="D29" s="450" t="e">
        <f>C29/C31</f>
        <v>#DIV/0!</v>
      </c>
      <c r="E29" s="389"/>
      <c r="F29" s="377"/>
      <c r="G29" s="378"/>
      <c r="H29" s="378"/>
      <c r="I29" s="390"/>
      <c r="J29" s="446">
        <f>SUMIF(B$3:B28,B29,T$3:T31)</f>
        <v>0</v>
      </c>
      <c r="K29" s="457"/>
      <c r="L29" s="458" t="e">
        <f>J29/J31</f>
        <v>#DIV/0!</v>
      </c>
      <c r="M29" s="379"/>
      <c r="N29" s="382"/>
      <c r="O29" s="382"/>
      <c r="S29" s="394"/>
      <c r="T29" s="395"/>
      <c r="U29" s="395"/>
      <c r="V29" s="395"/>
      <c r="X29" s="396"/>
      <c r="Y29" s="396"/>
    </row>
    <row r="30" spans="1:27" s="387" customFormat="1" ht="15" customHeight="1" thickTop="1" thickBot="1" x14ac:dyDescent="0.3">
      <c r="A30" s="399"/>
      <c r="B30" s="400" t="s">
        <v>759</v>
      </c>
      <c r="C30" s="401">
        <f>COUNTIF(B$1:B23,B30)</f>
        <v>0</v>
      </c>
      <c r="D30" s="402" t="e">
        <f>C30/C31</f>
        <v>#DIV/0!</v>
      </c>
      <c r="E30" s="403"/>
      <c r="F30" s="404"/>
      <c r="G30" s="405"/>
      <c r="H30" s="405"/>
      <c r="I30" s="406"/>
      <c r="J30" s="459">
        <f>SUMIF(B$3:B29,B30,T$3:T31)</f>
        <v>0</v>
      </c>
      <c r="K30" s="460"/>
      <c r="L30" s="461" t="e">
        <f>J30/J31</f>
        <v>#DIV/0!</v>
      </c>
      <c r="M30" s="407"/>
      <c r="N30" s="407"/>
      <c r="O30" s="407"/>
      <c r="S30" s="394"/>
      <c r="T30" s="395"/>
      <c r="U30" s="395"/>
      <c r="V30" s="395"/>
      <c r="X30" s="396"/>
      <c r="Y30" s="396"/>
    </row>
    <row r="31" spans="1:27" s="387" customFormat="1" ht="15" customHeight="1" x14ac:dyDescent="0.25">
      <c r="A31" s="373"/>
      <c r="B31" s="408"/>
      <c r="C31" s="409">
        <f>SUM(C26:C30)</f>
        <v>0</v>
      </c>
      <c r="D31" s="375"/>
      <c r="E31" s="389"/>
      <c r="F31" s="377"/>
      <c r="G31" s="378"/>
      <c r="H31" s="378"/>
      <c r="I31" s="390"/>
      <c r="J31" s="410">
        <f>SUM(J26:J30)</f>
        <v>0</v>
      </c>
      <c r="K31" s="391"/>
      <c r="L31" s="411"/>
      <c r="M31" s="379"/>
      <c r="N31" s="382"/>
      <c r="O31" s="382"/>
      <c r="S31" s="394"/>
      <c r="T31" s="395"/>
      <c r="U31" s="395"/>
      <c r="V31" s="395"/>
      <c r="X31" s="396"/>
      <c r="Y31" s="396"/>
    </row>
    <row r="32" spans="1:27" s="322" customFormat="1" x14ac:dyDescent="0.25">
      <c r="A32" s="335"/>
      <c r="B32" s="335"/>
      <c r="D32" s="335"/>
      <c r="E32" s="336"/>
      <c r="F32" s="337"/>
      <c r="G32" s="337"/>
      <c r="H32" s="337"/>
      <c r="I32" s="337"/>
      <c r="J32" s="337"/>
      <c r="K32" s="337"/>
      <c r="L32" s="337"/>
      <c r="M32" s="337"/>
      <c r="N32" s="337"/>
      <c r="O32" s="337"/>
      <c r="P32" s="337"/>
      <c r="Q32" s="337"/>
      <c r="R32" s="337"/>
      <c r="S32" s="337"/>
      <c r="T32" s="337"/>
      <c r="U32" s="337"/>
      <c r="V32" s="337"/>
      <c r="W32" s="337"/>
      <c r="X32" s="337"/>
      <c r="Y32" s="337"/>
      <c r="Z32" s="337"/>
    </row>
    <row r="33" spans="1:9" s="322" customFormat="1" x14ac:dyDescent="0.25">
      <c r="A33" s="412" t="s">
        <v>760</v>
      </c>
    </row>
    <row r="34" spans="1:9" s="322" customFormat="1" ht="17.25" x14ac:dyDescent="0.4">
      <c r="A34" s="413" t="s">
        <v>715</v>
      </c>
      <c r="B34" s="414"/>
    </row>
    <row r="35" spans="1:9" s="322" customFormat="1" ht="17.25" x14ac:dyDescent="0.4">
      <c r="A35" s="415"/>
      <c r="B35" s="414"/>
    </row>
    <row r="36" spans="1:9" s="322" customFormat="1" x14ac:dyDescent="0.25">
      <c r="A36" s="335">
        <v>0.5</v>
      </c>
      <c r="B36" s="335"/>
    </row>
    <row r="37" spans="1:9" s="322" customFormat="1" x14ac:dyDescent="0.25"/>
    <row r="38" spans="1:9" s="322" customFormat="1" ht="15.75" thickBot="1" x14ac:dyDescent="0.3">
      <c r="A38" s="322" t="s">
        <v>761</v>
      </c>
    </row>
    <row r="39" spans="1:9" s="322" customFormat="1" ht="15.75" thickBot="1" x14ac:dyDescent="0.3">
      <c r="A39" s="416">
        <f>COUNTIF(A$3:A34," ")</f>
        <v>0</v>
      </c>
      <c r="B39" s="417"/>
    </row>
    <row r="40" spans="1:9" s="322" customFormat="1" ht="15.75" x14ac:dyDescent="0.3">
      <c r="C40" s="418"/>
      <c r="D40" s="419"/>
    </row>
    <row r="41" spans="1:9" s="322" customFormat="1" x14ac:dyDescent="0.25">
      <c r="A41" s="322" t="s">
        <v>762</v>
      </c>
    </row>
    <row r="42" spans="1:9" s="322" customFormat="1" x14ac:dyDescent="0.25">
      <c r="A42" s="420" t="s">
        <v>763</v>
      </c>
      <c r="B42" s="420" t="s">
        <v>764</v>
      </c>
      <c r="C42" s="420" t="s">
        <v>765</v>
      </c>
      <c r="D42" s="420" t="s">
        <v>766</v>
      </c>
      <c r="E42" s="420" t="s">
        <v>767</v>
      </c>
      <c r="F42" s="420" t="s">
        <v>768</v>
      </c>
      <c r="G42" s="420" t="s">
        <v>769</v>
      </c>
      <c r="H42" s="420" t="s">
        <v>770</v>
      </c>
      <c r="I42" s="420" t="s">
        <v>771</v>
      </c>
    </row>
    <row r="43" spans="1:9" s="322" customFormat="1" x14ac:dyDescent="0.25">
      <c r="A43" s="322" t="s">
        <v>772</v>
      </c>
      <c r="B43" s="322" t="s">
        <v>773</v>
      </c>
      <c r="D43" s="335" t="s">
        <v>581</v>
      </c>
      <c r="E43" s="335">
        <v>1</v>
      </c>
      <c r="F43" s="322" t="s">
        <v>774</v>
      </c>
      <c r="G43" s="322" t="s">
        <v>775</v>
      </c>
      <c r="H43" s="322" t="s">
        <v>574</v>
      </c>
      <c r="I43" s="322" t="s">
        <v>776</v>
      </c>
    </row>
    <row r="44" spans="1:9" s="435" customFormat="1" ht="7.5" customHeight="1" x14ac:dyDescent="0.25">
      <c r="D44" s="436"/>
      <c r="E44" s="436"/>
    </row>
    <row r="45" spans="1:9" s="419" customFormat="1" ht="19.5" x14ac:dyDescent="0.3">
      <c r="A45" s="322"/>
      <c r="C45" s="421" t="s">
        <v>777</v>
      </c>
    </row>
    <row r="46" spans="1:9" s="419" customFormat="1" x14ac:dyDescent="0.25"/>
    <row r="47" spans="1:9" s="419" customFormat="1" x14ac:dyDescent="0.25">
      <c r="A47" s="419" t="s">
        <v>778</v>
      </c>
    </row>
    <row r="48" spans="1:9" s="419" customFormat="1" ht="17.25" x14ac:dyDescent="0.4">
      <c r="A48" s="414" t="s">
        <v>779</v>
      </c>
      <c r="B48" s="422" t="s">
        <v>780</v>
      </c>
      <c r="E48" s="419" t="s">
        <v>781</v>
      </c>
    </row>
    <row r="49" spans="1:6" s="419" customFormat="1" x14ac:dyDescent="0.25">
      <c r="A49" s="423">
        <v>4240</v>
      </c>
      <c r="B49" s="424" t="str">
        <f>IF(D49="&lt;&lt;ПУСТО&gt;&gt;",C49&amp;ROUND(F49/1000,0),D49&amp;C49&amp;ROUND(F49/1000,0))</f>
        <v>0</v>
      </c>
      <c r="E49" s="419" t="s">
        <v>782</v>
      </c>
    </row>
    <row r="50" spans="1:6" s="419" customFormat="1" x14ac:dyDescent="0.25">
      <c r="A50" s="425">
        <v>8</v>
      </c>
      <c r="B50" s="425">
        <v>1</v>
      </c>
      <c r="E50" s="419" t="s">
        <v>783</v>
      </c>
    </row>
    <row r="51" spans="1:6" s="419" customFormat="1" x14ac:dyDescent="0.25"/>
    <row r="52" spans="1:6" s="419" customFormat="1" ht="15.75" thickBot="1" x14ac:dyDescent="0.3">
      <c r="A52" s="419" t="s">
        <v>784</v>
      </c>
    </row>
    <row r="53" spans="1:6" s="419" customFormat="1" ht="15.75" x14ac:dyDescent="0.3">
      <c r="A53" s="426">
        <f>(SUMIF(A$45:A49,0,F$45:F49)-F53)/1000000</f>
        <v>0</v>
      </c>
      <c r="B53" s="417"/>
      <c r="C53" s="418"/>
      <c r="E53" s="427" t="s">
        <v>785</v>
      </c>
      <c r="F53" s="428">
        <f>SUMIF(I$45:I50,"Наталья Константиновна Лидер",F$45:F50)</f>
        <v>0</v>
      </c>
    </row>
    <row r="54" spans="1:6" s="419" customFormat="1" ht="16.5" thickBot="1" x14ac:dyDescent="0.35">
      <c r="A54" s="429">
        <f>COUNTIF(A$45:A49,0)-F54</f>
        <v>0</v>
      </c>
      <c r="B54" s="417"/>
      <c r="C54" s="418" t="s">
        <v>625</v>
      </c>
      <c r="E54" s="430"/>
      <c r="F54" s="431">
        <f>COUNTIF(I$45:I55,"Наталья Константиновна Лидер")</f>
        <v>0</v>
      </c>
    </row>
    <row r="55" spans="1:6" s="419" customFormat="1" x14ac:dyDescent="0.25"/>
    <row r="56" spans="1:6" s="419" customFormat="1" x14ac:dyDescent="0.25">
      <c r="A56" s="419" t="s">
        <v>786</v>
      </c>
    </row>
    <row r="57" spans="1:6" s="419" customFormat="1" ht="17.25" x14ac:dyDescent="0.4">
      <c r="A57" s="414" t="s">
        <v>779</v>
      </c>
      <c r="B57" s="414" t="s">
        <v>787</v>
      </c>
      <c r="E57" s="419" t="s">
        <v>781</v>
      </c>
    </row>
    <row r="58" spans="1:6" s="419" customFormat="1" x14ac:dyDescent="0.25">
      <c r="A58" s="415" t="str">
        <f>IFERROR(MATCH(B58,#REF!,0),IF(L59="Не состоялся","-"," "))</f>
        <v xml:space="preserve"> </v>
      </c>
      <c r="B58" s="432" t="str">
        <f>IF(E58="",D58,E58&amp;"/"&amp;D58)</f>
        <v>Match=&lt;номер строки Договора1С&gt;/</v>
      </c>
      <c r="E58" s="419" t="s">
        <v>788</v>
      </c>
    </row>
    <row r="59" spans="1:6" s="419" customFormat="1" x14ac:dyDescent="0.25">
      <c r="A59" s="425">
        <v>10</v>
      </c>
      <c r="B59" s="425">
        <v>1</v>
      </c>
      <c r="E59" s="419" t="s">
        <v>789</v>
      </c>
    </row>
    <row r="60" spans="1:6" s="419" customFormat="1" x14ac:dyDescent="0.25"/>
    <row r="61" spans="1:6" s="419" customFormat="1" ht="15.75" thickBot="1" x14ac:dyDescent="0.3">
      <c r="A61" s="419" t="s">
        <v>790</v>
      </c>
    </row>
    <row r="62" spans="1:6" s="419" customFormat="1" ht="15.75" thickBot="1" x14ac:dyDescent="0.3">
      <c r="A62" s="416">
        <f>COUNTIF(A$46:A56,0)</f>
        <v>2</v>
      </c>
      <c r="B62" s="417"/>
    </row>
    <row r="63" spans="1:6" s="419" customFormat="1" ht="15.75" x14ac:dyDescent="0.3">
      <c r="C63" s="418"/>
    </row>
    <row r="64" spans="1:6" s="419" customFormat="1" x14ac:dyDescent="0.25">
      <c r="A64" s="419" t="s">
        <v>762</v>
      </c>
    </row>
    <row r="65" spans="1:32" s="419" customFormat="1" x14ac:dyDescent="0.25">
      <c r="A65" s="433" t="s">
        <v>763</v>
      </c>
      <c r="B65" s="433" t="s">
        <v>764</v>
      </c>
      <c r="C65" s="433" t="s">
        <v>765</v>
      </c>
      <c r="D65" s="433" t="s">
        <v>766</v>
      </c>
      <c r="E65" s="433" t="s">
        <v>767</v>
      </c>
      <c r="F65" s="433" t="s">
        <v>768</v>
      </c>
      <c r="G65" s="433" t="s">
        <v>769</v>
      </c>
      <c r="H65" s="433" t="s">
        <v>770</v>
      </c>
      <c r="I65" s="433" t="s">
        <v>771</v>
      </c>
    </row>
    <row r="66" spans="1:32" s="419" customFormat="1" x14ac:dyDescent="0.25">
      <c r="A66" s="419" t="s">
        <v>772</v>
      </c>
      <c r="B66" s="419" t="s">
        <v>773</v>
      </c>
      <c r="D66" s="425" t="s">
        <v>581</v>
      </c>
      <c r="E66" s="425">
        <v>1</v>
      </c>
      <c r="F66" s="419" t="s">
        <v>774</v>
      </c>
      <c r="G66" s="419" t="s">
        <v>775</v>
      </c>
      <c r="H66" s="419" t="s">
        <v>574</v>
      </c>
      <c r="I66" s="419" t="s">
        <v>776</v>
      </c>
    </row>
    <row r="67" spans="1:32" s="435" customFormat="1" ht="7.5" customHeight="1" x14ac:dyDescent="0.25">
      <c r="D67" s="436"/>
      <c r="E67" s="436"/>
    </row>
    <row r="68" spans="1:32" s="419" customFormat="1" ht="19.5" x14ac:dyDescent="0.3">
      <c r="A68" s="322"/>
      <c r="C68" s="421" t="s">
        <v>883</v>
      </c>
    </row>
    <row r="69" spans="1:32" s="322" customFormat="1" x14ac:dyDescent="0.25"/>
    <row r="70" spans="1:32" s="322" customFormat="1" x14ac:dyDescent="0.25">
      <c r="A70" s="322" t="s">
        <v>917</v>
      </c>
    </row>
    <row r="71" spans="1:32" s="322" customFormat="1" ht="25.5" x14ac:dyDescent="0.25">
      <c r="A71" s="255" t="s">
        <v>802</v>
      </c>
      <c r="B71" s="604" t="s">
        <v>884</v>
      </c>
      <c r="C71" s="605" t="s">
        <v>364</v>
      </c>
      <c r="D71" s="604" t="s">
        <v>885</v>
      </c>
      <c r="E71" s="604" t="s">
        <v>886</v>
      </c>
      <c r="F71" s="604" t="s">
        <v>58</v>
      </c>
      <c r="G71" s="590"/>
      <c r="H71" s="601" t="s">
        <v>892</v>
      </c>
      <c r="I71" s="602" t="s">
        <v>887</v>
      </c>
      <c r="J71" s="603"/>
      <c r="K71" s="591" t="s">
        <v>706</v>
      </c>
      <c r="L71" s="591" t="s">
        <v>707</v>
      </c>
      <c r="M71" s="591" t="s">
        <v>65</v>
      </c>
      <c r="N71" s="591" t="s">
        <v>1</v>
      </c>
      <c r="O71" s="592" t="s">
        <v>708</v>
      </c>
      <c r="P71" s="593" t="s">
        <v>888</v>
      </c>
      <c r="Q71" s="594" t="s">
        <v>709</v>
      </c>
      <c r="R71" s="591" t="s">
        <v>710</v>
      </c>
      <c r="S71" s="595" t="s">
        <v>703</v>
      </c>
      <c r="T71" s="596" t="s">
        <v>703</v>
      </c>
      <c r="U71" s="596" t="s">
        <v>703</v>
      </c>
      <c r="V71" s="596" t="s">
        <v>703</v>
      </c>
      <c r="W71" s="591" t="s">
        <v>703</v>
      </c>
      <c r="X71" s="591" t="s">
        <v>889</v>
      </c>
      <c r="Y71" s="591" t="s">
        <v>703</v>
      </c>
      <c r="Z71" s="591" t="s">
        <v>703</v>
      </c>
      <c r="AA71" s="597" t="s">
        <v>890</v>
      </c>
      <c r="AB71" s="598" t="s">
        <v>703</v>
      </c>
      <c r="AC71" s="591" t="s">
        <v>703</v>
      </c>
      <c r="AD71" s="591" t="s">
        <v>703</v>
      </c>
      <c r="AE71" s="599" t="s">
        <v>891</v>
      </c>
      <c r="AF71" s="600"/>
    </row>
    <row r="72" spans="1:32" s="322" customFormat="1" x14ac:dyDescent="0.25">
      <c r="A72" s="256" t="s">
        <v>803</v>
      </c>
      <c r="B72" s="336"/>
      <c r="C72" s="333"/>
      <c r="D72" s="543"/>
      <c r="E72" s="543"/>
      <c r="F72" s="336"/>
    </row>
    <row r="73" spans="1:32" s="322" customFormat="1" x14ac:dyDescent="0.25">
      <c r="A73" s="255" t="s">
        <v>804</v>
      </c>
      <c r="B73" s="335">
        <v>8</v>
      </c>
      <c r="C73" s="335">
        <v>17</v>
      </c>
      <c r="D73" s="335">
        <v>2</v>
      </c>
      <c r="E73" s="335">
        <v>11</v>
      </c>
      <c r="F73" s="336">
        <v>20</v>
      </c>
      <c r="G73" s="337">
        <v>12.5</v>
      </c>
      <c r="H73" s="337">
        <v>6</v>
      </c>
      <c r="I73" s="337">
        <v>10</v>
      </c>
      <c r="J73" s="337">
        <v>1</v>
      </c>
      <c r="K73" s="337">
        <v>45</v>
      </c>
      <c r="L73" s="337">
        <v>13</v>
      </c>
      <c r="M73" s="337">
        <v>16</v>
      </c>
      <c r="N73" s="337">
        <v>10</v>
      </c>
      <c r="O73" s="337">
        <v>10</v>
      </c>
      <c r="P73" s="337">
        <v>10</v>
      </c>
      <c r="Q73" s="337">
        <v>10</v>
      </c>
      <c r="R73" s="337">
        <v>10</v>
      </c>
      <c r="S73" s="337">
        <v>10</v>
      </c>
      <c r="T73" s="337">
        <v>10</v>
      </c>
      <c r="U73" s="337">
        <v>10</v>
      </c>
      <c r="V73" s="337">
        <v>10</v>
      </c>
      <c r="W73" s="337">
        <v>10</v>
      </c>
      <c r="X73" s="337">
        <v>10</v>
      </c>
      <c r="Y73" s="337">
        <v>10</v>
      </c>
      <c r="Z73" s="337">
        <v>8</v>
      </c>
      <c r="AA73" s="337">
        <v>8</v>
      </c>
      <c r="AB73" s="337">
        <v>10</v>
      </c>
      <c r="AC73" s="337">
        <v>5</v>
      </c>
      <c r="AD73" s="337">
        <v>15</v>
      </c>
      <c r="AE73" s="322">
        <v>10</v>
      </c>
    </row>
    <row r="74" spans="1:32" s="322" customFormat="1" x14ac:dyDescent="0.25">
      <c r="A74" s="255" t="s">
        <v>805</v>
      </c>
      <c r="B74" s="335">
        <v>9</v>
      </c>
      <c r="C74" s="335"/>
      <c r="D74" s="335">
        <v>5</v>
      </c>
      <c r="E74" s="335">
        <v>3</v>
      </c>
      <c r="F74" s="336">
        <v>-1</v>
      </c>
      <c r="G74" s="335"/>
      <c r="H74" s="335"/>
      <c r="K74" s="335"/>
      <c r="L74" s="337"/>
      <c r="M74" s="337"/>
      <c r="N74" s="337"/>
      <c r="O74" s="337"/>
      <c r="P74" s="337"/>
      <c r="Q74" s="337"/>
      <c r="R74" s="337"/>
      <c r="S74" s="337"/>
      <c r="T74" s="337"/>
      <c r="U74" s="372"/>
      <c r="V74" s="337"/>
      <c r="W74" s="337"/>
      <c r="X74" s="337"/>
      <c r="Y74" s="337"/>
      <c r="Z74" s="337"/>
      <c r="AA74" s="337"/>
    </row>
    <row r="75" spans="1:32" s="322" customFormat="1" x14ac:dyDescent="0.25">
      <c r="A75" s="255" t="s">
        <v>806</v>
      </c>
      <c r="B75" s="335"/>
      <c r="C75" s="335"/>
      <c r="D75" s="335"/>
      <c r="E75" s="335"/>
      <c r="F75" s="336"/>
      <c r="G75" s="335"/>
      <c r="H75" s="335"/>
      <c r="K75" s="335"/>
      <c r="L75" s="337"/>
      <c r="M75" s="337"/>
      <c r="N75" s="337"/>
      <c r="O75" s="337"/>
      <c r="P75" s="337"/>
      <c r="Q75" s="337"/>
      <c r="R75" s="337"/>
      <c r="S75" s="337"/>
      <c r="T75" s="337"/>
      <c r="U75" s="372"/>
      <c r="V75" s="337"/>
      <c r="W75" s="337"/>
      <c r="X75" s="337"/>
      <c r="Y75" s="337"/>
      <c r="Z75" s="337"/>
      <c r="AA75" s="337"/>
    </row>
    <row r="76" spans="1:32" s="322" customFormat="1" x14ac:dyDescent="0.25">
      <c r="A76" s="255" t="s">
        <v>807</v>
      </c>
      <c r="B76" s="500" t="s">
        <v>798</v>
      </c>
      <c r="C76" s="500"/>
      <c r="D76" s="500" t="s">
        <v>839</v>
      </c>
      <c r="E76" s="500" t="s">
        <v>840</v>
      </c>
      <c r="F76" s="336"/>
      <c r="G76" s="335"/>
      <c r="H76" s="335"/>
      <c r="K76" s="335"/>
      <c r="L76" s="337"/>
      <c r="M76" s="337"/>
      <c r="N76" s="337"/>
      <c r="O76" s="337"/>
      <c r="P76" s="337"/>
      <c r="Q76" s="337"/>
      <c r="R76" s="337"/>
      <c r="S76" s="337"/>
      <c r="T76" s="337"/>
      <c r="U76" s="372"/>
      <c r="V76" s="337"/>
      <c r="W76" s="337"/>
      <c r="X76" s="337"/>
      <c r="Y76" s="337"/>
      <c r="Z76" s="337"/>
      <c r="AA76" s="337"/>
    </row>
    <row r="77" spans="1:32" s="322" customFormat="1" x14ac:dyDescent="0.25"/>
    <row r="78" spans="1:32" s="322" customFormat="1" x14ac:dyDescent="0.25">
      <c r="A78" s="322" t="s">
        <v>916</v>
      </c>
      <c r="F78" s="322">
        <v>5</v>
      </c>
      <c r="I78" s="322">
        <v>8</v>
      </c>
      <c r="K78" s="322">
        <v>10</v>
      </c>
      <c r="O78" s="322">
        <v>14</v>
      </c>
    </row>
    <row r="79" spans="1:32" s="322" customFormat="1" ht="75" x14ac:dyDescent="0.25">
      <c r="A79" s="255" t="s">
        <v>802</v>
      </c>
      <c r="B79" s="604" t="s">
        <v>893</v>
      </c>
      <c r="C79" s="605" t="s">
        <v>188</v>
      </c>
      <c r="D79" s="604" t="s">
        <v>894</v>
      </c>
      <c r="E79" s="604" t="s">
        <v>895</v>
      </c>
      <c r="F79" s="604" t="s">
        <v>812</v>
      </c>
      <c r="G79" s="604" t="s">
        <v>374</v>
      </c>
      <c r="H79" s="621" t="s">
        <v>1</v>
      </c>
      <c r="I79" s="604" t="s">
        <v>66</v>
      </c>
      <c r="J79" s="621" t="s">
        <v>933</v>
      </c>
      <c r="K79" s="607" t="s">
        <v>899</v>
      </c>
      <c r="L79" s="607" t="s">
        <v>701</v>
      </c>
      <c r="M79" s="606" t="s">
        <v>702</v>
      </c>
      <c r="N79" s="607" t="s">
        <v>705</v>
      </c>
      <c r="O79" s="608" t="s">
        <v>703</v>
      </c>
      <c r="P79" s="608" t="s">
        <v>704</v>
      </c>
      <c r="Q79" s="608" t="s">
        <v>896</v>
      </c>
      <c r="R79" s="608" t="s">
        <v>897</v>
      </c>
      <c r="S79" s="608" t="s">
        <v>898</v>
      </c>
    </row>
    <row r="80" spans="1:32" s="322" customFormat="1" x14ac:dyDescent="0.25">
      <c r="A80" s="256" t="s">
        <v>803</v>
      </c>
      <c r="B80" s="336"/>
      <c r="C80" s="333"/>
      <c r="D80" s="543"/>
      <c r="E80" s="543"/>
      <c r="F80" s="638"/>
      <c r="K80" s="335" t="s">
        <v>926</v>
      </c>
      <c r="L80" s="335" t="s">
        <v>926</v>
      </c>
      <c r="M80" s="335" t="s">
        <v>926</v>
      </c>
      <c r="N80" s="335" t="s">
        <v>926</v>
      </c>
      <c r="O80" s="335" t="s">
        <v>926</v>
      </c>
      <c r="P80" s="335" t="s">
        <v>926</v>
      </c>
      <c r="Q80" s="335" t="s">
        <v>926</v>
      </c>
      <c r="R80" s="335" t="s">
        <v>926</v>
      </c>
      <c r="S80" s="335" t="s">
        <v>926</v>
      </c>
    </row>
    <row r="81" spans="1:30" s="322" customFormat="1" x14ac:dyDescent="0.25">
      <c r="A81" s="255" t="s">
        <v>804</v>
      </c>
      <c r="B81" s="335">
        <v>12</v>
      </c>
      <c r="C81" s="335">
        <v>14</v>
      </c>
      <c r="D81" s="335">
        <v>12</v>
      </c>
      <c r="E81" s="335">
        <v>8</v>
      </c>
      <c r="F81" s="335">
        <v>4</v>
      </c>
      <c r="G81" s="335">
        <v>22</v>
      </c>
      <c r="H81" s="335">
        <v>10</v>
      </c>
      <c r="I81" s="335">
        <v>9</v>
      </c>
      <c r="J81" s="335">
        <v>1</v>
      </c>
      <c r="K81" s="335">
        <v>47</v>
      </c>
      <c r="L81" s="335">
        <v>44</v>
      </c>
      <c r="M81" s="335">
        <v>8</v>
      </c>
      <c r="N81" s="335">
        <v>44</v>
      </c>
      <c r="O81" s="335">
        <v>9</v>
      </c>
      <c r="P81" s="335">
        <v>25</v>
      </c>
      <c r="Q81" s="335">
        <v>22</v>
      </c>
      <c r="R81" s="335">
        <v>22</v>
      </c>
      <c r="S81" s="337">
        <v>5</v>
      </c>
    </row>
    <row r="82" spans="1:30" s="322" customFormat="1" x14ac:dyDescent="0.25">
      <c r="A82" s="255" t="s">
        <v>805</v>
      </c>
      <c r="B82" s="335"/>
      <c r="C82" s="335"/>
      <c r="D82" s="335"/>
      <c r="E82" s="335"/>
      <c r="G82" s="322">
        <v>5</v>
      </c>
      <c r="H82" s="322">
        <v>5</v>
      </c>
      <c r="J82" s="335">
        <v>5</v>
      </c>
      <c r="K82" s="336">
        <v>-1</v>
      </c>
      <c r="N82" s="335"/>
      <c r="O82" s="337"/>
      <c r="P82" s="337"/>
      <c r="Q82" s="337"/>
      <c r="R82" s="337"/>
      <c r="S82" s="337"/>
    </row>
    <row r="83" spans="1:30" s="322" customFormat="1" ht="33" customHeight="1" x14ac:dyDescent="0.25">
      <c r="A83" s="255" t="s">
        <v>806</v>
      </c>
      <c r="B83" s="335"/>
      <c r="C83" s="335"/>
      <c r="D83" s="335"/>
      <c r="E83" s="335"/>
      <c r="F83" s="336"/>
      <c r="G83" s="639" t="s">
        <v>930</v>
      </c>
      <c r="H83" s="639" t="s">
        <v>932</v>
      </c>
      <c r="I83" s="335"/>
      <c r="J83" s="640" t="s">
        <v>934</v>
      </c>
      <c r="K83" s="335"/>
      <c r="N83" s="335"/>
      <c r="O83" s="337"/>
      <c r="P83" s="337"/>
      <c r="Q83" s="337"/>
      <c r="R83" s="337"/>
      <c r="S83" s="337"/>
      <c r="T83" s="337"/>
      <c r="U83" s="337"/>
      <c r="V83" s="337"/>
      <c r="W83" s="337"/>
      <c r="X83" s="372"/>
      <c r="Y83" s="337"/>
      <c r="Z83" s="337"/>
      <c r="AA83" s="337"/>
      <c r="AB83" s="337"/>
      <c r="AC83" s="337"/>
      <c r="AD83" s="337"/>
    </row>
    <row r="84" spans="1:30" s="322" customFormat="1" x14ac:dyDescent="0.25">
      <c r="A84" s="255" t="s">
        <v>807</v>
      </c>
      <c r="B84" s="500"/>
      <c r="C84" s="500"/>
      <c r="D84" s="500"/>
      <c r="E84" s="500"/>
      <c r="F84" s="336"/>
      <c r="G84" s="335"/>
      <c r="H84" s="335"/>
      <c r="I84" s="335"/>
      <c r="J84" s="335"/>
      <c r="K84" s="335"/>
      <c r="N84" s="335"/>
      <c r="O84" s="337"/>
      <c r="P84" s="337"/>
      <c r="Q84" s="337"/>
      <c r="R84" s="337"/>
      <c r="S84" s="337"/>
      <c r="T84" s="337"/>
      <c r="U84" s="337"/>
      <c r="V84" s="337"/>
      <c r="W84" s="337"/>
      <c r="X84" s="372"/>
      <c r="Y84" s="337"/>
      <c r="Z84" s="337"/>
      <c r="AA84" s="337"/>
      <c r="AB84" s="337"/>
      <c r="AC84" s="337"/>
      <c r="AD84" s="337"/>
    </row>
    <row r="85" spans="1:30" s="322" customFormat="1" x14ac:dyDescent="0.25">
      <c r="A85" s="500"/>
      <c r="B85" s="500"/>
      <c r="C85" s="500"/>
      <c r="D85" s="500"/>
      <c r="E85" s="500"/>
      <c r="F85" s="336"/>
      <c r="G85" s="335"/>
      <c r="H85" s="335"/>
      <c r="K85" s="335"/>
      <c r="L85" s="337"/>
      <c r="M85" s="337"/>
      <c r="N85" s="337"/>
      <c r="O85" s="337"/>
      <c r="P85" s="337"/>
      <c r="Q85" s="337"/>
      <c r="R85" s="337"/>
      <c r="S85" s="337"/>
      <c r="T85" s="337"/>
      <c r="U85" s="372"/>
      <c r="V85" s="337"/>
      <c r="W85" s="337"/>
      <c r="X85" s="337"/>
      <c r="Y85" s="337"/>
      <c r="Z85" s="337"/>
      <c r="AA85" s="337"/>
    </row>
    <row r="86" spans="1:30" s="435" customFormat="1" ht="7.5" customHeight="1" x14ac:dyDescent="0.25">
      <c r="D86" s="436"/>
      <c r="E86" s="436"/>
    </row>
    <row r="87" spans="1:30" s="322" customFormat="1" ht="19.5" x14ac:dyDescent="0.3">
      <c r="C87" s="323" t="s">
        <v>791</v>
      </c>
    </row>
    <row r="89" spans="1:30" ht="15.75" thickBot="1" x14ac:dyDescent="0.3">
      <c r="A89" s="30" t="s">
        <v>264</v>
      </c>
      <c r="B89" s="30"/>
      <c r="C89" s="30"/>
      <c r="D89" s="30"/>
      <c r="E89" s="30"/>
      <c r="F89" s="30"/>
      <c r="G89" s="30"/>
      <c r="H89" s="30"/>
      <c r="I89" s="30"/>
      <c r="J89" s="30"/>
    </row>
    <row r="90" spans="1:30"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0" ht="15.75" thickBot="1" x14ac:dyDescent="0.3">
      <c r="A92" s="30" t="s">
        <v>832</v>
      </c>
    </row>
    <row r="93" spans="1:30" ht="15.75" thickBot="1" x14ac:dyDescent="0.3">
      <c r="A93" s="255" t="s">
        <v>692</v>
      </c>
      <c r="B93" s="4" t="s">
        <v>119</v>
      </c>
      <c r="C93" s="4" t="s">
        <v>120</v>
      </c>
      <c r="D93" s="4" t="s">
        <v>121</v>
      </c>
      <c r="E93" s="4" t="s">
        <v>122</v>
      </c>
      <c r="F93" s="4" t="s">
        <v>123</v>
      </c>
      <c r="G93" s="3" t="s">
        <v>118</v>
      </c>
      <c r="H93" s="64" t="s">
        <v>116</v>
      </c>
      <c r="I93" s="64" t="s">
        <v>838</v>
      </c>
    </row>
    <row r="94" spans="1:30" s="1" customFormat="1" x14ac:dyDescent="0.25">
      <c r="A94" s="256" t="s">
        <v>601</v>
      </c>
      <c r="I94" s="145"/>
      <c r="J94" s="145"/>
      <c r="K94" s="8"/>
      <c r="L94" s="6"/>
      <c r="M94" s="12"/>
      <c r="N94"/>
      <c r="O94"/>
      <c r="P94"/>
      <c r="Q94"/>
      <c r="R94"/>
      <c r="S94"/>
      <c r="T94"/>
      <c r="U94"/>
      <c r="V94"/>
      <c r="W94"/>
    </row>
    <row r="95" spans="1:30"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0" x14ac:dyDescent="0.25">
      <c r="A96" s="255" t="s">
        <v>694</v>
      </c>
      <c r="B96" s="145" t="s">
        <v>126</v>
      </c>
      <c r="C96" s="145" t="s">
        <v>112</v>
      </c>
      <c r="D96" s="145" t="s">
        <v>128</v>
      </c>
      <c r="E96" s="145" t="s">
        <v>111</v>
      </c>
      <c r="F96" s="145" t="s">
        <v>833</v>
      </c>
      <c r="G96" s="482" t="s">
        <v>115</v>
      </c>
      <c r="H96" s="482" t="s">
        <v>115</v>
      </c>
      <c r="I96" s="145" t="s">
        <v>91</v>
      </c>
      <c r="J96" s="145"/>
      <c r="K96" s="145"/>
      <c r="L96" s="145"/>
      <c r="M96" s="145"/>
    </row>
    <row r="97" spans="1:23" x14ac:dyDescent="0.25">
      <c r="A97" s="255" t="s">
        <v>695</v>
      </c>
      <c r="E97" t="s">
        <v>817</v>
      </c>
      <c r="I97" s="92"/>
      <c r="M97" s="92"/>
      <c r="N97" s="92"/>
      <c r="O97" s="465"/>
      <c r="P97" s="92"/>
    </row>
    <row r="98" spans="1:23" x14ac:dyDescent="0.25">
      <c r="A98" s="255" t="s">
        <v>816</v>
      </c>
      <c r="E98" s="253"/>
      <c r="G98" s="253" t="s">
        <v>834</v>
      </c>
      <c r="H98" s="253" t="s">
        <v>835</v>
      </c>
      <c r="I98" s="335"/>
      <c r="N98" s="254"/>
      <c r="R98" s="466"/>
      <c r="S98" s="466"/>
      <c r="T98" s="466"/>
      <c r="U98" s="466"/>
      <c r="V98" s="466"/>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511" t="s">
        <v>165</v>
      </c>
      <c r="S101" s="511" t="s">
        <v>166</v>
      </c>
      <c r="T101" s="511" t="s">
        <v>167</v>
      </c>
      <c r="U101" s="511" t="s">
        <v>168</v>
      </c>
      <c r="V101" s="511"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4" t="s">
        <v>17</v>
      </c>
      <c r="P102" s="14"/>
      <c r="Q102" s="15"/>
      <c r="R102" s="16"/>
      <c r="S102" s="16"/>
      <c r="T102" s="16"/>
      <c r="U102" s="16"/>
      <c r="V102" s="16"/>
      <c r="W102" s="463"/>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5" t="s">
        <v>818</v>
      </c>
      <c r="P105" s="92" t="s">
        <v>824</v>
      </c>
    </row>
    <row r="106" spans="1:23" x14ac:dyDescent="0.25">
      <c r="A106" s="255" t="s">
        <v>816</v>
      </c>
      <c r="E106" s="253"/>
      <c r="G106" s="253"/>
      <c r="I106" s="335"/>
      <c r="K106" s="466" t="s">
        <v>834</v>
      </c>
      <c r="N106" s="254"/>
      <c r="R106" s="466" t="s">
        <v>822</v>
      </c>
      <c r="S106" s="466" t="s">
        <v>823</v>
      </c>
      <c r="T106" s="466" t="s">
        <v>819</v>
      </c>
      <c r="U106" s="466" t="s">
        <v>820</v>
      </c>
      <c r="V106" s="466"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8" s="435" customFormat="1" ht="7.5" customHeight="1" x14ac:dyDescent="0.25">
      <c r="D177" s="436"/>
      <c r="E177" s="436"/>
    </row>
    <row r="178" spans="1:28" s="322" customFormat="1" ht="19.5" x14ac:dyDescent="0.3">
      <c r="C178" s="323" t="s">
        <v>811</v>
      </c>
    </row>
    <row r="180" spans="1:28" ht="15.75" thickBot="1" x14ac:dyDescent="0.3">
      <c r="A180" s="30" t="s">
        <v>868</v>
      </c>
    </row>
    <row r="181" spans="1:28" s="1" customFormat="1" ht="15.75" thickBot="1" x14ac:dyDescent="0.3">
      <c r="A181" s="519" t="s">
        <v>846</v>
      </c>
      <c r="B181" s="512"/>
      <c r="C181" s="518" t="s">
        <v>94</v>
      </c>
      <c r="D181" s="517"/>
      <c r="H181" s="514" t="s">
        <v>843</v>
      </c>
      <c r="I181" s="513" t="s">
        <v>844</v>
      </c>
      <c r="J181" s="516" t="s">
        <v>845</v>
      </c>
      <c r="M181" s="145"/>
      <c r="N181" s="8"/>
      <c r="O181" s="6"/>
      <c r="P181" s="12"/>
      <c r="Q181"/>
      <c r="R181"/>
      <c r="S181"/>
      <c r="T181"/>
      <c r="U181"/>
      <c r="V181"/>
      <c r="W181"/>
      <c r="X181"/>
      <c r="Y181"/>
      <c r="Z181"/>
    </row>
    <row r="182" spans="1:28" s="580" customFormat="1" x14ac:dyDescent="0.25">
      <c r="A182" s="578"/>
      <c r="B182" s="579"/>
      <c r="C182" s="583"/>
      <c r="D182" s="517"/>
      <c r="H182" s="581"/>
      <c r="I182" s="581"/>
      <c r="J182" s="582"/>
      <c r="M182" s="270"/>
      <c r="N182" s="8"/>
      <c r="O182" s="6"/>
      <c r="P182" s="12"/>
      <c r="Q182" s="2"/>
      <c r="R182" s="2"/>
      <c r="S182" s="2"/>
      <c r="T182" s="2"/>
      <c r="U182" s="2"/>
      <c r="V182" s="2"/>
      <c r="W182" s="2"/>
      <c r="X182" s="2"/>
      <c r="Y182" s="2"/>
      <c r="Z182" s="2"/>
    </row>
    <row r="183" spans="1:28" x14ac:dyDescent="0.25">
      <c r="A183" s="578"/>
      <c r="B183" s="530" t="s">
        <v>693</v>
      </c>
      <c r="C183" s="528" t="s">
        <v>864</v>
      </c>
      <c r="D183" s="529" t="s">
        <v>70</v>
      </c>
      <c r="E183" s="549">
        <v>0.5</v>
      </c>
      <c r="F183" s="549">
        <v>0.5</v>
      </c>
      <c r="G183" s="549">
        <v>0.5</v>
      </c>
      <c r="H183" s="551" t="s">
        <v>113</v>
      </c>
      <c r="I183" s="551" t="s">
        <v>113</v>
      </c>
      <c r="J183" s="551" t="s">
        <v>113</v>
      </c>
      <c r="K183" s="510"/>
      <c r="L183" s="510"/>
      <c r="M183" s="551" t="s">
        <v>113</v>
      </c>
      <c r="N183" s="551" t="s">
        <v>242</v>
      </c>
      <c r="O183" s="551" t="s">
        <v>113</v>
      </c>
      <c r="P183" s="551" t="s">
        <v>128</v>
      </c>
      <c r="Q183" s="551" t="s">
        <v>128</v>
      </c>
      <c r="R183" s="510"/>
      <c r="S183" s="551" t="s">
        <v>874</v>
      </c>
      <c r="U183" s="465"/>
      <c r="V183" s="92"/>
    </row>
    <row r="184" spans="1:28" x14ac:dyDescent="0.25">
      <c r="A184" s="578"/>
      <c r="B184" s="530" t="s">
        <v>694</v>
      </c>
      <c r="C184" s="528"/>
      <c r="D184" s="529"/>
      <c r="E184" s="549"/>
      <c r="F184" s="549"/>
      <c r="G184" s="549"/>
      <c r="H184" s="551"/>
      <c r="I184" s="551"/>
      <c r="J184" s="551"/>
      <c r="K184" s="510"/>
      <c r="L184" s="510"/>
      <c r="M184" s="551"/>
      <c r="N184" s="551"/>
      <c r="O184" s="551"/>
      <c r="P184" s="551"/>
      <c r="Q184" s="551"/>
      <c r="R184" s="510"/>
      <c r="S184" s="510"/>
      <c r="U184" s="465"/>
      <c r="V184" s="92"/>
    </row>
    <row r="185" spans="1:28" x14ac:dyDescent="0.25">
      <c r="A185" s="578"/>
      <c r="B185" s="530" t="s">
        <v>695</v>
      </c>
      <c r="C185" s="528"/>
      <c r="D185" s="529"/>
      <c r="E185" s="549"/>
      <c r="F185" s="549"/>
      <c r="G185" s="549"/>
      <c r="H185" s="551"/>
      <c r="I185" s="551"/>
      <c r="J185" s="551"/>
      <c r="K185" s="510"/>
      <c r="L185" s="510"/>
      <c r="M185" s="551"/>
      <c r="N185" s="551"/>
      <c r="O185" s="551"/>
      <c r="P185" s="551"/>
      <c r="Q185" s="551"/>
      <c r="R185" s="510"/>
      <c r="S185" s="510"/>
      <c r="U185" s="465"/>
      <c r="V185" s="92"/>
    </row>
    <row r="186" spans="1:28" ht="15.75" thickBot="1" x14ac:dyDescent="0.3">
      <c r="A186" s="578"/>
      <c r="B186" s="531" t="s">
        <v>816</v>
      </c>
      <c r="C186" s="528"/>
      <c r="D186" s="529"/>
      <c r="E186" s="549"/>
      <c r="F186" s="549"/>
      <c r="G186" s="549"/>
      <c r="H186" s="551"/>
      <c r="I186" s="551"/>
      <c r="J186" s="551"/>
      <c r="K186" s="510"/>
      <c r="L186" s="510"/>
      <c r="M186" s="551"/>
      <c r="N186" s="551"/>
      <c r="O186" s="551"/>
      <c r="P186" s="551"/>
      <c r="Q186" s="551"/>
      <c r="R186" s="510"/>
      <c r="S186" s="510"/>
      <c r="U186" s="465"/>
      <c r="V186" s="92"/>
    </row>
    <row r="187" spans="1:28" ht="15.75" thickBot="1" x14ac:dyDescent="0.3">
      <c r="A187" s="578"/>
      <c r="B187" s="530"/>
      <c r="C187" s="528"/>
      <c r="D187" s="529"/>
      <c r="E187" s="580"/>
      <c r="F187" s="580"/>
      <c r="G187" s="580"/>
      <c r="H187" s="581"/>
      <c r="I187" s="581"/>
      <c r="J187" s="582"/>
      <c r="K187" s="580"/>
      <c r="L187" s="580"/>
      <c r="M187" s="270"/>
      <c r="N187" s="8"/>
      <c r="O187" s="6"/>
      <c r="P187" s="12"/>
      <c r="Q187" s="2"/>
      <c r="R187" s="2"/>
      <c r="S187" s="2"/>
      <c r="U187" s="465"/>
      <c r="V187" s="92"/>
    </row>
    <row r="188" spans="1:28" s="5" customFormat="1" ht="23.25" thickBot="1" x14ac:dyDescent="0.3">
      <c r="A188" s="635" t="s">
        <v>812</v>
      </c>
      <c r="B188" s="524" t="s">
        <v>692</v>
      </c>
      <c r="C188" s="525" t="s">
        <v>848</v>
      </c>
      <c r="D188" s="526"/>
      <c r="E188" s="324" t="s">
        <v>715</v>
      </c>
      <c r="F188" s="325" t="s">
        <v>716</v>
      </c>
      <c r="G188" s="325" t="s">
        <v>592</v>
      </c>
      <c r="H188" s="534" t="s">
        <v>68</v>
      </c>
      <c r="I188" s="521" t="s">
        <v>67</v>
      </c>
      <c r="J188" s="520" t="s">
        <v>66</v>
      </c>
      <c r="K188" s="521" t="s">
        <v>850</v>
      </c>
      <c r="L188" s="521" t="s">
        <v>851</v>
      </c>
      <c r="M188" s="522" t="s">
        <v>65</v>
      </c>
      <c r="N188" s="523" t="s">
        <v>0</v>
      </c>
      <c r="O188" s="522" t="s">
        <v>2</v>
      </c>
      <c r="P188" s="522" t="s">
        <v>1</v>
      </c>
      <c r="Q188" s="520" t="s">
        <v>62</v>
      </c>
      <c r="R188" s="522" t="s">
        <v>64</v>
      </c>
      <c r="S188" s="522" t="s">
        <v>57</v>
      </c>
      <c r="T188"/>
    </row>
    <row r="189" spans="1:28" x14ac:dyDescent="0.25">
      <c r="A189" s="636"/>
      <c r="B189" s="527" t="s">
        <v>601</v>
      </c>
      <c r="C189" s="528" t="s">
        <v>848</v>
      </c>
      <c r="D189" s="529"/>
      <c r="E189" s="542"/>
      <c r="F189" s="543"/>
      <c r="G189" s="543"/>
      <c r="H189" s="1"/>
      <c r="I189" s="1"/>
      <c r="J189" s="1"/>
      <c r="M189" s="1"/>
      <c r="N189" s="1"/>
      <c r="O189" s="1"/>
      <c r="P189" s="1"/>
      <c r="Q189" s="145"/>
      <c r="R189" s="145"/>
      <c r="S189" s="145"/>
    </row>
    <row r="190" spans="1:28" x14ac:dyDescent="0.25">
      <c r="A190" s="636"/>
      <c r="B190" s="530" t="s">
        <v>693</v>
      </c>
      <c r="C190" s="528"/>
      <c r="D190" s="529"/>
      <c r="E190" s="549">
        <v>0.5</v>
      </c>
      <c r="F190" s="549">
        <v>0.5</v>
      </c>
      <c r="G190" s="549">
        <v>0.5</v>
      </c>
      <c r="H190" s="551" t="s">
        <v>113</v>
      </c>
      <c r="I190" s="551" t="s">
        <v>113</v>
      </c>
      <c r="J190" s="551" t="s">
        <v>113</v>
      </c>
      <c r="K190" s="510"/>
      <c r="L190" s="510"/>
      <c r="M190" s="551" t="s">
        <v>113</v>
      </c>
      <c r="N190" s="551" t="s">
        <v>242</v>
      </c>
      <c r="O190" s="551" t="s">
        <v>113</v>
      </c>
      <c r="P190" s="551" t="s">
        <v>128</v>
      </c>
      <c r="Q190" s="551" t="s">
        <v>128</v>
      </c>
      <c r="R190" s="510"/>
      <c r="S190" s="510"/>
      <c r="U190" s="465"/>
      <c r="V190" s="92"/>
    </row>
    <row r="191" spans="1:28" x14ac:dyDescent="0.25">
      <c r="A191" s="636"/>
      <c r="B191" s="530" t="s">
        <v>694</v>
      </c>
      <c r="C191" s="528"/>
      <c r="D191" s="529"/>
      <c r="E191" s="549">
        <v>9</v>
      </c>
      <c r="F191" s="549">
        <v>5</v>
      </c>
      <c r="G191" s="549">
        <v>3</v>
      </c>
      <c r="H191" s="551" t="s">
        <v>126</v>
      </c>
      <c r="I191" s="551" t="s">
        <v>112</v>
      </c>
      <c r="J191" s="551" t="s">
        <v>128</v>
      </c>
      <c r="K191" s="510"/>
      <c r="L191" s="510"/>
      <c r="M191" s="551" t="s">
        <v>111</v>
      </c>
      <c r="N191" s="551" t="s">
        <v>833</v>
      </c>
      <c r="O191" s="551" t="s">
        <v>115</v>
      </c>
      <c r="P191" s="551" t="s">
        <v>115</v>
      </c>
      <c r="Q191" s="551" t="s">
        <v>91</v>
      </c>
      <c r="R191" s="510"/>
      <c r="S191" s="510"/>
      <c r="X191" s="466"/>
      <c r="Y191" s="466"/>
      <c r="Z191" s="466"/>
      <c r="AA191" s="466"/>
      <c r="AB191" s="466"/>
    </row>
    <row r="192" spans="1:28" x14ac:dyDescent="0.25">
      <c r="A192" s="636"/>
      <c r="B192" s="530" t="s">
        <v>695</v>
      </c>
      <c r="C192" s="528"/>
      <c r="D192" s="529"/>
      <c r="E192" s="549"/>
      <c r="F192" s="549"/>
      <c r="G192" s="549"/>
      <c r="H192" s="510"/>
      <c r="I192" s="510"/>
      <c r="J192" s="510"/>
      <c r="K192" s="510"/>
      <c r="L192" s="510"/>
      <c r="M192" s="510" t="s">
        <v>817</v>
      </c>
      <c r="N192" s="510"/>
      <c r="O192" s="510"/>
      <c r="P192" s="510"/>
      <c r="Q192" s="552"/>
      <c r="R192" s="510"/>
      <c r="S192" s="510"/>
      <c r="X192" s="466"/>
      <c r="Y192" s="466"/>
      <c r="Z192" s="466"/>
      <c r="AA192" s="466"/>
      <c r="AB192" s="466"/>
    </row>
    <row r="193" spans="1:31" ht="15.75" thickBot="1" x14ac:dyDescent="0.3">
      <c r="A193" s="637"/>
      <c r="B193" s="531" t="s">
        <v>816</v>
      </c>
      <c r="C193" s="535"/>
      <c r="D193" s="536"/>
      <c r="E193" s="550" t="s">
        <v>798</v>
      </c>
      <c r="F193" s="550" t="s">
        <v>839</v>
      </c>
      <c r="G193" s="550" t="s">
        <v>840</v>
      </c>
      <c r="H193" s="510"/>
      <c r="I193" s="510"/>
      <c r="J193" s="510"/>
      <c r="K193" s="510"/>
      <c r="L193" s="510"/>
      <c r="M193" s="553"/>
      <c r="N193" s="510"/>
      <c r="O193" s="553" t="s">
        <v>834</v>
      </c>
      <c r="P193" s="553" t="s">
        <v>835</v>
      </c>
      <c r="Q193" s="549"/>
      <c r="R193" s="510"/>
      <c r="S193" s="510"/>
      <c r="X193" s="466"/>
      <c r="Y193" s="466"/>
      <c r="Z193" s="466"/>
      <c r="AA193" s="466"/>
      <c r="AB193" s="466"/>
    </row>
    <row r="194" spans="1:31" s="5" customFormat="1" ht="45.75" thickBot="1" x14ac:dyDescent="0.3">
      <c r="A194" s="635" t="s">
        <v>842</v>
      </c>
      <c r="B194" s="524" t="s">
        <v>692</v>
      </c>
      <c r="C194" s="525" t="s">
        <v>848</v>
      </c>
      <c r="D194" s="526"/>
      <c r="E194" s="554" t="s">
        <v>716</v>
      </c>
      <c r="F194" s="555" t="s">
        <v>579</v>
      </c>
      <c r="G194" s="556" t="s">
        <v>612</v>
      </c>
      <c r="H194" s="557" t="s">
        <v>841</v>
      </c>
      <c r="I194" s="558" t="s">
        <v>374</v>
      </c>
      <c r="J194" s="561" t="s">
        <v>860</v>
      </c>
      <c r="K194" s="558" t="s">
        <v>854</v>
      </c>
      <c r="L194" s="560" t="s">
        <v>859</v>
      </c>
      <c r="M194" s="560" t="s">
        <v>855</v>
      </c>
      <c r="N194" s="559" t="s">
        <v>857</v>
      </c>
      <c r="O194" s="560" t="s">
        <v>856</v>
      </c>
      <c r="P194" s="561" t="s">
        <v>858</v>
      </c>
      <c r="Q194" s="561" t="s">
        <v>861</v>
      </c>
      <c r="R194" s="561" t="s">
        <v>862</v>
      </c>
      <c r="S194" s="561" t="s">
        <v>863</v>
      </c>
      <c r="T194" s="562"/>
    </row>
    <row r="195" spans="1:31" x14ac:dyDescent="0.25">
      <c r="A195" s="636"/>
      <c r="B195" s="527" t="s">
        <v>601</v>
      </c>
      <c r="C195" s="528" t="s">
        <v>848</v>
      </c>
      <c r="D195" s="529"/>
      <c r="E195" s="544"/>
      <c r="F195" s="547"/>
      <c r="G195" s="545"/>
      <c r="H195" s="539"/>
      <c r="I195" s="539"/>
      <c r="J195" s="539"/>
      <c r="K195" s="539"/>
      <c r="L195" s="539"/>
      <c r="M195" s="539"/>
      <c r="N195" s="539"/>
      <c r="O195" s="539"/>
      <c r="P195" s="539"/>
      <c r="Q195" s="539"/>
      <c r="R195" s="539"/>
      <c r="S195" s="539"/>
      <c r="T195" s="507"/>
    </row>
    <row r="196" spans="1:31" x14ac:dyDescent="0.25">
      <c r="A196" s="636"/>
      <c r="B196" s="530" t="s">
        <v>693</v>
      </c>
      <c r="C196" s="528"/>
      <c r="D196" s="529"/>
      <c r="E196" s="335">
        <v>0.5</v>
      </c>
      <c r="F196" s="335">
        <v>0.5</v>
      </c>
      <c r="G196" s="335">
        <v>0.5</v>
      </c>
      <c r="H196" s="537">
        <v>20</v>
      </c>
      <c r="I196" s="537">
        <v>20</v>
      </c>
      <c r="J196" s="537">
        <v>10</v>
      </c>
      <c r="K196" s="537">
        <v>10</v>
      </c>
      <c r="L196" s="537">
        <v>10</v>
      </c>
      <c r="M196" s="537">
        <v>10</v>
      </c>
      <c r="N196" s="537">
        <v>10</v>
      </c>
      <c r="O196" s="537">
        <v>10</v>
      </c>
      <c r="P196" s="537">
        <v>10</v>
      </c>
      <c r="Q196" s="537">
        <v>8</v>
      </c>
      <c r="R196" s="537">
        <v>8</v>
      </c>
      <c r="S196" s="537">
        <v>8</v>
      </c>
      <c r="T196" s="507"/>
    </row>
    <row r="197" spans="1:31" x14ac:dyDescent="0.25">
      <c r="A197" s="636"/>
      <c r="B197" s="530" t="s">
        <v>694</v>
      </c>
      <c r="C197" s="528"/>
      <c r="D197" s="529"/>
      <c r="E197" s="549">
        <v>5</v>
      </c>
      <c r="F197" s="549">
        <v>5</v>
      </c>
      <c r="G197" s="549">
        <v>5</v>
      </c>
      <c r="H197" s="507"/>
      <c r="I197" s="507"/>
      <c r="J197" s="507"/>
      <c r="K197" s="507"/>
      <c r="L197" s="537"/>
      <c r="M197" s="537"/>
      <c r="N197" s="537"/>
      <c r="O197" s="537"/>
      <c r="P197" s="537"/>
      <c r="Q197" s="537"/>
      <c r="R197" s="537"/>
      <c r="S197" s="537"/>
      <c r="T197" s="507"/>
    </row>
    <row r="198" spans="1:31" x14ac:dyDescent="0.25">
      <c r="A198" s="636"/>
      <c r="B198" s="530" t="s">
        <v>695</v>
      </c>
      <c r="C198" s="528"/>
      <c r="D198" s="529"/>
      <c r="E198" s="549"/>
      <c r="F198" s="549"/>
      <c r="G198" s="549"/>
      <c r="H198" s="507"/>
      <c r="I198" s="507"/>
      <c r="J198" s="507"/>
      <c r="K198" s="507"/>
      <c r="L198" s="507"/>
      <c r="M198" s="507"/>
      <c r="N198" s="507"/>
      <c r="O198" s="507"/>
      <c r="P198" s="507"/>
      <c r="Q198" s="507"/>
      <c r="R198" s="507"/>
      <c r="S198" s="507"/>
      <c r="T198" s="507"/>
    </row>
    <row r="199" spans="1:31" s="1" customFormat="1" ht="15.75" thickBot="1" x14ac:dyDescent="0.3">
      <c r="A199" s="637"/>
      <c r="B199" s="531" t="s">
        <v>816</v>
      </c>
      <c r="C199" s="532"/>
      <c r="D199" s="533"/>
      <c r="E199" s="550" t="s">
        <v>839</v>
      </c>
      <c r="F199" s="550" t="s">
        <v>839</v>
      </c>
      <c r="G199" s="550" t="s">
        <v>839</v>
      </c>
      <c r="H199" s="515"/>
      <c r="I199" s="515"/>
      <c r="J199" s="515"/>
      <c r="K199" s="515"/>
      <c r="L199" s="515"/>
      <c r="M199" s="515"/>
      <c r="N199" s="515"/>
      <c r="O199" s="515"/>
      <c r="P199" s="515"/>
      <c r="Q199" s="515"/>
      <c r="R199" s="537"/>
      <c r="S199" s="538"/>
      <c r="T199" s="538"/>
      <c r="U199" s="12"/>
      <c r="V199"/>
      <c r="W199"/>
      <c r="X199"/>
      <c r="Y199"/>
      <c r="Z199"/>
      <c r="AA199"/>
      <c r="AB199"/>
      <c r="AC199"/>
      <c r="AD199"/>
      <c r="AE199"/>
    </row>
    <row r="200" spans="1:31" ht="15.75" thickBot="1" x14ac:dyDescent="0.3">
      <c r="A200" s="635" t="s">
        <v>847</v>
      </c>
      <c r="B200" s="524" t="s">
        <v>692</v>
      </c>
      <c r="C200" s="525" t="s">
        <v>848</v>
      </c>
      <c r="D200" s="526"/>
      <c r="E200" s="325" t="s">
        <v>716</v>
      </c>
      <c r="F200" s="548" t="s">
        <v>62</v>
      </c>
      <c r="G200" s="546" t="s">
        <v>612</v>
      </c>
      <c r="H200" s="540" t="s">
        <v>844</v>
      </c>
      <c r="I200" s="541" t="s">
        <v>1</v>
      </c>
      <c r="J200" s="541" t="s">
        <v>852</v>
      </c>
      <c r="K200" s="541" t="s">
        <v>849</v>
      </c>
      <c r="L200" s="541" t="s">
        <v>62</v>
      </c>
      <c r="M200" s="541" t="s">
        <v>853</v>
      </c>
      <c r="N200" s="541" t="s">
        <v>706</v>
      </c>
      <c r="O200" s="541" t="s">
        <v>611</v>
      </c>
      <c r="P200" s="541" t="s">
        <v>865</v>
      </c>
      <c r="Q200" s="541" t="s">
        <v>372</v>
      </c>
      <c r="R200" s="145"/>
      <c r="S200" s="145"/>
      <c r="T200" s="145"/>
    </row>
    <row r="201" spans="1:31" x14ac:dyDescent="0.25">
      <c r="A201" s="636"/>
      <c r="B201" s="527" t="s">
        <v>601</v>
      </c>
      <c r="C201" s="528" t="s">
        <v>848</v>
      </c>
      <c r="D201" s="529"/>
      <c r="E201" s="544"/>
      <c r="F201" s="547"/>
      <c r="G201" s="545"/>
      <c r="H201" s="1"/>
      <c r="I201" s="1"/>
      <c r="J201" s="1"/>
      <c r="K201" s="1"/>
      <c r="M201" s="1"/>
      <c r="N201" s="1"/>
      <c r="O201" s="1"/>
      <c r="P201" s="145"/>
      <c r="Q201" s="145"/>
      <c r="R201" s="145"/>
      <c r="S201" s="145"/>
      <c r="T201" s="145"/>
    </row>
    <row r="202" spans="1:31" x14ac:dyDescent="0.25">
      <c r="A202" s="636"/>
      <c r="B202" s="530" t="s">
        <v>693</v>
      </c>
      <c r="C202" s="528"/>
      <c r="D202" s="529"/>
      <c r="E202" s="335">
        <v>0.5</v>
      </c>
      <c r="F202" s="335">
        <v>0.5</v>
      </c>
      <c r="G202" s="335">
        <v>0.5</v>
      </c>
      <c r="H202" s="551" t="s">
        <v>113</v>
      </c>
      <c r="I202" s="551" t="s">
        <v>113</v>
      </c>
      <c r="J202" s="551" t="s">
        <v>113</v>
      </c>
      <c r="K202" s="551" t="s">
        <v>113</v>
      </c>
      <c r="L202" s="510"/>
      <c r="M202" s="551" t="s">
        <v>242</v>
      </c>
      <c r="N202" s="551" t="s">
        <v>113</v>
      </c>
      <c r="O202" s="551" t="s">
        <v>128</v>
      </c>
      <c r="P202" s="551" t="s">
        <v>128</v>
      </c>
      <c r="Q202" s="551" t="s">
        <v>128</v>
      </c>
      <c r="T202" s="92"/>
      <c r="V202" s="465"/>
      <c r="W202" s="92"/>
    </row>
    <row r="203" spans="1:31" x14ac:dyDescent="0.25">
      <c r="A203" s="636"/>
      <c r="B203" s="530" t="s">
        <v>694</v>
      </c>
      <c r="C203" s="528"/>
      <c r="D203" s="529"/>
      <c r="E203" s="549">
        <v>5</v>
      </c>
      <c r="F203" s="549">
        <v>5</v>
      </c>
      <c r="G203" s="549">
        <v>5</v>
      </c>
      <c r="H203" s="551" t="s">
        <v>126</v>
      </c>
      <c r="I203" s="551" t="s">
        <v>112</v>
      </c>
      <c r="J203" s="551" t="s">
        <v>128</v>
      </c>
      <c r="K203" s="551" t="s">
        <v>111</v>
      </c>
      <c r="L203" s="510"/>
      <c r="M203" s="551" t="s">
        <v>833</v>
      </c>
      <c r="N203" s="551" t="s">
        <v>115</v>
      </c>
      <c r="O203" s="551" t="s">
        <v>115</v>
      </c>
      <c r="P203" s="551" t="s">
        <v>91</v>
      </c>
      <c r="Q203" s="551" t="s">
        <v>91</v>
      </c>
      <c r="Y203" s="466"/>
      <c r="Z203" s="466"/>
      <c r="AA203" s="466"/>
      <c r="AB203" s="466"/>
      <c r="AC203" s="466"/>
    </row>
    <row r="204" spans="1:31" x14ac:dyDescent="0.25">
      <c r="A204" s="636"/>
      <c r="B204" s="530" t="s">
        <v>695</v>
      </c>
      <c r="C204" s="528"/>
      <c r="D204" s="529"/>
      <c r="E204" s="549"/>
      <c r="F204" s="549"/>
      <c r="G204" s="549"/>
      <c r="H204" s="510"/>
      <c r="I204" s="510"/>
      <c r="J204" s="510"/>
      <c r="K204" s="510" t="s">
        <v>817</v>
      </c>
      <c r="L204" s="510"/>
      <c r="M204" s="510"/>
      <c r="N204" s="510"/>
      <c r="O204" s="510"/>
      <c r="P204" s="552"/>
      <c r="Q204" s="552"/>
      <c r="Y204" s="466"/>
      <c r="Z204" s="466"/>
      <c r="AA204" s="466"/>
      <c r="AB204" s="466"/>
      <c r="AC204" s="466"/>
    </row>
    <row r="205" spans="1:31" ht="15.75" thickBot="1" x14ac:dyDescent="0.3">
      <c r="A205" s="637"/>
      <c r="B205" s="531" t="s">
        <v>816</v>
      </c>
      <c r="C205" s="535"/>
      <c r="D205" s="536"/>
      <c r="E205" s="550" t="s">
        <v>839</v>
      </c>
      <c r="F205" s="550" t="s">
        <v>839</v>
      </c>
      <c r="G205" s="550" t="s">
        <v>839</v>
      </c>
      <c r="H205" s="510"/>
      <c r="I205" s="510"/>
      <c r="J205" s="510"/>
      <c r="K205" s="553"/>
      <c r="L205" s="510"/>
      <c r="M205" s="510"/>
      <c r="N205" s="553" t="s">
        <v>834</v>
      </c>
      <c r="O205" s="553" t="s">
        <v>835</v>
      </c>
      <c r="P205" s="549"/>
      <c r="Q205" s="549"/>
      <c r="U205" s="254"/>
      <c r="Y205" s="466"/>
      <c r="Z205" s="466"/>
      <c r="AA205" s="466"/>
      <c r="AB205" s="466"/>
      <c r="AC205" s="466"/>
    </row>
    <row r="1114" spans="1:23" ht="15.75" thickBot="1" x14ac:dyDescent="0.3">
      <c r="A1114" s="373"/>
      <c r="B1114" s="374"/>
      <c r="C1114" s="375"/>
      <c r="D1114" s="375"/>
      <c r="E1114" s="376"/>
      <c r="F1114" s="377"/>
      <c r="G1114" s="378"/>
      <c r="H1114" s="378"/>
      <c r="I1114" s="379"/>
      <c r="J1114" s="380"/>
      <c r="K1114" s="380"/>
      <c r="L1114" s="381"/>
      <c r="M1114" s="379"/>
      <c r="N1114" s="382"/>
      <c r="O1114" s="382"/>
      <c r="P1114" s="383"/>
      <c r="Q1114" s="383"/>
      <c r="R1114" s="383"/>
      <c r="S1114" s="384"/>
      <c r="T1114" s="385"/>
      <c r="U1114" s="385"/>
      <c r="V1114" s="385"/>
      <c r="W1114" s="383"/>
    </row>
    <row r="1115" spans="1:23" x14ac:dyDescent="0.25">
      <c r="A1115" s="373"/>
      <c r="B1115" s="388" t="s">
        <v>754</v>
      </c>
      <c r="C1115" s="439">
        <f>COUNTIF(B$1:B1112,B1115)</f>
        <v>1</v>
      </c>
      <c r="D1115" s="447">
        <f>C1115/C1120</f>
        <v>0.2</v>
      </c>
      <c r="E1115" s="389"/>
      <c r="F1115" s="377"/>
      <c r="G1115" s="378"/>
      <c r="H1115" s="378"/>
      <c r="I1115" s="390"/>
      <c r="J1115" s="440">
        <f>SUMIF(B$3:B1112,B1115,T$3:T1119)</f>
        <v>48</v>
      </c>
      <c r="K1115" s="451"/>
      <c r="L1115" s="452">
        <f>J1115/J1120</f>
        <v>1</v>
      </c>
      <c r="M1115" s="382"/>
      <c r="N1115" s="382"/>
      <c r="O1115" s="382"/>
      <c r="P1115" s="383"/>
      <c r="Q1115" s="383"/>
      <c r="R1115" s="383"/>
      <c r="S1115" s="384" t="s">
        <v>731</v>
      </c>
      <c r="T1115" s="392">
        <v>1261915799.52244</v>
      </c>
      <c r="U1115" s="392" t="e">
        <f>SUM(#REF!)</f>
        <v>#REF!</v>
      </c>
      <c r="V1115" s="392" t="e">
        <f>SUM(#REF!)</f>
        <v>#REF!</v>
      </c>
      <c r="W1115" s="383" t="s">
        <v>755</v>
      </c>
    </row>
    <row r="1116" spans="1:23" x14ac:dyDescent="0.25">
      <c r="A1116" s="373"/>
      <c r="B1116" s="393" t="s">
        <v>756</v>
      </c>
      <c r="C1116" s="441">
        <f>COUNTIF(B$1:B1112,B1116)</f>
        <v>1</v>
      </c>
      <c r="D1116" s="448">
        <f>C1116/C1120</f>
        <v>0.2</v>
      </c>
      <c r="E1116" s="389"/>
      <c r="F1116" s="377"/>
      <c r="G1116" s="378"/>
      <c r="H1116" s="378"/>
      <c r="I1116" s="390"/>
      <c r="J1116" s="442">
        <f>SUMIF(B$3:B1115,B1116,T$3:T1120)</f>
        <v>0</v>
      </c>
      <c r="K1116" s="453"/>
      <c r="L1116" s="454">
        <f>J1116/J1120</f>
        <v>0</v>
      </c>
      <c r="M1116" s="382"/>
      <c r="N1116" s="382"/>
      <c r="O1116" s="382"/>
      <c r="P1116" s="387"/>
      <c r="Q1116" s="387"/>
      <c r="R1116" s="387"/>
      <c r="S1116" s="394"/>
      <c r="T1116" s="395"/>
      <c r="U1116" s="395"/>
      <c r="V1116" s="395"/>
      <c r="W1116" s="387"/>
    </row>
    <row r="1117" spans="1:23" x14ac:dyDescent="0.25">
      <c r="A1117" s="373"/>
      <c r="B1117" s="397" t="s">
        <v>757</v>
      </c>
      <c r="C1117" s="443">
        <f>COUNTIF(B$1:B1112,B1117)</f>
        <v>1</v>
      </c>
      <c r="D1117" s="449">
        <f>C1117/C1120</f>
        <v>0.2</v>
      </c>
      <c r="E1117" s="389"/>
      <c r="F1117" s="377"/>
      <c r="G1117" s="378"/>
      <c r="H1117" s="378"/>
      <c r="I1117" s="390"/>
      <c r="J1117" s="444">
        <f>SUMIF(B$3:B1116,B1117,T$3:T1120)</f>
        <v>0</v>
      </c>
      <c r="K1117" s="455"/>
      <c r="L1117" s="456">
        <f>J1117/J1120</f>
        <v>0</v>
      </c>
      <c r="M1117" s="379"/>
      <c r="N1117" s="382"/>
      <c r="O1117" s="382"/>
      <c r="P1117" s="387"/>
      <c r="Q1117" s="387"/>
      <c r="R1117" s="387"/>
      <c r="S1117" s="394"/>
      <c r="T1117" s="395"/>
      <c r="U1117" s="395"/>
      <c r="V1117" s="395"/>
      <c r="W1117" s="387"/>
    </row>
    <row r="1118" spans="1:23" ht="15.75" thickBot="1" x14ac:dyDescent="0.3">
      <c r="A1118" s="373"/>
      <c r="B1118" s="398" t="s">
        <v>758</v>
      </c>
      <c r="C1118" s="445">
        <f>COUNTIF(B$1:B1115,B1118)</f>
        <v>1</v>
      </c>
      <c r="D1118" s="450">
        <f>C1118/C1120</f>
        <v>0.2</v>
      </c>
      <c r="E1118" s="389"/>
      <c r="F1118" s="377"/>
      <c r="G1118" s="378"/>
      <c r="H1118" s="378"/>
      <c r="I1118" s="390"/>
      <c r="J1118" s="446">
        <f>SUMIF(B$3:B1117,B1118,T$3:T1120)</f>
        <v>0</v>
      </c>
      <c r="K1118" s="457"/>
      <c r="L1118" s="458">
        <f>J1118/J1120</f>
        <v>0</v>
      </c>
      <c r="M1118" s="379"/>
      <c r="N1118" s="382"/>
      <c r="O1118" s="382"/>
      <c r="P1118" s="387"/>
      <c r="Q1118" s="387"/>
      <c r="R1118" s="387"/>
      <c r="S1118" s="394"/>
      <c r="T1118" s="395"/>
      <c r="U1118" s="395"/>
      <c r="V1118" s="395"/>
      <c r="W1118" s="387"/>
    </row>
    <row r="1119" spans="1:23" ht="16.5" thickTop="1" thickBot="1" x14ac:dyDescent="0.3">
      <c r="A1119" s="399"/>
      <c r="B1119" s="400" t="s">
        <v>759</v>
      </c>
      <c r="C1119" s="401">
        <f>COUNTIF(B$1:B1112,B1119)</f>
        <v>1</v>
      </c>
      <c r="D1119" s="402">
        <f>C1119/C1120</f>
        <v>0.2</v>
      </c>
      <c r="E1119" s="403"/>
      <c r="F1119" s="404"/>
      <c r="G1119" s="405"/>
      <c r="H1119" s="405"/>
      <c r="I1119" s="406"/>
      <c r="J1119" s="459">
        <f>SUMIF(B$3:B1118,B1119,T$3:T1120)</f>
        <v>0</v>
      </c>
      <c r="K1119" s="460"/>
      <c r="L1119" s="461">
        <f>J1119/J1120</f>
        <v>0</v>
      </c>
      <c r="M1119" s="407"/>
      <c r="N1119" s="407"/>
      <c r="O1119" s="407"/>
      <c r="P1119" s="387"/>
      <c r="Q1119" s="387"/>
      <c r="R1119" s="387"/>
      <c r="S1119" s="394"/>
      <c r="T1119" s="395"/>
      <c r="U1119" s="395"/>
      <c r="V1119" s="395"/>
      <c r="W1119" s="387"/>
    </row>
    <row r="1120" spans="1:23" x14ac:dyDescent="0.25">
      <c r="A1120" s="373"/>
      <c r="B1120" s="408"/>
      <c r="C1120" s="409">
        <f>SUM(C1115:C1119)</f>
        <v>5</v>
      </c>
      <c r="D1120" s="375"/>
      <c r="E1120" s="389"/>
      <c r="F1120" s="377"/>
      <c r="G1120" s="378"/>
      <c r="H1120" s="378"/>
      <c r="I1120" s="390"/>
      <c r="J1120" s="410">
        <f>SUM(J1115:J1119)</f>
        <v>48</v>
      </c>
      <c r="K1120" s="391"/>
      <c r="L1120" s="411"/>
      <c r="M1120" s="379"/>
      <c r="N1120" s="382"/>
      <c r="O1120" s="382"/>
      <c r="P1120" s="387"/>
      <c r="Q1120" s="387"/>
      <c r="R1120" s="387"/>
      <c r="S1120" s="394"/>
      <c r="T1120" s="395"/>
      <c r="U1120" s="395"/>
      <c r="V1120" s="395"/>
      <c r="W1120" s="387"/>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ADD8E6"/>
  </sheetPr>
  <dimension ref="A1:Q20"/>
  <sheetViews>
    <sheetView workbookViewId="0">
      <selection activeCell="H1" sqref="H1"/>
    </sheetView>
  </sheetViews>
  <sheetFormatPr defaultRowHeight="15" x14ac:dyDescent="0.25"/>
  <cols>
    <col min="2" max="2" width="1.7109375" customWidth="1"/>
    <col min="3" max="5" width="0.85546875" customWidth="1"/>
    <col min="6" max="8" width="10.7109375" customWidth="1"/>
    <col min="11" max="11" width="10.7109375" customWidth="1"/>
    <col min="12" max="12" width="20.7109375" customWidth="1"/>
    <col min="13" max="13" width="10.7109375" customWidth="1"/>
    <col min="14" max="15" width="8.7109375" customWidth="1"/>
    <col min="17" max="17" width="10.7109375" customWidth="1"/>
  </cols>
  <sheetData>
    <row r="1" spans="1:17" ht="15.75" thickBot="1" x14ac:dyDescent="0.3">
      <c r="A1" s="518" t="s">
        <v>94</v>
      </c>
      <c r="B1" s="517"/>
      <c r="C1" s="1"/>
      <c r="D1" s="1"/>
      <c r="E1" s="1"/>
      <c r="F1" s="514" t="s">
        <v>843</v>
      </c>
      <c r="G1" s="513" t="s">
        <v>844</v>
      </c>
      <c r="H1" s="516" t="s">
        <v>845</v>
      </c>
      <c r="I1" s="1"/>
      <c r="J1" s="1"/>
      <c r="K1" s="145"/>
      <c r="L1" s="8"/>
      <c r="M1" s="6"/>
      <c r="N1" s="12"/>
    </row>
    <row r="2" spans="1:17" ht="15.75" thickBot="1" x14ac:dyDescent="0.3">
      <c r="A2" s="528"/>
      <c r="B2" s="529"/>
      <c r="C2" s="580"/>
      <c r="D2" s="580"/>
      <c r="E2" s="580"/>
      <c r="F2" s="581"/>
      <c r="G2" s="581"/>
      <c r="H2" s="582"/>
      <c r="I2" s="580"/>
      <c r="J2" s="580"/>
      <c r="K2" s="270"/>
      <c r="L2" s="8"/>
      <c r="M2" s="6"/>
      <c r="N2" s="12"/>
      <c r="O2" s="2"/>
      <c r="P2" s="2"/>
      <c r="Q2" s="2"/>
    </row>
    <row r="3" spans="1:17" ht="23.25" thickBot="1" x14ac:dyDescent="0.3">
      <c r="A3" s="525" t="s">
        <v>848</v>
      </c>
      <c r="B3" s="526"/>
      <c r="C3" s="324" t="s">
        <v>715</v>
      </c>
      <c r="D3" s="325" t="s">
        <v>716</v>
      </c>
      <c r="E3" s="325" t="s">
        <v>592</v>
      </c>
      <c r="F3" s="534" t="s">
        <v>68</v>
      </c>
      <c r="G3" s="521" t="s">
        <v>67</v>
      </c>
      <c r="H3" s="520" t="s">
        <v>66</v>
      </c>
      <c r="I3" s="521" t="s">
        <v>850</v>
      </c>
      <c r="J3" s="521" t="s">
        <v>851</v>
      </c>
      <c r="K3" s="522" t="s">
        <v>65</v>
      </c>
      <c r="L3" s="523" t="s">
        <v>0</v>
      </c>
      <c r="M3" s="522" t="s">
        <v>2</v>
      </c>
      <c r="N3" s="522" t="s">
        <v>1</v>
      </c>
      <c r="O3" s="520" t="s">
        <v>62</v>
      </c>
      <c r="P3" s="522" t="s">
        <v>64</v>
      </c>
      <c r="Q3" s="522" t="s">
        <v>57</v>
      </c>
    </row>
    <row r="4" spans="1:17" x14ac:dyDescent="0.25">
      <c r="A4" s="528" t="s">
        <v>848</v>
      </c>
      <c r="B4" s="529"/>
      <c r="C4" s="542"/>
      <c r="D4" s="543"/>
      <c r="E4" s="543"/>
      <c r="F4" s="1"/>
      <c r="G4" s="1"/>
      <c r="H4" s="1"/>
      <c r="K4" s="1"/>
      <c r="L4" s="1"/>
      <c r="M4" s="1"/>
      <c r="N4" s="1"/>
      <c r="O4" s="145"/>
      <c r="P4" s="145"/>
      <c r="Q4" s="145"/>
    </row>
    <row r="5" spans="1:17" x14ac:dyDescent="0.25">
      <c r="A5" s="528"/>
      <c r="B5" s="529"/>
      <c r="C5" s="549">
        <v>0.5</v>
      </c>
      <c r="D5" s="549">
        <v>0.5</v>
      </c>
      <c r="E5" s="549">
        <v>0.5</v>
      </c>
      <c r="F5" s="551" t="s">
        <v>113</v>
      </c>
      <c r="G5" s="551" t="s">
        <v>113</v>
      </c>
      <c r="H5" s="551" t="s">
        <v>113</v>
      </c>
      <c r="I5" s="510"/>
      <c r="J5" s="510"/>
      <c r="K5" s="551" t="s">
        <v>113</v>
      </c>
      <c r="L5" s="551" t="s">
        <v>242</v>
      </c>
      <c r="M5" s="551" t="s">
        <v>113</v>
      </c>
      <c r="N5" s="551" t="s">
        <v>128</v>
      </c>
      <c r="O5" s="551" t="s">
        <v>128</v>
      </c>
      <c r="P5" s="510"/>
      <c r="Q5" s="510"/>
    </row>
    <row r="6" spans="1:17" x14ac:dyDescent="0.25">
      <c r="A6" s="528"/>
      <c r="B6" s="529"/>
      <c r="C6" s="549">
        <v>9</v>
      </c>
      <c r="D6" s="549">
        <v>5</v>
      </c>
      <c r="E6" s="549">
        <v>3</v>
      </c>
      <c r="F6" s="551" t="s">
        <v>126</v>
      </c>
      <c r="G6" s="551" t="s">
        <v>112</v>
      </c>
      <c r="H6" s="551" t="s">
        <v>128</v>
      </c>
      <c r="I6" s="510"/>
      <c r="J6" s="510"/>
      <c r="K6" s="551" t="s">
        <v>111</v>
      </c>
      <c r="L6" s="551" t="s">
        <v>833</v>
      </c>
      <c r="M6" s="551" t="s">
        <v>115</v>
      </c>
      <c r="N6" s="551" t="s">
        <v>115</v>
      </c>
      <c r="O6" s="551" t="s">
        <v>91</v>
      </c>
      <c r="P6" s="510"/>
      <c r="Q6" s="510"/>
    </row>
    <row r="7" spans="1:17" x14ac:dyDescent="0.25">
      <c r="A7" s="528"/>
      <c r="B7" s="529"/>
      <c r="C7" s="549"/>
      <c r="D7" s="549"/>
      <c r="E7" s="549"/>
      <c r="F7" s="510"/>
      <c r="G7" s="510"/>
      <c r="H7" s="510"/>
      <c r="I7" s="510"/>
      <c r="J7" s="510"/>
      <c r="K7" s="510" t="s">
        <v>817</v>
      </c>
      <c r="L7" s="510"/>
      <c r="M7" s="510"/>
      <c r="N7" s="510"/>
      <c r="O7" s="552"/>
      <c r="P7" s="510"/>
      <c r="Q7" s="510"/>
    </row>
    <row r="8" spans="1:17" ht="15.75" thickBot="1" x14ac:dyDescent="0.3">
      <c r="A8" s="535"/>
      <c r="B8" s="536"/>
      <c r="C8" s="550" t="s">
        <v>798</v>
      </c>
      <c r="D8" s="550" t="s">
        <v>839</v>
      </c>
      <c r="E8" s="550" t="s">
        <v>840</v>
      </c>
      <c r="F8" s="510"/>
      <c r="G8" s="510"/>
      <c r="H8" s="510"/>
      <c r="I8" s="510"/>
      <c r="J8" s="510"/>
      <c r="K8" s="553"/>
      <c r="L8" s="510"/>
      <c r="M8" s="553" t="s">
        <v>834</v>
      </c>
      <c r="N8" s="553" t="s">
        <v>835</v>
      </c>
      <c r="O8" s="549"/>
      <c r="P8" s="510"/>
      <c r="Q8" s="510"/>
    </row>
    <row r="9" spans="1:17" ht="45.75" thickBot="1" x14ac:dyDescent="0.3">
      <c r="A9" s="525" t="s">
        <v>848</v>
      </c>
      <c r="B9" s="526"/>
      <c r="C9" s="554" t="s">
        <v>716</v>
      </c>
      <c r="D9" s="555" t="s">
        <v>579</v>
      </c>
      <c r="E9" s="556" t="s">
        <v>612</v>
      </c>
      <c r="F9" s="557" t="s">
        <v>841</v>
      </c>
      <c r="G9" s="558" t="s">
        <v>374</v>
      </c>
      <c r="H9" s="561" t="s">
        <v>860</v>
      </c>
      <c r="I9" s="558" t="s">
        <v>854</v>
      </c>
      <c r="J9" s="560" t="s">
        <v>859</v>
      </c>
      <c r="K9" s="560" t="s">
        <v>855</v>
      </c>
      <c r="L9" s="559" t="s">
        <v>857</v>
      </c>
      <c r="M9" s="560" t="s">
        <v>856</v>
      </c>
      <c r="N9" s="561" t="s">
        <v>858</v>
      </c>
      <c r="O9" s="561" t="s">
        <v>861</v>
      </c>
      <c r="P9" s="561" t="s">
        <v>862</v>
      </c>
      <c r="Q9" s="561" t="s">
        <v>863</v>
      </c>
    </row>
    <row r="10" spans="1:17" x14ac:dyDescent="0.25">
      <c r="A10" s="528" t="s">
        <v>848</v>
      </c>
      <c r="B10" s="529"/>
      <c r="C10" s="544"/>
      <c r="D10" s="547"/>
      <c r="E10" s="545"/>
      <c r="F10" s="539"/>
      <c r="G10" s="539"/>
      <c r="H10" s="539"/>
      <c r="I10" s="539"/>
      <c r="J10" s="539"/>
      <c r="K10" s="539"/>
      <c r="L10" s="539"/>
      <c r="M10" s="539"/>
      <c r="N10" s="539"/>
      <c r="O10" s="539"/>
      <c r="P10" s="539"/>
      <c r="Q10" s="539"/>
    </row>
    <row r="11" spans="1:17" x14ac:dyDescent="0.25">
      <c r="A11" s="528"/>
      <c r="B11" s="529"/>
      <c r="C11" s="335">
        <v>0.5</v>
      </c>
      <c r="D11" s="335">
        <v>0.5</v>
      </c>
      <c r="E11" s="335">
        <v>0.5</v>
      </c>
      <c r="F11" s="537">
        <v>20</v>
      </c>
      <c r="G11" s="537">
        <v>20</v>
      </c>
      <c r="H11" s="537">
        <v>10</v>
      </c>
      <c r="I11" s="537">
        <v>10</v>
      </c>
      <c r="J11" s="537">
        <v>10</v>
      </c>
      <c r="K11" s="537">
        <v>10</v>
      </c>
      <c r="L11" s="537">
        <v>10</v>
      </c>
      <c r="M11" s="537">
        <v>10</v>
      </c>
      <c r="N11" s="537">
        <v>10</v>
      </c>
      <c r="O11" s="537">
        <v>8</v>
      </c>
      <c r="P11" s="537">
        <v>8</v>
      </c>
      <c r="Q11" s="537">
        <v>8</v>
      </c>
    </row>
    <row r="12" spans="1:17" x14ac:dyDescent="0.25">
      <c r="A12" s="528"/>
      <c r="B12" s="529"/>
      <c r="C12" s="549">
        <v>5</v>
      </c>
      <c r="D12" s="549">
        <v>5</v>
      </c>
      <c r="E12" s="549">
        <v>5</v>
      </c>
      <c r="F12" s="507"/>
      <c r="G12" s="507"/>
      <c r="H12" s="507"/>
      <c r="I12" s="507"/>
      <c r="J12" s="537"/>
      <c r="K12" s="537"/>
      <c r="L12" s="537"/>
      <c r="M12" s="537"/>
      <c r="N12" s="537"/>
      <c r="O12" s="537"/>
      <c r="P12" s="537"/>
      <c r="Q12" s="537"/>
    </row>
    <row r="13" spans="1:17" x14ac:dyDescent="0.25">
      <c r="A13" s="528"/>
      <c r="B13" s="529"/>
      <c r="C13" s="549"/>
      <c r="D13" s="549"/>
      <c r="E13" s="549"/>
      <c r="F13" s="507"/>
      <c r="G13" s="507"/>
      <c r="H13" s="507"/>
      <c r="I13" s="507"/>
      <c r="J13" s="507"/>
      <c r="K13" s="507"/>
      <c r="L13" s="507"/>
      <c r="M13" s="507"/>
      <c r="N13" s="507"/>
      <c r="O13" s="507"/>
      <c r="P13" s="507"/>
      <c r="Q13" s="507"/>
    </row>
    <row r="14" spans="1:17" ht="15.75" thickBot="1" x14ac:dyDescent="0.3">
      <c r="A14" s="532"/>
      <c r="B14" s="533"/>
      <c r="C14" s="550" t="s">
        <v>839</v>
      </c>
      <c r="D14" s="550" t="s">
        <v>839</v>
      </c>
      <c r="E14" s="550" t="s">
        <v>839</v>
      </c>
      <c r="F14" s="515"/>
      <c r="G14" s="515"/>
      <c r="H14" s="515"/>
      <c r="I14" s="515"/>
      <c r="J14" s="515"/>
      <c r="K14" s="515"/>
      <c r="L14" s="515"/>
      <c r="M14" s="515"/>
      <c r="N14" s="515"/>
      <c r="O14" s="515"/>
      <c r="P14" s="537"/>
      <c r="Q14" s="538"/>
    </row>
    <row r="15" spans="1:17" ht="15.75" thickBot="1" x14ac:dyDescent="0.3">
      <c r="A15" s="525" t="s">
        <v>848</v>
      </c>
      <c r="B15" s="526"/>
      <c r="C15" s="325" t="s">
        <v>716</v>
      </c>
      <c r="D15" s="548" t="s">
        <v>62</v>
      </c>
      <c r="E15" s="546" t="s">
        <v>612</v>
      </c>
      <c r="F15" s="540" t="s">
        <v>844</v>
      </c>
      <c r="G15" s="541" t="s">
        <v>1</v>
      </c>
      <c r="H15" s="541" t="s">
        <v>852</v>
      </c>
      <c r="I15" s="541" t="s">
        <v>849</v>
      </c>
      <c r="J15" s="541" t="s">
        <v>62</v>
      </c>
      <c r="K15" s="541" t="s">
        <v>853</v>
      </c>
      <c r="L15" s="541" t="s">
        <v>706</v>
      </c>
      <c r="M15" s="541" t="s">
        <v>611</v>
      </c>
      <c r="N15" s="541" t="s">
        <v>865</v>
      </c>
      <c r="O15" s="541" t="s">
        <v>372</v>
      </c>
      <c r="P15" s="145"/>
      <c r="Q15" s="145"/>
    </row>
    <row r="16" spans="1:17" x14ac:dyDescent="0.25">
      <c r="A16" s="528" t="s">
        <v>848</v>
      </c>
      <c r="B16" s="529"/>
      <c r="C16" s="544"/>
      <c r="D16" s="547"/>
      <c r="E16" s="545"/>
      <c r="F16" s="1"/>
      <c r="G16" s="1"/>
      <c r="H16" s="1"/>
      <c r="I16" s="1"/>
      <c r="K16" s="1"/>
      <c r="L16" s="1"/>
      <c r="M16" s="1"/>
      <c r="N16" s="145"/>
      <c r="O16" s="145"/>
      <c r="P16" s="145"/>
      <c r="Q16" s="145"/>
    </row>
    <row r="17" spans="1:15" x14ac:dyDescent="0.25">
      <c r="A17" s="528"/>
      <c r="B17" s="529"/>
      <c r="C17" s="335">
        <v>0.5</v>
      </c>
      <c r="D17" s="335">
        <v>0.5</v>
      </c>
      <c r="E17" s="335">
        <v>0.5</v>
      </c>
      <c r="F17" s="551" t="s">
        <v>113</v>
      </c>
      <c r="G17" s="551" t="s">
        <v>113</v>
      </c>
      <c r="H17" s="551" t="s">
        <v>113</v>
      </c>
      <c r="I17" s="551" t="s">
        <v>113</v>
      </c>
      <c r="J17" s="510"/>
      <c r="K17" s="551" t="s">
        <v>242</v>
      </c>
      <c r="L17" s="551" t="s">
        <v>113</v>
      </c>
      <c r="M17" s="551" t="s">
        <v>128</v>
      </c>
      <c r="N17" s="551" t="s">
        <v>128</v>
      </c>
      <c r="O17" s="551" t="s">
        <v>128</v>
      </c>
    </row>
    <row r="18" spans="1:15" x14ac:dyDescent="0.25">
      <c r="A18" s="528"/>
      <c r="B18" s="529"/>
      <c r="C18" s="549">
        <v>5</v>
      </c>
      <c r="D18" s="549">
        <v>5</v>
      </c>
      <c r="E18" s="549">
        <v>5</v>
      </c>
      <c r="F18" s="551" t="s">
        <v>126</v>
      </c>
      <c r="G18" s="551" t="s">
        <v>112</v>
      </c>
      <c r="H18" s="551" t="s">
        <v>128</v>
      </c>
      <c r="I18" s="551" t="s">
        <v>111</v>
      </c>
      <c r="J18" s="510"/>
      <c r="K18" s="551" t="s">
        <v>833</v>
      </c>
      <c r="L18" s="551" t="s">
        <v>115</v>
      </c>
      <c r="M18" s="551" t="s">
        <v>115</v>
      </c>
      <c r="N18" s="551" t="s">
        <v>91</v>
      </c>
      <c r="O18" s="551" t="s">
        <v>91</v>
      </c>
    </row>
    <row r="19" spans="1:15" x14ac:dyDescent="0.25">
      <c r="A19" s="528"/>
      <c r="B19" s="529"/>
      <c r="C19" s="549"/>
      <c r="D19" s="549"/>
      <c r="E19" s="549"/>
      <c r="F19" s="510"/>
      <c r="G19" s="510"/>
      <c r="H19" s="510"/>
      <c r="I19" s="510" t="s">
        <v>817</v>
      </c>
      <c r="J19" s="510"/>
      <c r="K19" s="510"/>
      <c r="L19" s="510"/>
      <c r="M19" s="510"/>
      <c r="N19" s="552"/>
      <c r="O19" s="552"/>
    </row>
    <row r="20" spans="1:15" ht="15.75" thickBot="1" x14ac:dyDescent="0.3">
      <c r="A20" s="535"/>
      <c r="B20" s="536"/>
      <c r="C20" s="550" t="s">
        <v>839</v>
      </c>
      <c r="D20" s="550" t="s">
        <v>839</v>
      </c>
      <c r="E20" s="550" t="s">
        <v>839</v>
      </c>
      <c r="F20" s="510"/>
      <c r="G20" s="510"/>
      <c r="H20" s="510"/>
      <c r="I20" s="553"/>
      <c r="J20" s="510"/>
      <c r="K20" s="510"/>
      <c r="L20" s="553" t="s">
        <v>834</v>
      </c>
      <c r="M20" s="553" t="s">
        <v>835</v>
      </c>
      <c r="N20" s="549"/>
      <c r="O20" s="54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vt:i4>
      </vt:variant>
    </vt:vector>
  </HeadingPairs>
  <TitlesOfParts>
    <vt:vector size="57"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Order_MyCol</vt:lpstr>
      <vt:lpstr>Payment_MyCol</vt:lpstr>
      <vt:lpstr>Payment_Summary</vt:lpstr>
      <vt:lpstr>RUB_Rate</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2012-10-01T21:58:59Z</dcterms:modified>
</cp:coreProperties>
</file>