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16065" yWindow="-15" windowWidth="7650" windowHeight="5145" firstSheet="1" activeTab="4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Process!$A$4:$O$111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We!$A$187:$A$191</definedName>
    <definedName name="DIC_Build_Autodesk_Material_Description" comment="7/5/12 список групп товаров ADSK       10/5/12 - добавлена 1 кол. - результат ">We!$C$210:$E$285</definedName>
    <definedName name="DIC_CityNames" comment="9.5.12 А.Пасс - словарь по 1 колонке 5.5.12 Словарь городов">We!$A$158:$B$184</definedName>
    <definedName name="DIC_CtryNames" comment="9.5.12 А.Пасс - словарь из 1 колонки 6.5.12 Словарь стран">We!$A$194:$A$196</definedName>
    <definedName name="DIC_GoodADSK" comment="7.5.12 DIC_GoodADSK - словарь Продуктов Autodesk">We!$A$210:$A$242</definedName>
    <definedName name="Fr1CtoSF">We!$A$8:$C$35</definedName>
    <definedName name="Glossary" comment="5.4.12 слова, игнорируемые при сравнении имен Организаций">We!$A$68:$B$155</definedName>
    <definedName name="Goods" comment="типы товаров по Счетам 1С">We!$A$44:$B$57</definedName>
    <definedName name="GoodSbs" comment="29.10.12 - типы подписок для Товара">We!$A$44:$K$55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Header!$B$5:$AG$10</definedName>
    <definedName name="HDR_1C_Payment_Summary" comment="11.9.12 HDR_1C_Payment_Summary">Header!$A$13:$R$14</definedName>
    <definedName name="HDR_AccntUpd" comment="18.6.12 HDR_AccntUpd шапка изменений Организаций SF, включая связь с 1С">Header!$A$143:$N$143</definedName>
    <definedName name="HDR_AdAcc" comment="11.6.12 - Шапка полей новой Организации">Header!$A$140:$V$140</definedName>
    <definedName name="HDR_BTOmails" comment="12.6.12 HDR_BTOmails шапка для извлекаемых писем БТО">Header!$A$159:$J$160</definedName>
    <definedName name="HDR_ContractUpdate">Header!$A$134:$B$134</definedName>
    <definedName name="HDR_ContrLnk" comment="18.3.12 шапка для листа C_ContrLnk - связка Договора с Проектом">Header!$A$134:$B$134</definedName>
    <definedName name="HDR_DicAcc" comment="19.6.12 HDR_AccDic - шапка Словаря Организаций">Header!$A$146:$C$147</definedName>
    <definedName name="HDR_NewContract" comment="25.3.12 HDR_NewContract - шапка &quot;голубого&quot; листа в NewContract">Header!$B$110:$V$114</definedName>
    <definedName name="HDR_NewOpp" comment="28.10.12 HDR_NewOpp - создание Проектов SF. Они записываются в файл OppInsert.csv и загружаются в SF Data Loader'ом">Header!$C$118:$N$123</definedName>
    <definedName name="HDR_NewOppByPaidContr">Header!$C$126:$N$131</definedName>
    <definedName name="HDR_NewOrderList" comment="28.4.12 шапка для NewOrderList">Header!$A$150:$C$150</definedName>
    <definedName name="HDR_NewPayment" comment="26.9.12  занесение Платежей в SF. Они записываются в файл Payment.csv и загружаются в SF Data Loader'ом">Header!$B$102:$I$107</definedName>
    <definedName name="HDR_NewSN" comment="6.6.12 шапки для занесения новыз SN в SF -- 2PASS">Header!$A$156:$C$156</definedName>
    <definedName name="HDR_P_ADSKlink" comment="14/5/12 новые связи Платежей и Контрактов ADSK">Header!$A$153:$C$153</definedName>
    <definedName name="HDR_PaymentUpd" comment="11.3.12 Update Платежа - связывание существующего Платежа с Договором">Header!$A$137:$B$137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Header!$C$118:$L$118</definedName>
    <definedName name="OppTypeRng" comment="22.3.12">We!$A$44:$D$57</definedName>
    <definedName name="Orders_MyCol" comment="1.10.12 Orders_MyCol  - шаблон для колонок листа Заказов">Header!$B$74:$AI$79</definedName>
    <definedName name="Payment_MyCol" comment="3.8.12 Payment_MyCol 1C.xlsm 1C формулы -- для связки с Платежами SF">Header!$B$5:$AD$7</definedName>
    <definedName name="Payment_Summary" comment="3.8.12_Payment_Summary_1C.xlsm_PAY_SHEET пятка.">Header!$A$13:$R$14</definedName>
    <definedName name="RUB_Rate">We!$A$38:$C$40</definedName>
    <definedName name="RUB_Rate_2">We!$B$38:$C$40</definedName>
    <definedName name="SF_MyCol" comment="14.7.12 SF_MyCol SFDC.xlsm SF формулы -- используется для связки с Платежами 1С">Header!$A$46:$B$48</definedName>
    <definedName name="SF_Summary" comment="14.7.12 SF_Summary SFDC.xlsm SF  -- пятка. Фильтрует обороты CSIT">Header!$A$51:$F$52</definedName>
    <definedName name="SFD_MyCol" comment="4.11.12 SFD_MyCol SFDC.xlsm SFD формулы -- для связки с Договорами 1С">Header!$C$56:$D$61</definedName>
    <definedName name="SFD_Summary" comment="14.7.12 SF_Summary SFDC.xlsm SFD  -- пятка">Header!$A$65</definedName>
    <definedName name="Stock_MyCol" comment="1.10.12 Stock_MyCol  - шаблон для колонок листа Stock">Header!$C$82:$Y$87</definedName>
    <definedName name="Team">We!$A$8:$E$35</definedName>
    <definedName name="TOCmatch" comment="11.7.12 TOCmatch - Оглавление по всем отчетам в базе данных" localSheetId="1">Process!$A$109:$L$112</definedName>
    <definedName name="TOCmatch" comment="11.7.12 TOCmatch - Оглавление по всем отчетам в базе данных" localSheetId="0">TOCmatch!$A$14:$J$38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 refMode="R1C1"/>
</workbook>
</file>

<file path=xl/calcChain.xml><?xml version="1.0" encoding="utf-8"?>
<calcChain xmlns="http://schemas.openxmlformats.org/spreadsheetml/2006/main">
  <c r="G77" i="1989" l="1"/>
  <c r="F78" i="1989" l="1"/>
  <c r="C78" i="1989"/>
  <c r="M77" i="1989"/>
  <c r="N77" i="1989"/>
  <c r="L77" i="1989"/>
  <c r="K77" i="1989"/>
  <c r="C77" i="1989"/>
  <c r="K75" i="1989" l="1"/>
  <c r="K78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41" i="763"/>
  <c r="V1137" i="763"/>
  <c r="U1137" i="763"/>
  <c r="AS197" i="763"/>
  <c r="AR197" i="763"/>
  <c r="AQ197" i="763"/>
  <c r="AP197" i="763"/>
  <c r="AO197" i="763"/>
  <c r="AN197" i="763"/>
  <c r="AM197" i="763"/>
  <c r="AL197" i="763"/>
  <c r="AK197" i="763"/>
  <c r="AJ197" i="763"/>
  <c r="AI197" i="763"/>
  <c r="AH197" i="763"/>
  <c r="AF197" i="763"/>
  <c r="AE197" i="763"/>
  <c r="AD197" i="763"/>
  <c r="AC197" i="763"/>
  <c r="AB197" i="763"/>
  <c r="AA197" i="763"/>
  <c r="Z197" i="763"/>
  <c r="Y197" i="763"/>
  <c r="X197" i="763"/>
  <c r="W197" i="763"/>
  <c r="V197" i="763"/>
  <c r="U197" i="763"/>
  <c r="S197" i="763"/>
  <c r="R197" i="763"/>
  <c r="Q197" i="763"/>
  <c r="P197" i="763"/>
  <c r="O197" i="763"/>
  <c r="N197" i="763"/>
  <c r="M197" i="763"/>
  <c r="L197" i="763"/>
  <c r="K197" i="763"/>
  <c r="J197" i="763"/>
  <c r="I197" i="763"/>
  <c r="H197" i="763"/>
  <c r="F197" i="763"/>
  <c r="E197" i="763"/>
  <c r="D197" i="763"/>
  <c r="C197" i="763"/>
  <c r="AT196" i="763"/>
  <c r="AG196" i="763"/>
  <c r="T196" i="763"/>
  <c r="G196" i="763"/>
  <c r="AU196" i="763" s="1"/>
  <c r="AT195" i="763"/>
  <c r="AG195" i="763"/>
  <c r="T195" i="763"/>
  <c r="G195" i="763"/>
  <c r="AT194" i="763"/>
  <c r="AG194" i="763"/>
  <c r="T194" i="763"/>
  <c r="G194" i="763"/>
  <c r="AU194" i="763" s="1"/>
  <c r="AT193" i="763"/>
  <c r="AG193" i="763"/>
  <c r="T193" i="763"/>
  <c r="G193" i="763"/>
  <c r="AT192" i="763"/>
  <c r="AG192" i="763"/>
  <c r="T192" i="763"/>
  <c r="G192" i="763"/>
  <c r="AU192" i="763" s="1"/>
  <c r="AT191" i="763"/>
  <c r="AG191" i="763"/>
  <c r="T191" i="763"/>
  <c r="AU191" i="763" s="1"/>
  <c r="G191" i="763"/>
  <c r="AT190" i="763"/>
  <c r="AG190" i="763"/>
  <c r="T190" i="763"/>
  <c r="G190" i="763"/>
  <c r="AU190" i="763" s="1"/>
  <c r="AT189" i="763"/>
  <c r="AG189" i="763"/>
  <c r="T189" i="763"/>
  <c r="G189" i="763"/>
  <c r="AT188" i="763"/>
  <c r="AG188" i="763"/>
  <c r="T188" i="763"/>
  <c r="G188" i="763"/>
  <c r="AU188" i="763" s="1"/>
  <c r="AT187" i="763"/>
  <c r="AG187" i="763"/>
  <c r="T187" i="763"/>
  <c r="G187" i="763"/>
  <c r="AT186" i="763"/>
  <c r="AG186" i="763"/>
  <c r="T186" i="763"/>
  <c r="G186" i="763"/>
  <c r="AU186" i="763" s="1"/>
  <c r="AT185" i="763"/>
  <c r="AG185" i="763"/>
  <c r="T185" i="763"/>
  <c r="G185" i="763"/>
  <c r="AT184" i="763"/>
  <c r="AG184" i="763"/>
  <c r="T184" i="763"/>
  <c r="G184" i="763"/>
  <c r="AU184" i="763" s="1"/>
  <c r="AT183" i="763"/>
  <c r="AG183" i="763"/>
  <c r="T183" i="763"/>
  <c r="G183" i="763"/>
  <c r="AT182" i="763"/>
  <c r="AG182" i="763"/>
  <c r="T182" i="763"/>
  <c r="G182" i="763"/>
  <c r="AU182" i="763" s="1"/>
  <c r="AT181" i="763"/>
  <c r="AG181" i="763"/>
  <c r="T181" i="763"/>
  <c r="G181" i="763"/>
  <c r="AT180" i="763"/>
  <c r="AG180" i="763"/>
  <c r="T180" i="763"/>
  <c r="G180" i="763"/>
  <c r="AU180" i="763" s="1"/>
  <c r="AT179" i="763"/>
  <c r="AG179" i="763"/>
  <c r="T179" i="763"/>
  <c r="G179" i="763"/>
  <c r="AT178" i="763"/>
  <c r="AG178" i="763"/>
  <c r="T178" i="763"/>
  <c r="G178" i="763"/>
  <c r="AU178" i="763" s="1"/>
  <c r="AT177" i="763"/>
  <c r="AG177" i="763"/>
  <c r="T177" i="763"/>
  <c r="G177" i="763"/>
  <c r="AT176" i="763"/>
  <c r="AG176" i="763"/>
  <c r="T176" i="763"/>
  <c r="G176" i="763"/>
  <c r="AU176" i="763" s="1"/>
  <c r="AT175" i="763"/>
  <c r="AG175" i="763"/>
  <c r="T175" i="763"/>
  <c r="G175" i="763"/>
  <c r="AT174" i="763"/>
  <c r="AG174" i="763"/>
  <c r="T174" i="763"/>
  <c r="G174" i="763"/>
  <c r="AU174" i="763" s="1"/>
  <c r="AT173" i="763"/>
  <c r="AG173" i="763"/>
  <c r="T173" i="763"/>
  <c r="G173" i="763"/>
  <c r="AT172" i="763"/>
  <c r="AG172" i="763"/>
  <c r="T172" i="763"/>
  <c r="G172" i="763"/>
  <c r="AU172" i="763" s="1"/>
  <c r="AT171" i="763"/>
  <c r="AG171" i="763"/>
  <c r="T171" i="763"/>
  <c r="G171" i="763"/>
  <c r="AT170" i="763"/>
  <c r="AG170" i="763"/>
  <c r="T170" i="763"/>
  <c r="G170" i="763"/>
  <c r="AU170" i="763" s="1"/>
  <c r="AT169" i="763"/>
  <c r="AG169" i="763"/>
  <c r="T169" i="763"/>
  <c r="G169" i="763"/>
  <c r="AT168" i="763"/>
  <c r="AG168" i="763"/>
  <c r="T168" i="763"/>
  <c r="G168" i="763"/>
  <c r="AU168" i="763" s="1"/>
  <c r="AT167" i="763"/>
  <c r="AG167" i="763"/>
  <c r="T167" i="763"/>
  <c r="G167" i="763"/>
  <c r="AT166" i="763"/>
  <c r="AG166" i="763"/>
  <c r="T166" i="763"/>
  <c r="G166" i="763"/>
  <c r="AU166" i="763" s="1"/>
  <c r="AT165" i="763"/>
  <c r="AG165" i="763"/>
  <c r="T165" i="763"/>
  <c r="G165" i="763"/>
  <c r="AT164" i="763"/>
  <c r="AG164" i="763"/>
  <c r="T164" i="763"/>
  <c r="T197" i="763" s="1"/>
  <c r="G164" i="763"/>
  <c r="AU164" i="763" s="1"/>
  <c r="I93" i="763"/>
  <c r="D75" i="763"/>
  <c r="I71" i="763"/>
  <c r="F58" i="763"/>
  <c r="F61" i="763" s="1"/>
  <c r="D57" i="763"/>
  <c r="C57" i="763" s="1"/>
  <c r="F52" i="763"/>
  <c r="A52" i="763" s="1"/>
  <c r="F51" i="763"/>
  <c r="A51" i="763" s="1"/>
  <c r="B47" i="763"/>
  <c r="C1140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37" i="763" s="1"/>
  <c r="J27" i="763"/>
  <c r="C27" i="763"/>
  <c r="I19" i="763"/>
  <c r="G19" i="763"/>
  <c r="F19" i="763"/>
  <c r="R14" i="763"/>
  <c r="F14" i="763" s="1"/>
  <c r="G14" i="763" s="1"/>
  <c r="H14" i="763" s="1"/>
  <c r="A14" i="763"/>
  <c r="F6" i="763"/>
  <c r="C6" i="763"/>
  <c r="L121" i="1989"/>
  <c r="L54" i="1989" s="1"/>
  <c r="C121" i="1989"/>
  <c r="M118" i="1989"/>
  <c r="L118" i="1989"/>
  <c r="K118" i="1989"/>
  <c r="L115" i="1989"/>
  <c r="F103" i="1989"/>
  <c r="K103" i="1989" s="1"/>
  <c r="C103" i="1989"/>
  <c r="N102" i="1989"/>
  <c r="M102" i="1989"/>
  <c r="L102" i="1989"/>
  <c r="C102" i="1989"/>
  <c r="C100" i="1989"/>
  <c r="K99" i="1989"/>
  <c r="K98" i="1989"/>
  <c r="K102" i="1989" s="1"/>
  <c r="K96" i="1989"/>
  <c r="C96" i="1989"/>
  <c r="K95" i="1989"/>
  <c r="C95" i="1989"/>
  <c r="N94" i="1989"/>
  <c r="M94" i="1989"/>
  <c r="L94" i="1989"/>
  <c r="C94" i="1989"/>
  <c r="K93" i="1989"/>
  <c r="K92" i="1989"/>
  <c r="F91" i="1989"/>
  <c r="C91" i="1989"/>
  <c r="F90" i="1989"/>
  <c r="F89" i="1989"/>
  <c r="C89" i="1989"/>
  <c r="H88" i="1989"/>
  <c r="G88" i="1989"/>
  <c r="F88" i="1989"/>
  <c r="K87" i="1989"/>
  <c r="K94" i="1989" s="1"/>
  <c r="N85" i="1989"/>
  <c r="C85" i="1989"/>
  <c r="K84" i="1989"/>
  <c r="K85" i="1989" s="1"/>
  <c r="K80" i="1989"/>
  <c r="F73" i="1989"/>
  <c r="K73" i="1989" s="1"/>
  <c r="C73" i="1989"/>
  <c r="M72" i="1989"/>
  <c r="L72" i="1989"/>
  <c r="C72" i="1989"/>
  <c r="F69" i="1989"/>
  <c r="K69" i="1989" s="1"/>
  <c r="C69" i="1989"/>
  <c r="M68" i="1989"/>
  <c r="L68" i="1989"/>
  <c r="C68" i="1989"/>
  <c r="K67" i="1989"/>
  <c r="K68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1" i="1989" s="1"/>
  <c r="N48" i="1989"/>
  <c r="M48" i="1989"/>
  <c r="L48" i="1989"/>
  <c r="F48" i="1989"/>
  <c r="C48" i="1989"/>
  <c r="L46" i="1989"/>
  <c r="C46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1" i="1989" s="1"/>
  <c r="K72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39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K44" i="1989" l="1"/>
  <c r="K48" i="1989"/>
  <c r="K46" i="1989"/>
  <c r="K40" i="1989"/>
  <c r="AG197" i="763"/>
  <c r="AT197" i="763"/>
  <c r="AU165" i="763"/>
  <c r="AU167" i="763"/>
  <c r="AU169" i="763"/>
  <c r="AU171" i="763"/>
  <c r="C32" i="763"/>
  <c r="D27" i="763" s="1"/>
  <c r="AU173" i="763"/>
  <c r="AU175" i="763"/>
  <c r="AU177" i="763"/>
  <c r="AU179" i="763"/>
  <c r="AU181" i="763"/>
  <c r="AU183" i="763"/>
  <c r="AU185" i="763"/>
  <c r="AU187" i="763"/>
  <c r="L29" i="763"/>
  <c r="J32" i="763"/>
  <c r="G197" i="763"/>
  <c r="AU189" i="763"/>
  <c r="AU193" i="763"/>
  <c r="AU195" i="763"/>
  <c r="A65" i="763"/>
  <c r="D29" i="763"/>
  <c r="AU197" i="763"/>
  <c r="L30" i="763"/>
  <c r="L28" i="763"/>
  <c r="L31" i="763"/>
  <c r="J1140" i="763"/>
  <c r="J1141" i="763"/>
  <c r="L27" i="763"/>
  <c r="C1138" i="763"/>
  <c r="J1138" i="763"/>
  <c r="C1139" i="763"/>
  <c r="J1139" i="763"/>
  <c r="C1137" i="763"/>
  <c r="C1142" i="763" s="1"/>
  <c r="D1138" i="763" s="1"/>
  <c r="K22" i="1989"/>
  <c r="K41" i="1989"/>
  <c r="K51" i="1989"/>
  <c r="K52" i="1989"/>
  <c r="K23" i="1989"/>
  <c r="K15" i="1989"/>
  <c r="K18" i="1989"/>
  <c r="K54" i="1989"/>
  <c r="K21" i="1989"/>
  <c r="D30" i="763" l="1"/>
  <c r="J1142" i="763"/>
  <c r="L1141" i="763" s="1"/>
  <c r="D28" i="763"/>
  <c r="D31" i="763"/>
  <c r="D1141" i="763"/>
  <c r="D1140" i="763"/>
  <c r="D1137" i="763"/>
  <c r="D1139" i="763"/>
  <c r="L1138" i="763"/>
  <c r="L1140" i="763" l="1"/>
  <c r="L1139" i="763"/>
  <c r="L1137" i="763"/>
</calcChain>
</file>

<file path=xl/comments1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<sst xmlns="http://schemas.openxmlformats.org/spreadsheetml/2006/main" count="2404" uniqueCount="1076">
  <si>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</si>
  <si>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</si>
  <si>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</si>
  <si>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</si>
  <si>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</si>
  <si>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</si>
  <si>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</si>
  <si>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</si>
  <si>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</si>
  <si>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</si>
  <si>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</si>
  <si>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</si>
  <si>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</si>
  <si>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</si>
  <si>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</si>
  <si>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</si>
  <si>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</si>
  <si>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</si>
  <si>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</si>
  <si>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</si>
  <si>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</si>
  <si>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</si>
  <si>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</si>
  <si>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</si>
  <si>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</si>
  <si>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</si>
  <si>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</si>
  <si>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</si>
  <si>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</si>
  <si>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</si>
  <si>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</si>
  <si>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</si>
  <si>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</si>
  <si>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</si>
  <si>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</si>
  <si>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</si>
  <si>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</si>
  <si>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</si>
  <si>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</si>
  <si>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</si>
  <si>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</si>
  <si>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</si>
  <si>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</si>
  <si>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</si>
  <si>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</si>
  <si>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</si>
  <si>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</si>
  <si>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</si>
  <si>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</si>
  <si>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</si>
  <si>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</si>
  <si>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</si>
  <si>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</si>
  <si>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</si>
  <si>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</si>
  <si>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</si>
  <si>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</si>
  <si>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</si>
  <si>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</si>
  <si>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</si>
  <si>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</si>
  <si>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</si>
  <si>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</si>
  <si>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</si>
  <si>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</si>
  <si>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</si>
  <si>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</si>
  <si>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</si>
  <si>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</si>
  <si>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</si>
  <si>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</si>
  <si>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</si>
  <si>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</si>
  <si>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</si>
  <si>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</si>
  <si>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</si>
  <si>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</si>
  <si>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</si>
  <si>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</si>
  <si>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</si>
  <si>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</si>
  <si>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</si>
  <si>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</si>
  <si>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</si>
  <si>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</si>
  <si>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</si>
  <si>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</si>
  <si>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</si>
  <si>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</si>
  <si>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</si>
  <si>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</si>
  <si>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</si>
  <si>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</si>
  <si>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</si>
  <si>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</si>
  <si>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</si>
  <si>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</si>
  <si>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</si>
  <si>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</si>
  <si>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</si>
  <si>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</si>
  <si>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</si>
  <si>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</si>
  <si>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</si>
  <si>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</si>
  <si>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</si>
  <si>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</si>
  <si>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</si>
  <si>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</si>
  <si>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</si>
  <si>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</si>
  <si>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</si>
  <si>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</si>
  <si>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</si>
  <si>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</si>
  <si>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</si>
  <si>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</si>
  <si>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</si>
  <si>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</si>
  <si>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</si>
  <si>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</si>
  <si>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</si>
  <si>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</si>
  <si>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</si>
  <si>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</si>
  <si>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</si>
  <si>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</si>
  <si>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</si>
  <si>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</si>
  <si>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</si>
  <si>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</si>
  <si>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</si>
  <si>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</si>
  <si>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</si>
  <si>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</si>
  <si>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</si>
  <si>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</si>
  <si>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</si>
  <si>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</si>
  <si>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</si>
  <si>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</si>
  <si>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</si>
  <si>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</si>
  <si>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</si>
  <si>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</si>
  <si>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</si>
  <si>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</si>
  <si>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</si>
  <si>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</si>
  <si>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</si>
  <si>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</si>
  <si>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</si>
  <si>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</si>
  <si>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</si>
  <si>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</si>
  <si>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</si>
  <si>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</si>
  <si>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</si>
  <si>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</si>
  <si>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</si>
  <si>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</si>
  <si>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</si>
  <si>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</si>
  <si>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</si>
  <si>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</si>
  <si>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</si>
  <si>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</si>
  <si>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</si>
  <si>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</si>
  <si>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</si>
  <si>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</si>
  <si>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</si>
  <si>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</si>
  <si>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</si>
  <si>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</si>
  <si>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</si>
  <si>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</si>
  <si>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</si>
  <si>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</si>
  <si>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</si>
  <si>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</si>
  <si>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</si>
  <si>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</si>
  <si>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</si>
  <si>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</si>
  <si>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</si>
  <si>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</si>
  <si>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</si>
  <si>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</si>
  <si>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</si>
  <si>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</si>
  <si>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</si>
  <si>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</si>
  <si>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</si>
  <si>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</si>
  <si>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</si>
  <si>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</si>
  <si>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</si>
  <si>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</si>
  <si>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</si>
  <si>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</si>
  <si>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</si>
  <si>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</si>
  <si>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</si>
  <si>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</si>
  <si>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</si>
  <si>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</si>
  <si>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</si>
  <si>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</si>
  <si>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</si>
  <si>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</si>
  <si>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</si>
  <si>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</si>
  <si>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</si>
  <si>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</si>
  <si>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</si>
  <si>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</si>
  <si>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</si>
  <si>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</si>
  <si>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</si>
  <si>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</si>
  <si>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</si>
  <si>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</si>
  <si>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</si>
  <si>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</si>
  <si>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</si>
  <si>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</si>
  <si>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</si>
  <si>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</si>
  <si>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</si>
  <si>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</si>
  <si>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</si>
  <si>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</si>
  <si>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</si>
  <si>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</si>
  <si>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</si>
  <si>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</si>
  <si>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</si>
  <si>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</si>
  <si>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</si>
  <si>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</si>
  <si>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</si>
  <si>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</si>
  <si>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</si>
  <si>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</si>
  <si>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</si>
  <si>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</si>
  <si>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</si>
  <si>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</si>
  <si>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</si>
  <si>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</si>
  <si>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</si>
  <si>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</si>
  <si>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</si>
  <si>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</si>
  <si>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</si>
  <si>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</si>
  <si>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</si>
  <si>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</si>
  <si>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</si>
  <si>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</si>
  <si>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</si>
  <si>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</si>
  <si>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</si>
  <si>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</si>
  <si>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</si>
  <si>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</si>
  <si>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</si>
  <si>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</si>
  <si>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</si>
  <si>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</si>
  <si>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</si>
  <si>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</si>
  <si>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</si>
  <si>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</si>
  <si>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</si>
  <si>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</si>
  <si>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</si>
  <si>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</si>
  <si>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</si>
  <si>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</si>
  <si>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</si>
  <si>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</si>
  <si>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</si>
  <si>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</si>
  <si>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</si>
  <si>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</si>
  <si>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</si>
  <si>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</si>
  <si>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</si>
  <si>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</si>
  <si>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</si>
  <si>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</si>
  <si>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</si>
  <si>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</si>
  <si>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</si>
  <si>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</si>
  <si>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</si>
  <si>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</si>
  <si>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</si>
  <si>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</si>
  <si>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</si>
  <si>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</si>
  <si>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</si>
  <si>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</si>
  <si>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</si>
  <si>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</si>
  <si>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</si>
  <si>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</si>
  <si>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</si>
  <si>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</si>
  <si>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</si>
  <si>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</si>
  <si>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</si>
  <si>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</si>
  <si>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</si>
  <si>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</si>
  <si>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</si>
  <si>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</si>
  <si>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</si>
  <si>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</si>
  <si>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</si>
  <si>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</si>
  <si>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</si>
  <si>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</si>
  <si>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</si>
  <si>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</si>
  <si>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</si>
  <si>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</si>
  <si>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</si>
  <si>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</si>
  <si>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</si>
  <si>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</si>
  <si>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</si>
  <si>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</si>
  <si>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</si>
  <si>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</si>
  <si>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</si>
  <si>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</si>
  <si>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</si>
  <si>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</si>
  <si>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</si>
  <si>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</si>
  <si>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</si>
  <si>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</si>
  <si>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</si>
  <si>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</si>
  <si>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</si>
  <si>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</si>
  <si>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</si>
  <si>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</si>
  <si>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</si>
  <si>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</si>
  <si>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</si>
  <si>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</si>
  <si>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</si>
  <si>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Оплата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</si>
  <si>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</si>
  <si>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</si>
  <si>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</si>
  <si>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</si>
  <si>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</si>
  <si>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</si>
  <si>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</si>
  <si>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</si>
  <si>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</si>
  <si>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</si>
  <si>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</si>
  <si>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</si>
  <si>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</si>
  <si>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</si>
  <si>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</si>
  <si>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</si>
  <si>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</si>
  <si>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</si>
  <si>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</si>
  <si>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</si>
  <si>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</si>
  <si>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</si>
  <si>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</si>
  <si>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</si>
  <si>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</si>
  <si>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</si>
  <si>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</si>
  <si>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</si>
  <si>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</si>
  <si>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</si>
  <si>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</si>
  <si>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</si>
  <si>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</si>
  <si>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</si>
  <si>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</si>
  <si>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</si>
  <si>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</si>
  <si>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</si>
  <si>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</si>
  <si>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</si>
  <si>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</si>
  <si>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</si>
  <si>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</si>
  <si>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</si>
  <si>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</si>
  <si>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</si>
  <si>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</si>
  <si>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</si>
  <si>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</si>
  <si>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</si>
  <si>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</si>
  <si>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</si>
  <si>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</si>
  <si>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</si>
  <si>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</si>
  <si>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</si>
  <si>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</si>
  <si>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</si>
  <si>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</si>
  <si>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</si>
  <si>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</si>
  <si>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</si>
  <si>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</si>
  <si>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</si>
  <si>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</si>
  <si>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</si>
  <si>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</si>
  <si>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</si>
  <si>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</si>
  <si>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</si>
  <si>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</si>
  <si>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</si>
  <si>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</si>
  <si>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</si>
  <si>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</si>
  <si>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</si>
  <si>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</si>
  <si>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</si>
  <si>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</si>
  <si>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</si>
  <si>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</si>
  <si>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</si>
  <si>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</si>
  <si>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</si>
  <si>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</si>
  <si>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</si>
  <si>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</si>
  <si>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</si>
  <si>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</si>
  <si>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</si>
  <si>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</si>
  <si>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</si>
  <si>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</si>
  <si>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</si>
  <si>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</si>
  <si>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</si>
  <si>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</si>
  <si>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</si>
  <si>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</si>
  <si>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</si>
  <si>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</si>
  <si>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</si>
  <si>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</si>
  <si>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</si>
  <si>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</si>
  <si>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</si>
  <si>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</si>
  <si>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</si>
  <si>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</si>
  <si>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</si>
  <si>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</si>
  <si>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</si>
  <si>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</si>
  <si>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</si>
  <si>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</si>
  <si>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</si>
  <si>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</si>
  <si>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</si>
  <si>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</si>
  <si>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</si>
  <si>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</si>
  <si>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</si>
  <si>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</si>
  <si>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</si>
  <si>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</si>
  <si>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</si>
  <si>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</si>
  <si>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</si>
  <si>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</si>
  <si>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</si>
  <si>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</si>
  <si>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</si>
  <si>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</si>
  <si>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</si>
  <si>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</si>
  <si>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</si>
  <si>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</si>
  <si>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</si>
  <si>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</si>
  <si>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</si>
  <si>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</si>
  <si>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</si>
  <si>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</si>
  <si>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</si>
  <si>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</si>
  <si>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</si>
  <si>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</si>
  <si>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</si>
  <si>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</si>
  <si>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</si>
  <si>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</si>
  <si>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</si>
  <si>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</si>
  <si>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</si>
  <si>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</si>
  <si>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</si>
  <si>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</si>
  <si>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</si>
  <si>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</si>
  <si>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</si>
  <si>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</si>
  <si>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</si>
  <si>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</si>
  <si>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</si>
  <si>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</si>
  <si>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</si>
  <si>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</si>
  <si>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</si>
  <si>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</si>
  <si>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</si>
  <si>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</si>
  <si>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</si>
  <si>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</si>
  <si>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</si>
  <si>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</si>
  <si>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</si>
  <si>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</si>
  <si>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</si>
  <si>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</si>
  <si>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</si>
  <si>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</si>
  <si>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</si>
  <si>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</si>
  <si>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</si>
  <si>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</si>
  <si>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</si>
  <si>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</si>
  <si>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</si>
  <si>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</si>
  <si>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</si>
  <si>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</si>
  <si>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r>
      <t xml:space="preserve">12.6.12 </t>
    </r>
    <r>
      <rPr>
        <b/>
        <i/>
        <u/>
        <sz val="11"/>
        <color theme="1"/>
        <rFont val="Calibri"/>
        <family val="2"/>
        <charset val="204"/>
        <scheme val="minor"/>
      </rPr>
      <t>HDR_BTOmails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извлекаемых писем БТО</t>
    </r>
  </si>
  <si>
    <t xml:space="preserve">Дата письма 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</si>
  <si>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</si>
  <si>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</si>
  <si>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</si>
  <si>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</si>
  <si>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</si>
  <si>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</si>
  <si>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</si>
  <si>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t>Доставка со склада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</si>
  <si>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</si>
  <si>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</si>
  <si>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</si>
  <si>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</si>
  <si>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</si>
  <si>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</si>
  <si>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</si>
  <si>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</si>
  <si>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</si>
  <si>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</si>
  <si>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</si>
  <si>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</si>
  <si>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</si>
  <si>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</si>
  <si>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</si>
  <si>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</si>
  <si>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</si>
  <si>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</si>
  <si>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</si>
  <si>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</si>
  <si>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</si>
  <si>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</si>
  <si>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</si>
  <si>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</si>
  <si>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</si>
  <si>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</si>
  <si>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</si>
  <si>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</si>
  <si>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</si>
  <si>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</si>
  <si>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</si>
  <si>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</si>
  <si>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</si>
  <si>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</si>
  <si>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</si>
  <si>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</si>
  <si>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</si>
  <si>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</si>
  <si>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Название фирмы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</si>
  <si>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</si>
  <si>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</si>
  <si>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</si>
  <si>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</si>
  <si>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</si>
  <si>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</si>
  <si>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</si>
  <si>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</si>
  <si>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</si>
  <si>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</si>
  <si>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</si>
  <si>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</si>
  <si>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</si>
  <si>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</si>
  <si>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</si>
  <si>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</si>
  <si>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</si>
  <si>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</si>
  <si>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</si>
  <si>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</si>
  <si>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</si>
  <si>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</si>
  <si>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</si>
  <si>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</si>
  <si>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</si>
  <si>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</si>
  <si>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</si>
  <si>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</si>
  <si>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</si>
  <si>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PaidSF_Fill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</si>
  <si>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</si>
  <si>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</si>
  <si>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</si>
  <si>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</si>
  <si>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</si>
  <si>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</si>
  <si>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</si>
  <si>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</si>
  <si>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</si>
  <si>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</si>
  <si>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</si>
  <si>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</si>
  <si>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</si>
  <si>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</si>
  <si>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</si>
  <si>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</si>
  <si>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</si>
  <si>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</si>
  <si>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</si>
  <si>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</si>
  <si>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</si>
  <si>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</si>
  <si>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</si>
  <si>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</si>
  <si>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</si>
  <si>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</si>
  <si>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</si>
  <si>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</si>
  <si>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</si>
  <si>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</si>
  <si>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</si>
  <si>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</si>
  <si>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</si>
  <si>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</si>
  <si>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</si>
  <si>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</si>
  <si>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</si>
  <si>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</si>
  <si>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</si>
  <si>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</si>
  <si>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</si>
  <si>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</si>
  <si>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</si>
  <si>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</si>
  <si>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</si>
  <si>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</si>
  <si>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</si>
  <si>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</si>
  <si>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</si>
  <si>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</si>
  <si>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</si>
  <si>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</si>
  <si>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</si>
  <si>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</si>
  <si>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</si>
  <si>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</si>
  <si>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</si>
  <si>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</si>
  <si>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</si>
  <si>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</si>
  <si>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</si>
  <si>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</si>
  <si>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</si>
  <si>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</si>
  <si>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</si>
  <si>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</si>
  <si>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</si>
  <si>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</si>
  <si>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</si>
  <si>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</si>
  <si>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</si>
  <si>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</si>
  <si>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</si>
  <si>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</si>
  <si>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</si>
  <si>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</si>
  <si>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</si>
  <si>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</si>
  <si>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</si>
  <si>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</si>
  <si>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</si>
  <si>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</si>
  <si>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</si>
  <si>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</si>
  <si>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</si>
  <si>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</si>
  <si>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</si>
  <si>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</si>
  <si>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</si>
  <si>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</si>
  <si>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</si>
  <si>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</si>
  <si>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</si>
  <si>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</si>
  <si>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</si>
  <si>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</si>
  <si>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</si>
  <si>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</si>
  <si>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</si>
  <si>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</si>
  <si>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</si>
  <si>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</si>
  <si>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</si>
  <si>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</si>
  <si>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</si>
  <si>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</si>
  <si>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</si>
  <si>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</si>
  <si>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</si>
  <si>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</si>
  <si>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</si>
  <si>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</si>
  <si>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</si>
  <si>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</si>
  <si>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</si>
  <si>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</si>
  <si>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</si>
  <si>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</si>
  <si>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</si>
  <si>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</si>
  <si>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</si>
  <si>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</si>
  <si>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</si>
  <si>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</si>
  <si>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</si>
  <si>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</si>
  <si>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</si>
  <si>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</si>
  <si>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</si>
  <si>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</si>
  <si>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</si>
  <si>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</si>
  <si>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</si>
  <si>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</si>
  <si>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</si>
  <si>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</si>
  <si>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</si>
  <si>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</si>
  <si>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</si>
  <si>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</si>
  <si>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</si>
  <si>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</si>
  <si>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</si>
  <si>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</si>
  <si>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</si>
  <si>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</si>
  <si>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</si>
  <si>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</si>
  <si>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</si>
  <si>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</si>
  <si>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</si>
  <si>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</si>
  <si>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</si>
  <si>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</si>
  <si>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</si>
  <si>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</si>
  <si>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</si>
  <si>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</si>
  <si>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</si>
  <si>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</si>
  <si>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</si>
  <si>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</si>
  <si>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</si>
  <si>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</si>
  <si>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</si>
  <si>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</si>
  <si>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</si>
  <si>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</si>
  <si>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</si>
  <si>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</si>
  <si>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</si>
  <si>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</si>
  <si>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</si>
  <si>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</si>
  <si>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</si>
  <si>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</si>
  <si>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</si>
  <si>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</si>
  <si>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</si>
  <si>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</si>
  <si>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</si>
  <si>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</si>
  <si>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r>
      <t xml:space="preserve">24.9.12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</si>
  <si>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</si>
  <si>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</si>
  <si>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</si>
  <si>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</si>
  <si>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</si>
  <si>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</si>
  <si>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</si>
  <si>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</si>
  <si>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</si>
  <si>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</si>
  <si>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</si>
  <si>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</si>
  <si>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</si>
  <si>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</si>
  <si>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</si>
  <si>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</si>
  <si>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</si>
  <si>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</si>
  <si>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</si>
  <si>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</si>
  <si>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</si>
  <si>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</si>
  <si>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</si>
  <si>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</si>
  <si>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</si>
  <si>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</si>
  <si>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</si>
  <si>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</si>
  <si>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</si>
  <si>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</si>
  <si>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</si>
  <si>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</si>
  <si>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</si>
  <si>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</si>
  <si>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</si>
  <si>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</si>
  <si>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</si>
  <si>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</si>
  <si>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</si>
  <si>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</si>
  <si>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</si>
  <si>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</si>
  <si>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</si>
  <si>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</si>
  <si>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</si>
  <si>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</si>
  <si>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</si>
  <si>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</si>
  <si>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</si>
  <si>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</si>
  <si>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</si>
  <si>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</si>
  <si>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</si>
  <si>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</si>
  <si>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</si>
  <si>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</si>
  <si>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</si>
  <si>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</si>
  <si>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</si>
  <si>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</si>
  <si>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</si>
  <si>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</si>
  <si>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</si>
  <si>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</si>
  <si>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</si>
  <si>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6, 14</t>
  </si>
  <si>
    <t>7, 15</t>
  </si>
  <si>
    <t>8, 16</t>
  </si>
  <si>
    <t>9, 17</t>
  </si>
  <si>
    <t>11, 19</t>
  </si>
  <si>
    <t>12, 20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</si>
  <si>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</si>
  <si>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</si>
  <si>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</si>
  <si>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</si>
  <si>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</si>
  <si>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</si>
  <si>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</si>
  <si>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</si>
  <si>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</si>
  <si>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</si>
  <si>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</si>
  <si>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</si>
  <si>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</si>
  <si>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</si>
  <si>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</si>
  <si>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</si>
  <si>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</si>
  <si>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</si>
  <si>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</si>
  <si>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</si>
  <si>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</si>
  <si>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</si>
  <si>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</si>
  <si>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</si>
  <si>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</si>
  <si>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</si>
  <si>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</si>
  <si>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</si>
  <si>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</si>
  <si>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</si>
  <si>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</si>
  <si>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</si>
  <si>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</si>
  <si>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</si>
  <si>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</si>
  <si>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</si>
  <si>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</si>
  <si>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</si>
  <si>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</si>
  <si>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</si>
  <si>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</si>
  <si>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</si>
  <si>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</si>
  <si>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</si>
  <si>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</si>
  <si>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</si>
  <si>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</si>
  <si>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</si>
  <si>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</si>
  <si>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</si>
  <si>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</si>
  <si>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</si>
  <si>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</si>
  <si>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</si>
  <si>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</si>
  <si>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</si>
  <si>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</si>
  <si>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</si>
  <si>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</si>
  <si>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</si>
  <si>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</si>
  <si>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</si>
  <si>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</si>
  <si>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</si>
  <si>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</si>
  <si>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</si>
  <si>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</si>
  <si>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</si>
  <si>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</si>
  <si>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</si>
  <si>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</si>
  <si>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</si>
  <si>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</si>
  <si>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</si>
  <si>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</si>
  <si>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</si>
  <si>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</si>
  <si>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</si>
  <si>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</si>
  <si>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</si>
  <si>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</si>
  <si>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</si>
  <si>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</si>
  <si>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</si>
  <si>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</si>
  <si>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</si>
  <si>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</si>
  <si>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</si>
  <si>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</si>
  <si>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</si>
  <si>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</si>
  <si>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</si>
  <si>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</si>
  <si>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</si>
  <si>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</si>
  <si>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</si>
  <si>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</si>
  <si>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</si>
  <si>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</si>
  <si>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</si>
  <si>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</si>
  <si>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</si>
  <si>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</si>
  <si>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</si>
  <si>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</si>
  <si>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</si>
  <si>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</si>
  <si>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</si>
  <si>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</si>
  <si>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</si>
  <si>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</si>
  <si>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</si>
  <si>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</si>
  <si>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</si>
  <si>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</si>
  <si>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</si>
  <si>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</si>
  <si>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</si>
  <si>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</si>
  <si>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</si>
  <si>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</si>
  <si>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</si>
  <si>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</si>
  <si>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</si>
  <si>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</si>
  <si>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C:\Users\Pavel_Khrapkin\Documents\Pavel\match\DBs\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</si>
  <si>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</si>
  <si>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</si>
  <si>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</si>
  <si>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</si>
  <si>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</si>
  <si>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</si>
  <si>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</si>
  <si>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</si>
  <si>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</si>
  <si>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</si>
  <si>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сканир, чертеж, вывод,плакат, буклет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</si>
  <si>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</si>
  <si>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</si>
  <si>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</si>
  <si>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</si>
  <si>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</si>
  <si>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</si>
  <si>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</si>
  <si>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</si>
  <si>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</t>
  </si>
  <si>
    <t>Плоттер, 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 Плата, 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$деталь[ $],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</t>
  </si>
  <si>
    <t>LogReset</t>
  </si>
  <si>
    <t>&lt; WARNING &gt; Адаптер&gt; ссылка SFD/4:15(2008-1-071) не работает, результат &lt;пусто&gt;</t>
  </si>
  <si>
    <t>&lt; WARNING &gt; Адаптер&gt; ссылка SFD/4:15(2008-2-038) не работает, результат &lt;пусто&gt;</t>
  </si>
  <si>
    <t>&lt; WARNING &gt; Адаптер&gt; ссылка SFD/4:15(5 (Заказ № 3)) не работает, результат &lt;пусто&gt;</t>
  </si>
  <si>
    <t>&lt; WARNING &gt; Адаптер&gt; ссылка SFD/4:15(1-077/2008) не работает, результат &lt;пусто&gt;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</si>
  <si>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</si>
  <si>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</si>
  <si>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</si>
  <si>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SFacc/3:5/W(001D000000talg1)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</si>
  <si>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</si>
  <si>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SFacc/3:5/W(001D000000fux6g)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</si>
  <si>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</si>
  <si>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</si>
  <si>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</si>
  <si>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</si>
  <si>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</si>
  <si>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SFacc/3:4/W(001D000000ewKVB) не работает, результат &lt;пусто&gt;</t>
  </si>
  <si>
    <t>&lt; WARNING &gt; Адаптер&gt; ссылка SFacc/3:4/W(0012000000UP0Ly) не работает, результат &lt;пусто&gt;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</si>
  <si>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</si>
  <si>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</si>
  <si>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</si>
  <si>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</si>
  <si>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</si>
  <si>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</si>
  <si>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</si>
  <si>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</si>
  <si>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 xml:space="preserve">$Плоттер( |$), $принтер( |$), $Сканер( |$), $Мышь( |$), $Ламинатор( |$), $манипулятор( |$),  $$(для|Настройка).*printer;printer( |\d|$), $SpacePilot( |$), $Дигитайзер( |$), $Гравер( |$), $Ricoh( |$), $фотоаппарат( |$),  Summa D60
</t>
  </si>
  <si>
    <t>SF/2:19/0</t>
  </si>
  <si>
    <t>MoveToMatch: В файл '1C.xlsx' загружен новый отчет 'Платежи'; EOL=5189 строк, в прежнем 5189</t>
  </si>
  <si>
    <t>MoveToMatch: В файл '1C.xlsx' загружен новый отчет 'Договоры'; EOL=1185 строк, в прежнем 1178</t>
  </si>
  <si>
    <t>MoveToMatch: В файл '1C.xlsx' загружен новый отчет 'Платежи'; EOL=5226 строк, в прежнем 5189</t>
  </si>
  <si>
    <t>MoveToMatch: В файл '1C.xlsx' загружен новый отчет 'Платежи'; EOL=5226 строк, в прежнем 5226</t>
  </si>
  <si>
    <t>WrCSV&gt; в 'Dogovor.txt' записано 4 строк.</t>
  </si>
  <si>
    <t>&lt; WARNING &gt; Адаптер&gt; ссылка SFD/2:18(2011-2-37) не работает, результат &lt;пусто&gt;</t>
  </si>
  <si>
    <t>NewOppNameFromWP/10,8,21,13</t>
  </si>
  <si>
    <t>HANDL_NewOppByPaidContract</t>
  </si>
  <si>
    <t>&lt;&gt;""</t>
  </si>
  <si>
    <t>OppName/1,2,9,31,25,26</t>
  </si>
  <si>
    <t>32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</si>
  <si>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</si>
  <si>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</si>
  <si>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</si>
  <si>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t>Обучение, консультаци, консалт, услуг, обслужив, работ, обследов, поддерж, изготовление, установка, Сервисное обслуживание, авторизация сервисного, настройк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</si>
  <si>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</si>
  <si>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ВНИМАНИЕ:&lt;&gt; Процесс HANDL_NewOppByPaidContract перед выполнением Шага Adapt</t>
  </si>
  <si>
    <t>&lt;! ERROR !&gt; Adapter&gt; Не существует &lt;&gt;""</t>
  </si>
  <si>
    <t>&lt;! ERROR !&gt; ToStep: Обращение к несуществующему Шагу NewContr Процесса HANDL_Contract</t>
  </si>
  <si>
    <t>&lt; WARNING &gt; Адаптер&gt; ссылка SFD/2:9(114 от 27.12.2012ОАО "Самаранефтехимпроект"5775) не работает, результат &lt;пусто&gt;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</si>
</sst>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6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8000"/>
        <bgColor indexed="64"/>
      </patternFill>
    </fill>
  </fills>
  <borders count="9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</borders>
  <cellStyleXfs count="766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</cellStyleXfs>
  <cellXfs count="786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167" fontId="0" fillId="0" borderId="0" xfId="732" applyNumberFormat="1" applyFont="1" applyFill="1"/>
    <xf numFmtId="3" fontId="301" fillId="6" borderId="1" xfId="40" applyNumberFormat="1" applyFont="1" applyFill="1" applyBorder="1" applyAlignment="1">
      <alignment vertical="top"/>
    </xf>
    <xf numFmtId="172" fontId="302" fillId="0" borderId="0" xfId="734" applyNumberFormat="1" applyFont="1" applyFill="1" applyBorder="1" applyAlignment="1">
      <alignment horizontal="center"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0" fontId="0" fillId="0" borderId="0" xfId="0" applyNumberFormat="1" applyFill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170" fontId="0" fillId="8" borderId="47" xfId="0" applyNumberFormat="1" applyFill="1" applyBorder="1"/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0" fontId="0" fillId="8" borderId="0" xfId="0" applyNumberFormat="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1" fontId="326" fillId="0" borderId="0" xfId="764"/>
    <xf numFmtId="0" fontId="0" fillId="0" borderId="0" xfId="0" applyNumberFormat="1" applyFill="1" applyBorder="1" applyAlignment="1">
      <alignment horizontal="left" vertical="center"/>
    </xf>
    <xf numFmtId="49" fontId="0" fillId="0" borderId="41" xfId="0" applyNumberFormat="1" applyFill="1" applyBorder="1" applyAlignment="1">
      <alignment horizontal="center" vertical="center" wrapText="1"/>
    </xf>
    <xf numFmtId="49" fontId="258" fillId="6" borderId="0" xfId="131" applyNumberFormat="1" applyFont="1" applyFill="1" applyAlignment="1">
      <alignment vertical="top" wrapText="1"/>
    </xf>
    <xf numFmtId="170" fontId="0" fillId="0" borderId="49" xfId="0" applyNumberFormat="1" applyFill="1" applyBorder="1" applyAlignment="1">
      <alignment horizontal="center" vertical="center"/>
    </xf>
    <xf numFmtId="49" fontId="0" fillId="0" borderId="49" xfId="0" applyNumberFormat="1" applyFill="1" applyBorder="1" applyAlignment="1">
      <alignment horizontal="center" vertical="center"/>
    </xf>
    <xf numFmtId="49" fontId="268" fillId="0" borderId="49" xfId="0" applyNumberFormat="1" applyFont="1" applyFill="1" applyBorder="1" applyAlignment="1">
      <alignment horizontal="left" vertical="center" wrapText="1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49" fontId="0" fillId="61" borderId="41" xfId="0" applyNumberFormat="1" applyFill="1" applyBorder="1" applyAlignment="1">
      <alignment horizontal="center" vertical="center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171" fontId="268" fillId="6" borderId="0" xfId="0" applyFont="1" applyFill="1"/>
    <xf numFmtId="171" fontId="268" fillId="6" borderId="41" xfId="0" applyFont="1" applyFill="1" applyBorder="1"/>
    <xf numFmtId="0" fontId="0" fillId="40" borderId="0" xfId="0" applyNumberFormat="1" applyFill="1" applyBorder="1" applyAlignment="1">
      <alignment horizontal="left" vertical="center"/>
    </xf>
    <xf numFmtId="49" fontId="0" fillId="0" borderId="11" xfId="0" applyNumberFormat="1" applyFill="1" applyBorder="1" applyAlignment="1">
      <alignment horizontal="left" vertical="center" wrapText="1"/>
    </xf>
    <xf numFmtId="171" fontId="250" fillId="0" borderId="0" xfId="0" applyFont="1" applyFill="1"/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9" fontId="314" fillId="6" borderId="14" xfId="733" applyFont="1" applyFill="1" applyBorder="1" applyAlignment="1">
      <alignment horizontal="center" vertical="center"/>
    </xf>
    <xf numFmtId="9" fontId="314" fillId="0" borderId="54" xfId="733" applyFont="1" applyBorder="1" applyAlignment="1">
      <alignment horizontal="center" vertical="center"/>
    </xf>
    <xf numFmtId="9" fontId="314" fillId="0" borderId="55" xfId="733" applyFont="1" applyBorder="1" applyAlignment="1">
      <alignment horizontal="center" vertical="center"/>
    </xf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766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3" xfId="739"/>
    <cellStyle name="Currency 2" xfId="308"/>
    <cellStyle name="Currency 2 2" xfId="616"/>
    <cellStyle name="Currency 3" xfId="691"/>
    <cellStyle name="Currency 4" xfId="714"/>
    <cellStyle name="Currency 5" xfId="753"/>
    <cellStyle name="Hyperlink" xfId="764" builtinId="8"/>
    <cellStyle name="Hyperlink 2" xfId="690"/>
    <cellStyle name="Hyperlink 3" xfId="7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3" xfId="432"/>
    <cellStyle name="Normal 101" xfId="108"/>
    <cellStyle name="Normal 101 2" xfId="186"/>
    <cellStyle name="Normal 101 2 2" xfId="495"/>
    <cellStyle name="Normal 101 3" xfId="433"/>
    <cellStyle name="Normal 102" xfId="109"/>
    <cellStyle name="Normal 102 2" xfId="187"/>
    <cellStyle name="Normal 102 2 2" xfId="496"/>
    <cellStyle name="Normal 102 3" xfId="434"/>
    <cellStyle name="Normal 103" xfId="110"/>
    <cellStyle name="Normal 103 2" xfId="188"/>
    <cellStyle name="Normal 103 2 2" xfId="497"/>
    <cellStyle name="Normal 103 3" xfId="435"/>
    <cellStyle name="Normal 104" xfId="111"/>
    <cellStyle name="Normal 105" xfId="112"/>
    <cellStyle name="Normal 105 2" xfId="189"/>
    <cellStyle name="Normal 105 2 2" xfId="498"/>
    <cellStyle name="Normal 105 3" xfId="436"/>
    <cellStyle name="Normal 106" xfId="113"/>
    <cellStyle name="Normal 106 2" xfId="190"/>
    <cellStyle name="Normal 106 2 2" xfId="499"/>
    <cellStyle name="Normal 106 3" xfId="437"/>
    <cellStyle name="Normal 107" xfId="114"/>
    <cellStyle name="Normal 107 2" xfId="191"/>
    <cellStyle name="Normal 107 2 2" xfId="500"/>
    <cellStyle name="Normal 107 3" xfId="438"/>
    <cellStyle name="Normal 108" xfId="115"/>
    <cellStyle name="Normal 108 2" xfId="192"/>
    <cellStyle name="Normal 108 2 2" xfId="501"/>
    <cellStyle name="Normal 108 3" xfId="439"/>
    <cellStyle name="Normal 109" xfId="116"/>
    <cellStyle name="Normal 109 2" xfId="193"/>
    <cellStyle name="Normal 109 2 2" xfId="502"/>
    <cellStyle name="Normal 109 3" xfId="440"/>
    <cellStyle name="Normal 11" xfId="11"/>
    <cellStyle name="Normal 110" xfId="117"/>
    <cellStyle name="Normal 110 2" xfId="194"/>
    <cellStyle name="Normal 110 2 2" xfId="503"/>
    <cellStyle name="Normal 110 3" xfId="441"/>
    <cellStyle name="Normal 111" xfId="118"/>
    <cellStyle name="Normal 111 2" xfId="195"/>
    <cellStyle name="Normal 111 2 2" xfId="504"/>
    <cellStyle name="Normal 111 3" xfId="442"/>
    <cellStyle name="Normal 112" xfId="119"/>
    <cellStyle name="Normal 112 2" xfId="196"/>
    <cellStyle name="Normal 112 2 2" xfId="505"/>
    <cellStyle name="Normal 112 3" xfId="443"/>
    <cellStyle name="Normal 113" xfId="120"/>
    <cellStyle name="Normal 113 2" xfId="197"/>
    <cellStyle name="Normal 113 2 2" xfId="506"/>
    <cellStyle name="Normal 113 3" xfId="444"/>
    <cellStyle name="Normal 114" xfId="121"/>
    <cellStyle name="Normal 114 2" xfId="198"/>
    <cellStyle name="Normal 114 2 2" xfId="507"/>
    <cellStyle name="Normal 114 3" xfId="445"/>
    <cellStyle name="Normal 115" xfId="122"/>
    <cellStyle name="Normal 115 2" xfId="199"/>
    <cellStyle name="Normal 115 2 2" xfId="508"/>
    <cellStyle name="Normal 115 3" xfId="446"/>
    <cellStyle name="Normal 116" xfId="123"/>
    <cellStyle name="Normal 116 2" xfId="200"/>
    <cellStyle name="Normal 116 2 2" xfId="509"/>
    <cellStyle name="Normal 116 3" xfId="447"/>
    <cellStyle name="Normal 117" xfId="124"/>
    <cellStyle name="Normal 117 2" xfId="201"/>
    <cellStyle name="Normal 117 2 2" xfId="510"/>
    <cellStyle name="Normal 117 3" xfId="448"/>
    <cellStyle name="Normal 118" xfId="125"/>
    <cellStyle name="Normal 118 2" xfId="202"/>
    <cellStyle name="Normal 118 2 2" xfId="511"/>
    <cellStyle name="Normal 118 3" xfId="449"/>
    <cellStyle name="Normal 119" xfId="126"/>
    <cellStyle name="Normal 119 2" xfId="203"/>
    <cellStyle name="Normal 119 2 2" xfId="512"/>
    <cellStyle name="Normal 119 3" xfId="450"/>
    <cellStyle name="Normal 12" xfId="12"/>
    <cellStyle name="Normal 120" xfId="127"/>
    <cellStyle name="Normal 120 2" xfId="204"/>
    <cellStyle name="Normal 120 2 2" xfId="513"/>
    <cellStyle name="Normal 120 3" xfId="451"/>
    <cellStyle name="Normal 121" xfId="128"/>
    <cellStyle name="Normal 121 2" xfId="205"/>
    <cellStyle name="Normal 121 2 2" xfId="514"/>
    <cellStyle name="Normal 121 3" xfId="452"/>
    <cellStyle name="Normal 122" xfId="129"/>
    <cellStyle name="Normal 122 2" xfId="206"/>
    <cellStyle name="Normal 122 2 2" xfId="515"/>
    <cellStyle name="Normal 122 3" xfId="453"/>
    <cellStyle name="Normal 123" xfId="130"/>
    <cellStyle name="Normal 123 2" xfId="207"/>
    <cellStyle name="Normal 123 2 2" xfId="516"/>
    <cellStyle name="Normal 123 3" xfId="454"/>
    <cellStyle name="Normal 124" xfId="131"/>
    <cellStyle name="Normal 124 2" xfId="208"/>
    <cellStyle name="Normal 124 2 2" xfId="517"/>
    <cellStyle name="Normal 124 3" xfId="455"/>
    <cellStyle name="Normal 125" xfId="132"/>
    <cellStyle name="Normal 125 2" xfId="209"/>
    <cellStyle name="Normal 125 2 2" xfId="518"/>
    <cellStyle name="Normal 125 3" xfId="456"/>
    <cellStyle name="Normal 126" xfId="133"/>
    <cellStyle name="Normal 126 2" xfId="210"/>
    <cellStyle name="Normal 126 2 2" xfId="519"/>
    <cellStyle name="Normal 126 3" xfId="457"/>
    <cellStyle name="Normal 127" xfId="134"/>
    <cellStyle name="Normal 127 2" xfId="211"/>
    <cellStyle name="Normal 127 2 2" xfId="520"/>
    <cellStyle name="Normal 127 3" xfId="458"/>
    <cellStyle name="Normal 128" xfId="135"/>
    <cellStyle name="Normal 128 2" xfId="212"/>
    <cellStyle name="Normal 128 2 2" xfId="521"/>
    <cellStyle name="Normal 128 3" xfId="459"/>
    <cellStyle name="Normal 129" xfId="136"/>
    <cellStyle name="Normal 129 2" xfId="213"/>
    <cellStyle name="Normal 129 2 2" xfId="522"/>
    <cellStyle name="Normal 129 3" xfId="460"/>
    <cellStyle name="Normal 13" xfId="13"/>
    <cellStyle name="Normal 130" xfId="137"/>
    <cellStyle name="Normal 130 2" xfId="214"/>
    <cellStyle name="Normal 130 2 2" xfId="523"/>
    <cellStyle name="Normal 130 3" xfId="461"/>
    <cellStyle name="Normal 131" xfId="138"/>
    <cellStyle name="Normal 131 2" xfId="215"/>
    <cellStyle name="Normal 131 2 2" xfId="524"/>
    <cellStyle name="Normal 131 3" xfId="462"/>
    <cellStyle name="Normal 132" xfId="139"/>
    <cellStyle name="Normal 132 2" xfId="216"/>
    <cellStyle name="Normal 132 2 2" xfId="525"/>
    <cellStyle name="Normal 132 3" xfId="463"/>
    <cellStyle name="Normal 133" xfId="140"/>
    <cellStyle name="Normal 133 2" xfId="217"/>
    <cellStyle name="Normal 133 2 2" xfId="526"/>
    <cellStyle name="Normal 133 3" xfId="464"/>
    <cellStyle name="Normal 134" xfId="141"/>
    <cellStyle name="Normal 134 2" xfId="218"/>
    <cellStyle name="Normal 134 2 2" xfId="527"/>
    <cellStyle name="Normal 134 3" xfId="465"/>
    <cellStyle name="Normal 135" xfId="142"/>
    <cellStyle name="Normal 135 2" xfId="219"/>
    <cellStyle name="Normal 135 2 2" xfId="528"/>
    <cellStyle name="Normal 135 3" xfId="466"/>
    <cellStyle name="Normal 136" xfId="143"/>
    <cellStyle name="Normal 136 2" xfId="220"/>
    <cellStyle name="Normal 136 2 2" xfId="529"/>
    <cellStyle name="Normal 136 3" xfId="467"/>
    <cellStyle name="Normal 137" xfId="144"/>
    <cellStyle name="Normal 137 2" xfId="221"/>
    <cellStyle name="Normal 137 2 2" xfId="530"/>
    <cellStyle name="Normal 137 3" xfId="468"/>
    <cellStyle name="Normal 138" xfId="145"/>
    <cellStyle name="Normal 138 2" xfId="222"/>
    <cellStyle name="Normal 138 2 2" xfId="531"/>
    <cellStyle name="Normal 138 3" xfId="469"/>
    <cellStyle name="Normal 139" xfId="146"/>
    <cellStyle name="Normal 139 2" xfId="223"/>
    <cellStyle name="Normal 139 2 2" xfId="532"/>
    <cellStyle name="Normal 139 3" xfId="470"/>
    <cellStyle name="Normal 14" xfId="14"/>
    <cellStyle name="Normal 140" xfId="147"/>
    <cellStyle name="Normal 140 2" xfId="224"/>
    <cellStyle name="Normal 140 2 2" xfId="533"/>
    <cellStyle name="Normal 140 3" xfId="471"/>
    <cellStyle name="Normal 141" xfId="148"/>
    <cellStyle name="Normal 141 2" xfId="225"/>
    <cellStyle name="Normal 141 2 2" xfId="534"/>
    <cellStyle name="Normal 141 3" xfId="472"/>
    <cellStyle name="Normal 142" xfId="149"/>
    <cellStyle name="Normal 142 2" xfId="226"/>
    <cellStyle name="Normal 142 2 2" xfId="535"/>
    <cellStyle name="Normal 142 3" xfId="473"/>
    <cellStyle name="Normal 143" xfId="150"/>
    <cellStyle name="Normal 143 2" xfId="227"/>
    <cellStyle name="Normal 143 2 2" xfId="536"/>
    <cellStyle name="Normal 143 3" xfId="474"/>
    <cellStyle name="Normal 144" xfId="151"/>
    <cellStyle name="Normal 144 2" xfId="228"/>
    <cellStyle name="Normal 144 2 2" xfId="537"/>
    <cellStyle name="Normal 144 3" xfId="475"/>
    <cellStyle name="Normal 145" xfId="152"/>
    <cellStyle name="Normal 145 2" xfId="229"/>
    <cellStyle name="Normal 145 2 2" xfId="538"/>
    <cellStyle name="Normal 145 3" xfId="476"/>
    <cellStyle name="Normal 146" xfId="153"/>
    <cellStyle name="Normal 146 2" xfId="230"/>
    <cellStyle name="Normal 146 2 2" xfId="539"/>
    <cellStyle name="Normal 146 3" xfId="477"/>
    <cellStyle name="Normal 147" xfId="154"/>
    <cellStyle name="Normal 147 2" xfId="231"/>
    <cellStyle name="Normal 147 2 2" xfId="540"/>
    <cellStyle name="Normal 147 3" xfId="478"/>
    <cellStyle name="Normal 148" xfId="155"/>
    <cellStyle name="Normal 148 2" xfId="232"/>
    <cellStyle name="Normal 148 2 2" xfId="541"/>
    <cellStyle name="Normal 148 3" xfId="479"/>
    <cellStyle name="Normal 149" xfId="156"/>
    <cellStyle name="Normal 149 2" xfId="233"/>
    <cellStyle name="Normal 149 2 2" xfId="542"/>
    <cellStyle name="Normal 149 3" xfId="480"/>
    <cellStyle name="Normal 15" xfId="15"/>
    <cellStyle name="Normal 150" xfId="157"/>
    <cellStyle name="Normal 150 2" xfId="234"/>
    <cellStyle name="Normal 150 2 2" xfId="543"/>
    <cellStyle name="Normal 150 3" xfId="481"/>
    <cellStyle name="Normal 151" xfId="158"/>
    <cellStyle name="Normal 151 2" xfId="235"/>
    <cellStyle name="Normal 151 2 2" xfId="544"/>
    <cellStyle name="Normal 151 3" xfId="482"/>
    <cellStyle name="Normal 152" xfId="159"/>
    <cellStyle name="Normal 152 2" xfId="483"/>
    <cellStyle name="Normal 153" xfId="236"/>
    <cellStyle name="Normal 153 2" xfId="545"/>
    <cellStyle name="Normal 154" xfId="237"/>
    <cellStyle name="Normal 154 2" xfId="546"/>
    <cellStyle name="Normal 155" xfId="238"/>
    <cellStyle name="Normal 155 2" xfId="547"/>
    <cellStyle name="Normal 156" xfId="239"/>
    <cellStyle name="Normal 156 2" xfId="548"/>
    <cellStyle name="Normal 157" xfId="240"/>
    <cellStyle name="Normal 157 2" xfId="549"/>
    <cellStyle name="Normal 158" xfId="241"/>
    <cellStyle name="Normal 158 2" xfId="550"/>
    <cellStyle name="Normal 159" xfId="242"/>
    <cellStyle name="Normal 159 2" xfId="551"/>
    <cellStyle name="Normal 16" xfId="16"/>
    <cellStyle name="Normal 160" xfId="243"/>
    <cellStyle name="Normal 160 2" xfId="552"/>
    <cellStyle name="Normal 161" xfId="244"/>
    <cellStyle name="Normal 161 2" xfId="553"/>
    <cellStyle name="Normal 162" xfId="245"/>
    <cellStyle name="Normal 162 2" xfId="554"/>
    <cellStyle name="Normal 163" xfId="246"/>
    <cellStyle name="Normal 163 2" xfId="555"/>
    <cellStyle name="Normal 164" xfId="247"/>
    <cellStyle name="Normal 164 2" xfId="556"/>
    <cellStyle name="Normal 165" xfId="248"/>
    <cellStyle name="Normal 165 2" xfId="557"/>
    <cellStyle name="Normal 166" xfId="249"/>
    <cellStyle name="Normal 166 2" xfId="558"/>
    <cellStyle name="Normal 167" xfId="250"/>
    <cellStyle name="Normal 167 2" xfId="559"/>
    <cellStyle name="Normal 168" xfId="251"/>
    <cellStyle name="Normal 168 2" xfId="560"/>
    <cellStyle name="Normal 169" xfId="252"/>
    <cellStyle name="Normal 169 2" xfId="561"/>
    <cellStyle name="Normal 17" xfId="17"/>
    <cellStyle name="Normal 170" xfId="253"/>
    <cellStyle name="Normal 170 2" xfId="562"/>
    <cellStyle name="Normal 171" xfId="254"/>
    <cellStyle name="Normal 171 2" xfId="563"/>
    <cellStyle name="Normal 172" xfId="255"/>
    <cellStyle name="Normal 172 2" xfId="564"/>
    <cellStyle name="Normal 173" xfId="256"/>
    <cellStyle name="Normal 173 2" xfId="565"/>
    <cellStyle name="Normal 174" xfId="257"/>
    <cellStyle name="Normal 174 2" xfId="566"/>
    <cellStyle name="Normal 175" xfId="258"/>
    <cellStyle name="Normal 175 2" xfId="567"/>
    <cellStyle name="Normal 176" xfId="259"/>
    <cellStyle name="Normal 176 2" xfId="568"/>
    <cellStyle name="Normal 177" xfId="260"/>
    <cellStyle name="Normal 177 2" xfId="569"/>
    <cellStyle name="Normal 178" xfId="261"/>
    <cellStyle name="Normal 178 2" xfId="570"/>
    <cellStyle name="Normal 179" xfId="262"/>
    <cellStyle name="Normal 179 2" xfId="571"/>
    <cellStyle name="Normal 18" xfId="18"/>
    <cellStyle name="Normal 180" xfId="263"/>
    <cellStyle name="Normal 180 2" xfId="572"/>
    <cellStyle name="Normal 181" xfId="264"/>
    <cellStyle name="Normal 181 2" xfId="573"/>
    <cellStyle name="Normal 182" xfId="265"/>
    <cellStyle name="Normal 182 2" xfId="574"/>
    <cellStyle name="Normal 183" xfId="266"/>
    <cellStyle name="Normal 183 2" xfId="575"/>
    <cellStyle name="Normal 184" xfId="267"/>
    <cellStyle name="Normal 184 2" xfId="576"/>
    <cellStyle name="Normal 185" xfId="268"/>
    <cellStyle name="Normal 185 2" xfId="577"/>
    <cellStyle name="Normal 186" xfId="269"/>
    <cellStyle name="Normal 186 2" xfId="578"/>
    <cellStyle name="Normal 187" xfId="270"/>
    <cellStyle name="Normal 187 2" xfId="579"/>
    <cellStyle name="Normal 188" xfId="271"/>
    <cellStyle name="Normal 188 2" xfId="580"/>
    <cellStyle name="Normal 189" xfId="272"/>
    <cellStyle name="Normal 189 2" xfId="581"/>
    <cellStyle name="Normal 19" xfId="19"/>
    <cellStyle name="Normal 190" xfId="273"/>
    <cellStyle name="Normal 190 2" xfId="582"/>
    <cellStyle name="Normal 191" xfId="274"/>
    <cellStyle name="Normal 191 2" xfId="583"/>
    <cellStyle name="Normal 192" xfId="275"/>
    <cellStyle name="Normal 192 2" xfId="584"/>
    <cellStyle name="Normal 193" xfId="276"/>
    <cellStyle name="Normal 193 2" xfId="585"/>
    <cellStyle name="Normal 194" xfId="277"/>
    <cellStyle name="Normal 194 2" xfId="586"/>
    <cellStyle name="Normal 195" xfId="278"/>
    <cellStyle name="Normal 195 2" xfId="587"/>
    <cellStyle name="Normal 196" xfId="279"/>
    <cellStyle name="Normal 196 2" xfId="588"/>
    <cellStyle name="Normal 197" xfId="280"/>
    <cellStyle name="Normal 197 2" xfId="589"/>
    <cellStyle name="Normal 198" xfId="281"/>
    <cellStyle name="Normal 198 2" xfId="590"/>
    <cellStyle name="Normal 199" xfId="282"/>
    <cellStyle name="Normal 199 2" xfId="591"/>
    <cellStyle name="Normal 2" xfId="2"/>
    <cellStyle name="Normal 2 2" xfId="408"/>
    <cellStyle name="Normal 2 2 2" xfId="676"/>
    <cellStyle name="Normal 2 3" xfId="409"/>
    <cellStyle name="Normal 2 4" xfId="710"/>
    <cellStyle name="Normal 20" xfId="20"/>
    <cellStyle name="Normal 200" xfId="283"/>
    <cellStyle name="Normal 200 2" xfId="592"/>
    <cellStyle name="Normal 201" xfId="284"/>
    <cellStyle name="Normal 201 2" xfId="593"/>
    <cellStyle name="Normal 202" xfId="285"/>
    <cellStyle name="Normal 202 2" xfId="594"/>
    <cellStyle name="Normal 203" xfId="286"/>
    <cellStyle name="Normal 203 2" xfId="595"/>
    <cellStyle name="Normal 204" xfId="287"/>
    <cellStyle name="Normal 204 2" xfId="596"/>
    <cellStyle name="Normal 205" xfId="288"/>
    <cellStyle name="Normal 205 2" xfId="597"/>
    <cellStyle name="Normal 206" xfId="289"/>
    <cellStyle name="Normal 206 2" xfId="598"/>
    <cellStyle name="Normal 207" xfId="290"/>
    <cellStyle name="Normal 207 2" xfId="599"/>
    <cellStyle name="Normal 208" xfId="291"/>
    <cellStyle name="Normal 208 2" xfId="600"/>
    <cellStyle name="Normal 209" xfId="292"/>
    <cellStyle name="Normal 209 2" xfId="601"/>
    <cellStyle name="Normal 21" xfId="21"/>
    <cellStyle name="Normal 210" xfId="293"/>
    <cellStyle name="Normal 210 2" xfId="602"/>
    <cellStyle name="Normal 211" xfId="294"/>
    <cellStyle name="Normal 211 2" xfId="603"/>
    <cellStyle name="Normal 212" xfId="295"/>
    <cellStyle name="Normal 212 2" xfId="604"/>
    <cellStyle name="Normal 213" xfId="296"/>
    <cellStyle name="Normal 214" xfId="297"/>
    <cellStyle name="Normal 214 2" xfId="605"/>
    <cellStyle name="Normal 215" xfId="298"/>
    <cellStyle name="Normal 215 2" xfId="606"/>
    <cellStyle name="Normal 216" xfId="299"/>
    <cellStyle name="Normal 216 2" xfId="607"/>
    <cellStyle name="Normal 217" xfId="300"/>
    <cellStyle name="Normal 217 2" xfId="608"/>
    <cellStyle name="Normal 218" xfId="301"/>
    <cellStyle name="Normal 218 2" xfId="609"/>
    <cellStyle name="Normal 219" xfId="302"/>
    <cellStyle name="Normal 219 2" xfId="610"/>
    <cellStyle name="Normal 22" xfId="22"/>
    <cellStyle name="Normal 220" xfId="303"/>
    <cellStyle name="Normal 220 2" xfId="611"/>
    <cellStyle name="Normal 221" xfId="304"/>
    <cellStyle name="Normal 221 2" xfId="612"/>
    <cellStyle name="Normal 222" xfId="305"/>
    <cellStyle name="Normal 222 2" xfId="613"/>
    <cellStyle name="Normal 223" xfId="306"/>
    <cellStyle name="Normal 223 2" xfId="614"/>
    <cellStyle name="Normal 224" xfId="307"/>
    <cellStyle name="Normal 224 2" xfId="615"/>
    <cellStyle name="Normal 225" xfId="309"/>
    <cellStyle name="Normal 225 2" xfId="617"/>
    <cellStyle name="Normal 226" xfId="310"/>
    <cellStyle name="Normal 226 2" xfId="618"/>
    <cellStyle name="Normal 227" xfId="311"/>
    <cellStyle name="Normal 227 2" xfId="619"/>
    <cellStyle name="Normal 227 3" xfId="730"/>
    <cellStyle name="Normal 228" xfId="312"/>
    <cellStyle name="Normal 228 2" xfId="620"/>
    <cellStyle name="Normal 229" xfId="313"/>
    <cellStyle name="Normal 229 2" xfId="621"/>
    <cellStyle name="Normal 23" xfId="23"/>
    <cellStyle name="Normal 230" xfId="314"/>
    <cellStyle name="Normal 230 2" xfId="622"/>
    <cellStyle name="Normal 231" xfId="315"/>
    <cellStyle name="Normal 231 2" xfId="623"/>
    <cellStyle name="Normal 232" xfId="316"/>
    <cellStyle name="Normal 232 2" xfId="624"/>
    <cellStyle name="Normal 233" xfId="317"/>
    <cellStyle name="Normal 233 2" xfId="625"/>
    <cellStyle name="Normal 234" xfId="318"/>
    <cellStyle name="Normal 234 2" xfId="626"/>
    <cellStyle name="Normal 235" xfId="319"/>
    <cellStyle name="Normal 235 2" xfId="627"/>
    <cellStyle name="Normal 236" xfId="320"/>
    <cellStyle name="Normal 236 2" xfId="628"/>
    <cellStyle name="Normal 237" xfId="321"/>
    <cellStyle name="Normal 237 2" xfId="629"/>
    <cellStyle name="Normal 238" xfId="322"/>
    <cellStyle name="Normal 238 2" xfId="630"/>
    <cellStyle name="Normal 239" xfId="323"/>
    <cellStyle name="Normal 239 2" xfId="631"/>
    <cellStyle name="Normal 24" xfId="24"/>
    <cellStyle name="Normal 240" xfId="324"/>
    <cellStyle name="Normal 240 2" xfId="632"/>
    <cellStyle name="Normal 241" xfId="325"/>
    <cellStyle name="Normal 241 2" xfId="633"/>
    <cellStyle name="Normal 242" xfId="326"/>
    <cellStyle name="Normal 242 2" xfId="634"/>
    <cellStyle name="Normal 243" xfId="327"/>
    <cellStyle name="Normal 243 2" xfId="635"/>
    <cellStyle name="Normal 244" xfId="328"/>
    <cellStyle name="Normal 244 2" xfId="636"/>
    <cellStyle name="Normal 245" xfId="329"/>
    <cellStyle name="Normal 245 2" xfId="637"/>
    <cellStyle name="Normal 246" xfId="330"/>
    <cellStyle name="Normal 246 2" xfId="638"/>
    <cellStyle name="Normal 247" xfId="331"/>
    <cellStyle name="Normal 247 2" xfId="639"/>
    <cellStyle name="Normal 248" xfId="332"/>
    <cellStyle name="Normal 248 2" xfId="640"/>
    <cellStyle name="Normal 249" xfId="333"/>
    <cellStyle name="Normal 249 2" xfId="641"/>
    <cellStyle name="Normal 25" xfId="25"/>
    <cellStyle name="Normal 250" xfId="334"/>
    <cellStyle name="Normal 250 2" xfId="642"/>
    <cellStyle name="Normal 251" xfId="335"/>
    <cellStyle name="Normal 251 2" xfId="643"/>
    <cellStyle name="Normal 252" xfId="336"/>
    <cellStyle name="Normal 252 2" xfId="644"/>
    <cellStyle name="Normal 253" xfId="337"/>
    <cellStyle name="Normal 253 2" xfId="645"/>
    <cellStyle name="Normal 254" xfId="338"/>
    <cellStyle name="Normal 254 2" xfId="646"/>
    <cellStyle name="Normal 255" xfId="339"/>
    <cellStyle name="Normal 255 2" xfId="647"/>
    <cellStyle name="Normal 256" xfId="340"/>
    <cellStyle name="Normal 256 2" xfId="648"/>
    <cellStyle name="Normal 257" xfId="341"/>
    <cellStyle name="Normal 257 2" xfId="649"/>
    <cellStyle name="Normal 258" xfId="383"/>
    <cellStyle name="Normal 258 2" xfId="651"/>
    <cellStyle name="Normal 259" xfId="384"/>
    <cellStyle name="Normal 259 2" xfId="652"/>
    <cellStyle name="Normal 26" xfId="26"/>
    <cellStyle name="Normal 260" xfId="385"/>
    <cellStyle name="Normal 260 2" xfId="653"/>
    <cellStyle name="Normal 261" xfId="386"/>
    <cellStyle name="Normal 261 2" xfId="654"/>
    <cellStyle name="Normal 262" xfId="387"/>
    <cellStyle name="Normal 262 2" xfId="655"/>
    <cellStyle name="Normal 263" xfId="388"/>
    <cellStyle name="Normal 263 2" xfId="656"/>
    <cellStyle name="Normal 264" xfId="389"/>
    <cellStyle name="Normal 264 2" xfId="657"/>
    <cellStyle name="Normal 265" xfId="390"/>
    <cellStyle name="Normal 265 2" xfId="658"/>
    <cellStyle name="Normal 266" xfId="391"/>
    <cellStyle name="Normal 266 2" xfId="659"/>
    <cellStyle name="Normal 267" xfId="392"/>
    <cellStyle name="Normal 267 2" xfId="660"/>
    <cellStyle name="Normal 268" xfId="393"/>
    <cellStyle name="Normal 268 2" xfId="661"/>
    <cellStyle name="Normal 269" xfId="394"/>
    <cellStyle name="Normal 269 2" xfId="662"/>
    <cellStyle name="Normal 27" xfId="27"/>
    <cellStyle name="Normal 270" xfId="395"/>
    <cellStyle name="Normal 270 2" xfId="663"/>
    <cellStyle name="Normal 271" xfId="396"/>
    <cellStyle name="Normal 271 2" xfId="664"/>
    <cellStyle name="Normal 272" xfId="397"/>
    <cellStyle name="Normal 272 2" xfId="665"/>
    <cellStyle name="Normal 273" xfId="398"/>
    <cellStyle name="Normal 273 2" xfId="666"/>
    <cellStyle name="Normal 274" xfId="399"/>
    <cellStyle name="Normal 274 2" xfId="667"/>
    <cellStyle name="Normal 275" xfId="400"/>
    <cellStyle name="Normal 275 2" xfId="668"/>
    <cellStyle name="Normal 276" xfId="401"/>
    <cellStyle name="Normal 276 2" xfId="669"/>
    <cellStyle name="Normal 277" xfId="402"/>
    <cellStyle name="Normal 277 2" xfId="670"/>
    <cellStyle name="Normal 278" xfId="403"/>
    <cellStyle name="Normal 278 2" xfId="671"/>
    <cellStyle name="Normal 279" xfId="404"/>
    <cellStyle name="Normal 279 2" xfId="672"/>
    <cellStyle name="Normal 28" xfId="28"/>
    <cellStyle name="Normal 280" xfId="405"/>
    <cellStyle name="Normal 280 2" xfId="673"/>
    <cellStyle name="Normal 281" xfId="406"/>
    <cellStyle name="Normal 281 2" xfId="674"/>
    <cellStyle name="Normal 282" xfId="407"/>
    <cellStyle name="Normal 282 2" xfId="420"/>
    <cellStyle name="Normal 282 3" xfId="675"/>
    <cellStyle name="Normal 283" xfId="410"/>
    <cellStyle name="Normal 283 2" xfId="677"/>
    <cellStyle name="Normal 284" xfId="411"/>
    <cellStyle name="Normal 284 2" xfId="678"/>
    <cellStyle name="Normal 285" xfId="412"/>
    <cellStyle name="Normal 285 2" xfId="679"/>
    <cellStyle name="Normal 286" xfId="413"/>
    <cellStyle name="Normal 286 2" xfId="680"/>
    <cellStyle name="Normal 287" xfId="414"/>
    <cellStyle name="Normal 287 2" xfId="681"/>
    <cellStyle name="Normal 288" xfId="415"/>
    <cellStyle name="Normal 288 2" xfId="682"/>
    <cellStyle name="Normal 289" xfId="416"/>
    <cellStyle name="Normal 289 2" xfId="683"/>
    <cellStyle name="Normal 29" xfId="29"/>
    <cellStyle name="Normal 290" xfId="417"/>
    <cellStyle name="Normal 290 2" xfId="684"/>
    <cellStyle name="Normal 291" xfId="418"/>
    <cellStyle name="Normal 291 2" xfId="685"/>
    <cellStyle name="Normal 292" xfId="419"/>
    <cellStyle name="Normal 292 2" xfId="686"/>
    <cellStyle name="Normal 293" xfId="421"/>
    <cellStyle name="Normal 293 2" xfId="687"/>
    <cellStyle name="Normal 294" xfId="688"/>
    <cellStyle name="Normal 295" xfId="689"/>
    <cellStyle name="Normal 296" xfId="692"/>
    <cellStyle name="Normal 297" xfId="693"/>
    <cellStyle name="Normal 298" xfId="694"/>
    <cellStyle name="Normal 299" xfId="695"/>
    <cellStyle name="Normal 3" xfId="3"/>
    <cellStyle name="Normal 30" xfId="30"/>
    <cellStyle name="Normal 300" xfId="696"/>
    <cellStyle name="Normal 301" xfId="697"/>
    <cellStyle name="Normal 302" xfId="698"/>
    <cellStyle name="Normal 303" xfId="699"/>
    <cellStyle name="Normal 304" xfId="700"/>
    <cellStyle name="Normal 305" xfId="701"/>
    <cellStyle name="Normal 306" xfId="702"/>
    <cellStyle name="Normal 307" xfId="703"/>
    <cellStyle name="Normal 308" xfId="704"/>
    <cellStyle name="Normal 309" xfId="705"/>
    <cellStyle name="Normal 31" xfId="31"/>
    <cellStyle name="Normal 310" xfId="706"/>
    <cellStyle name="Normal 311" xfId="707"/>
    <cellStyle name="Normal 312" xfId="708"/>
    <cellStyle name="Normal 313" xfId="709"/>
    <cellStyle name="Normal 314" xfId="711"/>
    <cellStyle name="Normal 314 2" xfId="729"/>
    <cellStyle name="Normal 315" xfId="712"/>
    <cellStyle name="Normal 316" xfId="715"/>
    <cellStyle name="Normal 317" xfId="716"/>
    <cellStyle name="Normal 318" xfId="717"/>
    <cellStyle name="Normal 319" xfId="718"/>
    <cellStyle name="Normal 32" xfId="32"/>
    <cellStyle name="Normal 320" xfId="719"/>
    <cellStyle name="Normal 321" xfId="720"/>
    <cellStyle name="Normal 322" xfId="721"/>
    <cellStyle name="Normal 323" xfId="722"/>
    <cellStyle name="Normal 324" xfId="723"/>
    <cellStyle name="Normal 324 2" xfId="728"/>
    <cellStyle name="Normal 325" xfId="724"/>
    <cellStyle name="Normal 326" xfId="726"/>
    <cellStyle name="Normal 327" xfId="727"/>
    <cellStyle name="Normal 327 2" xfId="738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3" xfId="422"/>
    <cellStyle name="Normal 91" xfId="98"/>
    <cellStyle name="Normal 91 2" xfId="176"/>
    <cellStyle name="Normal 91 2 2" xfId="485"/>
    <cellStyle name="Normal 91 3" xfId="423"/>
    <cellStyle name="Normal 92" xfId="99"/>
    <cellStyle name="Normal 92 2" xfId="177"/>
    <cellStyle name="Normal 92 2 2" xfId="486"/>
    <cellStyle name="Normal 92 3" xfId="424"/>
    <cellStyle name="Normal 93" xfId="100"/>
    <cellStyle name="Normal 93 2" xfId="178"/>
    <cellStyle name="Normal 93 2 2" xfId="487"/>
    <cellStyle name="Normal 93 3" xfId="425"/>
    <cellStyle name="Normal 94" xfId="101"/>
    <cellStyle name="Normal 94 2" xfId="179"/>
    <cellStyle name="Normal 94 2 2" xfId="488"/>
    <cellStyle name="Normal 94 3" xfId="426"/>
    <cellStyle name="Normal 95" xfId="102"/>
    <cellStyle name="Normal 95 2" xfId="180"/>
    <cellStyle name="Normal 95 2 2" xfId="489"/>
    <cellStyle name="Normal 95 3" xfId="427"/>
    <cellStyle name="Normal 96" xfId="103"/>
    <cellStyle name="Normal 96 2" xfId="181"/>
    <cellStyle name="Normal 96 2 2" xfId="490"/>
    <cellStyle name="Normal 96 3" xfId="428"/>
    <cellStyle name="Normal 97" xfId="104"/>
    <cellStyle name="Normal 97 2" xfId="182"/>
    <cellStyle name="Normal 97 2 2" xfId="491"/>
    <cellStyle name="Normal 97 3" xfId="429"/>
    <cellStyle name="Normal 98" xfId="105"/>
    <cellStyle name="Normal 98 2" xfId="183"/>
    <cellStyle name="Normal 98 2 2" xfId="492"/>
    <cellStyle name="Normal 98 3" xfId="430"/>
    <cellStyle name="Normal 99" xfId="106"/>
    <cellStyle name="Normal 99 2" xfId="184"/>
    <cellStyle name="Normal 99 2 2" xfId="493"/>
    <cellStyle name="Normal 99 3" xfId="431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ывод" xfId="367"/>
    <cellStyle name="Вывод 2" xfId="725"/>
    <cellStyle name="Вычисление" xfId="36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Контрольная ячейка" xfId="374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  <color rgb="FFFF5050"/>
      <color rgb="FF3333CC"/>
      <color rgb="FF00FF00"/>
      <color rgb="FF84DC1A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116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81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81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80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81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81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81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116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124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124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W14395"/>
  <sheetViews>
    <sheetView zoomScale="80" zoomScaleNormal="80" workbookViewId="0">
      <selection activeCell="F29" sqref="F29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41280.02416666667</v>
      </c>
      <c r="C1" s="125" t="s">
        <v>583</v>
      </c>
      <c r="J1" s="458" t="s">
        <v>1006</v>
      </c>
      <c r="K1" s="167"/>
      <c r="L1" s="57"/>
      <c r="M1" s="57"/>
      <c r="N1" s="57"/>
      <c r="O1" s="759" t="s">
        <v>592</v>
      </c>
      <c r="P1" s="759" t="s">
        <v>839</v>
      </c>
      <c r="Q1" s="759"/>
      <c r="R1" s="759"/>
      <c r="S1" s="759"/>
    </row>
    <row r="2" spans="1:23" ht="20.25" customHeight="1" x14ac:dyDescent="0.25">
      <c r="O2" s="760"/>
      <c r="P2" s="760"/>
      <c r="Q2" s="760"/>
      <c r="R2" s="760"/>
      <c r="S2" s="760"/>
    </row>
    <row r="3" spans="1:23" s="123" customFormat="1" x14ac:dyDescent="0.25">
      <c r="A3" s="123" t="s">
        <v>120</v>
      </c>
      <c r="B3" s="123" t="s">
        <v>562</v>
      </c>
      <c r="C3" s="158" t="s">
        <v>563</v>
      </c>
      <c r="D3" s="123" t="s">
        <v>588</v>
      </c>
      <c r="E3" s="123" t="s">
        <v>593</v>
      </c>
      <c r="F3" s="123" t="s">
        <v>603</v>
      </c>
      <c r="G3" s="123" t="s">
        <v>628</v>
      </c>
      <c r="H3" s="123" t="s">
        <v>564</v>
      </c>
      <c r="I3" s="123" t="s">
        <v>565</v>
      </c>
      <c r="J3" s="127" t="s">
        <v>569</v>
      </c>
      <c r="K3" s="143" t="s">
        <v>584</v>
      </c>
      <c r="L3" s="127" t="s">
        <v>585</v>
      </c>
      <c r="M3" s="127" t="s">
        <v>586</v>
      </c>
      <c r="N3" s="158" t="s">
        <v>605</v>
      </c>
      <c r="O3" s="123" t="s">
        <v>589</v>
      </c>
      <c r="T3" s="123" t="s">
        <v>591</v>
      </c>
    </row>
    <row r="4" spans="1:23" s="171" customFormat="1" x14ac:dyDescent="0.25">
      <c r="A4" s="248"/>
      <c r="B4" s="169" t="s">
        <v>608</v>
      </c>
      <c r="C4" s="170">
        <v>45</v>
      </c>
      <c r="H4" s="169" t="s">
        <v>609</v>
      </c>
      <c r="I4" s="169" t="s">
        <v>608</v>
      </c>
      <c r="J4" s="169" t="s">
        <v>608</v>
      </c>
      <c r="K4" s="172" t="s">
        <v>610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627</v>
      </c>
      <c r="C5" s="170" t="s">
        <v>934</v>
      </c>
      <c r="H5" s="169" t="s">
        <v>609</v>
      </c>
      <c r="I5" s="169" t="s">
        <v>627</v>
      </c>
      <c r="J5" s="169" t="s">
        <v>627</v>
      </c>
      <c r="K5" s="172" t="s">
        <v>610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613</v>
      </c>
      <c r="C6" s="170" t="s">
        <v>563</v>
      </c>
      <c r="H6" s="169" t="s">
        <v>678</v>
      </c>
      <c r="I6" s="169"/>
      <c r="J6" s="169" t="s">
        <v>611</v>
      </c>
      <c r="K6" s="172" t="s">
        <v>610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31"/>
      <c r="H7" s="169"/>
      <c r="I7" s="169"/>
      <c r="J7" s="169" t="s">
        <v>612</v>
      </c>
      <c r="K7" s="172" t="s">
        <v>587</v>
      </c>
      <c r="L7" s="153">
        <v>6</v>
      </c>
      <c r="M7" s="153">
        <v>1</v>
      </c>
      <c r="N7" s="168"/>
    </row>
    <row r="8" spans="1:23" s="136" customFormat="1" x14ac:dyDescent="0.25">
      <c r="A8" s="249">
        <v>41279.010937500003</v>
      </c>
      <c r="B8" s="136" t="s">
        <v>561</v>
      </c>
      <c r="C8" s="141">
        <v>5226</v>
      </c>
      <c r="D8" s="141">
        <v>5</v>
      </c>
      <c r="E8" s="141">
        <v>2</v>
      </c>
      <c r="F8" t="s">
        <v>655</v>
      </c>
      <c r="G8" s="141" t="s">
        <v>112</v>
      </c>
      <c r="H8" s="136" t="s">
        <v>681</v>
      </c>
      <c r="I8" s="147" t="s">
        <v>561</v>
      </c>
      <c r="J8" s="137" t="s">
        <v>68</v>
      </c>
      <c r="K8" s="144" t="s">
        <v>587</v>
      </c>
      <c r="L8" s="142">
        <v>1</v>
      </c>
      <c r="M8" s="142" t="s">
        <v>657</v>
      </c>
      <c r="N8" s="135">
        <v>41274</v>
      </c>
      <c r="O8" s="146" t="s">
        <v>314</v>
      </c>
      <c r="P8" s="146"/>
      <c r="Q8" s="146"/>
      <c r="T8" s="136" t="s">
        <v>638</v>
      </c>
      <c r="W8" s="159"/>
    </row>
    <row r="9" spans="1:23" s="149" customFormat="1" x14ac:dyDescent="0.25">
      <c r="A9" s="250"/>
      <c r="B9" s="149" t="s">
        <v>561</v>
      </c>
      <c r="C9" s="150"/>
      <c r="D9" s="150"/>
      <c r="E9" s="150"/>
      <c r="J9" s="151" t="s">
        <v>67</v>
      </c>
      <c r="K9" s="152" t="s">
        <v>587</v>
      </c>
      <c r="L9" s="153">
        <v>1</v>
      </c>
      <c r="M9" s="153" t="s">
        <v>662</v>
      </c>
      <c r="N9" s="148"/>
      <c r="O9" s="154"/>
      <c r="P9" s="154"/>
      <c r="Q9" s="154"/>
      <c r="T9" s="160"/>
    </row>
    <row r="10" spans="1:23" x14ac:dyDescent="0.25">
      <c r="A10" s="248">
        <v>41280.024155092593</v>
      </c>
      <c r="B10" t="s">
        <v>566</v>
      </c>
      <c r="C10" s="145">
        <v>1185</v>
      </c>
      <c r="D10" s="139">
        <v>8</v>
      </c>
      <c r="E10" s="139">
        <v>2</v>
      </c>
      <c r="F10" t="s">
        <v>669</v>
      </c>
      <c r="G10" s="150" t="s">
        <v>112</v>
      </c>
      <c r="H10" t="s">
        <v>681</v>
      </c>
      <c r="I10" s="163" t="s">
        <v>566</v>
      </c>
      <c r="J10" s="128" t="s">
        <v>594</v>
      </c>
      <c r="K10" s="129" t="s">
        <v>587</v>
      </c>
      <c r="L10" s="153">
        <v>1</v>
      </c>
      <c r="M10" s="153" t="s">
        <v>890</v>
      </c>
      <c r="N10" s="124">
        <v>41274</v>
      </c>
      <c r="O10" s="138" t="s">
        <v>314</v>
      </c>
      <c r="P10" s="138"/>
      <c r="Q10" s="138"/>
      <c r="T10" t="s">
        <v>639</v>
      </c>
    </row>
    <row r="11" spans="1:23" x14ac:dyDescent="0.25">
      <c r="A11" s="250"/>
      <c r="B11" t="s">
        <v>566</v>
      </c>
      <c r="C11" s="145"/>
      <c r="D11" s="139"/>
      <c r="E11" s="139"/>
      <c r="G11" s="149"/>
      <c r="I11" s="149"/>
      <c r="J11" s="128" t="s">
        <v>595</v>
      </c>
      <c r="K11" s="129" t="s">
        <v>587</v>
      </c>
      <c r="L11" s="153">
        <v>1</v>
      </c>
      <c r="M11" s="153" t="s">
        <v>889</v>
      </c>
      <c r="N11" s="124"/>
      <c r="O11" s="161"/>
      <c r="P11" s="161"/>
      <c r="Q11" s="161"/>
    </row>
    <row r="12" spans="1:23" x14ac:dyDescent="0.25">
      <c r="A12" s="248">
        <v>41272.121678240743</v>
      </c>
      <c r="B12" t="s">
        <v>567</v>
      </c>
      <c r="C12" s="145">
        <v>2788</v>
      </c>
      <c r="D12" s="145">
        <v>1</v>
      </c>
      <c r="E12" s="145">
        <v>0</v>
      </c>
      <c r="F12" t="s">
        <v>655</v>
      </c>
      <c r="G12" s="150" t="s">
        <v>71</v>
      </c>
      <c r="H12" t="s">
        <v>681</v>
      </c>
      <c r="I12" s="164" t="s">
        <v>567</v>
      </c>
      <c r="J12" s="128" t="s">
        <v>596</v>
      </c>
      <c r="K12" s="129" t="s">
        <v>587</v>
      </c>
      <c r="L12" s="153" t="s">
        <v>656</v>
      </c>
      <c r="M12" s="153" t="s">
        <v>658</v>
      </c>
      <c r="N12" s="124">
        <v>41233</v>
      </c>
      <c r="O12" s="138" t="s">
        <v>314</v>
      </c>
      <c r="P12" s="138"/>
      <c r="Q12" s="138"/>
      <c r="T12" t="s">
        <v>640</v>
      </c>
    </row>
    <row r="13" spans="1:23" x14ac:dyDescent="0.25">
      <c r="A13" s="250"/>
      <c r="B13" t="s">
        <v>567</v>
      </c>
      <c r="C13" s="145"/>
      <c r="D13" s="145"/>
      <c r="E13" s="145"/>
      <c r="G13" s="2"/>
      <c r="I13" s="149"/>
      <c r="J13" s="128" t="s">
        <v>597</v>
      </c>
      <c r="K13" s="129" t="s">
        <v>587</v>
      </c>
      <c r="L13" s="153" t="s">
        <v>656</v>
      </c>
      <c r="M13" s="153" t="s">
        <v>659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720">
        <v>41273.115115740744</v>
      </c>
      <c r="B14" s="136" t="s">
        <v>568</v>
      </c>
      <c r="C14" s="141">
        <v>3850</v>
      </c>
      <c r="D14" s="141">
        <v>2</v>
      </c>
      <c r="E14" s="141">
        <v>6</v>
      </c>
      <c r="F14" s="136" t="s">
        <v>617</v>
      </c>
      <c r="G14" s="141" t="s">
        <v>91</v>
      </c>
      <c r="H14" s="136" t="str">
        <f t="shared" ref="H14:H21" si="0">H$6</f>
        <v>SFDC.xlsx</v>
      </c>
      <c r="I14" s="165" t="s">
        <v>568</v>
      </c>
      <c r="J14" s="137" t="s">
        <v>570</v>
      </c>
      <c r="K14" s="144" t="s">
        <v>587</v>
      </c>
      <c r="L14" s="142">
        <v>2</v>
      </c>
      <c r="M14" s="142" t="s">
        <v>660</v>
      </c>
      <c r="N14" s="270">
        <v>41273.113888888889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719">
        <v>41273.113391203704</v>
      </c>
      <c r="B15" t="s">
        <v>571</v>
      </c>
      <c r="C15" s="145">
        <v>946</v>
      </c>
      <c r="D15" s="139">
        <v>2</v>
      </c>
      <c r="E15" s="139">
        <v>6</v>
      </c>
      <c r="F15" t="s">
        <v>617</v>
      </c>
      <c r="G15" s="150" t="s">
        <v>91</v>
      </c>
      <c r="H15" t="str">
        <f t="shared" si="0"/>
        <v>SFDC.xlsx</v>
      </c>
      <c r="I15" s="166" t="s">
        <v>571</v>
      </c>
      <c r="J15" s="128" t="s">
        <v>572</v>
      </c>
      <c r="K15" s="129" t="s">
        <v>587</v>
      </c>
      <c r="L15" s="140">
        <v>2</v>
      </c>
      <c r="M15" s="140" t="s">
        <v>660</v>
      </c>
      <c r="N15" s="124">
        <v>41273.112500000003</v>
      </c>
      <c r="O15" s="138"/>
      <c r="Q15" s="138"/>
      <c r="T15" s="149" t="str">
        <f>Process!F32</f>
        <v>LOAD_SFD</v>
      </c>
    </row>
    <row r="16" spans="1:23" ht="15.75" x14ac:dyDescent="0.3">
      <c r="A16" s="719">
        <v>41273.112395833334</v>
      </c>
      <c r="B16" t="s">
        <v>573</v>
      </c>
      <c r="C16" s="145">
        <v>3063</v>
      </c>
      <c r="D16" s="139" t="s">
        <v>590</v>
      </c>
      <c r="E16" s="139">
        <v>6</v>
      </c>
      <c r="F16" t="s">
        <v>604</v>
      </c>
      <c r="G16" s="150" t="s">
        <v>91</v>
      </c>
      <c r="H16" t="str">
        <f t="shared" si="0"/>
        <v>SFDC.xlsx</v>
      </c>
      <c r="I16" s="166" t="s">
        <v>573</v>
      </c>
      <c r="J16" s="130" t="s">
        <v>574</v>
      </c>
      <c r="K16" s="129" t="s">
        <v>587</v>
      </c>
      <c r="L16" s="140">
        <v>2</v>
      </c>
      <c r="M16" s="140">
        <v>1</v>
      </c>
      <c r="N16" s="124">
        <v>41273.111805555556</v>
      </c>
      <c r="O16" s="138"/>
      <c r="Q16" s="138"/>
    </row>
    <row r="17" spans="1:20" ht="15.75" x14ac:dyDescent="0.3">
      <c r="A17" s="719">
        <v>41272.121238425927</v>
      </c>
      <c r="B17" t="s">
        <v>136</v>
      </c>
      <c r="C17" s="145">
        <v>4048</v>
      </c>
      <c r="D17" s="139" t="s">
        <v>590</v>
      </c>
      <c r="E17" s="139">
        <v>6</v>
      </c>
      <c r="F17" t="s">
        <v>604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587</v>
      </c>
      <c r="L17" s="140">
        <v>2</v>
      </c>
      <c r="M17" s="140">
        <v>1</v>
      </c>
      <c r="N17" s="124">
        <v>41272.120833333334</v>
      </c>
      <c r="O17" s="138"/>
      <c r="Q17" s="138"/>
      <c r="T17" t="str">
        <f>Process!F38</f>
        <v>LOAD_SFacc</v>
      </c>
    </row>
    <row r="18" spans="1:20" ht="15.75" x14ac:dyDescent="0.3">
      <c r="A18" s="248">
        <v>41270.943449074075</v>
      </c>
      <c r="B18" t="s">
        <v>576</v>
      </c>
      <c r="C18" s="145">
        <v>7956</v>
      </c>
      <c r="D18" s="139" t="s">
        <v>590</v>
      </c>
      <c r="E18" s="139">
        <v>6</v>
      </c>
      <c r="F18" t="s">
        <v>604</v>
      </c>
      <c r="G18" s="150" t="s">
        <v>113</v>
      </c>
      <c r="H18" t="str">
        <f t="shared" si="0"/>
        <v>SFDC.xlsx</v>
      </c>
      <c r="I18" s="166" t="s">
        <v>576</v>
      </c>
      <c r="J18" s="131" t="s">
        <v>575</v>
      </c>
      <c r="K18" s="129" t="s">
        <v>587</v>
      </c>
      <c r="L18" s="140">
        <v>2</v>
      </c>
      <c r="M18" s="140">
        <v>1</v>
      </c>
      <c r="N18" s="124">
        <v>41270.928472222222</v>
      </c>
      <c r="O18" s="138"/>
      <c r="Q18" s="138"/>
    </row>
    <row r="19" spans="1:20" ht="15.75" x14ac:dyDescent="0.3">
      <c r="A19" s="719">
        <v>41233.837291666663</v>
      </c>
      <c r="B19" t="s">
        <v>578</v>
      </c>
      <c r="C19" s="145">
        <v>1747</v>
      </c>
      <c r="D19" s="139" t="s">
        <v>590</v>
      </c>
      <c r="E19" s="139">
        <v>6</v>
      </c>
      <c r="F19" t="s">
        <v>604</v>
      </c>
      <c r="G19" s="150" t="s">
        <v>71</v>
      </c>
      <c r="H19" t="str">
        <f t="shared" si="0"/>
        <v>SFDC.xlsx</v>
      </c>
      <c r="I19" s="166" t="s">
        <v>578</v>
      </c>
      <c r="J19" s="132" t="s">
        <v>577</v>
      </c>
      <c r="K19" s="129" t="s">
        <v>587</v>
      </c>
      <c r="L19" s="140">
        <v>2</v>
      </c>
      <c r="M19" s="140">
        <v>1</v>
      </c>
      <c r="N19" s="124">
        <v>41233.836805555555</v>
      </c>
      <c r="O19" s="138"/>
      <c r="Q19" s="138"/>
    </row>
    <row r="20" spans="1:20" ht="15.75" x14ac:dyDescent="0.3">
      <c r="A20" s="719">
        <v>41233.83971064815</v>
      </c>
      <c r="B20" t="s">
        <v>579</v>
      </c>
      <c r="C20" s="145">
        <v>194</v>
      </c>
      <c r="D20" s="139" t="s">
        <v>590</v>
      </c>
      <c r="E20" s="139">
        <v>6</v>
      </c>
      <c r="F20" t="s">
        <v>604</v>
      </c>
      <c r="G20" s="150" t="s">
        <v>91</v>
      </c>
      <c r="H20" t="str">
        <f t="shared" si="0"/>
        <v>SFDC.xlsx</v>
      </c>
      <c r="I20" s="166" t="s">
        <v>579</v>
      </c>
      <c r="J20" s="133" t="s">
        <v>580</v>
      </c>
      <c r="K20" s="129" t="s">
        <v>587</v>
      </c>
      <c r="L20" s="140">
        <v>2</v>
      </c>
      <c r="M20" s="140">
        <v>1</v>
      </c>
      <c r="N20" s="124">
        <v>41233.839583333334</v>
      </c>
      <c r="O20" s="138"/>
      <c r="Q20" s="138"/>
    </row>
    <row r="21" spans="1:20" ht="15.75" x14ac:dyDescent="0.3">
      <c r="A21" s="719">
        <v>41233.84138888889</v>
      </c>
      <c r="B21" t="s">
        <v>581</v>
      </c>
      <c r="C21" s="145">
        <v>362</v>
      </c>
      <c r="D21" s="139" t="s">
        <v>590</v>
      </c>
      <c r="E21" s="139">
        <v>6</v>
      </c>
      <c r="F21" t="s">
        <v>604</v>
      </c>
      <c r="G21" s="150" t="s">
        <v>113</v>
      </c>
      <c r="H21" t="str">
        <f t="shared" si="0"/>
        <v>SFDC.xlsx</v>
      </c>
      <c r="I21" s="556" t="s">
        <v>581</v>
      </c>
      <c r="J21" s="134" t="s">
        <v>582</v>
      </c>
      <c r="K21" s="295" t="s">
        <v>587</v>
      </c>
      <c r="L21" s="140">
        <v>2</v>
      </c>
      <c r="M21" s="140">
        <v>1</v>
      </c>
      <c r="N21" s="162">
        <v>41233.840277777781</v>
      </c>
      <c r="O21" s="555"/>
      <c r="P21" s="297"/>
      <c r="Q21" s="555"/>
      <c r="R21" s="297"/>
      <c r="S21" s="297"/>
    </row>
    <row r="22" spans="1:20" s="136" customFormat="1" x14ac:dyDescent="0.25">
      <c r="A22" s="720">
        <v>41249.044224537036</v>
      </c>
      <c r="B22" s="136" t="s">
        <v>598</v>
      </c>
      <c r="C22" s="157">
        <v>8848</v>
      </c>
      <c r="D22" s="157" t="s">
        <v>130</v>
      </c>
      <c r="E22" s="157" t="s">
        <v>590</v>
      </c>
      <c r="F22" s="136" t="s">
        <v>782</v>
      </c>
      <c r="G22" s="526">
        <v>10</v>
      </c>
      <c r="H22" s="136" t="s">
        <v>682</v>
      </c>
      <c r="I22" s="278" t="str">
        <f>B22</f>
        <v>Склад</v>
      </c>
      <c r="J22" s="137" t="s">
        <v>65</v>
      </c>
      <c r="K22" s="152" t="s">
        <v>610</v>
      </c>
      <c r="L22" s="142" t="s">
        <v>660</v>
      </c>
      <c r="M22" s="142" t="s">
        <v>991</v>
      </c>
      <c r="N22" s="135">
        <v>41232.113368055558</v>
      </c>
      <c r="O22" s="154" t="s">
        <v>314</v>
      </c>
      <c r="P22" s="160"/>
      <c r="Q22" s="554" t="s">
        <v>864</v>
      </c>
      <c r="R22" s="277"/>
      <c r="S22" s="160"/>
      <c r="T22" s="136" t="s">
        <v>644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683</v>
      </c>
      <c r="K23" s="152" t="s">
        <v>587</v>
      </c>
      <c r="L23" s="153" t="s">
        <v>660</v>
      </c>
      <c r="M23" s="153" t="s">
        <v>992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684</v>
      </c>
      <c r="K24" s="152" t="s">
        <v>587</v>
      </c>
      <c r="L24" s="153" t="s">
        <v>660</v>
      </c>
      <c r="M24" s="153" t="s">
        <v>993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685</v>
      </c>
      <c r="K25" s="152" t="s">
        <v>587</v>
      </c>
      <c r="L25" s="153" t="s">
        <v>660</v>
      </c>
      <c r="M25" s="153" t="s">
        <v>994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686</v>
      </c>
      <c r="K26" s="152" t="s">
        <v>587</v>
      </c>
      <c r="L26" s="153" t="s">
        <v>660</v>
      </c>
      <c r="M26" s="153" t="s">
        <v>995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687</v>
      </c>
      <c r="K27" s="283" t="s">
        <v>587</v>
      </c>
      <c r="L27" s="284" t="s">
        <v>660</v>
      </c>
      <c r="M27" s="284" t="s">
        <v>996</v>
      </c>
      <c r="N27" s="285"/>
      <c r="O27" s="286"/>
      <c r="Q27" s="286"/>
      <c r="R27" s="287"/>
    </row>
    <row r="28" spans="1:20" s="288" customFormat="1" x14ac:dyDescent="0.25">
      <c r="A28" s="699">
        <v>41221.716736111113</v>
      </c>
      <c r="B28" s="288" t="s">
        <v>602</v>
      </c>
      <c r="C28" s="289">
        <v>1271</v>
      </c>
      <c r="D28" s="527">
        <v>8</v>
      </c>
      <c r="E28" s="527">
        <v>19</v>
      </c>
      <c r="F28" s="288" t="s">
        <v>860</v>
      </c>
      <c r="G28" s="527">
        <v>10</v>
      </c>
      <c r="H28" s="288" t="s">
        <v>682</v>
      </c>
      <c r="I28" s="276" t="str">
        <f>B28</f>
        <v>Заказы</v>
      </c>
      <c r="J28" s="290" t="s">
        <v>688</v>
      </c>
      <c r="K28" s="291" t="s">
        <v>587</v>
      </c>
      <c r="L28" s="292" t="s">
        <v>660</v>
      </c>
      <c r="M28" s="292" t="s">
        <v>874</v>
      </c>
      <c r="N28" s="293">
        <v>41211.864074074074</v>
      </c>
      <c r="O28" s="288" t="s">
        <v>314</v>
      </c>
      <c r="P28" s="528">
        <v>2</v>
      </c>
      <c r="Q28" s="553" t="s">
        <v>863</v>
      </c>
      <c r="R28" s="149"/>
      <c r="S28" s="149"/>
      <c r="T28" s="288" t="s">
        <v>645</v>
      </c>
    </row>
    <row r="29" spans="1:20" s="149" customFormat="1" x14ac:dyDescent="0.25">
      <c r="A29" s="294"/>
      <c r="C29" s="275"/>
      <c r="J29" s="151" t="s">
        <v>689</v>
      </c>
      <c r="K29" s="152" t="s">
        <v>587</v>
      </c>
      <c r="L29" s="153" t="s">
        <v>660</v>
      </c>
      <c r="M29" s="153" t="s">
        <v>875</v>
      </c>
      <c r="N29" s="148"/>
      <c r="O29" s="149" t="s">
        <v>314</v>
      </c>
      <c r="P29" s="529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587</v>
      </c>
      <c r="L30" s="153" t="s">
        <v>660</v>
      </c>
      <c r="M30" s="153" t="s">
        <v>876</v>
      </c>
      <c r="N30" s="148"/>
      <c r="O30" t="s">
        <v>314</v>
      </c>
      <c r="P30" s="529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587</v>
      </c>
      <c r="L31" s="153" t="s">
        <v>660</v>
      </c>
      <c r="M31" s="153" t="s">
        <v>877</v>
      </c>
      <c r="N31" s="148"/>
      <c r="O31" t="s">
        <v>314</v>
      </c>
      <c r="P31" s="529">
        <v>2</v>
      </c>
    </row>
    <row r="32" spans="1:20" x14ac:dyDescent="0.25">
      <c r="A32" s="263"/>
      <c r="C32" s="269"/>
      <c r="H32" s="149"/>
      <c r="I32" s="149"/>
      <c r="J32" s="151" t="s">
        <v>690</v>
      </c>
      <c r="K32" s="152" t="s">
        <v>587</v>
      </c>
      <c r="L32" s="153" t="s">
        <v>660</v>
      </c>
      <c r="M32" s="153" t="s">
        <v>878</v>
      </c>
      <c r="N32" s="148"/>
      <c r="O32" t="s">
        <v>314</v>
      </c>
      <c r="P32" s="529">
        <v>2</v>
      </c>
    </row>
    <row r="33" spans="1:20" x14ac:dyDescent="0.25">
      <c r="A33" s="263"/>
      <c r="C33" s="269"/>
      <c r="H33" s="149"/>
      <c r="I33" s="149"/>
      <c r="J33" s="151" t="s">
        <v>691</v>
      </c>
      <c r="K33" s="152" t="s">
        <v>587</v>
      </c>
      <c r="L33" s="153" t="s">
        <v>660</v>
      </c>
      <c r="M33" s="153" t="s">
        <v>879</v>
      </c>
      <c r="N33" s="148"/>
      <c r="O33" t="s">
        <v>314</v>
      </c>
      <c r="P33" s="529">
        <v>2</v>
      </c>
    </row>
    <row r="34" spans="1:20" x14ac:dyDescent="0.25">
      <c r="A34" s="263"/>
      <c r="C34" s="269"/>
      <c r="H34" s="149"/>
      <c r="I34" s="149"/>
      <c r="J34" s="151" t="s">
        <v>692</v>
      </c>
      <c r="K34" s="295" t="s">
        <v>587</v>
      </c>
      <c r="L34" s="153" t="s">
        <v>660</v>
      </c>
      <c r="M34" s="153" t="s">
        <v>880</v>
      </c>
      <c r="N34" s="148"/>
      <c r="P34" s="530">
        <v>2</v>
      </c>
    </row>
    <row r="35" spans="1:20" s="136" customFormat="1" x14ac:dyDescent="0.25">
      <c r="A35" s="249"/>
      <c r="B35" s="136" t="s">
        <v>599</v>
      </c>
      <c r="C35" s="157" t="s">
        <v>601</v>
      </c>
      <c r="D35" s="157" t="s">
        <v>126</v>
      </c>
      <c r="E35" s="157"/>
      <c r="F35" s="457"/>
      <c r="H35" s="136" t="s">
        <v>607</v>
      </c>
      <c r="I35" s="273" t="s">
        <v>695</v>
      </c>
      <c r="J35" s="137" t="s">
        <v>693</v>
      </c>
      <c r="K35" s="152" t="s">
        <v>587</v>
      </c>
      <c r="L35" s="142">
        <v>3</v>
      </c>
      <c r="M35" s="142">
        <v>1</v>
      </c>
      <c r="N35" s="135"/>
      <c r="O35" s="146" t="s">
        <v>314</v>
      </c>
      <c r="Q35" s="146"/>
      <c r="R35" s="155"/>
      <c r="T35" s="136" t="s">
        <v>646</v>
      </c>
    </row>
    <row r="36" spans="1:20" x14ac:dyDescent="0.25">
      <c r="A36" s="250"/>
      <c r="I36" s="149"/>
      <c r="J36" s="151" t="s">
        <v>694</v>
      </c>
      <c r="K36" s="152" t="s">
        <v>587</v>
      </c>
      <c r="L36" s="153">
        <v>3</v>
      </c>
      <c r="M36" s="153">
        <v>3</v>
      </c>
      <c r="O36" t="s">
        <v>314</v>
      </c>
    </row>
    <row r="37" spans="1:20" x14ac:dyDescent="0.25">
      <c r="A37" s="250"/>
      <c r="I37" s="149"/>
      <c r="J37" s="151" t="s">
        <v>188</v>
      </c>
      <c r="K37" s="152" t="s">
        <v>587</v>
      </c>
      <c r="L37" s="153">
        <v>3</v>
      </c>
      <c r="M37" s="153">
        <v>9</v>
      </c>
      <c r="O37" t="s">
        <v>314</v>
      </c>
    </row>
    <row r="38" spans="1:20" s="297" customFormat="1" x14ac:dyDescent="0.25">
      <c r="A38" s="296"/>
      <c r="C38" s="298"/>
      <c r="J38" s="299" t="s">
        <v>367</v>
      </c>
      <c r="K38" s="295" t="s">
        <v>587</v>
      </c>
      <c r="L38" s="300">
        <v>3</v>
      </c>
      <c r="M38" s="300">
        <v>21</v>
      </c>
    </row>
    <row r="39" spans="1:20" s="708" customFormat="1" x14ac:dyDescent="0.25">
      <c r="A39" s="716">
        <v>0</v>
      </c>
      <c r="B39" s="708" t="s">
        <v>1002</v>
      </c>
      <c r="C39" s="709">
        <v>1</v>
      </c>
      <c r="D39" s="709"/>
      <c r="E39" s="709"/>
      <c r="H39" s="708" t="s">
        <v>940</v>
      </c>
      <c r="I39" s="717" t="str">
        <f>B39</f>
        <v>DicAcc</v>
      </c>
      <c r="J39" s="710"/>
      <c r="K39" s="711" t="s">
        <v>941</v>
      </c>
      <c r="L39" s="712"/>
      <c r="M39" s="712"/>
      <c r="N39" s="713">
        <v>41237.062407407408</v>
      </c>
      <c r="O39" s="714"/>
      <c r="P39" s="708" t="s">
        <v>1001</v>
      </c>
      <c r="Q39" s="714"/>
      <c r="R39" s="715"/>
    </row>
    <row r="40" spans="1:20" s="149" customFormat="1" x14ac:dyDescent="0.25">
      <c r="A40" s="655">
        <v>41273.025671296295</v>
      </c>
      <c r="B40" s="149" t="s">
        <v>806</v>
      </c>
      <c r="C40" s="275">
        <v>1</v>
      </c>
      <c r="D40" s="275"/>
      <c r="E40" s="275"/>
      <c r="F40" s="149" t="s">
        <v>632</v>
      </c>
      <c r="H40" s="149" t="s">
        <v>940</v>
      </c>
      <c r="I40" s="634" t="s">
        <v>806</v>
      </c>
      <c r="J40" s="151"/>
      <c r="K40" s="152" t="s">
        <v>941</v>
      </c>
      <c r="L40" s="153"/>
      <c r="M40" s="153"/>
      <c r="N40" s="148">
        <v>41275.880358796298</v>
      </c>
      <c r="O40" s="154"/>
      <c r="P40" s="149" t="s">
        <v>935</v>
      </c>
      <c r="Q40" s="154"/>
      <c r="R40" s="277"/>
    </row>
    <row r="41" spans="1:20" s="149" customFormat="1" x14ac:dyDescent="0.25">
      <c r="A41" s="655">
        <v>41280.02416666667</v>
      </c>
      <c r="B41" s="149" t="s">
        <v>680</v>
      </c>
      <c r="C41" s="275">
        <v>4</v>
      </c>
      <c r="D41" s="275"/>
      <c r="E41" s="275"/>
      <c r="F41" s="149" t="s">
        <v>632</v>
      </c>
      <c r="H41" s="149" t="s">
        <v>940</v>
      </c>
      <c r="I41" s="634" t="s">
        <v>680</v>
      </c>
      <c r="J41" s="151"/>
      <c r="K41" s="152" t="s">
        <v>941</v>
      </c>
      <c r="L41" s="153"/>
      <c r="M41" s="153"/>
      <c r="N41" s="148">
        <v>41280.024155092593</v>
      </c>
      <c r="O41" s="154"/>
      <c r="P41" s="149" t="s">
        <v>936</v>
      </c>
      <c r="Q41" s="154"/>
      <c r="R41" s="277"/>
    </row>
    <row r="42" spans="1:20" s="149" customFormat="1" x14ac:dyDescent="0.25">
      <c r="A42" s="655">
        <v>41272.98159722222</v>
      </c>
      <c r="B42" s="149" t="s">
        <v>817</v>
      </c>
      <c r="C42" s="275">
        <v>1</v>
      </c>
      <c r="D42" s="275"/>
      <c r="E42" s="275"/>
      <c r="F42" s="149" t="s">
        <v>679</v>
      </c>
      <c r="H42" s="149" t="s">
        <v>940</v>
      </c>
      <c r="I42" s="634" t="s">
        <v>817</v>
      </c>
      <c r="J42" s="151"/>
      <c r="K42" s="152" t="s">
        <v>941</v>
      </c>
      <c r="L42" s="153"/>
      <c r="M42" s="153"/>
      <c r="N42" s="148">
        <v>41272.98159722222</v>
      </c>
      <c r="O42" s="154"/>
      <c r="P42" s="149" t="s">
        <v>938</v>
      </c>
      <c r="Q42" s="154"/>
      <c r="R42" s="277"/>
    </row>
    <row r="43" spans="1:20" s="149" customFormat="1" x14ac:dyDescent="0.25">
      <c r="A43" s="274"/>
      <c r="B43" s="149" t="s">
        <v>932</v>
      </c>
      <c r="C43" s="275" t="s">
        <v>91</v>
      </c>
      <c r="D43" s="275"/>
      <c r="E43" s="275"/>
      <c r="H43" s="149" t="s">
        <v>940</v>
      </c>
      <c r="I43" s="634" t="s">
        <v>932</v>
      </c>
      <c r="J43" s="151"/>
      <c r="K43" s="152" t="s">
        <v>941</v>
      </c>
      <c r="L43" s="153"/>
      <c r="M43" s="153"/>
      <c r="N43" s="148"/>
      <c r="O43" s="154"/>
      <c r="P43" s="644"/>
      <c r="Q43" s="645"/>
      <c r="R43" s="646"/>
      <c r="S43" s="644"/>
      <c r="T43" s="644"/>
    </row>
    <row r="44" spans="1:20" s="636" customFormat="1" x14ac:dyDescent="0.25">
      <c r="A44" s="656"/>
      <c r="B44" s="636" t="s">
        <v>966</v>
      </c>
      <c r="C44" s="637" t="s">
        <v>918</v>
      </c>
      <c r="D44" s="637"/>
      <c r="E44" s="637"/>
      <c r="H44" s="636" t="s">
        <v>940</v>
      </c>
      <c r="I44" s="638" t="s">
        <v>933</v>
      </c>
      <c r="J44" s="639"/>
      <c r="K44" s="640" t="s">
        <v>941</v>
      </c>
      <c r="L44" s="641"/>
      <c r="M44" s="641"/>
      <c r="N44" s="642"/>
      <c r="O44" s="643"/>
      <c r="P44" s="647" t="s">
        <v>967</v>
      </c>
      <c r="Q44" s="648"/>
      <c r="R44" s="649"/>
      <c r="S44" s="647"/>
      <c r="T44" s="647"/>
    </row>
    <row r="45" spans="1:20" s="297" customFormat="1" x14ac:dyDescent="0.25">
      <c r="A45" s="657"/>
      <c r="B45" s="297" t="s">
        <v>931</v>
      </c>
      <c r="C45" s="631" t="s">
        <v>115</v>
      </c>
      <c r="D45" s="631"/>
      <c r="E45" s="631"/>
      <c r="H45" s="297" t="s">
        <v>940</v>
      </c>
      <c r="I45" s="635" t="s">
        <v>931</v>
      </c>
      <c r="J45" s="299"/>
      <c r="K45" s="295" t="s">
        <v>941</v>
      </c>
      <c r="L45" s="300"/>
      <c r="M45" s="300"/>
      <c r="N45" s="632"/>
      <c r="O45" s="555"/>
      <c r="P45" s="297" t="s">
        <v>939</v>
      </c>
      <c r="Q45" s="555"/>
      <c r="R45" s="633"/>
    </row>
    <row r="46" spans="1:20" x14ac:dyDescent="0.25">
      <c r="A46" s="250"/>
    </row>
    <row r="47" spans="1:20" x14ac:dyDescent="0.25">
      <c r="A47" s="250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2"/>
  <sheetViews>
    <sheetView zoomScale="70" zoomScaleNormal="70" workbookViewId="0">
      <pane xSplit="2" ySplit="4" topLeftCell="C65" activePane="bottomRight" state="frozen"/>
      <selection pane="topRight" activeCell="C1" sqref="C1"/>
      <selection pane="bottomLeft" activeCell="A5" sqref="A5"/>
      <selection pane="bottomRight" activeCell="A77" sqref="A77:XFD77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41280.02416666667</v>
      </c>
      <c r="C1" s="125" t="s">
        <v>614</v>
      </c>
      <c r="D1" s="125"/>
      <c r="G1" s="459" t="s">
        <v>1063</v>
      </c>
      <c r="H1" s="459"/>
      <c r="I1" s="459" t="s">
        <v>782</v>
      </c>
    </row>
    <row r="2" spans="1:15" ht="15" customHeight="1" thickBot="1" x14ac:dyDescent="0.35">
      <c r="B2" s="125"/>
    </row>
    <row r="3" spans="1:15" ht="15.75" customHeight="1" x14ac:dyDescent="0.25">
      <c r="E3" s="761" t="s">
        <v>618</v>
      </c>
      <c r="F3" s="763" t="s">
        <v>619</v>
      </c>
      <c r="G3" s="764"/>
      <c r="H3" s="764"/>
      <c r="I3" s="764"/>
      <c r="J3" s="765"/>
      <c r="K3" s="763" t="s">
        <v>620</v>
      </c>
      <c r="L3" s="764"/>
      <c r="M3" s="764"/>
      <c r="N3" s="764"/>
      <c r="O3" s="765"/>
    </row>
    <row r="4" spans="1:15" s="123" customFormat="1" ht="15.75" thickBot="1" x14ac:dyDescent="0.3">
      <c r="B4" s="158" t="s">
        <v>615</v>
      </c>
      <c r="C4" s="123" t="s">
        <v>616</v>
      </c>
      <c r="E4" s="762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604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475"/>
      <c r="B6" s="476" t="s">
        <v>624</v>
      </c>
      <c r="C6" s="475"/>
      <c r="E6" s="190"/>
      <c r="F6" s="189" t="s">
        <v>638</v>
      </c>
      <c r="G6" s="174"/>
      <c r="H6" s="174"/>
      <c r="I6" s="174"/>
      <c r="J6" s="175"/>
      <c r="K6" s="188" t="s">
        <v>561</v>
      </c>
      <c r="L6" s="174"/>
      <c r="M6" s="174"/>
      <c r="N6" s="174"/>
      <c r="O6" s="175"/>
    </row>
    <row r="7" spans="1:15" s="173" customFormat="1" hidden="1" outlineLevel="1" x14ac:dyDescent="0.25">
      <c r="A7" s="264">
        <v>41279.010648148149</v>
      </c>
      <c r="B7" s="265" t="s">
        <v>606</v>
      </c>
      <c r="C7" s="302" t="s">
        <v>604</v>
      </c>
      <c r="D7" s="196"/>
      <c r="E7" s="197" t="s">
        <v>70</v>
      </c>
      <c r="F7" s="427" t="s">
        <v>773</v>
      </c>
      <c r="G7" s="428" t="s">
        <v>774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264">
        <v>41279.010879629626</v>
      </c>
      <c r="B8" s="265" t="s">
        <v>782</v>
      </c>
      <c r="C8" s="302" t="str">
        <f>B7</f>
        <v>InsMyCol</v>
      </c>
      <c r="D8" s="196"/>
      <c r="E8" s="197" t="s">
        <v>70</v>
      </c>
      <c r="F8" s="427" t="str">
        <f>F7</f>
        <v>HDR_1C_Payment_MyCol</v>
      </c>
      <c r="G8" s="428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264">
        <v>41279.010879629626</v>
      </c>
      <c r="B9" s="265" t="s">
        <v>617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29">
        <v>41279.010925925926</v>
      </c>
      <c r="B10" s="460" t="s">
        <v>629</v>
      </c>
      <c r="C10" s="302" t="str">
        <f>B9</f>
        <v>DateSort</v>
      </c>
      <c r="D10" s="5"/>
      <c r="E10" s="203" t="s">
        <v>70</v>
      </c>
      <c r="F10" s="214"/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264">
        <v>41279.010937500003</v>
      </c>
      <c r="B11" s="265" t="s">
        <v>655</v>
      </c>
      <c r="C11" s="477" t="str">
        <f>B10</f>
        <v>PaymentPaint</v>
      </c>
      <c r="D11" s="5"/>
      <c r="E11" s="218" t="s">
        <v>70</v>
      </c>
      <c r="F11" s="200"/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30"/>
      <c r="B12" s="731" t="s">
        <v>625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4"/>
      <c r="B13" s="465" t="s">
        <v>624</v>
      </c>
      <c r="C13" s="466"/>
      <c r="D13" s="467"/>
      <c r="E13" s="468" t="s">
        <v>201</v>
      </c>
      <c r="F13" s="469" t="s">
        <v>639</v>
      </c>
      <c r="G13" s="467"/>
      <c r="H13" s="467"/>
      <c r="I13" s="467"/>
      <c r="J13" s="470"/>
      <c r="K13" s="471" t="str">
        <f>TOCmatch!B10</f>
        <v>Договоры</v>
      </c>
      <c r="L13" s="472"/>
      <c r="M13" s="467"/>
      <c r="N13" s="472"/>
      <c r="O13" s="470"/>
    </row>
    <row r="14" spans="1:15" s="149" customFormat="1" hidden="1" outlineLevel="1" x14ac:dyDescent="0.25">
      <c r="A14" s="264">
        <v>41275.58048611111</v>
      </c>
      <c r="B14" s="265" t="s">
        <v>606</v>
      </c>
      <c r="C14" s="302" t="s">
        <v>604</v>
      </c>
      <c r="D14" s="196"/>
      <c r="E14" s="197" t="s">
        <v>70</v>
      </c>
      <c r="F14" s="427" t="s">
        <v>780</v>
      </c>
      <c r="G14" s="428" t="s">
        <v>781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264">
        <v>41275.58053240741</v>
      </c>
      <c r="B15" s="265" t="s">
        <v>782</v>
      </c>
      <c r="C15" s="302" t="str">
        <f>B14</f>
        <v>InsMyCol</v>
      </c>
      <c r="D15" s="196"/>
      <c r="E15" s="197" t="s">
        <v>70</v>
      </c>
      <c r="F15" s="427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29">
        <v>41275.58053240741</v>
      </c>
      <c r="B16" s="265" t="s">
        <v>617</v>
      </c>
      <c r="C16" s="302" t="str">
        <f>B15</f>
        <v>Adapt</v>
      </c>
      <c r="D16" s="196"/>
      <c r="E16" s="197" t="s">
        <v>70</v>
      </c>
      <c r="F16" s="271" t="s">
        <v>566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29">
        <v>41275.58053240741</v>
      </c>
      <c r="B17" s="460" t="s">
        <v>621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264">
        <v>41275.58053240741</v>
      </c>
      <c r="B18" s="265" t="s">
        <v>655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30"/>
      <c r="B19" s="731" t="s">
        <v>625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264"/>
      <c r="B20" s="265" t="s">
        <v>624</v>
      </c>
      <c r="C20" s="266"/>
      <c r="D20" s="212"/>
      <c r="E20" s="197"/>
      <c r="F20" s="220" t="s">
        <v>640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264">
        <v>41236.082615740743</v>
      </c>
      <c r="B21" s="265" t="s">
        <v>654</v>
      </c>
      <c r="C21" s="302" t="s">
        <v>604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264">
        <v>41236.082627314812</v>
      </c>
      <c r="B22" s="265" t="s">
        <v>606</v>
      </c>
      <c r="C22" s="664" t="str">
        <f>B21</f>
        <v>Acc1C_Bottom</v>
      </c>
      <c r="D22" s="196"/>
      <c r="E22" s="197" t="s">
        <v>70</v>
      </c>
      <c r="F22" s="200" t="s">
        <v>661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264">
        <v>41272.121666666666</v>
      </c>
      <c r="B23" s="265" t="s">
        <v>782</v>
      </c>
      <c r="C23" s="664" t="str">
        <f>B22</f>
        <v>InsMyCol</v>
      </c>
      <c r="D23" s="196"/>
      <c r="E23" s="197" t="s">
        <v>70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264">
        <v>41272.121678240743</v>
      </c>
      <c r="B24" s="265" t="s">
        <v>655</v>
      </c>
      <c r="C24" s="664" t="str">
        <f>B23</f>
        <v>Adapt</v>
      </c>
      <c r="D24" s="5"/>
      <c r="E24" s="218" t="s">
        <v>70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32"/>
      <c r="B25" s="733" t="s">
        <v>625</v>
      </c>
      <c r="C25" s="551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738"/>
      <c r="B26" s="739" t="s">
        <v>624</v>
      </c>
      <c r="C26" s="740"/>
      <c r="D26" s="309"/>
      <c r="E26" s="310" t="s">
        <v>201</v>
      </c>
      <c r="F26" s="311" t="s">
        <v>641</v>
      </c>
      <c r="G26" s="309"/>
      <c r="H26" s="309"/>
      <c r="I26" s="309"/>
      <c r="J26" s="312"/>
      <c r="K26" s="313" t="s">
        <v>568</v>
      </c>
      <c r="L26" s="314"/>
      <c r="M26" s="309"/>
      <c r="N26" s="314"/>
      <c r="O26" s="312"/>
    </row>
    <row r="27" spans="1:15" hidden="1" outlineLevel="1" x14ac:dyDescent="0.25">
      <c r="A27" s="264">
        <v>41273.115057870367</v>
      </c>
      <c r="B27" s="265" t="s">
        <v>606</v>
      </c>
      <c r="C27" s="302" t="s">
        <v>604</v>
      </c>
      <c r="D27" s="196"/>
      <c r="E27" s="197" t="s">
        <v>70</v>
      </c>
      <c r="F27" s="200" t="s">
        <v>622</v>
      </c>
      <c r="G27" s="201" t="s">
        <v>623</v>
      </c>
      <c r="H27" s="215"/>
      <c r="I27" s="215"/>
      <c r="J27" s="222"/>
      <c r="K27" s="223" t="s">
        <v>568</v>
      </c>
      <c r="L27" s="215"/>
      <c r="M27" s="215"/>
      <c r="N27" s="215"/>
      <c r="O27" s="222"/>
    </row>
    <row r="28" spans="1:15" ht="45" hidden="1" outlineLevel="1" x14ac:dyDescent="0.25">
      <c r="A28" s="195">
        <v>41273.115115740744</v>
      </c>
      <c r="B28" s="196" t="s">
        <v>626</v>
      </c>
      <c r="C28" s="235" t="s">
        <v>649</v>
      </c>
      <c r="D28" s="215"/>
      <c r="E28" s="218" t="s">
        <v>201</v>
      </c>
      <c r="F28" s="214"/>
      <c r="G28" s="201"/>
      <c r="H28" s="215"/>
      <c r="I28" s="215"/>
      <c r="J28" s="222"/>
      <c r="K28" s="223" t="s">
        <v>568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264">
        <v>41273.115115740744</v>
      </c>
      <c r="B29" s="265" t="s">
        <v>617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568</v>
      </c>
      <c r="L29" s="215"/>
      <c r="M29" s="215"/>
      <c r="N29" s="215"/>
      <c r="O29" s="216"/>
    </row>
    <row r="30" spans="1:15" hidden="1" outlineLevel="1" x14ac:dyDescent="0.25">
      <c r="A30" s="195">
        <v>41273.115543981483</v>
      </c>
      <c r="B30" s="202" t="s">
        <v>663</v>
      </c>
      <c r="C30" s="235" t="s">
        <v>626</v>
      </c>
      <c r="D30" s="5"/>
      <c r="E30" s="218" t="s">
        <v>201</v>
      </c>
      <c r="F30" s="200" t="str">
        <f>F6</f>
        <v>LOAD_1C_P</v>
      </c>
      <c r="G30" s="201"/>
      <c r="H30" s="215"/>
      <c r="I30" s="215"/>
      <c r="J30" s="222"/>
      <c r="K30" s="223" t="s">
        <v>561</v>
      </c>
      <c r="L30" s="215"/>
      <c r="M30" s="215"/>
      <c r="N30" s="215"/>
      <c r="O30" s="222"/>
    </row>
    <row r="31" spans="1:15" s="187" customFormat="1" hidden="1" outlineLevel="1" x14ac:dyDescent="0.25">
      <c r="A31" s="204"/>
      <c r="B31" s="205" t="s">
        <v>625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568</v>
      </c>
      <c r="L31" s="211"/>
      <c r="M31" s="208"/>
      <c r="N31" s="211"/>
      <c r="O31" s="209"/>
    </row>
    <row r="32" spans="1:15" s="173" customFormat="1" collapsed="1" x14ac:dyDescent="0.25">
      <c r="A32" s="723"/>
      <c r="B32" s="228" t="s">
        <v>624</v>
      </c>
      <c r="C32" s="724"/>
      <c r="D32" s="303"/>
      <c r="E32" s="304" t="s">
        <v>201</v>
      </c>
      <c r="F32" s="305" t="s">
        <v>642</v>
      </c>
      <c r="G32" s="303"/>
      <c r="H32" s="303"/>
      <c r="I32" s="303"/>
      <c r="J32" s="306"/>
      <c r="K32" s="307" t="s">
        <v>571</v>
      </c>
      <c r="L32" s="308"/>
      <c r="M32" s="303"/>
      <c r="N32" s="308"/>
      <c r="O32" s="306"/>
    </row>
    <row r="33" spans="1:15" hidden="1" outlineLevel="1" x14ac:dyDescent="0.25">
      <c r="A33" s="264">
        <v>41273.113321759258</v>
      </c>
      <c r="B33" s="265" t="s">
        <v>606</v>
      </c>
      <c r="C33" s="302" t="s">
        <v>604</v>
      </c>
      <c r="D33" s="196"/>
      <c r="E33" s="197" t="s">
        <v>70</v>
      </c>
      <c r="F33" s="200" t="s">
        <v>650</v>
      </c>
      <c r="G33" s="201" t="s">
        <v>651</v>
      </c>
      <c r="H33" s="215"/>
      <c r="I33" s="215"/>
      <c r="J33" s="222"/>
      <c r="K33" s="223" t="s">
        <v>571</v>
      </c>
      <c r="M33" s="215"/>
      <c r="N33" s="215"/>
      <c r="O33" s="222"/>
    </row>
    <row r="34" spans="1:15" hidden="1" outlineLevel="1" x14ac:dyDescent="0.25">
      <c r="A34" s="195">
        <v>41273.113391203704</v>
      </c>
      <c r="B34" s="196" t="s">
        <v>782</v>
      </c>
      <c r="C34" s="235" t="str">
        <f>B33</f>
        <v>InsMyCol</v>
      </c>
      <c r="D34" s="196"/>
      <c r="E34" s="197" t="s">
        <v>201</v>
      </c>
      <c r="F34" s="200" t="str">
        <f>F33</f>
        <v xml:space="preserve"> SFD_MyCol</v>
      </c>
      <c r="G34" s="201"/>
      <c r="H34" s="215"/>
      <c r="I34" s="215"/>
      <c r="J34" s="222"/>
      <c r="K34" s="223" t="s">
        <v>571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195">
        <v>41273.113391203704</v>
      </c>
      <c r="B35" s="196" t="s">
        <v>617</v>
      </c>
      <c r="C35" s="235" t="str">
        <f>B34</f>
        <v>Adapt</v>
      </c>
      <c r="D35" s="196"/>
      <c r="E35" s="197" t="s">
        <v>201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571</v>
      </c>
      <c r="L35" s="215"/>
      <c r="M35" s="215"/>
      <c r="N35" s="215"/>
      <c r="O35" s="216"/>
    </row>
    <row r="36" spans="1:15" hidden="1" outlineLevel="1" x14ac:dyDescent="0.25">
      <c r="A36" s="195">
        <v>41273.113495370373</v>
      </c>
      <c r="B36" s="202" t="s">
        <v>663</v>
      </c>
      <c r="C36" s="160" t="str">
        <f>B35</f>
        <v>DateSort</v>
      </c>
      <c r="D36" s="5"/>
      <c r="E36" s="218" t="s">
        <v>201</v>
      </c>
      <c r="F36" s="200" t="str">
        <f>F13</f>
        <v>LOAD_1C_DOG</v>
      </c>
      <c r="G36" s="201"/>
      <c r="H36" s="215"/>
      <c r="I36" s="215"/>
      <c r="J36" s="222"/>
      <c r="K36" s="223" t="s">
        <v>566</v>
      </c>
      <c r="L36" s="215"/>
      <c r="M36" s="215"/>
      <c r="N36" s="215"/>
      <c r="O36" s="222"/>
    </row>
    <row r="37" spans="1:15" s="187" customFormat="1" hidden="1" outlineLevel="1" x14ac:dyDescent="0.25">
      <c r="A37" s="204"/>
      <c r="B37" s="205" t="s">
        <v>625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4"/>
      <c r="B38" s="465" t="s">
        <v>624</v>
      </c>
      <c r="C38" s="466"/>
      <c r="D38" s="467"/>
      <c r="E38" s="468" t="s">
        <v>201</v>
      </c>
      <c r="F38" s="469" t="s">
        <v>643</v>
      </c>
      <c r="G38" s="467"/>
      <c r="H38" s="467"/>
      <c r="I38" s="467"/>
      <c r="J38" s="470"/>
      <c r="K38" s="471" t="str">
        <f>TOCmatch!B17</f>
        <v>SFacc</v>
      </c>
      <c r="L38" s="472"/>
      <c r="M38" s="467"/>
      <c r="N38" s="472"/>
      <c r="O38" s="470"/>
    </row>
    <row r="39" spans="1:15" hidden="1" outlineLevel="1" x14ac:dyDescent="0.25">
      <c r="A39" s="264">
        <v>41272.121574074074</v>
      </c>
      <c r="B39" s="265" t="s">
        <v>663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264">
        <v>41272.12164351852</v>
      </c>
      <c r="B40" s="265" t="s">
        <v>663</v>
      </c>
      <c r="C40" s="302"/>
      <c r="D40" s="5"/>
      <c r="E40" s="218" t="s">
        <v>70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264">
        <v>41272.121678240743</v>
      </c>
      <c r="B41" s="265" t="s">
        <v>663</v>
      </c>
      <c r="C41" s="302"/>
      <c r="D41" s="5"/>
      <c r="E41" s="218" t="s">
        <v>70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32"/>
      <c r="B42" s="733" t="s">
        <v>625</v>
      </c>
      <c r="C42" s="551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ht="15.75" collapsed="1" thickBot="1" x14ac:dyDescent="0.3">
      <c r="B43" s="269" t="s">
        <v>624</v>
      </c>
      <c r="E43" s="190"/>
      <c r="F43" s="189" t="s">
        <v>645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hidden="1" outlineLevel="1" x14ac:dyDescent="0.25">
      <c r="A44" s="264">
        <v>41211.867719907408</v>
      </c>
      <c r="B44" s="265" t="s">
        <v>857</v>
      </c>
      <c r="C44" s="302" t="s">
        <v>604</v>
      </c>
      <c r="D44" s="196"/>
      <c r="E44" s="197" t="s">
        <v>70</v>
      </c>
      <c r="F44" s="214" t="s">
        <v>861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hidden="1" outlineLevel="1" x14ac:dyDescent="0.25">
      <c r="A45" s="264">
        <v>41211.867777777778</v>
      </c>
      <c r="B45" s="265" t="s">
        <v>606</v>
      </c>
      <c r="C45" s="477" t="str">
        <f>B44</f>
        <v>RowDel</v>
      </c>
      <c r="D45" s="196"/>
      <c r="E45" s="197" t="s">
        <v>70</v>
      </c>
      <c r="F45" s="200" t="s">
        <v>862</v>
      </c>
      <c r="G45" s="428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hidden="1" outlineLevel="1" x14ac:dyDescent="0.25">
      <c r="A46" s="195">
        <v>41221.716736111113</v>
      </c>
      <c r="B46" s="196" t="s">
        <v>860</v>
      </c>
      <c r="C46" s="661" t="str">
        <f>B45</f>
        <v>InsMyCol</v>
      </c>
      <c r="D46" s="196"/>
      <c r="E46" s="197" t="s">
        <v>201</v>
      </c>
      <c r="F46" s="214" t="s">
        <v>94</v>
      </c>
      <c r="G46" s="221" t="s">
        <v>126</v>
      </c>
      <c r="H46" s="221" t="s">
        <v>130</v>
      </c>
      <c r="I46" s="221" t="s">
        <v>810</v>
      </c>
      <c r="J46" s="550"/>
      <c r="K46" s="200" t="str">
        <f>K43</f>
        <v>Заказы</v>
      </c>
      <c r="L46" s="201" t="str">
        <f>TOCmatch!B8</f>
        <v>Платежи</v>
      </c>
      <c r="M46" s="198"/>
      <c r="O46" s="199"/>
    </row>
    <row r="47" spans="1:15" s="173" customFormat="1" hidden="1" outlineLevel="1" x14ac:dyDescent="0.25">
      <c r="A47" s="217"/>
      <c r="B47" s="196" t="s">
        <v>630</v>
      </c>
      <c r="C47" s="236"/>
      <c r="D47" s="196"/>
      <c r="E47" s="197"/>
      <c r="F47" s="214" t="s">
        <v>70</v>
      </c>
      <c r="G47" s="221"/>
      <c r="H47" s="198"/>
      <c r="I47" s="198"/>
      <c r="J47" s="199"/>
      <c r="K47" s="552"/>
      <c r="L47" s="201"/>
      <c r="M47" s="198"/>
      <c r="N47" s="201"/>
      <c r="O47" s="199"/>
    </row>
    <row r="48" spans="1:15" s="173" customFormat="1" hidden="1" outlineLevel="1" x14ac:dyDescent="0.25">
      <c r="A48" s="195">
        <v>41211.867939814816</v>
      </c>
      <c r="B48" s="196" t="s">
        <v>782</v>
      </c>
      <c r="C48" s="661" t="str">
        <f>B46</f>
        <v>GetInv1C</v>
      </c>
      <c r="D48" s="196"/>
      <c r="E48" s="197" t="s">
        <v>201</v>
      </c>
      <c r="F48" s="189" t="str">
        <f>F45</f>
        <v>Orders_MyCol</v>
      </c>
      <c r="G48" s="221"/>
      <c r="H48" s="198"/>
      <c r="I48" s="198"/>
      <c r="J48" s="199"/>
      <c r="K48" s="200" t="str">
        <f>K43</f>
        <v>Заказы</v>
      </c>
      <c r="L48" s="201" t="str">
        <f>TOCmatch!B9</f>
        <v>Платежи</v>
      </c>
      <c r="M48" s="301" t="str">
        <f>TOCmatch!B14</f>
        <v>SF</v>
      </c>
      <c r="N48" s="301" t="str">
        <f>TOCmatch!B20</f>
        <v>SF_PA</v>
      </c>
      <c r="O48" s="199"/>
    </row>
    <row r="49" spans="1:15" s="187" customFormat="1" ht="15.75" hidden="1" outlineLevel="1" thickBot="1" x14ac:dyDescent="0.3">
      <c r="A49" s="204"/>
      <c r="B49" s="205" t="s">
        <v>625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collapsed="1" thickTop="1" thickBot="1" x14ac:dyDescent="0.3">
      <c r="B50" s="269" t="s">
        <v>624</v>
      </c>
      <c r="E50" s="480" t="s">
        <v>590</v>
      </c>
      <c r="F50" s="189" t="s">
        <v>644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hidden="1" outlineLevel="1" thickTop="1" x14ac:dyDescent="0.25">
      <c r="A51" s="264">
        <v>41232.976585648146</v>
      </c>
      <c r="B51" s="265" t="s">
        <v>857</v>
      </c>
      <c r="C51" s="302" t="s">
        <v>604</v>
      </c>
      <c r="D51" s="196"/>
      <c r="E51" s="197" t="s">
        <v>70</v>
      </c>
      <c r="F51" s="214" t="s">
        <v>858</v>
      </c>
      <c r="G51" s="221"/>
      <c r="H51" s="198"/>
      <c r="I51" s="198"/>
      <c r="J51" s="199"/>
      <c r="K51" s="552" t="str">
        <f>K50</f>
        <v>Склад</v>
      </c>
      <c r="L51" s="201"/>
      <c r="M51" s="198"/>
      <c r="N51" s="201"/>
      <c r="O51" s="199"/>
    </row>
    <row r="52" spans="1:15" s="173" customFormat="1" hidden="1" outlineLevel="1" x14ac:dyDescent="0.25">
      <c r="A52" s="264">
        <v>41232.9768287037</v>
      </c>
      <c r="B52" s="265" t="s">
        <v>606</v>
      </c>
      <c r="C52" s="477" t="str">
        <f>B51</f>
        <v>RowDel</v>
      </c>
      <c r="D52" s="196"/>
      <c r="E52" s="197" t="s">
        <v>70</v>
      </c>
      <c r="F52" s="200" t="s">
        <v>859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ht="16.5" collapsed="1" thickTop="1" thickBot="1" x14ac:dyDescent="0.3">
      <c r="A53" s="195"/>
      <c r="B53" s="196" t="s">
        <v>630</v>
      </c>
      <c r="C53" s="236"/>
      <c r="D53" s="196"/>
      <c r="E53" s="197" t="s">
        <v>201</v>
      </c>
      <c r="F53" s="214" t="s">
        <v>70</v>
      </c>
      <c r="G53" s="221" t="s">
        <v>985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hidden="1" outlineLevel="1" x14ac:dyDescent="0.25">
      <c r="A54" s="195">
        <v>41249.044224537036</v>
      </c>
      <c r="B54" s="196" t="s">
        <v>782</v>
      </c>
      <c r="C54" s="661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L121</f>
        <v>Платежи</v>
      </c>
      <c r="M54" s="198"/>
      <c r="N54" s="301" t="str">
        <f>TOCmatch!B14</f>
        <v>SF</v>
      </c>
      <c r="O54" s="199"/>
    </row>
    <row r="55" spans="1:15" s="187" customFormat="1" ht="15.75" hidden="1" outlineLevel="1" thickBot="1" x14ac:dyDescent="0.3">
      <c r="A55" s="204"/>
      <c r="B55" s="205" t="s">
        <v>625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collapsed="1" thickTop="1" x14ac:dyDescent="0.25">
      <c r="A56" s="702"/>
      <c r="B56" s="703" t="s">
        <v>624</v>
      </c>
      <c r="C56" s="704"/>
      <c r="D56" s="309"/>
      <c r="E56" s="310" t="s">
        <v>201</v>
      </c>
      <c r="F56" s="311" t="s">
        <v>647</v>
      </c>
      <c r="G56" s="309"/>
      <c r="H56" s="309"/>
      <c r="I56" s="309"/>
      <c r="J56" s="312"/>
      <c r="K56" s="473" t="s">
        <v>561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630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664</v>
      </c>
      <c r="C58" s="235" t="s">
        <v>665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561</v>
      </c>
      <c r="L58" s="215"/>
      <c r="M58" s="215"/>
      <c r="N58" s="215"/>
      <c r="O58" s="222"/>
    </row>
    <row r="59" spans="1:15" x14ac:dyDescent="0.25">
      <c r="A59" s="217"/>
      <c r="B59" s="202" t="s">
        <v>632</v>
      </c>
      <c r="C59" s="239" t="s">
        <v>631</v>
      </c>
      <c r="D59" s="5"/>
      <c r="E59" s="218"/>
      <c r="F59" s="200" t="s">
        <v>633</v>
      </c>
      <c r="G59" s="201" t="s">
        <v>634</v>
      </c>
      <c r="H59" s="215" t="s">
        <v>635</v>
      </c>
      <c r="I59" s="215" t="s">
        <v>636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625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624</v>
      </c>
      <c r="C61" s="238"/>
      <c r="D61" s="212"/>
      <c r="E61" s="480" t="s">
        <v>590</v>
      </c>
      <c r="F61" s="213" t="s">
        <v>805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630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679</v>
      </c>
      <c r="C63" s="266"/>
      <c r="D63" s="212"/>
      <c r="E63" s="197" t="s">
        <v>70</v>
      </c>
      <c r="F63" s="267" t="s">
        <v>806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807</v>
      </c>
      <c r="C64" s="463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632</v>
      </c>
      <c r="C65" s="463" t="str">
        <f>B64</f>
        <v>NewPaidOpp</v>
      </c>
      <c r="D65" s="196"/>
      <c r="E65" s="197" t="s">
        <v>201</v>
      </c>
      <c r="F65" s="267" t="s">
        <v>806</v>
      </c>
      <c r="G65" s="201" t="s">
        <v>804</v>
      </c>
      <c r="H65" s="215" t="s">
        <v>812</v>
      </c>
      <c r="I65" s="215" t="s">
        <v>813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625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195"/>
      <c r="B67" s="196" t="s">
        <v>624</v>
      </c>
      <c r="C67" s="238"/>
      <c r="D67" s="212"/>
      <c r="E67" s="480" t="s">
        <v>201</v>
      </c>
      <c r="F67" s="213" t="s">
        <v>808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</row>
    <row r="68" spans="1:16" s="173" customFormat="1" ht="15.75" thickTop="1" x14ac:dyDescent="0.25">
      <c r="A68" s="195">
        <v>41273.025347222225</v>
      </c>
      <c r="B68" s="196" t="s">
        <v>1000</v>
      </c>
      <c r="C68" s="735" t="str">
        <f>F6&amp;"/"&amp;B10</f>
        <v>LOAD_1C_P/PaymentPaint</v>
      </c>
      <c r="D68" s="196"/>
      <c r="E68" s="197" t="s">
        <v>201</v>
      </c>
      <c r="F68" s="267" t="s">
        <v>806</v>
      </c>
      <c r="G68" s="221"/>
      <c r="H68" s="198"/>
      <c r="I68" s="198"/>
      <c r="J68" s="199"/>
      <c r="K68" s="200" t="str">
        <f>K67</f>
        <v>Платежи</v>
      </c>
      <c r="L68" s="301" t="str">
        <f>TOCmatch!B15</f>
        <v>SFD</v>
      </c>
      <c r="M68" s="301" t="str">
        <f>TOCmatch!B16</f>
        <v>SFopp</v>
      </c>
      <c r="N68" s="201"/>
      <c r="O68" s="199"/>
    </row>
    <row r="69" spans="1:16" s="173" customFormat="1" x14ac:dyDescent="0.25">
      <c r="A69" s="195">
        <v>41273.025671296295</v>
      </c>
      <c r="B69" s="202" t="s">
        <v>632</v>
      </c>
      <c r="C69" s="463" t="str">
        <f>B68</f>
        <v>PaidContr</v>
      </c>
      <c r="D69" s="196"/>
      <c r="E69" s="197" t="s">
        <v>201</v>
      </c>
      <c r="F69" s="268" t="str">
        <f>F68</f>
        <v>NewPayment</v>
      </c>
      <c r="G69" s="201" t="s">
        <v>804</v>
      </c>
      <c r="H69" s="215" t="s">
        <v>812</v>
      </c>
      <c r="I69" s="215" t="s">
        <v>813</v>
      </c>
      <c r="J69" s="199"/>
      <c r="K69" s="267" t="str">
        <f>F69</f>
        <v>NewPayment</v>
      </c>
      <c r="M69" s="198"/>
      <c r="N69" s="201"/>
      <c r="O69" s="199"/>
    </row>
    <row r="70" spans="1:16" s="187" customFormat="1" ht="15.75" thickBot="1" x14ac:dyDescent="0.3">
      <c r="A70" s="204"/>
      <c r="B70" s="205" t="s">
        <v>625</v>
      </c>
      <c r="C70" s="736">
        <v>13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</row>
    <row r="71" spans="1:16" s="173" customFormat="1" ht="16.5" thickTop="1" thickBot="1" x14ac:dyDescent="0.3">
      <c r="A71" s="264"/>
      <c r="B71" s="265" t="s">
        <v>624</v>
      </c>
      <c r="C71" s="266"/>
      <c r="D71" s="212"/>
      <c r="E71" s="480" t="s">
        <v>590</v>
      </c>
      <c r="F71" s="479" t="s">
        <v>670</v>
      </c>
      <c r="G71" s="198"/>
      <c r="H71" s="198"/>
      <c r="I71" s="198"/>
      <c r="J71" s="199"/>
      <c r="K71" s="188" t="str">
        <f>K13</f>
        <v>Договоры</v>
      </c>
      <c r="L71" s="201"/>
      <c r="M71" s="198"/>
      <c r="N71" s="201"/>
      <c r="O71" s="199"/>
    </row>
    <row r="72" spans="1:16" s="173" customFormat="1" ht="15.75" thickTop="1" x14ac:dyDescent="0.25">
      <c r="A72" s="264">
        <v>41280.024155092593</v>
      </c>
      <c r="B72" s="265" t="s">
        <v>669</v>
      </c>
      <c r="C72" s="756" t="str">
        <f>F13&amp;"/"&amp;B14</f>
        <v>LOAD_1C_DOG/InsMyCol</v>
      </c>
      <c r="D72" s="196"/>
      <c r="E72" s="197" t="s">
        <v>70</v>
      </c>
      <c r="F72" s="267" t="s">
        <v>680</v>
      </c>
      <c r="G72" s="221"/>
      <c r="H72" s="198"/>
      <c r="I72" s="198"/>
      <c r="J72" s="199"/>
      <c r="K72" s="200" t="str">
        <f>K71</f>
        <v>Договоры</v>
      </c>
      <c r="L72" s="301" t="str">
        <f>TOCmatch!B15</f>
        <v>SFD</v>
      </c>
      <c r="M72" s="301" t="str">
        <f>TOCmatch!B17</f>
        <v>SFacc</v>
      </c>
      <c r="N72" s="201"/>
      <c r="O72" s="199"/>
    </row>
    <row r="73" spans="1:16" s="173" customFormat="1" x14ac:dyDescent="0.25">
      <c r="A73" s="264">
        <v>41280.02416666667</v>
      </c>
      <c r="B73" s="460" t="s">
        <v>632</v>
      </c>
      <c r="C73" s="579" t="str">
        <f>B72</f>
        <v>NewContr</v>
      </c>
      <c r="D73" s="196"/>
      <c r="E73" s="197" t="s">
        <v>70</v>
      </c>
      <c r="F73" s="268" t="str">
        <f>F72</f>
        <v>NewContract</v>
      </c>
      <c r="G73" s="201" t="s">
        <v>804</v>
      </c>
      <c r="H73" s="215" t="s">
        <v>671</v>
      </c>
      <c r="I73" s="215" t="s">
        <v>672</v>
      </c>
      <c r="J73" s="199"/>
      <c r="K73" s="267" t="str">
        <f>F73</f>
        <v>NewContract</v>
      </c>
      <c r="M73" s="198"/>
      <c r="N73" s="201"/>
      <c r="O73" s="199"/>
    </row>
    <row r="74" spans="1:16" s="187" customFormat="1" ht="15.75" thickBot="1" x14ac:dyDescent="0.3">
      <c r="A74" s="730"/>
      <c r="B74" s="731" t="s">
        <v>625</v>
      </c>
      <c r="C74" s="744">
        <v>3</v>
      </c>
      <c r="D74" s="205"/>
      <c r="E74" s="206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264"/>
      <c r="B75" s="265" t="s">
        <v>624</v>
      </c>
      <c r="C75" s="266"/>
      <c r="D75" s="212"/>
      <c r="E75" s="480" t="s">
        <v>590</v>
      </c>
      <c r="F75" s="479" t="s">
        <v>1063</v>
      </c>
      <c r="G75" s="198"/>
      <c r="H75" s="198"/>
      <c r="I75" s="198"/>
      <c r="J75" s="199"/>
      <c r="K75" s="188" t="str">
        <f>TOCmatch!B8</f>
        <v>Платежи</v>
      </c>
      <c r="L75" s="201"/>
      <c r="M75" s="198"/>
      <c r="N75" s="201"/>
      <c r="O75" s="199"/>
      <c r="P75" s="754"/>
    </row>
    <row r="76" spans="1:16" s="173" customFormat="1" ht="15.75" thickTop="1" x14ac:dyDescent="0.25">
      <c r="A76" s="195"/>
      <c r="B76" s="196" t="s">
        <v>630</v>
      </c>
      <c r="C76" s="236"/>
      <c r="D76" s="196"/>
      <c r="E76" s="197" t="s">
        <v>201</v>
      </c>
      <c r="F76" s="214" t="s">
        <v>70</v>
      </c>
      <c r="G76" s="221"/>
      <c r="H76" s="198"/>
      <c r="I76" s="198"/>
      <c r="J76" s="199"/>
      <c r="K76" s="200"/>
      <c r="L76" s="201"/>
      <c r="M76" s="198"/>
      <c r="N76" s="201"/>
      <c r="O76" s="199"/>
      <c r="P76" s="754"/>
    </row>
    <row r="77" spans="1:16" s="173" customFormat="1" ht="30" x14ac:dyDescent="0.25">
      <c r="A77" s="195"/>
      <c r="B77" s="196" t="s">
        <v>782</v>
      </c>
      <c r="C77" s="753" t="str">
        <f>F71&amp;"/"&amp;B73</f>
        <v>HANDL_NewContract/WrCSV</v>
      </c>
      <c r="D77" s="196"/>
      <c r="E77" s="197"/>
      <c r="F77" s="757" t="s">
        <v>1069</v>
      </c>
      <c r="G77" s="463" t="str">
        <f>TOCmatch!B8</f>
        <v>Платежи</v>
      </c>
      <c r="H77" s="758"/>
      <c r="I77" s="198"/>
      <c r="J77" s="199"/>
      <c r="K77" s="267" t="str">
        <f>TOCmatch!B42</f>
        <v>NewOpp</v>
      </c>
      <c r="L77" s="201" t="str">
        <f>TOCmatch!B8</f>
        <v>Платежи</v>
      </c>
      <c r="M77" s="301" t="str">
        <f>TOCmatch!B15</f>
        <v>SFD</v>
      </c>
      <c r="N77" s="301" t="str">
        <f>TOCmatch!B16</f>
        <v>SFopp</v>
      </c>
      <c r="O77" s="199"/>
      <c r="P77" s="754"/>
    </row>
    <row r="78" spans="1:16" s="173" customFormat="1" x14ac:dyDescent="0.25">
      <c r="A78" s="195">
        <v>41275.868090277778</v>
      </c>
      <c r="B78" s="202" t="s">
        <v>632</v>
      </c>
      <c r="C78" s="463" t="str">
        <f>B77</f>
        <v>Adapt</v>
      </c>
      <c r="D78" s="196"/>
      <c r="E78" s="197" t="s">
        <v>201</v>
      </c>
      <c r="F78" s="268" t="str">
        <f>K77</f>
        <v>NewOpp</v>
      </c>
      <c r="G78" s="201" t="s">
        <v>804</v>
      </c>
      <c r="H78" s="215" t="s">
        <v>886</v>
      </c>
      <c r="I78" s="215" t="s">
        <v>964</v>
      </c>
      <c r="J78" s="199"/>
      <c r="K78" s="267" t="str">
        <f>F78</f>
        <v>NewOpp</v>
      </c>
      <c r="M78" s="198"/>
      <c r="N78" s="201"/>
      <c r="O78" s="199"/>
      <c r="P78" s="754"/>
    </row>
    <row r="79" spans="1:16" s="187" customFormat="1" x14ac:dyDescent="0.25">
      <c r="A79" s="204"/>
      <c r="B79" s="205" t="s">
        <v>625</v>
      </c>
      <c r="C79" s="736">
        <v>3</v>
      </c>
      <c r="D79" s="205"/>
      <c r="E79" s="206" t="s">
        <v>201</v>
      </c>
      <c r="F79" s="207"/>
      <c r="G79" s="208"/>
      <c r="H79" s="208"/>
      <c r="I79" s="208"/>
      <c r="J79" s="209"/>
      <c r="K79" s="210"/>
      <c r="L79" s="211"/>
      <c r="M79" s="208"/>
      <c r="N79" s="211"/>
      <c r="O79" s="209"/>
      <c r="P79" s="755"/>
    </row>
    <row r="80" spans="1:16" s="173" customFormat="1" x14ac:dyDescent="0.25">
      <c r="A80" s="264"/>
      <c r="B80" s="265" t="s">
        <v>624</v>
      </c>
      <c r="C80" s="266"/>
      <c r="D80" s="212"/>
      <c r="E80" s="197" t="s">
        <v>201</v>
      </c>
      <c r="F80" s="213" t="s">
        <v>666</v>
      </c>
      <c r="G80" s="198"/>
      <c r="H80" s="198"/>
      <c r="I80" s="198"/>
      <c r="J80" s="199"/>
      <c r="K80" s="188" t="str">
        <f>TOCmatch!B10</f>
        <v>Договоры</v>
      </c>
      <c r="L80" s="201"/>
      <c r="M80" s="198"/>
      <c r="N80" s="201"/>
      <c r="O80" s="199"/>
    </row>
    <row r="81" spans="1:15" x14ac:dyDescent="0.25">
      <c r="A81" s="217"/>
      <c r="B81" s="202" t="s">
        <v>667</v>
      </c>
      <c r="C81" s="235" t="s">
        <v>669</v>
      </c>
      <c r="D81" s="5"/>
      <c r="E81" s="218" t="s">
        <v>201</v>
      </c>
      <c r="F81" s="200"/>
      <c r="G81" s="201"/>
      <c r="H81" s="215"/>
      <c r="I81" s="215"/>
      <c r="J81" s="222"/>
      <c r="K81" s="223" t="s">
        <v>566</v>
      </c>
      <c r="L81" s="215"/>
      <c r="M81" s="215"/>
      <c r="N81" s="215"/>
      <c r="O81" s="222"/>
    </row>
    <row r="82" spans="1:15" x14ac:dyDescent="0.25">
      <c r="A82" s="217"/>
      <c r="B82" s="202" t="s">
        <v>632</v>
      </c>
      <c r="C82" s="239" t="s">
        <v>667</v>
      </c>
      <c r="D82" s="5"/>
      <c r="E82" s="218"/>
      <c r="F82" s="200" t="s">
        <v>668</v>
      </c>
      <c r="G82" s="201" t="s">
        <v>634</v>
      </c>
      <c r="H82" s="215" t="s">
        <v>635</v>
      </c>
      <c r="I82" s="215" t="s">
        <v>636</v>
      </c>
      <c r="J82" s="222"/>
      <c r="K82" s="223"/>
      <c r="L82" s="215"/>
      <c r="M82" s="215"/>
      <c r="N82" s="215"/>
      <c r="O82" s="222"/>
    </row>
    <row r="83" spans="1:15" s="247" customFormat="1" ht="15.75" thickBot="1" x14ac:dyDescent="0.3">
      <c r="A83" s="707"/>
      <c r="B83" s="240" t="s">
        <v>625</v>
      </c>
      <c r="C83" s="707"/>
      <c r="D83" s="240"/>
      <c r="E83" s="241" t="s">
        <v>201</v>
      </c>
      <c r="F83" s="242"/>
      <c r="G83" s="243"/>
      <c r="H83" s="243"/>
      <c r="I83" s="243"/>
      <c r="J83" s="244"/>
      <c r="K83" s="245"/>
      <c r="L83" s="246"/>
      <c r="M83" s="243"/>
      <c r="N83" s="246"/>
      <c r="O83" s="244"/>
    </row>
    <row r="84" spans="1:15" s="173" customFormat="1" ht="15.75" thickTop="1" x14ac:dyDescent="0.25">
      <c r="A84" s="195"/>
      <c r="B84" s="196" t="s">
        <v>624</v>
      </c>
      <c r="C84" s="238"/>
      <c r="D84" s="212"/>
      <c r="E84" s="197" t="s">
        <v>201</v>
      </c>
      <c r="F84" s="213" t="s">
        <v>1003</v>
      </c>
      <c r="G84" s="198"/>
      <c r="H84" s="198"/>
      <c r="I84" s="198"/>
      <c r="J84" s="199"/>
      <c r="K84" s="188" t="str">
        <f>TOCmatch!B12</f>
        <v>Список клиентов 1C</v>
      </c>
      <c r="L84" s="201"/>
      <c r="M84" s="198"/>
      <c r="N84" s="201"/>
      <c r="O84" s="199"/>
    </row>
    <row r="85" spans="1:15" x14ac:dyDescent="0.25">
      <c r="A85" s="195">
        <v>41237.062696759262</v>
      </c>
      <c r="B85" s="202" t="s">
        <v>1004</v>
      </c>
      <c r="C85" s="160" t="str">
        <f>F20&amp;"/"&amp;B22</f>
        <v>LOAD_1C_ACC/InsMyCol</v>
      </c>
      <c r="D85" s="5"/>
      <c r="E85" s="218" t="s">
        <v>201</v>
      </c>
      <c r="F85" s="200" t="s">
        <v>1002</v>
      </c>
      <c r="G85" s="201"/>
      <c r="H85" s="215"/>
      <c r="I85" s="215"/>
      <c r="J85" s="222"/>
      <c r="K85" t="str">
        <f>K84</f>
        <v>Список клиентов 1C</v>
      </c>
      <c r="L85" s="215"/>
      <c r="M85" s="215"/>
      <c r="N85" s="301" t="str">
        <f>TOCmatch!B17</f>
        <v>SFacc</v>
      </c>
      <c r="O85" s="222"/>
    </row>
    <row r="86" spans="1:15" s="187" customFormat="1" ht="15.75" thickBot="1" x14ac:dyDescent="0.3">
      <c r="A86" s="204"/>
      <c r="B86" s="205" t="s">
        <v>625</v>
      </c>
      <c r="C86" s="237"/>
      <c r="D86" s="205"/>
      <c r="E86" s="206" t="s">
        <v>201</v>
      </c>
      <c r="F86" s="207"/>
      <c r="G86" s="208"/>
      <c r="H86" s="208"/>
      <c r="I86" s="208"/>
      <c r="J86" s="209"/>
      <c r="K86" s="210"/>
      <c r="L86" s="211"/>
      <c r="M86" s="208"/>
      <c r="N86" s="211"/>
      <c r="O86" s="209"/>
    </row>
    <row r="87" spans="1:15" s="518" customFormat="1" ht="16.5" thickTop="1" thickBot="1" x14ac:dyDescent="0.3">
      <c r="A87" s="741">
        <v>41201.045671296299</v>
      </c>
      <c r="B87" s="742" t="s">
        <v>624</v>
      </c>
      <c r="C87" s="743"/>
      <c r="D87" s="512"/>
      <c r="E87" s="513" t="s">
        <v>590</v>
      </c>
      <c r="F87" s="514" t="s">
        <v>834</v>
      </c>
      <c r="G87" s="512"/>
      <c r="H87" s="512"/>
      <c r="I87" s="512"/>
      <c r="J87" s="515"/>
      <c r="K87" s="516" t="str">
        <f>K6</f>
        <v>Платежи</v>
      </c>
      <c r="L87" s="517"/>
      <c r="M87" s="512"/>
      <c r="N87" s="517"/>
      <c r="O87" s="515"/>
    </row>
    <row r="88" spans="1:15" s="173" customFormat="1" ht="16.5" thickTop="1" thickBot="1" x14ac:dyDescent="0.3">
      <c r="A88" s="264">
        <v>41272.981574074074</v>
      </c>
      <c r="B88" s="460" t="s">
        <v>837</v>
      </c>
      <c r="C88" s="461"/>
      <c r="D88" s="196"/>
      <c r="E88" s="452" t="s">
        <v>70</v>
      </c>
      <c r="F88" s="200" t="str">
        <f>F71</f>
        <v>HANDL_NewContract</v>
      </c>
      <c r="G88" s="692" t="str">
        <f>F87</f>
        <v>WP_PaidOpp</v>
      </c>
      <c r="H88" s="692" t="str">
        <f>B94</f>
        <v>WP_Paid</v>
      </c>
      <c r="I88" s="693">
        <v>7</v>
      </c>
      <c r="J88" s="199"/>
      <c r="K88" s="200"/>
      <c r="L88" s="201"/>
      <c r="M88" s="198"/>
      <c r="N88" s="201"/>
      <c r="O88" s="199"/>
    </row>
    <row r="89" spans="1:15" s="173" customFormat="1" x14ac:dyDescent="0.25">
      <c r="A89" s="264">
        <v>41272.981574074074</v>
      </c>
      <c r="B89" s="265" t="s">
        <v>836</v>
      </c>
      <c r="C89" s="579" t="str">
        <f>B88</f>
        <v>ProcReset</v>
      </c>
      <c r="D89" s="196"/>
      <c r="E89" s="197" t="s">
        <v>70</v>
      </c>
      <c r="F89" s="519">
        <f>C74</f>
        <v>3</v>
      </c>
      <c r="G89" s="221"/>
      <c r="H89" s="198"/>
      <c r="I89" s="198"/>
      <c r="J89" s="199"/>
      <c r="K89" s="200"/>
      <c r="L89" s="201"/>
      <c r="M89" s="198"/>
      <c r="N89" s="201"/>
      <c r="O89" s="199"/>
    </row>
    <row r="90" spans="1:15" s="173" customFormat="1" x14ac:dyDescent="0.25">
      <c r="A90" s="264">
        <v>41272.98159722222</v>
      </c>
      <c r="B90" s="460" t="s">
        <v>837</v>
      </c>
      <c r="C90" s="461"/>
      <c r="D90" s="196"/>
      <c r="E90" s="452" t="s">
        <v>70</v>
      </c>
      <c r="F90" s="200" t="str">
        <f>F67</f>
        <v>HANDL_PaidContr</v>
      </c>
      <c r="G90" s="221"/>
      <c r="H90" s="198"/>
      <c r="I90" s="198"/>
      <c r="J90" s="199"/>
      <c r="K90" s="200"/>
      <c r="L90" s="201"/>
      <c r="M90" s="198"/>
      <c r="N90" s="201"/>
      <c r="O90" s="199"/>
    </row>
    <row r="91" spans="1:15" s="173" customFormat="1" x14ac:dyDescent="0.25">
      <c r="A91" s="264">
        <v>41272.98159722222</v>
      </c>
      <c r="B91" s="265" t="s">
        <v>836</v>
      </c>
      <c r="C91" s="579" t="str">
        <f>B89</f>
        <v>CheckProc0</v>
      </c>
      <c r="D91" s="196"/>
      <c r="E91" s="197" t="s">
        <v>70</v>
      </c>
      <c r="F91" s="706">
        <f>C70</f>
        <v>13</v>
      </c>
      <c r="G91" s="221"/>
      <c r="H91" s="198"/>
      <c r="I91" s="198"/>
      <c r="J91" s="199"/>
      <c r="K91" s="200"/>
      <c r="L91" s="201"/>
      <c r="M91" s="198"/>
      <c r="N91" s="201"/>
      <c r="O91" s="199"/>
    </row>
    <row r="92" spans="1:15" s="173" customFormat="1" x14ac:dyDescent="0.25">
      <c r="A92" s="264">
        <v>41272.98159722222</v>
      </c>
      <c r="B92" s="265" t="s">
        <v>679</v>
      </c>
      <c r="C92" s="266"/>
      <c r="D92" s="212"/>
      <c r="E92" s="197" t="s">
        <v>70</v>
      </c>
      <c r="F92" s="267" t="s">
        <v>817</v>
      </c>
      <c r="G92" s="198"/>
      <c r="H92" s="198"/>
      <c r="I92" s="198"/>
      <c r="J92" s="199"/>
      <c r="K92" s="267" t="str">
        <f>F92</f>
        <v>NewOpp</v>
      </c>
      <c r="L92" s="201"/>
      <c r="M92" s="198"/>
      <c r="N92" s="201"/>
      <c r="O92" s="199"/>
    </row>
    <row r="93" spans="1:15" s="173" customFormat="1" x14ac:dyDescent="0.25">
      <c r="A93" s="264">
        <v>41272.98159722222</v>
      </c>
      <c r="B93" s="265" t="s">
        <v>679</v>
      </c>
      <c r="C93" s="266"/>
      <c r="D93" s="212"/>
      <c r="E93" s="197" t="s">
        <v>70</v>
      </c>
      <c r="F93" s="267" t="s">
        <v>806</v>
      </c>
      <c r="G93" s="198"/>
      <c r="H93" s="198"/>
      <c r="I93" s="198"/>
      <c r="J93" s="199"/>
      <c r="K93" s="267" t="str">
        <f>F93</f>
        <v>NewPayment</v>
      </c>
      <c r="L93" s="201"/>
      <c r="M93" s="198"/>
      <c r="N93" s="201"/>
      <c r="O93" s="199"/>
    </row>
    <row r="94" spans="1:15" s="173" customFormat="1" ht="15.75" thickBot="1" x14ac:dyDescent="0.3">
      <c r="A94" s="673"/>
      <c r="B94" s="674" t="s">
        <v>982</v>
      </c>
      <c r="C94" s="675" t="str">
        <f>B89</f>
        <v>CheckProc0</v>
      </c>
      <c r="D94" s="674"/>
      <c r="E94" s="676" t="s">
        <v>201</v>
      </c>
      <c r="F94" s="677" t="s">
        <v>835</v>
      </c>
      <c r="G94" s="691">
        <v>3</v>
      </c>
      <c r="H94" s="679"/>
      <c r="I94" s="679"/>
      <c r="J94" s="680"/>
      <c r="K94" s="681" t="str">
        <f>K87</f>
        <v>Платежи</v>
      </c>
      <c r="L94" s="682" t="str">
        <f>TOCmatch!B17</f>
        <v>SFacc</v>
      </c>
      <c r="M94" s="682" t="str">
        <f>TOCmatch!B16</f>
        <v>SFopp</v>
      </c>
      <c r="N94" s="682" t="str">
        <f>TOCmatch!B15</f>
        <v>SFD</v>
      </c>
      <c r="O94" s="680"/>
    </row>
    <row r="95" spans="1:15" s="173" customFormat="1" ht="15.75" thickTop="1" x14ac:dyDescent="0.25">
      <c r="A95" s="195"/>
      <c r="B95" s="202" t="s">
        <v>632</v>
      </c>
      <c r="C95" s="463" t="str">
        <f>B94</f>
        <v>WP_Paid</v>
      </c>
      <c r="D95" s="196"/>
      <c r="E95" s="197" t="s">
        <v>201</v>
      </c>
      <c r="F95" s="267" t="s">
        <v>817</v>
      </c>
      <c r="G95" s="201" t="s">
        <v>804</v>
      </c>
      <c r="H95" s="215" t="s">
        <v>886</v>
      </c>
      <c r="I95" s="215" t="s">
        <v>964</v>
      </c>
      <c r="J95" s="199"/>
      <c r="K95" s="267" t="str">
        <f>F95</f>
        <v>NewOpp</v>
      </c>
      <c r="L95" s="201"/>
      <c r="M95" s="198"/>
      <c r="N95" s="201"/>
      <c r="O95" s="199"/>
    </row>
    <row r="96" spans="1:15" s="173" customFormat="1" x14ac:dyDescent="0.25">
      <c r="A96" s="195"/>
      <c r="B96" s="202" t="s">
        <v>632</v>
      </c>
      <c r="C96" s="463" t="str">
        <f>B94</f>
        <v>WP_Paid</v>
      </c>
      <c r="D96" s="196"/>
      <c r="E96" s="197" t="s">
        <v>201</v>
      </c>
      <c r="F96" s="267" t="s">
        <v>806</v>
      </c>
      <c r="G96" s="201" t="s">
        <v>804</v>
      </c>
      <c r="H96" s="215" t="s">
        <v>812</v>
      </c>
      <c r="I96" s="215" t="s">
        <v>813</v>
      </c>
      <c r="J96" s="199"/>
      <c r="K96" s="267" t="str">
        <f>F96</f>
        <v>NewPayment</v>
      </c>
      <c r="L96" s="201"/>
      <c r="M96" s="198"/>
      <c r="N96" s="201"/>
      <c r="O96" s="199"/>
    </row>
    <row r="97" spans="1:15" s="174" customFormat="1" x14ac:dyDescent="0.25">
      <c r="A97" s="725"/>
      <c r="B97" s="202" t="s">
        <v>625</v>
      </c>
      <c r="C97" s="726">
        <v>0</v>
      </c>
      <c r="D97" s="202"/>
      <c r="E97" s="203" t="s">
        <v>201</v>
      </c>
      <c r="F97" s="511"/>
      <c r="G97" s="198"/>
      <c r="H97" s="198"/>
      <c r="I97" s="198"/>
      <c r="J97" s="199"/>
      <c r="K97" s="200"/>
      <c r="L97" s="201"/>
      <c r="M97" s="198"/>
      <c r="N97" s="201"/>
      <c r="O97" s="199"/>
    </row>
    <row r="98" spans="1:15" s="686" customFormat="1" ht="15.75" thickBot="1" x14ac:dyDescent="0.3">
      <c r="A98" s="723">
        <v>41201.045671296299</v>
      </c>
      <c r="B98" s="228" t="s">
        <v>624</v>
      </c>
      <c r="C98" s="724"/>
      <c r="D98" s="303"/>
      <c r="E98" s="683" t="s">
        <v>590</v>
      </c>
      <c r="F98" s="684" t="s">
        <v>977</v>
      </c>
      <c r="G98" s="303"/>
      <c r="H98" s="303"/>
      <c r="I98" s="303"/>
      <c r="J98" s="306"/>
      <c r="K98" s="685" t="str">
        <f>TOCmatch!B$8</f>
        <v>Платежи</v>
      </c>
      <c r="L98" s="308"/>
      <c r="M98" s="303"/>
      <c r="N98" s="308"/>
      <c r="O98" s="306"/>
    </row>
    <row r="99" spans="1:15" s="173" customFormat="1" ht="15.75" thickTop="1" x14ac:dyDescent="0.25">
      <c r="A99" s="264">
        <v>41218.822870370372</v>
      </c>
      <c r="B99" s="265" t="s">
        <v>679</v>
      </c>
      <c r="C99" s="266"/>
      <c r="D99" s="212"/>
      <c r="E99" s="197"/>
      <c r="F99" s="267" t="s">
        <v>932</v>
      </c>
      <c r="G99" s="198"/>
      <c r="H99" s="198"/>
      <c r="I99" s="198"/>
      <c r="J99" s="199"/>
      <c r="K99" s="267" t="str">
        <f>F99</f>
        <v>NewAcc</v>
      </c>
      <c r="L99" s="201"/>
      <c r="M99" s="198"/>
      <c r="N99" s="201"/>
      <c r="O99" s="199"/>
    </row>
    <row r="100" spans="1:15" s="173" customFormat="1" x14ac:dyDescent="0.25">
      <c r="A100" s="264"/>
      <c r="B100" s="265" t="s">
        <v>980</v>
      </c>
      <c r="C100" s="463" t="str">
        <f>B99</f>
        <v>NewSheet</v>
      </c>
      <c r="D100" s="212"/>
      <c r="E100" s="197"/>
      <c r="F100" s="689"/>
      <c r="G100" s="198"/>
      <c r="H100" s="198"/>
      <c r="I100" s="198"/>
      <c r="J100" s="199"/>
      <c r="K100" s="267"/>
      <c r="L100" s="201"/>
      <c r="M100" s="198"/>
      <c r="N100" s="201"/>
      <c r="O100" s="199"/>
    </row>
    <row r="101" spans="1:15" s="173" customFormat="1" x14ac:dyDescent="0.25">
      <c r="A101" s="195"/>
      <c r="B101" s="196" t="s">
        <v>630</v>
      </c>
      <c r="C101" s="236"/>
      <c r="D101" s="196"/>
      <c r="E101" s="197" t="s">
        <v>201</v>
      </c>
      <c r="F101" s="214" t="s">
        <v>590</v>
      </c>
      <c r="G101" s="221" t="s">
        <v>985</v>
      </c>
      <c r="H101" s="198"/>
      <c r="I101" s="198"/>
      <c r="J101" s="199"/>
      <c r="K101" s="200"/>
      <c r="L101" s="201"/>
      <c r="M101" s="198"/>
      <c r="N101" s="201"/>
      <c r="O101" s="199"/>
    </row>
    <row r="102" spans="1:15" s="173" customFormat="1" ht="15.75" thickBot="1" x14ac:dyDescent="0.3">
      <c r="A102" s="673">
        <v>41218.824293981481</v>
      </c>
      <c r="B102" s="674" t="s">
        <v>982</v>
      </c>
      <c r="C102" s="675" t="str">
        <f>B100</f>
        <v>SFaccDicBuild</v>
      </c>
      <c r="D102" s="674"/>
      <c r="E102" s="676" t="s">
        <v>201</v>
      </c>
      <c r="F102" s="677" t="s">
        <v>978</v>
      </c>
      <c r="G102" s="678"/>
      <c r="H102" s="679"/>
      <c r="I102" s="679"/>
      <c r="J102" s="680"/>
      <c r="K102" s="681" t="str">
        <f>K98</f>
        <v>Платежи</v>
      </c>
      <c r="L102" s="682">
        <f>TOCmatch!B27</f>
        <v>0</v>
      </c>
      <c r="M102" s="682">
        <f>TOCmatch!B26</f>
        <v>0</v>
      </c>
      <c r="N102" s="682">
        <f>TOCmatch!B25</f>
        <v>0</v>
      </c>
      <c r="O102" s="680"/>
    </row>
    <row r="103" spans="1:15" s="173" customFormat="1" ht="15.75" thickTop="1" x14ac:dyDescent="0.25">
      <c r="A103" s="195">
        <v>41218.824293981481</v>
      </c>
      <c r="B103" s="202" t="s">
        <v>632</v>
      </c>
      <c r="C103" s="463" t="str">
        <f>B102</f>
        <v>WP_Paid</v>
      </c>
      <c r="D103" s="196"/>
      <c r="E103" s="197" t="s">
        <v>201</v>
      </c>
      <c r="F103" s="267" t="str">
        <f>F99</f>
        <v>NewAcc</v>
      </c>
      <c r="G103" s="201" t="s">
        <v>804</v>
      </c>
      <c r="H103" s="215" t="s">
        <v>886</v>
      </c>
      <c r="I103" s="215" t="s">
        <v>964</v>
      </c>
      <c r="J103" s="199"/>
      <c r="K103" s="267" t="str">
        <f>F103</f>
        <v>NewAcc</v>
      </c>
      <c r="L103" s="201"/>
      <c r="M103" s="198"/>
      <c r="N103" s="201"/>
      <c r="O103" s="199"/>
    </row>
    <row r="104" spans="1:15" s="187" customFormat="1" x14ac:dyDescent="0.25">
      <c r="A104" s="204"/>
      <c r="B104" s="205" t="s">
        <v>625</v>
      </c>
      <c r="C104" s="237">
        <v>5</v>
      </c>
      <c r="D104" s="205"/>
      <c r="E104" s="206" t="s">
        <v>201</v>
      </c>
      <c r="F104" s="207"/>
      <c r="G104" s="208"/>
      <c r="H104" s="208"/>
      <c r="I104" s="208"/>
      <c r="J104" s="209"/>
      <c r="K104" s="210"/>
      <c r="L104" s="211"/>
      <c r="M104" s="208"/>
      <c r="N104" s="211"/>
      <c r="O104" s="209"/>
    </row>
    <row r="105" spans="1:15" s="173" customFormat="1" x14ac:dyDescent="0.25">
      <c r="A105" s="195"/>
      <c r="B105" s="196" t="s">
        <v>624</v>
      </c>
      <c r="C105" s="238"/>
      <c r="D105" s="212"/>
      <c r="E105" s="197" t="s">
        <v>201</v>
      </c>
      <c r="F105" s="213" t="s">
        <v>648</v>
      </c>
      <c r="G105" s="198"/>
      <c r="H105" s="198"/>
      <c r="I105" s="198"/>
      <c r="J105" s="199"/>
      <c r="K105" s="188" t="s">
        <v>561</v>
      </c>
      <c r="L105" s="201"/>
      <c r="M105" s="198"/>
      <c r="N105" s="201"/>
      <c r="O105" s="199"/>
    </row>
    <row r="106" spans="1:15" s="173" customFormat="1" x14ac:dyDescent="0.25">
      <c r="A106" s="217"/>
      <c r="B106" s="196" t="s">
        <v>630</v>
      </c>
      <c r="C106" s="236"/>
      <c r="D106" s="196"/>
      <c r="E106" s="197"/>
      <c r="F106" s="214" t="s">
        <v>70</v>
      </c>
      <c r="G106" s="221"/>
      <c r="H106" s="198"/>
      <c r="I106" s="198"/>
      <c r="J106" s="199"/>
      <c r="K106" s="200"/>
      <c r="L106" s="201"/>
      <c r="M106" s="198"/>
      <c r="N106" s="201"/>
      <c r="O106" s="199"/>
    </row>
    <row r="107" spans="1:15" ht="30" x14ac:dyDescent="0.25">
      <c r="A107" s="217"/>
      <c r="B107" s="202" t="s">
        <v>637</v>
      </c>
      <c r="C107" s="235" t="s">
        <v>665</v>
      </c>
      <c r="D107" s="5"/>
      <c r="E107" s="218" t="s">
        <v>201</v>
      </c>
      <c r="F107" s="200"/>
      <c r="G107" s="201"/>
      <c r="H107" s="215"/>
      <c r="I107" s="215"/>
      <c r="J107" s="222"/>
      <c r="K107" s="223" t="s">
        <v>561</v>
      </c>
      <c r="L107" s="215" t="s">
        <v>573</v>
      </c>
      <c r="M107" s="215"/>
      <c r="N107" s="215"/>
      <c r="O107" s="222"/>
    </row>
    <row r="108" spans="1:15" s="187" customFormat="1" x14ac:dyDescent="0.25">
      <c r="A108" s="204"/>
      <c r="B108" s="205" t="s">
        <v>625</v>
      </c>
      <c r="C108" s="237"/>
      <c r="D108" s="205"/>
      <c r="E108" s="206" t="s">
        <v>201</v>
      </c>
      <c r="F108" s="207"/>
      <c r="G108" s="208"/>
      <c r="H108" s="208"/>
      <c r="I108" s="208"/>
      <c r="J108" s="209"/>
      <c r="K108" s="210"/>
      <c r="L108" s="211"/>
      <c r="M108" s="208"/>
      <c r="N108" s="211"/>
      <c r="O108" s="209"/>
    </row>
    <row r="109" spans="1:15" s="136" customFormat="1" x14ac:dyDescent="0.25">
      <c r="A109" s="225"/>
      <c r="B109" s="226" t="s">
        <v>601</v>
      </c>
      <c r="C109" s="227" t="s">
        <v>126</v>
      </c>
      <c r="D109" s="228"/>
      <c r="E109" s="229"/>
      <c r="F109" s="230"/>
      <c r="G109" s="224"/>
      <c r="H109" s="224"/>
      <c r="I109" s="224"/>
      <c r="J109" s="231"/>
      <c r="K109" s="230" t="s">
        <v>600</v>
      </c>
      <c r="L109" s="224"/>
      <c r="M109" s="224"/>
      <c r="N109" s="224"/>
      <c r="O109" s="231"/>
    </row>
    <row r="110" spans="1:15" x14ac:dyDescent="0.25">
      <c r="A110" s="232"/>
      <c r="B110" s="233">
        <v>1043</v>
      </c>
      <c r="C110" s="234"/>
      <c r="D110" s="5"/>
      <c r="E110" s="197"/>
      <c r="F110" s="220"/>
      <c r="G110" s="215"/>
      <c r="H110" s="215"/>
      <c r="I110" s="215"/>
      <c r="J110" s="216"/>
      <c r="K110" s="220" t="s">
        <v>600</v>
      </c>
      <c r="L110" s="215"/>
      <c r="M110" s="215"/>
      <c r="N110" s="215"/>
      <c r="O110" s="216"/>
    </row>
    <row r="111" spans="1:15" s="136" customFormat="1" ht="15.75" thickBot="1" x14ac:dyDescent="0.3">
      <c r="A111" s="135"/>
      <c r="B111" s="156" t="s">
        <v>601</v>
      </c>
      <c r="C111" s="194" t="s">
        <v>126</v>
      </c>
      <c r="D111" s="157"/>
      <c r="E111" s="192"/>
      <c r="F111" s="176"/>
      <c r="G111" s="177"/>
      <c r="H111" s="177"/>
      <c r="I111" s="177"/>
      <c r="J111" s="178"/>
      <c r="K111" s="176" t="s">
        <v>607</v>
      </c>
      <c r="L111" s="177"/>
      <c r="M111" s="177"/>
      <c r="N111" s="177"/>
      <c r="O111" s="178"/>
    </row>
    <row r="112" spans="1:15" x14ac:dyDescent="0.25">
      <c r="A112" s="145"/>
    </row>
    <row r="113" spans="1:15" s="173" customFormat="1" x14ac:dyDescent="0.25">
      <c r="A113" s="195"/>
      <c r="B113" s="196" t="s">
        <v>630</v>
      </c>
      <c r="C113" s="236"/>
      <c r="D113" s="196"/>
      <c r="E113" s="197" t="s">
        <v>201</v>
      </c>
      <c r="F113" s="214" t="s">
        <v>590</v>
      </c>
      <c r="G113" s="221" t="s">
        <v>985</v>
      </c>
      <c r="H113" s="198"/>
      <c r="I113" s="198"/>
      <c r="J113" s="199"/>
      <c r="K113" s="200"/>
      <c r="L113" s="201"/>
      <c r="M113" s="198"/>
      <c r="N113" s="201"/>
      <c r="O113" s="199"/>
    </row>
    <row r="115" spans="1:15" ht="45" hidden="1" outlineLevel="1" x14ac:dyDescent="0.25">
      <c r="A115" s="195">
        <v>41217.705717592595</v>
      </c>
      <c r="B115" s="196" t="s">
        <v>653</v>
      </c>
      <c r="C115" s="235" t="s">
        <v>652</v>
      </c>
      <c r="D115" s="215"/>
      <c r="E115" s="218" t="s">
        <v>201</v>
      </c>
      <c r="F115" s="214" t="s">
        <v>571</v>
      </c>
      <c r="G115" s="201" t="s">
        <v>566</v>
      </c>
      <c r="H115" s="221" t="s">
        <v>94</v>
      </c>
      <c r="I115" s="221" t="s">
        <v>128</v>
      </c>
      <c r="J115" s="222"/>
      <c r="L115" s="301" t="str">
        <f>TOCmatch!B$15</f>
        <v>SFD</v>
      </c>
      <c r="M115" s="215"/>
      <c r="N115" s="215"/>
      <c r="O115" s="222"/>
    </row>
    <row r="116" spans="1:15" collapsed="1" x14ac:dyDescent="0.25"/>
    <row r="118" spans="1:15" s="149" customFormat="1" hidden="1" outlineLevel="1" x14ac:dyDescent="0.25">
      <c r="A118" s="195">
        <v>41217.684374999997</v>
      </c>
      <c r="B118" s="196" t="s">
        <v>606</v>
      </c>
      <c r="C118" s="235" t="s">
        <v>604</v>
      </c>
      <c r="D118" s="196"/>
      <c r="E118" s="197" t="s">
        <v>201</v>
      </c>
      <c r="F118" s="427" t="s">
        <v>780</v>
      </c>
      <c r="G118" s="428" t="s">
        <v>781</v>
      </c>
      <c r="H118" s="198"/>
      <c r="I118" s="198"/>
      <c r="J118" s="216"/>
      <c r="K118" s="200">
        <f>TOCmatch!B96</f>
        <v>0</v>
      </c>
      <c r="L118" s="301" t="str">
        <f>TOCmatch!B$17</f>
        <v>SFacc</v>
      </c>
      <c r="M118" s="301" t="str">
        <f>TOCmatch!B$15</f>
        <v>SFD</v>
      </c>
      <c r="N118" s="215"/>
      <c r="O118" s="216"/>
    </row>
    <row r="119" spans="1:15" collapsed="1" x14ac:dyDescent="0.25"/>
    <row r="121" spans="1:15" s="149" customFormat="1" hidden="1" outlineLevel="1" x14ac:dyDescent="0.25">
      <c r="A121" s="195">
        <v>41227.065937500003</v>
      </c>
      <c r="B121" s="196" t="s">
        <v>860</v>
      </c>
      <c r="C121" s="661" t="str">
        <f>B52</f>
        <v>InsMyCol</v>
      </c>
      <c r="D121" s="196"/>
      <c r="E121" s="197" t="s">
        <v>201</v>
      </c>
      <c r="F121" s="214" t="s">
        <v>128</v>
      </c>
      <c r="G121" s="221" t="s">
        <v>91</v>
      </c>
      <c r="H121" s="221" t="s">
        <v>110</v>
      </c>
      <c r="I121" s="221" t="s">
        <v>810</v>
      </c>
      <c r="J121" s="550"/>
      <c r="K121" s="552" t="str">
        <f>K50</f>
        <v>Склад</v>
      </c>
      <c r="L121" s="201" t="str">
        <f>TOCmatch!B8</f>
        <v>Платежи</v>
      </c>
      <c r="M121" s="215"/>
      <c r="N121" s="173"/>
      <c r="O121" s="199"/>
    </row>
    <row r="122" spans="1:15" collapsed="1" x14ac:dyDescent="0.25"/>
  </sheetData>
  <autoFilter ref="A4:O111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L297"/>
  <sheetViews>
    <sheetView topLeftCell="A34" workbookViewId="0">
      <selection activeCell="F52" sqref="F5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customWidth="1"/>
    <col min="8" max="10" width="9.140625" style="17"/>
    <col min="11" max="11" width="13" style="17" customWidth="1"/>
    <col min="12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21" t="s">
        <v>11</v>
      </c>
      <c r="B3" s="24" t="s">
        <v>84</v>
      </c>
    </row>
    <row r="4" spans="1:7" x14ac:dyDescent="0.25">
      <c r="A4" s="21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540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1047</v>
      </c>
      <c r="B16" s="69" t="s">
        <v>1046</v>
      </c>
      <c r="C16" s="734" t="s">
        <v>1048</v>
      </c>
      <c r="D16" s="27" t="s">
        <v>1049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365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545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539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541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1051</v>
      </c>
      <c r="B27" s="69" t="s">
        <v>1050</v>
      </c>
      <c r="C27" s="734" t="s">
        <v>1048</v>
      </c>
      <c r="D27" s="27" t="s">
        <v>1049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366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542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2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2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2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2" x14ac:dyDescent="0.25">
      <c r="A37" s="19" t="s">
        <v>161</v>
      </c>
      <c r="B37" s="66" t="s">
        <v>162</v>
      </c>
      <c r="C37" s="19" t="s">
        <v>184</v>
      </c>
    </row>
    <row r="38" spans="1:12" ht="15" customHeight="1" x14ac:dyDescent="0.25">
      <c r="A38" s="23" t="s">
        <v>45</v>
      </c>
      <c r="B38" s="24" t="s">
        <v>17</v>
      </c>
      <c r="C38" s="24">
        <v>1</v>
      </c>
    </row>
    <row r="39" spans="1:12" x14ac:dyDescent="0.25">
      <c r="A39" s="23" t="s">
        <v>43</v>
      </c>
      <c r="B39" s="24" t="s">
        <v>15</v>
      </c>
      <c r="C39" s="25" t="s">
        <v>185</v>
      </c>
    </row>
    <row r="40" spans="1:12" x14ac:dyDescent="0.25">
      <c r="A40" s="23" t="s">
        <v>53</v>
      </c>
      <c r="B40" s="24" t="s">
        <v>14</v>
      </c>
      <c r="C40" s="25" t="s">
        <v>261</v>
      </c>
    </row>
    <row r="41" spans="1:12" x14ac:dyDescent="0.25">
      <c r="H41" s="766" t="s">
        <v>354</v>
      </c>
      <c r="I41" s="767"/>
      <c r="J41" s="767"/>
      <c r="K41" s="760"/>
      <c r="L41" s="27"/>
    </row>
    <row r="42" spans="1:12" x14ac:dyDescent="0.25">
      <c r="A42" s="27" t="s">
        <v>1071</v>
      </c>
      <c r="H42" s="746"/>
      <c r="I42" s="747"/>
      <c r="J42" s="747"/>
      <c r="K42" s="745"/>
      <c r="L42" s="27"/>
    </row>
    <row r="43" spans="1:12" ht="30" x14ac:dyDescent="0.25">
      <c r="A43" s="27" t="s">
        <v>223</v>
      </c>
      <c r="B43" s="25" t="s">
        <v>377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956</v>
      </c>
      <c r="K43" s="654" t="s">
        <v>955</v>
      </c>
    </row>
    <row r="44" spans="1:12" ht="15.75" x14ac:dyDescent="0.3">
      <c r="A44" s="27" t="s">
        <v>137</v>
      </c>
      <c r="B44" s="71" t="s">
        <v>1013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</row>
    <row r="45" spans="1:12" ht="15.75" x14ac:dyDescent="0.3">
      <c r="A45" s="27" t="s">
        <v>106</v>
      </c>
      <c r="B45" s="71" t="s">
        <v>1012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</row>
    <row r="46" spans="1:12" ht="15.75" x14ac:dyDescent="0.3">
      <c r="A46" s="27" t="s">
        <v>18</v>
      </c>
      <c r="B46" s="71" t="s">
        <v>1022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</row>
    <row r="47" spans="1:12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</row>
    <row r="48" spans="1:12" ht="15.75" x14ac:dyDescent="0.3">
      <c r="A48" s="27" t="s">
        <v>144</v>
      </c>
      <c r="B48" s="71" t="s">
        <v>1053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1025</v>
      </c>
      <c r="H48" s="27" t="s">
        <v>350</v>
      </c>
      <c r="I48" s="27" t="s">
        <v>351</v>
      </c>
      <c r="J48" s="27"/>
    </row>
    <row r="49" spans="1:12" ht="15.75" x14ac:dyDescent="0.3">
      <c r="A49" s="27" t="s">
        <v>224</v>
      </c>
      <c r="B49" s="71" t="s">
        <v>1017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958</v>
      </c>
    </row>
    <row r="50" spans="1:12" x14ac:dyDescent="0.25">
      <c r="A50" s="27" t="s">
        <v>198</v>
      </c>
      <c r="B50" s="71" t="s">
        <v>1026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1025</v>
      </c>
      <c r="H50" s="27" t="s">
        <v>350</v>
      </c>
      <c r="I50" s="27" t="s">
        <v>351</v>
      </c>
      <c r="J50" s="27"/>
    </row>
    <row r="51" spans="1:12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1025</v>
      </c>
      <c r="H51" s="27" t="s">
        <v>350</v>
      </c>
      <c r="I51" s="27" t="s">
        <v>351</v>
      </c>
      <c r="J51" s="27"/>
    </row>
    <row r="52" spans="1:12" ht="123.75" x14ac:dyDescent="0.3">
      <c r="A52" s="27" t="s">
        <v>225</v>
      </c>
      <c r="B52" s="737" t="s">
        <v>1054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959</v>
      </c>
    </row>
    <row r="53" spans="1:12" ht="15.75" x14ac:dyDescent="0.3">
      <c r="A53" s="27" t="s">
        <v>203</v>
      </c>
      <c r="B53" s="71" t="s">
        <v>1027</v>
      </c>
      <c r="C53" s="49" t="s">
        <v>212</v>
      </c>
      <c r="D53" s="50" t="s">
        <v>140</v>
      </c>
      <c r="E53" s="48" t="s">
        <v>233</v>
      </c>
      <c r="F53" s="44" t="s">
        <v>240</v>
      </c>
      <c r="I53" s="27"/>
      <c r="J53" s="27"/>
      <c r="K53" s="17" t="s">
        <v>203</v>
      </c>
      <c r="L53" s="27"/>
    </row>
    <row r="54" spans="1:12" ht="15.75" x14ac:dyDescent="0.3">
      <c r="A54" s="27" t="s">
        <v>104</v>
      </c>
      <c r="B54" s="71" t="s">
        <v>222</v>
      </c>
      <c r="C54" s="50" t="s">
        <v>229</v>
      </c>
      <c r="D54" s="49" t="s">
        <v>104</v>
      </c>
      <c r="E54" s="48" t="s">
        <v>104</v>
      </c>
      <c r="F54" s="44" t="s">
        <v>239</v>
      </c>
      <c r="G54" s="56" t="s">
        <v>1025</v>
      </c>
      <c r="H54" s="27" t="s">
        <v>350</v>
      </c>
      <c r="I54" s="27" t="s">
        <v>351</v>
      </c>
      <c r="J54" s="27"/>
    </row>
    <row r="55" spans="1:12" ht="15.75" x14ac:dyDescent="0.3">
      <c r="A55" s="27" t="s">
        <v>143</v>
      </c>
      <c r="B55" s="71" t="s">
        <v>143</v>
      </c>
      <c r="C55" s="50" t="s">
        <v>229</v>
      </c>
      <c r="D55" s="49" t="s">
        <v>143</v>
      </c>
      <c r="E55" s="48" t="s">
        <v>233</v>
      </c>
      <c r="F55" s="44" t="s">
        <v>240</v>
      </c>
      <c r="G55" s="56" t="s">
        <v>1025</v>
      </c>
      <c r="H55" s="27" t="s">
        <v>350</v>
      </c>
      <c r="I55" s="27" t="s">
        <v>351</v>
      </c>
      <c r="J55" s="27"/>
    </row>
    <row r="56" spans="1:12" ht="15.75" x14ac:dyDescent="0.3">
      <c r="A56" s="27" t="s">
        <v>956</v>
      </c>
      <c r="B56" s="71" t="s">
        <v>1070</v>
      </c>
      <c r="C56" s="50" t="s">
        <v>1020</v>
      </c>
      <c r="D56" s="49"/>
      <c r="E56" s="48"/>
      <c r="F56" s="44"/>
      <c r="G56" s="56"/>
      <c r="H56" s="27"/>
      <c r="I56" s="27"/>
      <c r="J56" s="27"/>
    </row>
    <row r="57" spans="1:12" x14ac:dyDescent="0.25">
      <c r="A57" s="55" t="s">
        <v>247</v>
      </c>
      <c r="B57" s="71" t="s">
        <v>1021</v>
      </c>
      <c r="C57" s="50"/>
      <c r="D57" s="28"/>
      <c r="E57" s="48"/>
      <c r="F57" s="44"/>
    </row>
    <row r="58" spans="1:12" x14ac:dyDescent="0.25">
      <c r="C58" s="50"/>
      <c r="D58" s="50" t="s">
        <v>142</v>
      </c>
      <c r="E58" s="48" t="s">
        <v>233</v>
      </c>
      <c r="F58" s="44" t="s">
        <v>240</v>
      </c>
    </row>
    <row r="59" spans="1:12" x14ac:dyDescent="0.25">
      <c r="C59" s="50"/>
      <c r="D59" s="50" t="s">
        <v>147</v>
      </c>
      <c r="E59" s="48" t="s">
        <v>233</v>
      </c>
      <c r="F59" s="44" t="s">
        <v>240</v>
      </c>
    </row>
    <row r="60" spans="1:12" x14ac:dyDescent="0.25">
      <c r="C60" s="50"/>
      <c r="D60" s="50" t="s">
        <v>1016</v>
      </c>
      <c r="E60" s="48"/>
      <c r="F60" s="44"/>
    </row>
    <row r="61" spans="1:12" x14ac:dyDescent="0.25">
      <c r="A61" s="27"/>
      <c r="C61" s="50"/>
      <c r="D61" s="50" t="s">
        <v>148</v>
      </c>
      <c r="E61" s="48" t="s">
        <v>233</v>
      </c>
      <c r="F61" s="44" t="s">
        <v>240</v>
      </c>
    </row>
    <row r="62" spans="1:12" x14ac:dyDescent="0.25">
      <c r="C62" s="28"/>
      <c r="D62" s="50" t="s">
        <v>145</v>
      </c>
      <c r="E62" s="48" t="s">
        <v>233</v>
      </c>
      <c r="F62" s="44" t="s">
        <v>240</v>
      </c>
    </row>
    <row r="63" spans="1:12" x14ac:dyDescent="0.25">
      <c r="A63" s="27" t="s">
        <v>960</v>
      </c>
      <c r="C63" s="28"/>
      <c r="D63" s="50"/>
      <c r="F63" s="44"/>
    </row>
    <row r="64" spans="1:12" x14ac:dyDescent="0.25">
      <c r="A64" s="27" t="s">
        <v>958</v>
      </c>
      <c r="B64" s="68" t="s">
        <v>961</v>
      </c>
      <c r="C64" s="28"/>
      <c r="D64" s="50"/>
      <c r="F64" s="44"/>
    </row>
    <row r="65" spans="1:7" x14ac:dyDescent="0.25">
      <c r="A65" s="27" t="s">
        <v>350</v>
      </c>
      <c r="B65" s="68" t="s">
        <v>962</v>
      </c>
      <c r="C65" s="28"/>
      <c r="D65" s="50"/>
      <c r="F65" s="44"/>
    </row>
    <row r="66" spans="1:7" x14ac:dyDescent="0.25">
      <c r="C66" s="28"/>
      <c r="D66" s="50"/>
      <c r="F66" s="44"/>
    </row>
    <row r="67" spans="1:7" x14ac:dyDescent="0.25">
      <c r="A67" s="72" t="s">
        <v>546</v>
      </c>
    </row>
    <row r="68" spans="1:7" x14ac:dyDescent="0.25">
      <c r="A68" s="27" t="s">
        <v>320</v>
      </c>
    </row>
    <row r="69" spans="1:7" x14ac:dyDescent="0.25">
      <c r="A69" s="27" t="s">
        <v>322</v>
      </c>
    </row>
    <row r="70" spans="1:7" x14ac:dyDescent="0.25">
      <c r="A70" s="27" t="s">
        <v>523</v>
      </c>
      <c r="B70" s="25" t="s">
        <v>70</v>
      </c>
    </row>
    <row r="71" spans="1:7" x14ac:dyDescent="0.25">
      <c r="A71" s="27" t="s">
        <v>293</v>
      </c>
      <c r="B71" s="24">
        <v>1</v>
      </c>
    </row>
    <row r="72" spans="1:7" x14ac:dyDescent="0.25">
      <c r="A72" s="27" t="s">
        <v>291</v>
      </c>
      <c r="B72" s="24">
        <v>1</v>
      </c>
    </row>
    <row r="73" spans="1:7" x14ac:dyDescent="0.25">
      <c r="A73" s="27" t="s">
        <v>299</v>
      </c>
      <c r="B73" s="24">
        <v>1</v>
      </c>
    </row>
    <row r="74" spans="1:7" x14ac:dyDescent="0.25">
      <c r="A74" s="27" t="s">
        <v>306</v>
      </c>
    </row>
    <row r="75" spans="1:7" x14ac:dyDescent="0.25">
      <c r="A75" s="27" t="s">
        <v>533</v>
      </c>
    </row>
    <row r="76" spans="1:7" x14ac:dyDescent="0.25">
      <c r="A76" s="27" t="s">
        <v>530</v>
      </c>
      <c r="B76" s="25" t="s">
        <v>70</v>
      </c>
    </row>
    <row r="77" spans="1:7" x14ac:dyDescent="0.25">
      <c r="A77" s="27" t="s">
        <v>363</v>
      </c>
      <c r="F77" s="17"/>
      <c r="G77" s="17"/>
    </row>
    <row r="78" spans="1:7" x14ac:dyDescent="0.25">
      <c r="A78" s="27" t="s">
        <v>282</v>
      </c>
      <c r="F78" s="17"/>
      <c r="G78" s="17"/>
    </row>
    <row r="79" spans="1:7" x14ac:dyDescent="0.25">
      <c r="A79" s="27" t="s">
        <v>323</v>
      </c>
      <c r="F79" s="17"/>
      <c r="G79" s="17"/>
    </row>
    <row r="80" spans="1:7" x14ac:dyDescent="0.25">
      <c r="A80" s="27" t="s">
        <v>289</v>
      </c>
      <c r="F80" s="17"/>
      <c r="G80" s="17"/>
    </row>
    <row r="81" spans="1:7" x14ac:dyDescent="0.25">
      <c r="A81" s="27" t="s">
        <v>292</v>
      </c>
      <c r="B81" s="24">
        <v>1</v>
      </c>
      <c r="F81" s="17"/>
      <c r="G81" s="17"/>
    </row>
    <row r="82" spans="1:7" x14ac:dyDescent="0.25">
      <c r="A82" s="27" t="s">
        <v>295</v>
      </c>
      <c r="B82" s="24">
        <v>1</v>
      </c>
      <c r="F82" s="17"/>
      <c r="G82" s="17"/>
    </row>
    <row r="83" spans="1:7" x14ac:dyDescent="0.25">
      <c r="A83" s="27" t="s">
        <v>321</v>
      </c>
      <c r="F83" s="17"/>
      <c r="G83" s="17"/>
    </row>
    <row r="84" spans="1:7" x14ac:dyDescent="0.25">
      <c r="A84" s="27" t="s">
        <v>334</v>
      </c>
      <c r="F84" s="17"/>
      <c r="G84" s="17"/>
    </row>
    <row r="85" spans="1:7" x14ac:dyDescent="0.25">
      <c r="A85" s="27" t="s">
        <v>302</v>
      </c>
      <c r="F85" s="17"/>
      <c r="G85" s="17"/>
    </row>
    <row r="86" spans="1:7" x14ac:dyDescent="0.25">
      <c r="A86" s="27" t="s">
        <v>305</v>
      </c>
      <c r="F86" s="17"/>
      <c r="G86" s="17"/>
    </row>
    <row r="87" spans="1:7" x14ac:dyDescent="0.25">
      <c r="A87" s="27" t="s">
        <v>286</v>
      </c>
      <c r="B87" s="24">
        <v>1</v>
      </c>
      <c r="F87" s="17"/>
      <c r="G87" s="17"/>
    </row>
    <row r="88" spans="1:7" x14ac:dyDescent="0.25">
      <c r="A88" s="27" t="s">
        <v>268</v>
      </c>
      <c r="B88" s="24">
        <v>1</v>
      </c>
      <c r="F88" s="17"/>
      <c r="G88" s="17"/>
    </row>
    <row r="89" spans="1:7" x14ac:dyDescent="0.25">
      <c r="A89" s="27" t="s">
        <v>267</v>
      </c>
      <c r="F89" s="17"/>
      <c r="G89" s="17"/>
    </row>
    <row r="90" spans="1:7" x14ac:dyDescent="0.25">
      <c r="A90" s="27" t="s">
        <v>312</v>
      </c>
      <c r="B90" s="24">
        <v>1</v>
      </c>
      <c r="F90" s="17"/>
      <c r="G90" s="17"/>
    </row>
    <row r="91" spans="1:7" x14ac:dyDescent="0.25">
      <c r="A91" s="27" t="s">
        <v>360</v>
      </c>
      <c r="F91" s="17"/>
      <c r="G91" s="17"/>
    </row>
    <row r="92" spans="1:7" x14ac:dyDescent="0.25">
      <c r="A92" s="27" t="s">
        <v>298</v>
      </c>
      <c r="B92" s="24">
        <v>1</v>
      </c>
      <c r="F92" s="17"/>
      <c r="G92" s="17"/>
    </row>
    <row r="93" spans="1:7" x14ac:dyDescent="0.25">
      <c r="A93" s="27" t="s">
        <v>278</v>
      </c>
      <c r="B93" s="24">
        <v>1</v>
      </c>
      <c r="F93" s="17"/>
      <c r="G93" s="17"/>
    </row>
    <row r="94" spans="1:7" x14ac:dyDescent="0.25">
      <c r="A94" s="27" t="s">
        <v>269</v>
      </c>
      <c r="F94" s="17"/>
      <c r="G94" s="17"/>
    </row>
    <row r="95" spans="1:7" x14ac:dyDescent="0.25">
      <c r="A95" s="27" t="s">
        <v>271</v>
      </c>
      <c r="F95" s="17"/>
      <c r="G95" s="17"/>
    </row>
    <row r="96" spans="1:7" x14ac:dyDescent="0.25">
      <c r="A96" s="27" t="s">
        <v>534</v>
      </c>
      <c r="F96" s="17"/>
      <c r="G96" s="17"/>
    </row>
    <row r="97" spans="1:7" x14ac:dyDescent="0.25">
      <c r="A97" s="27" t="s">
        <v>331</v>
      </c>
      <c r="F97" s="17"/>
      <c r="G97" s="17"/>
    </row>
    <row r="98" spans="1:7" x14ac:dyDescent="0.25">
      <c r="A98" s="27" t="s">
        <v>273</v>
      </c>
      <c r="F98" s="17"/>
      <c r="G98" s="17"/>
    </row>
    <row r="99" spans="1:7" x14ac:dyDescent="0.25">
      <c r="A99" s="27" t="s">
        <v>288</v>
      </c>
      <c r="F99" s="17"/>
      <c r="G99" s="17"/>
    </row>
    <row r="100" spans="1:7" x14ac:dyDescent="0.25">
      <c r="A100" s="27" t="s">
        <v>324</v>
      </c>
      <c r="B100" s="24">
        <v>1</v>
      </c>
      <c r="F100" s="17"/>
      <c r="G100" s="17"/>
    </row>
    <row r="101" spans="1:7" x14ac:dyDescent="0.25">
      <c r="A101" s="27" t="s">
        <v>281</v>
      </c>
      <c r="F101" s="17"/>
      <c r="G101" s="17"/>
    </row>
    <row r="102" spans="1:7" x14ac:dyDescent="0.25">
      <c r="A102" s="27" t="s">
        <v>310</v>
      </c>
      <c r="F102" s="17"/>
      <c r="G102" s="17"/>
    </row>
    <row r="103" spans="1:7" x14ac:dyDescent="0.25">
      <c r="A103" s="27" t="s">
        <v>333</v>
      </c>
      <c r="F103" s="17"/>
      <c r="G103" s="17"/>
    </row>
    <row r="104" spans="1:7" x14ac:dyDescent="0.25">
      <c r="A104" s="27" t="s">
        <v>297</v>
      </c>
      <c r="B104" s="24">
        <v>1</v>
      </c>
      <c r="F104" s="17"/>
      <c r="G104" s="17"/>
    </row>
    <row r="105" spans="1:7" x14ac:dyDescent="0.25">
      <c r="A105" s="27" t="s">
        <v>317</v>
      </c>
      <c r="F105" s="17"/>
      <c r="G105" s="17"/>
    </row>
    <row r="106" spans="1:7" x14ac:dyDescent="0.25">
      <c r="A106" s="27" t="s">
        <v>532</v>
      </c>
      <c r="F106" s="17"/>
      <c r="G106" s="17"/>
    </row>
    <row r="107" spans="1:7" x14ac:dyDescent="0.25">
      <c r="A107" s="27" t="s">
        <v>531</v>
      </c>
      <c r="F107" s="17"/>
      <c r="G107" s="17"/>
    </row>
    <row r="108" spans="1:7" x14ac:dyDescent="0.25">
      <c r="A108" s="27" t="s">
        <v>228</v>
      </c>
      <c r="F108" s="17"/>
      <c r="G108" s="17"/>
    </row>
    <row r="109" spans="1:7" x14ac:dyDescent="0.25">
      <c r="A109" s="27" t="s">
        <v>325</v>
      </c>
      <c r="B109" s="24">
        <v>1</v>
      </c>
      <c r="F109" s="17"/>
      <c r="G109" s="17"/>
    </row>
    <row r="110" spans="1:7" x14ac:dyDescent="0.25">
      <c r="A110" s="27" t="s">
        <v>328</v>
      </c>
      <c r="B110" s="24">
        <v>1</v>
      </c>
      <c r="F110" s="17"/>
      <c r="G110" s="17"/>
    </row>
    <row r="111" spans="1:7" x14ac:dyDescent="0.25">
      <c r="A111" s="27" t="s">
        <v>277</v>
      </c>
      <c r="F111" s="17"/>
      <c r="G111" s="17"/>
    </row>
    <row r="112" spans="1:7" x14ac:dyDescent="0.25">
      <c r="A112" s="27" t="s">
        <v>284</v>
      </c>
      <c r="F112" s="17"/>
      <c r="G112" s="17"/>
    </row>
    <row r="113" spans="1:7" x14ac:dyDescent="0.25">
      <c r="A113" s="27" t="s">
        <v>265</v>
      </c>
      <c r="F113" s="17"/>
      <c r="G113" s="17"/>
    </row>
    <row r="114" spans="1:7" x14ac:dyDescent="0.25">
      <c r="A114" s="27" t="s">
        <v>329</v>
      </c>
      <c r="B114" s="24">
        <v>1</v>
      </c>
      <c r="F114" s="17"/>
      <c r="G114" s="17"/>
    </row>
    <row r="115" spans="1:7" x14ac:dyDescent="0.25">
      <c r="A115" s="27" t="s">
        <v>285</v>
      </c>
      <c r="F115" s="17"/>
      <c r="G115" s="17"/>
    </row>
    <row r="116" spans="1:7" x14ac:dyDescent="0.25">
      <c r="A116" s="27" t="s">
        <v>296</v>
      </c>
      <c r="F116" s="17"/>
      <c r="G116" s="17"/>
    </row>
    <row r="117" spans="1:7" x14ac:dyDescent="0.25">
      <c r="A117" s="27" t="s">
        <v>290</v>
      </c>
      <c r="B117" s="24">
        <v>1</v>
      </c>
      <c r="F117" s="17"/>
      <c r="G117" s="17"/>
    </row>
    <row r="118" spans="1:7" x14ac:dyDescent="0.25">
      <c r="A118" s="27" t="s">
        <v>303</v>
      </c>
      <c r="F118" s="17"/>
      <c r="G118" s="17"/>
    </row>
    <row r="119" spans="1:7" x14ac:dyDescent="0.25">
      <c r="A119" s="27" t="s">
        <v>308</v>
      </c>
      <c r="F119" s="17"/>
      <c r="G119" s="17"/>
    </row>
    <row r="120" spans="1:7" x14ac:dyDescent="0.25">
      <c r="A120" s="27" t="s">
        <v>272</v>
      </c>
      <c r="F120" s="17"/>
      <c r="G120" s="17"/>
    </row>
    <row r="121" spans="1:7" x14ac:dyDescent="0.25">
      <c r="A121" s="27" t="s">
        <v>313</v>
      </c>
      <c r="F121" s="17"/>
      <c r="G121" s="17"/>
    </row>
    <row r="122" spans="1:7" x14ac:dyDescent="0.25">
      <c r="A122" s="27" t="s">
        <v>301</v>
      </c>
      <c r="B122" s="24">
        <v>1</v>
      </c>
      <c r="F122" s="17"/>
      <c r="G122" s="17"/>
    </row>
    <row r="123" spans="1:7" x14ac:dyDescent="0.25">
      <c r="A123" s="27" t="s">
        <v>319</v>
      </c>
      <c r="B123" s="24">
        <v>1</v>
      </c>
      <c r="F123" s="17"/>
      <c r="G123" s="17"/>
    </row>
    <row r="124" spans="1:7" x14ac:dyDescent="0.25">
      <c r="A124" s="27" t="s">
        <v>213</v>
      </c>
      <c r="F124" s="17"/>
      <c r="G124" s="17"/>
    </row>
    <row r="125" spans="1:7" x14ac:dyDescent="0.25">
      <c r="A125" s="27" t="s">
        <v>327</v>
      </c>
      <c r="B125" s="24">
        <v>1</v>
      </c>
      <c r="F125" s="17"/>
      <c r="G125" s="17"/>
    </row>
    <row r="126" spans="1:7" x14ac:dyDescent="0.25">
      <c r="A126" s="27" t="s">
        <v>274</v>
      </c>
      <c r="F126" s="17"/>
      <c r="G126" s="17"/>
    </row>
    <row r="127" spans="1:7" x14ac:dyDescent="0.25">
      <c r="A127" s="27" t="s">
        <v>311</v>
      </c>
      <c r="B127" s="24">
        <v>1</v>
      </c>
      <c r="F127" s="17"/>
      <c r="G127" s="17"/>
    </row>
    <row r="128" spans="1:7" x14ac:dyDescent="0.25">
      <c r="A128" s="27" t="s">
        <v>309</v>
      </c>
      <c r="F128" s="17"/>
      <c r="G128" s="17"/>
    </row>
    <row r="129" spans="1:7" x14ac:dyDescent="0.25">
      <c r="A129" s="27" t="s">
        <v>279</v>
      </c>
      <c r="F129" s="17"/>
      <c r="G129" s="17"/>
    </row>
    <row r="130" spans="1:7" x14ac:dyDescent="0.25">
      <c r="A130" s="27" t="s">
        <v>307</v>
      </c>
      <c r="F130" s="17"/>
      <c r="G130" s="17"/>
    </row>
    <row r="131" spans="1:7" x14ac:dyDescent="0.25">
      <c r="A131" s="27" t="s">
        <v>316</v>
      </c>
      <c r="F131" s="17"/>
      <c r="G131" s="17"/>
    </row>
    <row r="132" spans="1:7" x14ac:dyDescent="0.25">
      <c r="A132" s="27" t="s">
        <v>102</v>
      </c>
      <c r="F132" s="17"/>
      <c r="G132" s="17"/>
    </row>
    <row r="133" spans="1:7" x14ac:dyDescent="0.25">
      <c r="A133" s="27" t="s">
        <v>283</v>
      </c>
      <c r="F133" s="17"/>
      <c r="G133" s="17"/>
    </row>
    <row r="134" spans="1:7" x14ac:dyDescent="0.25">
      <c r="A134" s="27" t="s">
        <v>332</v>
      </c>
      <c r="B134" s="24">
        <v>1</v>
      </c>
      <c r="F134" s="17"/>
      <c r="G134" s="17"/>
    </row>
    <row r="135" spans="1:7" x14ac:dyDescent="0.25">
      <c r="A135" s="27" t="s">
        <v>330</v>
      </c>
      <c r="B135" s="24">
        <v>1</v>
      </c>
      <c r="F135" s="17"/>
      <c r="G135" s="17"/>
    </row>
    <row r="136" spans="1:7" x14ac:dyDescent="0.25">
      <c r="A136" s="27" t="s">
        <v>304</v>
      </c>
      <c r="F136" s="17"/>
      <c r="G136" s="17"/>
    </row>
    <row r="137" spans="1:7" x14ac:dyDescent="0.25">
      <c r="A137" s="27" t="s">
        <v>315</v>
      </c>
      <c r="B137" s="24">
        <v>1</v>
      </c>
      <c r="F137" s="17"/>
      <c r="G137" s="17"/>
    </row>
    <row r="138" spans="1:7" x14ac:dyDescent="0.25">
      <c r="A138" s="27" t="s">
        <v>535</v>
      </c>
      <c r="B138" s="25" t="s">
        <v>70</v>
      </c>
      <c r="F138" s="17"/>
      <c r="G138" s="17"/>
    </row>
    <row r="139" spans="1:7" x14ac:dyDescent="0.25">
      <c r="A139" s="27" t="s">
        <v>276</v>
      </c>
      <c r="F139" s="17"/>
      <c r="G139" s="17"/>
    </row>
    <row r="140" spans="1:7" x14ac:dyDescent="0.25">
      <c r="A140" s="27" t="s">
        <v>326</v>
      </c>
      <c r="B140" s="24">
        <v>1</v>
      </c>
      <c r="F140" s="17"/>
      <c r="G140" s="17"/>
    </row>
    <row r="141" spans="1:7" x14ac:dyDescent="0.25">
      <c r="A141" s="27" t="s">
        <v>270</v>
      </c>
      <c r="F141" s="17"/>
      <c r="G141" s="17"/>
    </row>
    <row r="142" spans="1:7" x14ac:dyDescent="0.25">
      <c r="A142" s="27" t="s">
        <v>362</v>
      </c>
      <c r="F142" s="17"/>
      <c r="G142" s="17"/>
    </row>
    <row r="143" spans="1:7" x14ac:dyDescent="0.25">
      <c r="A143" s="27" t="s">
        <v>300</v>
      </c>
      <c r="F143" s="17"/>
      <c r="G143" s="17"/>
    </row>
    <row r="144" spans="1:7" x14ac:dyDescent="0.25">
      <c r="A144" s="27" t="s">
        <v>536</v>
      </c>
      <c r="F144" s="17"/>
      <c r="G144" s="17"/>
    </row>
    <row r="145" spans="1:7" x14ac:dyDescent="0.25">
      <c r="A145" s="27" t="s">
        <v>266</v>
      </c>
      <c r="F145" s="17"/>
      <c r="G145" s="17"/>
    </row>
    <row r="146" spans="1:7" x14ac:dyDescent="0.25">
      <c r="A146" s="27" t="s">
        <v>529</v>
      </c>
      <c r="B146" s="25" t="s">
        <v>70</v>
      </c>
      <c r="F146" s="17"/>
      <c r="G146" s="17"/>
    </row>
    <row r="147" spans="1:7" x14ac:dyDescent="0.25">
      <c r="A147" s="27" t="s">
        <v>275</v>
      </c>
      <c r="F147" s="17"/>
      <c r="G147" s="17"/>
    </row>
    <row r="148" spans="1:7" x14ac:dyDescent="0.25">
      <c r="A148" s="27" t="s">
        <v>318</v>
      </c>
      <c r="F148" s="17"/>
      <c r="G148" s="17"/>
    </row>
    <row r="149" spans="1:7" x14ac:dyDescent="0.25">
      <c r="A149" s="27" t="s">
        <v>361</v>
      </c>
      <c r="F149" s="17"/>
      <c r="G149" s="17"/>
    </row>
    <row r="150" spans="1:7" x14ac:dyDescent="0.25">
      <c r="A150" s="27" t="s">
        <v>294</v>
      </c>
      <c r="B150" s="24">
        <v>1</v>
      </c>
      <c r="F150" s="17"/>
      <c r="G150" s="17"/>
    </row>
    <row r="151" spans="1:7" x14ac:dyDescent="0.25">
      <c r="A151" s="27" t="s">
        <v>287</v>
      </c>
      <c r="B151" s="24">
        <v>1</v>
      </c>
      <c r="F151" s="17"/>
      <c r="G151" s="17"/>
    </row>
    <row r="152" spans="1:7" x14ac:dyDescent="0.25">
      <c r="A152" s="27" t="s">
        <v>537</v>
      </c>
      <c r="F152" s="17"/>
      <c r="G152" s="17"/>
    </row>
    <row r="153" spans="1:7" x14ac:dyDescent="0.25">
      <c r="A153" s="27" t="s">
        <v>522</v>
      </c>
      <c r="F153" s="17"/>
      <c r="G153" s="17"/>
    </row>
    <row r="154" spans="1:7" x14ac:dyDescent="0.25">
      <c r="A154" s="27" t="s">
        <v>280</v>
      </c>
      <c r="F154" s="17"/>
      <c r="G154" s="17"/>
    </row>
    <row r="155" spans="1:7" x14ac:dyDescent="0.25">
      <c r="A155" s="27" t="s">
        <v>524</v>
      </c>
      <c r="B155" s="25" t="s">
        <v>70</v>
      </c>
      <c r="F155" s="17"/>
      <c r="G155" s="17"/>
    </row>
    <row r="156" spans="1:7" x14ac:dyDescent="0.25">
      <c r="F156" s="17"/>
      <c r="G156" s="17"/>
    </row>
    <row r="157" spans="1:7" x14ac:dyDescent="0.25">
      <c r="A157" s="73" t="s">
        <v>472</v>
      </c>
      <c r="F157" s="17"/>
      <c r="G157" s="17"/>
    </row>
    <row r="158" spans="1:7" x14ac:dyDescent="0.25">
      <c r="A158" s="17" t="s">
        <v>88</v>
      </c>
      <c r="F158" s="17"/>
      <c r="G158" s="17"/>
    </row>
    <row r="159" spans="1:7" x14ac:dyDescent="0.25">
      <c r="A159" s="27" t="s">
        <v>525</v>
      </c>
      <c r="B159" s="25" t="s">
        <v>526</v>
      </c>
      <c r="F159" s="17"/>
      <c r="G159" s="17"/>
    </row>
    <row r="160" spans="1:7" x14ac:dyDescent="0.25">
      <c r="A160" s="17" t="s">
        <v>498</v>
      </c>
      <c r="F160" s="17"/>
      <c r="G160" s="17"/>
    </row>
    <row r="161" spans="1:7" x14ac:dyDescent="0.25">
      <c r="A161" s="27" t="s">
        <v>200</v>
      </c>
      <c r="F161" s="17"/>
      <c r="G161" s="17"/>
    </row>
    <row r="162" spans="1:7" x14ac:dyDescent="0.25">
      <c r="A162" s="17" t="s">
        <v>195</v>
      </c>
      <c r="B162" s="17"/>
      <c r="F162" s="17"/>
      <c r="G162" s="17"/>
    </row>
    <row r="163" spans="1:7" x14ac:dyDescent="0.25">
      <c r="A163" s="17" t="s">
        <v>87</v>
      </c>
      <c r="F163" s="17"/>
      <c r="G163" s="17"/>
    </row>
    <row r="164" spans="1:7" x14ac:dyDescent="0.25">
      <c r="A164" s="17" t="s">
        <v>500</v>
      </c>
      <c r="B164" s="74" t="s">
        <v>501</v>
      </c>
      <c r="F164" s="17"/>
      <c r="G164" s="17"/>
    </row>
    <row r="165" spans="1:7" x14ac:dyDescent="0.25">
      <c r="A165" s="27" t="s">
        <v>528</v>
      </c>
      <c r="B165" s="74" t="s">
        <v>527</v>
      </c>
      <c r="F165" s="17"/>
      <c r="G165" s="17"/>
    </row>
    <row r="166" spans="1:7" x14ac:dyDescent="0.25">
      <c r="A166" s="17" t="s">
        <v>470</v>
      </c>
      <c r="B166" s="27"/>
      <c r="F166" s="17"/>
      <c r="G166" s="17"/>
    </row>
    <row r="167" spans="1:7" x14ac:dyDescent="0.25">
      <c r="A167" s="17" t="s">
        <v>93</v>
      </c>
      <c r="F167" s="17"/>
      <c r="G167" s="17"/>
    </row>
    <row r="168" spans="1:7" x14ac:dyDescent="0.25">
      <c r="A168" s="17" t="s">
        <v>85</v>
      </c>
    </row>
    <row r="169" spans="1:7" x14ac:dyDescent="0.25">
      <c r="A169" s="17" t="s">
        <v>103</v>
      </c>
      <c r="F169" s="17"/>
      <c r="G169" s="17"/>
    </row>
    <row r="170" spans="1:7" x14ac:dyDescent="0.25">
      <c r="A170" s="17" t="s">
        <v>86</v>
      </c>
      <c r="F170" s="17"/>
      <c r="G170" s="17"/>
    </row>
    <row r="171" spans="1:7" x14ac:dyDescent="0.25">
      <c r="A171" s="17" t="s">
        <v>191</v>
      </c>
      <c r="F171" s="17"/>
      <c r="G171" s="17"/>
    </row>
    <row r="172" spans="1:7" x14ac:dyDescent="0.25">
      <c r="A172" s="17" t="s">
        <v>89</v>
      </c>
      <c r="F172" s="17"/>
      <c r="G172" s="17"/>
    </row>
    <row r="173" spans="1:7" x14ac:dyDescent="0.25">
      <c r="A173" s="17" t="s">
        <v>471</v>
      </c>
      <c r="B173" s="27"/>
    </row>
    <row r="174" spans="1:7" x14ac:dyDescent="0.25">
      <c r="A174" s="17" t="s">
        <v>521</v>
      </c>
      <c r="F174" s="17"/>
      <c r="G174" s="17"/>
    </row>
    <row r="175" spans="1:7" x14ac:dyDescent="0.25">
      <c r="A175" s="17" t="s">
        <v>197</v>
      </c>
      <c r="C175" s="27" t="s">
        <v>502</v>
      </c>
      <c r="F175" s="17"/>
      <c r="G175" s="17"/>
    </row>
    <row r="176" spans="1:7" x14ac:dyDescent="0.25">
      <c r="A176" s="17" t="s">
        <v>193</v>
      </c>
      <c r="C176" s="27"/>
      <c r="F176" s="17"/>
      <c r="G176" s="17"/>
    </row>
    <row r="177" spans="1:7" x14ac:dyDescent="0.25">
      <c r="A177" s="17" t="s">
        <v>499</v>
      </c>
      <c r="B177" s="17" t="s">
        <v>468</v>
      </c>
      <c r="F177" s="17"/>
      <c r="G177" s="17"/>
    </row>
    <row r="178" spans="1:7" x14ac:dyDescent="0.25">
      <c r="A178" s="17" t="s">
        <v>497</v>
      </c>
      <c r="F178" s="17"/>
      <c r="G178" s="17"/>
    </row>
    <row r="179" spans="1:7" x14ac:dyDescent="0.25">
      <c r="A179" s="17" t="s">
        <v>199</v>
      </c>
      <c r="F179" s="17"/>
      <c r="G179" s="17"/>
    </row>
    <row r="180" spans="1:7" x14ac:dyDescent="0.25">
      <c r="A180" s="17" t="s">
        <v>467</v>
      </c>
    </row>
    <row r="181" spans="1:7" x14ac:dyDescent="0.25">
      <c r="A181" s="17" t="s">
        <v>469</v>
      </c>
      <c r="B181" s="27"/>
      <c r="F181" s="17"/>
      <c r="G181" s="17"/>
    </row>
    <row r="182" spans="1:7" x14ac:dyDescent="0.25">
      <c r="A182" s="17" t="s">
        <v>196</v>
      </c>
      <c r="B182" s="27"/>
      <c r="F182" s="17"/>
      <c r="G182" s="17"/>
    </row>
    <row r="183" spans="1:7" x14ac:dyDescent="0.25">
      <c r="A183" s="17" t="s">
        <v>194</v>
      </c>
      <c r="B183" s="27"/>
      <c r="F183" s="17"/>
      <c r="G183" s="17"/>
    </row>
    <row r="184" spans="1:7" x14ac:dyDescent="0.25">
      <c r="A184" s="17" t="s">
        <v>90</v>
      </c>
      <c r="F184" s="17"/>
      <c r="G184" s="17"/>
    </row>
    <row r="185" spans="1:7" x14ac:dyDescent="0.25">
      <c r="F185" s="17"/>
      <c r="G185" s="17"/>
    </row>
    <row r="186" spans="1:7" x14ac:dyDescent="0.25">
      <c r="A186" s="73" t="s">
        <v>479</v>
      </c>
      <c r="E186" s="74"/>
      <c r="F186" s="17"/>
      <c r="G186" s="17"/>
    </row>
    <row r="187" spans="1:7" x14ac:dyDescent="0.25">
      <c r="A187" s="27" t="s">
        <v>473</v>
      </c>
      <c r="E187"/>
      <c r="F187" s="17"/>
      <c r="G187" s="17"/>
    </row>
    <row r="188" spans="1:7" x14ac:dyDescent="0.25">
      <c r="A188" s="27" t="s">
        <v>474</v>
      </c>
      <c r="E188"/>
      <c r="F188" s="17"/>
      <c r="G188" s="17"/>
    </row>
    <row r="189" spans="1:7" x14ac:dyDescent="0.25">
      <c r="A189" s="27" t="s">
        <v>192</v>
      </c>
      <c r="E189"/>
      <c r="F189" s="17"/>
      <c r="G189" s="17"/>
    </row>
    <row r="190" spans="1:7" x14ac:dyDescent="0.25">
      <c r="A190" s="27" t="s">
        <v>475</v>
      </c>
      <c r="E190"/>
      <c r="F190" s="17"/>
      <c r="G190" s="17"/>
    </row>
    <row r="191" spans="1:7" x14ac:dyDescent="0.25">
      <c r="A191" s="17" t="s">
        <v>476</v>
      </c>
      <c r="E191"/>
      <c r="F191" s="17"/>
      <c r="G191" s="17"/>
    </row>
    <row r="192" spans="1:7" x14ac:dyDescent="0.25">
      <c r="D192" s="74"/>
      <c r="E192"/>
      <c r="F192" s="17"/>
      <c r="G192" s="17"/>
    </row>
    <row r="193" spans="1:7" x14ac:dyDescent="0.25">
      <c r="A193" s="72" t="s">
        <v>480</v>
      </c>
      <c r="D193" s="74"/>
      <c r="E193" s="74"/>
      <c r="F193" s="17"/>
      <c r="G193" s="17"/>
    </row>
    <row r="194" spans="1:7" x14ac:dyDescent="0.25">
      <c r="A194" s="27" t="s">
        <v>477</v>
      </c>
      <c r="D194" s="74"/>
      <c r="E194"/>
    </row>
    <row r="195" spans="1:7" x14ac:dyDescent="0.25">
      <c r="A195" s="27" t="s">
        <v>478</v>
      </c>
      <c r="D195" s="74"/>
      <c r="E195"/>
      <c r="F195" s="17"/>
      <c r="G195" s="17"/>
    </row>
    <row r="196" spans="1:7" x14ac:dyDescent="0.25">
      <c r="A196" s="27" t="s">
        <v>190</v>
      </c>
      <c r="D196" s="74"/>
      <c r="E196"/>
      <c r="F196" s="17"/>
      <c r="G196" s="17"/>
    </row>
    <row r="197" spans="1:7" x14ac:dyDescent="0.25">
      <c r="F197" s="17"/>
      <c r="G197" s="17"/>
    </row>
    <row r="198" spans="1:7" x14ac:dyDescent="0.25">
      <c r="A198" s="73" t="s">
        <v>371</v>
      </c>
      <c r="F198" s="17"/>
      <c r="G198" s="17"/>
    </row>
    <row r="199" spans="1:7" x14ac:dyDescent="0.25">
      <c r="A199" s="27" t="s">
        <v>370</v>
      </c>
      <c r="F199" s="17"/>
      <c r="G199" s="17"/>
    </row>
    <row r="200" spans="1:7" x14ac:dyDescent="0.25">
      <c r="A200" s="27" t="s">
        <v>463</v>
      </c>
      <c r="F200" s="17"/>
      <c r="G200" s="17"/>
    </row>
    <row r="201" spans="1:7" x14ac:dyDescent="0.25">
      <c r="A201" s="27" t="s">
        <v>461</v>
      </c>
    </row>
    <row r="202" spans="1:7" x14ac:dyDescent="0.25">
      <c r="A202" s="27" t="s">
        <v>465</v>
      </c>
    </row>
    <row r="203" spans="1:7" x14ac:dyDescent="0.25">
      <c r="A203" s="27" t="s">
        <v>462</v>
      </c>
    </row>
    <row r="204" spans="1:7" x14ac:dyDescent="0.25">
      <c r="A204" s="27" t="s">
        <v>368</v>
      </c>
    </row>
    <row r="205" spans="1:7" x14ac:dyDescent="0.25">
      <c r="A205" s="27" t="s">
        <v>464</v>
      </c>
    </row>
    <row r="206" spans="1:7" x14ac:dyDescent="0.25">
      <c r="A206" s="27" t="s">
        <v>372</v>
      </c>
    </row>
    <row r="207" spans="1:7" x14ac:dyDescent="0.25">
      <c r="A207" s="27" t="s">
        <v>364</v>
      </c>
    </row>
    <row r="208" spans="1:7" ht="15.75" thickBot="1" x14ac:dyDescent="0.3"/>
    <row r="209" spans="1:7" x14ac:dyDescent="0.25">
      <c r="A209" s="75" t="s">
        <v>376</v>
      </c>
      <c r="B209" s="79"/>
      <c r="C209" s="82" t="s">
        <v>481</v>
      </c>
      <c r="D209" s="83" t="s">
        <v>482</v>
      </c>
      <c r="E209" s="84"/>
      <c r="F209" s="85"/>
      <c r="G209" s="17"/>
    </row>
    <row r="210" spans="1:7" x14ac:dyDescent="0.25">
      <c r="A210" s="76" t="s">
        <v>488</v>
      </c>
      <c r="B210" s="80" t="s">
        <v>489</v>
      </c>
      <c r="C210" s="86" t="s">
        <v>459</v>
      </c>
      <c r="D210" s="29" t="s">
        <v>379</v>
      </c>
      <c r="E210" s="29"/>
      <c r="F210" s="77"/>
      <c r="G210" s="17"/>
    </row>
    <row r="211" spans="1:7" x14ac:dyDescent="0.25">
      <c r="A211" s="76" t="s">
        <v>457</v>
      </c>
      <c r="B211" s="80" t="s">
        <v>489</v>
      </c>
      <c r="C211" s="86" t="s">
        <v>375</v>
      </c>
      <c r="D211" s="29" t="s">
        <v>380</v>
      </c>
      <c r="E211" s="29"/>
      <c r="F211" s="77"/>
      <c r="G211" s="17"/>
    </row>
    <row r="212" spans="1:7" x14ac:dyDescent="0.25">
      <c r="A212" s="76" t="s">
        <v>455</v>
      </c>
      <c r="B212" s="80" t="s">
        <v>489</v>
      </c>
      <c r="C212" s="86" t="s">
        <v>375</v>
      </c>
      <c r="D212" s="29" t="s">
        <v>381</v>
      </c>
      <c r="E212" s="29"/>
      <c r="F212" s="77"/>
      <c r="G212" s="17"/>
    </row>
    <row r="213" spans="1:7" x14ac:dyDescent="0.25">
      <c r="A213" s="76" t="s">
        <v>378</v>
      </c>
      <c r="B213" s="81" t="s">
        <v>489</v>
      </c>
      <c r="C213" s="86" t="s">
        <v>375</v>
      </c>
      <c r="D213" s="29" t="s">
        <v>382</v>
      </c>
      <c r="E213" s="29"/>
      <c r="F213" s="77"/>
      <c r="G213" s="17"/>
    </row>
    <row r="214" spans="1:7" x14ac:dyDescent="0.25">
      <c r="A214" s="76" t="s">
        <v>466</v>
      </c>
      <c r="B214" s="80" t="s">
        <v>489</v>
      </c>
      <c r="C214" s="86" t="s">
        <v>487</v>
      </c>
      <c r="D214" s="29" t="s">
        <v>383</v>
      </c>
      <c r="E214" s="29"/>
      <c r="F214" s="77"/>
      <c r="G214" s="17"/>
    </row>
    <row r="215" spans="1:7" x14ac:dyDescent="0.25">
      <c r="A215" s="76" t="s">
        <v>456</v>
      </c>
      <c r="B215" s="80" t="s">
        <v>489</v>
      </c>
      <c r="C215" s="86" t="s">
        <v>492</v>
      </c>
      <c r="D215" s="29" t="s">
        <v>384</v>
      </c>
      <c r="E215" s="29"/>
      <c r="F215" s="77"/>
      <c r="G215" s="17"/>
    </row>
    <row r="216" spans="1:7" x14ac:dyDescent="0.25">
      <c r="A216" s="76" t="s">
        <v>374</v>
      </c>
      <c r="B216" s="80" t="s">
        <v>489</v>
      </c>
      <c r="C216" s="86" t="s">
        <v>460</v>
      </c>
      <c r="D216" s="29" t="s">
        <v>385</v>
      </c>
      <c r="E216" s="29"/>
      <c r="F216" s="77"/>
      <c r="G216" s="17"/>
    </row>
    <row r="217" spans="1:7" x14ac:dyDescent="0.25">
      <c r="A217" s="76" t="s">
        <v>487</v>
      </c>
      <c r="B217" s="80" t="s">
        <v>489</v>
      </c>
      <c r="C217" s="86" t="s">
        <v>515</v>
      </c>
      <c r="D217" s="29" t="s">
        <v>386</v>
      </c>
      <c r="E217" s="29"/>
      <c r="F217" s="77"/>
      <c r="G217" s="17"/>
    </row>
    <row r="218" spans="1:7" x14ac:dyDescent="0.25">
      <c r="A218" s="76" t="s">
        <v>503</v>
      </c>
      <c r="B218" s="80" t="s">
        <v>489</v>
      </c>
      <c r="C218" s="86" t="s">
        <v>515</v>
      </c>
      <c r="D218" s="29" t="s">
        <v>387</v>
      </c>
      <c r="E218" s="29"/>
      <c r="F218" s="77"/>
      <c r="G218" s="17"/>
    </row>
    <row r="219" spans="1:7" x14ac:dyDescent="0.25">
      <c r="A219" s="76" t="s">
        <v>504</v>
      </c>
      <c r="B219" s="80" t="s">
        <v>489</v>
      </c>
      <c r="C219" s="86" t="s">
        <v>515</v>
      </c>
      <c r="D219" s="29" t="s">
        <v>388</v>
      </c>
      <c r="E219" s="29"/>
      <c r="F219" s="77"/>
      <c r="G219" s="17"/>
    </row>
    <row r="220" spans="1:7" x14ac:dyDescent="0.25">
      <c r="A220" s="76" t="s">
        <v>484</v>
      </c>
      <c r="B220" s="80" t="s">
        <v>489</v>
      </c>
      <c r="C220" s="86" t="s">
        <v>455</v>
      </c>
      <c r="D220" s="81" t="s">
        <v>389</v>
      </c>
      <c r="E220" s="29"/>
      <c r="F220" s="77"/>
      <c r="G220" s="17"/>
    </row>
    <row r="221" spans="1:7" x14ac:dyDescent="0.25">
      <c r="A221" s="76" t="s">
        <v>506</v>
      </c>
      <c r="B221" s="80" t="s">
        <v>489</v>
      </c>
      <c r="C221" s="86" t="s">
        <v>455</v>
      </c>
      <c r="D221" s="29" t="s">
        <v>390</v>
      </c>
      <c r="E221" s="29"/>
      <c r="F221" s="77"/>
      <c r="G221" s="17"/>
    </row>
    <row r="222" spans="1:7" x14ac:dyDescent="0.25">
      <c r="A222" s="76" t="s">
        <v>485</v>
      </c>
      <c r="B222" s="80" t="s">
        <v>513</v>
      </c>
      <c r="C222" s="86" t="s">
        <v>483</v>
      </c>
      <c r="D222" s="29" t="s">
        <v>391</v>
      </c>
      <c r="E222" s="29"/>
      <c r="F222" s="77"/>
      <c r="G222" s="17"/>
    </row>
    <row r="223" spans="1:7" x14ac:dyDescent="0.25">
      <c r="A223" s="76" t="s">
        <v>486</v>
      </c>
      <c r="B223" s="80" t="s">
        <v>513</v>
      </c>
      <c r="C223" s="86" t="s">
        <v>378</v>
      </c>
      <c r="D223" s="29" t="s">
        <v>392</v>
      </c>
      <c r="E223" s="29"/>
      <c r="F223" s="77"/>
      <c r="G223" s="17"/>
    </row>
    <row r="224" spans="1:7" x14ac:dyDescent="0.25">
      <c r="A224" s="76" t="s">
        <v>373</v>
      </c>
      <c r="B224" s="80" t="s">
        <v>490</v>
      </c>
      <c r="C224" s="86" t="s">
        <v>374</v>
      </c>
      <c r="D224" s="29" t="s">
        <v>393</v>
      </c>
      <c r="E224" s="29"/>
      <c r="F224" s="77"/>
      <c r="G224" s="17"/>
    </row>
    <row r="225" spans="1:7" x14ac:dyDescent="0.25">
      <c r="A225" s="76" t="s">
        <v>483</v>
      </c>
      <c r="B225" s="81" t="s">
        <v>490</v>
      </c>
      <c r="C225" s="86" t="s">
        <v>486</v>
      </c>
      <c r="D225" s="29" t="s">
        <v>394</v>
      </c>
      <c r="E225" s="29"/>
      <c r="F225" s="77"/>
      <c r="G225" s="17"/>
    </row>
    <row r="226" spans="1:7" x14ac:dyDescent="0.25">
      <c r="A226" s="76" t="s">
        <v>460</v>
      </c>
      <c r="B226" s="81" t="s">
        <v>490</v>
      </c>
      <c r="C226" s="86" t="s">
        <v>486</v>
      </c>
      <c r="D226" s="29" t="s">
        <v>395</v>
      </c>
      <c r="E226" s="29"/>
      <c r="F226" s="77"/>
      <c r="G226" s="17"/>
    </row>
    <row r="227" spans="1:7" x14ac:dyDescent="0.25">
      <c r="A227" s="76" t="s">
        <v>505</v>
      </c>
      <c r="B227" s="81" t="s">
        <v>490</v>
      </c>
      <c r="C227" s="86" t="s">
        <v>456</v>
      </c>
      <c r="D227" s="29" t="s">
        <v>396</v>
      </c>
      <c r="E227" s="29"/>
      <c r="F227" s="77"/>
      <c r="G227" s="17"/>
    </row>
    <row r="228" spans="1:7" x14ac:dyDescent="0.25">
      <c r="A228" s="76" t="s">
        <v>458</v>
      </c>
      <c r="B228" s="80" t="s">
        <v>490</v>
      </c>
      <c r="C228" s="86" t="s">
        <v>458</v>
      </c>
      <c r="D228" s="29" t="s">
        <v>397</v>
      </c>
      <c r="E228" s="29"/>
      <c r="F228" s="77"/>
      <c r="G228" s="17"/>
    </row>
    <row r="229" spans="1:7" x14ac:dyDescent="0.25">
      <c r="A229" s="76" t="s">
        <v>514</v>
      </c>
      <c r="B229" s="80" t="s">
        <v>490</v>
      </c>
      <c r="C229" s="86" t="s">
        <v>457</v>
      </c>
      <c r="D229" s="29" t="s">
        <v>398</v>
      </c>
      <c r="E229" s="29"/>
      <c r="F229" s="77"/>
      <c r="G229" s="17"/>
    </row>
    <row r="230" spans="1:7" x14ac:dyDescent="0.25">
      <c r="A230" s="76" t="s">
        <v>510</v>
      </c>
      <c r="B230" s="80" t="s">
        <v>490</v>
      </c>
      <c r="C230" s="86" t="s">
        <v>378</v>
      </c>
      <c r="D230" s="29" t="s">
        <v>399</v>
      </c>
      <c r="E230" s="29"/>
      <c r="F230" s="77"/>
      <c r="G230" s="17"/>
    </row>
    <row r="231" spans="1:7" x14ac:dyDescent="0.25">
      <c r="A231" s="76" t="s">
        <v>509</v>
      </c>
      <c r="B231" s="81" t="s">
        <v>490</v>
      </c>
      <c r="C231" s="86" t="s">
        <v>466</v>
      </c>
      <c r="D231" s="29" t="s">
        <v>400</v>
      </c>
      <c r="E231" s="29"/>
      <c r="F231" s="77"/>
      <c r="G231" s="17"/>
    </row>
    <row r="232" spans="1:7" x14ac:dyDescent="0.25">
      <c r="A232" s="76" t="s">
        <v>507</v>
      </c>
      <c r="B232" s="80" t="s">
        <v>490</v>
      </c>
      <c r="C232" s="86" t="s">
        <v>466</v>
      </c>
      <c r="D232" s="29" t="s">
        <v>401</v>
      </c>
      <c r="E232" s="29"/>
      <c r="F232" s="77"/>
      <c r="G232" s="17"/>
    </row>
    <row r="233" spans="1:7" x14ac:dyDescent="0.25">
      <c r="A233" s="76" t="s">
        <v>508</v>
      </c>
      <c r="B233" s="80" t="s">
        <v>493</v>
      </c>
      <c r="C233" s="86" t="s">
        <v>488</v>
      </c>
      <c r="D233" s="29" t="s">
        <v>402</v>
      </c>
      <c r="E233" s="29"/>
      <c r="F233" s="77"/>
      <c r="G233" s="17"/>
    </row>
    <row r="234" spans="1:7" x14ac:dyDescent="0.25">
      <c r="A234" s="76" t="s">
        <v>459</v>
      </c>
      <c r="B234" s="80" t="s">
        <v>493</v>
      </c>
      <c r="C234" s="86" t="s">
        <v>488</v>
      </c>
      <c r="D234" s="29" t="s">
        <v>403</v>
      </c>
      <c r="E234" s="29"/>
      <c r="F234" s="77"/>
      <c r="G234" s="17"/>
    </row>
    <row r="235" spans="1:7" x14ac:dyDescent="0.25">
      <c r="A235" s="76" t="s">
        <v>494</v>
      </c>
      <c r="B235" s="80" t="s">
        <v>493</v>
      </c>
      <c r="C235" s="86" t="s">
        <v>488</v>
      </c>
      <c r="D235" s="29" t="s">
        <v>404</v>
      </c>
      <c r="E235" s="29"/>
      <c r="F235" s="77"/>
      <c r="G235" s="17"/>
    </row>
    <row r="236" spans="1:7" x14ac:dyDescent="0.25">
      <c r="A236" s="76" t="s">
        <v>491</v>
      </c>
      <c r="B236" s="80" t="s">
        <v>493</v>
      </c>
      <c r="C236" s="86" t="s">
        <v>503</v>
      </c>
      <c r="D236" s="29" t="s">
        <v>405</v>
      </c>
      <c r="E236" s="29"/>
      <c r="F236" s="77"/>
      <c r="G236" s="17"/>
    </row>
    <row r="237" spans="1:7" x14ac:dyDescent="0.25">
      <c r="A237" s="76" t="s">
        <v>492</v>
      </c>
      <c r="B237" s="80" t="s">
        <v>493</v>
      </c>
      <c r="C237" s="86" t="s">
        <v>484</v>
      </c>
      <c r="D237" s="29" t="s">
        <v>406</v>
      </c>
      <c r="E237" s="29"/>
      <c r="F237" s="77"/>
      <c r="G237" s="17"/>
    </row>
    <row r="238" spans="1:7" x14ac:dyDescent="0.25">
      <c r="A238" s="76" t="s">
        <v>511</v>
      </c>
      <c r="B238" s="80" t="s">
        <v>493</v>
      </c>
      <c r="C238" s="86" t="s">
        <v>484</v>
      </c>
      <c r="D238" s="29" t="s">
        <v>407</v>
      </c>
      <c r="E238" s="29"/>
      <c r="F238" s="77"/>
      <c r="G238" s="17"/>
    </row>
    <row r="239" spans="1:7" x14ac:dyDescent="0.25">
      <c r="A239" s="76" t="s">
        <v>495</v>
      </c>
      <c r="B239" s="80" t="s">
        <v>493</v>
      </c>
      <c r="C239" s="86" t="s">
        <v>484</v>
      </c>
      <c r="D239" s="29" t="s">
        <v>408</v>
      </c>
      <c r="E239" s="29"/>
      <c r="F239" s="77"/>
      <c r="G239" s="17"/>
    </row>
    <row r="240" spans="1:7" x14ac:dyDescent="0.25">
      <c r="A240" s="76" t="s">
        <v>42</v>
      </c>
      <c r="B240" s="80" t="s">
        <v>42</v>
      </c>
      <c r="C240" s="86" t="s">
        <v>485</v>
      </c>
      <c r="D240" s="29" t="s">
        <v>409</v>
      </c>
      <c r="E240" s="29"/>
      <c r="F240" s="77"/>
      <c r="G240" s="17"/>
    </row>
    <row r="241" spans="1:7" x14ac:dyDescent="0.25">
      <c r="A241" s="76" t="s">
        <v>375</v>
      </c>
      <c r="B241" s="80" t="s">
        <v>375</v>
      </c>
      <c r="C241" s="86" t="s">
        <v>485</v>
      </c>
      <c r="D241" s="29" t="s">
        <v>410</v>
      </c>
      <c r="E241" s="29"/>
      <c r="F241" s="77"/>
      <c r="G241" s="17"/>
    </row>
    <row r="242" spans="1:7" ht="15.75" thickBot="1" x14ac:dyDescent="0.3">
      <c r="A242" s="78" t="s">
        <v>515</v>
      </c>
      <c r="B242" s="91" t="s">
        <v>515</v>
      </c>
      <c r="C242" s="86" t="s">
        <v>485</v>
      </c>
      <c r="D242" s="29" t="s">
        <v>411</v>
      </c>
      <c r="E242" s="29"/>
      <c r="F242" s="77"/>
      <c r="G242" s="17"/>
    </row>
    <row r="243" spans="1:7" x14ac:dyDescent="0.25">
      <c r="C243" s="86" t="s">
        <v>457</v>
      </c>
      <c r="D243" s="29" t="s">
        <v>412</v>
      </c>
      <c r="E243" s="29"/>
      <c r="F243" s="77"/>
      <c r="G243" s="17"/>
    </row>
    <row r="244" spans="1:7" x14ac:dyDescent="0.25">
      <c r="C244" s="86" t="s">
        <v>457</v>
      </c>
      <c r="D244" s="29" t="s">
        <v>413</v>
      </c>
      <c r="E244" s="29"/>
      <c r="F244" s="77"/>
      <c r="G244" s="17"/>
    </row>
    <row r="245" spans="1:7" x14ac:dyDescent="0.25">
      <c r="C245" s="86" t="s">
        <v>457</v>
      </c>
      <c r="D245" s="29" t="s">
        <v>414</v>
      </c>
      <c r="E245" s="29"/>
      <c r="F245" s="77"/>
      <c r="G245" s="17"/>
    </row>
    <row r="246" spans="1:7" x14ac:dyDescent="0.25">
      <c r="C246" s="86" t="s">
        <v>506</v>
      </c>
      <c r="D246" s="29" t="s">
        <v>415</v>
      </c>
      <c r="E246" s="29"/>
      <c r="F246" s="77"/>
      <c r="G246" s="17"/>
    </row>
    <row r="247" spans="1:7" x14ac:dyDescent="0.25">
      <c r="C247" s="86" t="s">
        <v>378</v>
      </c>
      <c r="D247" s="29" t="s">
        <v>416</v>
      </c>
      <c r="E247" s="29"/>
      <c r="F247" s="77"/>
      <c r="G247" s="17"/>
    </row>
    <row r="248" spans="1:7" x14ac:dyDescent="0.25">
      <c r="C248" s="86" t="s">
        <v>504</v>
      </c>
      <c r="D248" s="29" t="s">
        <v>417</v>
      </c>
      <c r="E248" s="29"/>
      <c r="F248" s="77"/>
      <c r="G248" s="17"/>
    </row>
    <row r="249" spans="1:7" x14ac:dyDescent="0.25">
      <c r="C249" s="86" t="s">
        <v>483</v>
      </c>
      <c r="D249" s="29" t="s">
        <v>418</v>
      </c>
      <c r="E249" s="29"/>
      <c r="F249" s="77"/>
      <c r="G249" s="17"/>
    </row>
    <row r="250" spans="1:7" x14ac:dyDescent="0.25">
      <c r="C250" s="86" t="s">
        <v>375</v>
      </c>
      <c r="D250" s="29" t="s">
        <v>419</v>
      </c>
      <c r="E250" s="29"/>
      <c r="F250" s="77"/>
      <c r="G250" s="17"/>
    </row>
    <row r="251" spans="1:7" x14ac:dyDescent="0.25">
      <c r="C251" s="86" t="s">
        <v>375</v>
      </c>
      <c r="D251" s="29" t="s">
        <v>420</v>
      </c>
      <c r="E251" s="29"/>
      <c r="F251" s="77"/>
      <c r="G251" s="17"/>
    </row>
    <row r="252" spans="1:7" x14ac:dyDescent="0.25">
      <c r="B252" s="17"/>
      <c r="C252" s="86" t="s">
        <v>460</v>
      </c>
      <c r="D252" s="29" t="s">
        <v>421</v>
      </c>
      <c r="E252" s="29"/>
      <c r="F252" s="77"/>
      <c r="G252" s="17"/>
    </row>
    <row r="253" spans="1:7" x14ac:dyDescent="0.25">
      <c r="B253" s="17"/>
      <c r="C253" s="86" t="s">
        <v>460</v>
      </c>
      <c r="D253" s="29" t="s">
        <v>422</v>
      </c>
      <c r="E253" s="29"/>
      <c r="F253" s="77"/>
      <c r="G253" s="17"/>
    </row>
    <row r="254" spans="1:7" x14ac:dyDescent="0.25">
      <c r="B254" s="17"/>
      <c r="C254" s="86" t="s">
        <v>509</v>
      </c>
      <c r="D254" s="29" t="s">
        <v>423</v>
      </c>
      <c r="E254" s="29"/>
      <c r="F254" s="77"/>
      <c r="G254" s="17"/>
    </row>
    <row r="255" spans="1:7" x14ac:dyDescent="0.25">
      <c r="B255" s="17"/>
      <c r="C255" s="86" t="s">
        <v>510</v>
      </c>
      <c r="D255" s="29" t="s">
        <v>424</v>
      </c>
      <c r="E255" s="29"/>
      <c r="F255" s="77"/>
      <c r="G255" s="17"/>
    </row>
    <row r="256" spans="1:7" x14ac:dyDescent="0.25">
      <c r="B256" s="17"/>
      <c r="C256" s="86" t="s">
        <v>510</v>
      </c>
      <c r="D256" s="29" t="s">
        <v>425</v>
      </c>
      <c r="E256" s="29"/>
      <c r="F256" s="77"/>
      <c r="G256" s="17"/>
    </row>
    <row r="257" spans="2:7" x14ac:dyDescent="0.25">
      <c r="B257" s="17"/>
      <c r="C257" s="86" t="s">
        <v>510</v>
      </c>
      <c r="D257" s="29" t="s">
        <v>426</v>
      </c>
      <c r="E257" s="29"/>
      <c r="F257" s="77"/>
      <c r="G257" s="17"/>
    </row>
    <row r="258" spans="2:7" x14ac:dyDescent="0.25">
      <c r="B258" s="17"/>
      <c r="C258" s="86" t="s">
        <v>373</v>
      </c>
      <c r="D258" s="29" t="s">
        <v>427</v>
      </c>
      <c r="E258" s="29"/>
      <c r="F258" s="77"/>
      <c r="G258" s="17"/>
    </row>
    <row r="259" spans="2:7" x14ac:dyDescent="0.25">
      <c r="B259" s="17"/>
      <c r="C259" s="86" t="s">
        <v>373</v>
      </c>
      <c r="D259" s="29" t="s">
        <v>428</v>
      </c>
      <c r="E259" s="29"/>
      <c r="F259" s="77"/>
      <c r="G259" s="17"/>
    </row>
    <row r="260" spans="2:7" x14ac:dyDescent="0.25">
      <c r="B260" s="17"/>
      <c r="C260" s="86" t="s">
        <v>373</v>
      </c>
      <c r="D260" s="29" t="s">
        <v>429</v>
      </c>
      <c r="E260" s="29"/>
      <c r="F260" s="77"/>
      <c r="G260" s="17"/>
    </row>
    <row r="261" spans="2:7" x14ac:dyDescent="0.25">
      <c r="B261" s="17"/>
      <c r="C261" s="86" t="s">
        <v>505</v>
      </c>
      <c r="D261" s="29" t="s">
        <v>430</v>
      </c>
      <c r="E261" s="29"/>
      <c r="F261" s="77"/>
      <c r="G261" s="17"/>
    </row>
    <row r="262" spans="2:7" x14ac:dyDescent="0.25">
      <c r="B262" s="17"/>
      <c r="C262" s="86" t="s">
        <v>505</v>
      </c>
      <c r="D262" s="29" t="s">
        <v>431</v>
      </c>
      <c r="E262" s="29"/>
      <c r="F262" s="77"/>
      <c r="G262" s="17"/>
    </row>
    <row r="263" spans="2:7" x14ac:dyDescent="0.25">
      <c r="B263" s="17"/>
      <c r="C263" s="86" t="s">
        <v>505</v>
      </c>
      <c r="D263" s="29" t="s">
        <v>432</v>
      </c>
      <c r="E263" s="29"/>
      <c r="F263" s="77"/>
      <c r="G263" s="17"/>
    </row>
    <row r="264" spans="2:7" x14ac:dyDescent="0.25">
      <c r="B264" s="17"/>
      <c r="C264" s="86" t="s">
        <v>514</v>
      </c>
      <c r="D264" s="29" t="s">
        <v>433</v>
      </c>
      <c r="E264" s="29"/>
      <c r="F264" s="77"/>
      <c r="G264" s="17"/>
    </row>
    <row r="265" spans="2:7" x14ac:dyDescent="0.25">
      <c r="B265" s="17"/>
      <c r="C265" s="86" t="s">
        <v>514</v>
      </c>
      <c r="D265" s="29" t="s">
        <v>434</v>
      </c>
      <c r="E265" s="29"/>
      <c r="F265" s="77"/>
      <c r="G265" s="17"/>
    </row>
    <row r="266" spans="2:7" x14ac:dyDescent="0.25">
      <c r="B266" s="17"/>
      <c r="C266" s="86" t="s">
        <v>514</v>
      </c>
      <c r="D266" s="29" t="s">
        <v>435</v>
      </c>
      <c r="E266" s="29"/>
      <c r="F266" s="77"/>
      <c r="G266" s="17"/>
    </row>
    <row r="267" spans="2:7" x14ac:dyDescent="0.25">
      <c r="B267" s="17"/>
      <c r="C267" s="86" t="s">
        <v>511</v>
      </c>
      <c r="D267" s="29" t="s">
        <v>436</v>
      </c>
      <c r="E267" s="29"/>
      <c r="F267" s="77"/>
      <c r="G267" s="17"/>
    </row>
    <row r="268" spans="2:7" x14ac:dyDescent="0.25">
      <c r="B268" s="17"/>
      <c r="C268" s="86" t="s">
        <v>507</v>
      </c>
      <c r="D268" s="29" t="s">
        <v>437</v>
      </c>
      <c r="E268" s="29"/>
      <c r="F268" s="77"/>
      <c r="G268" s="17"/>
    </row>
    <row r="269" spans="2:7" x14ac:dyDescent="0.25">
      <c r="B269" s="17"/>
      <c r="C269" s="86" t="s">
        <v>507</v>
      </c>
      <c r="D269" s="29" t="s">
        <v>438</v>
      </c>
      <c r="E269" s="29"/>
      <c r="F269" s="77"/>
      <c r="G269" s="17"/>
    </row>
    <row r="270" spans="2:7" x14ac:dyDescent="0.25">
      <c r="B270" s="17"/>
      <c r="C270" s="86" t="s">
        <v>507</v>
      </c>
      <c r="D270" s="29" t="s">
        <v>439</v>
      </c>
      <c r="E270" s="29"/>
      <c r="F270" s="77"/>
      <c r="G270" s="17"/>
    </row>
    <row r="271" spans="2:7" x14ac:dyDescent="0.25">
      <c r="B271" s="17"/>
      <c r="C271" s="86" t="s">
        <v>507</v>
      </c>
      <c r="D271" s="29" t="s">
        <v>440</v>
      </c>
      <c r="E271" s="29"/>
      <c r="F271" s="77"/>
      <c r="G271" s="17"/>
    </row>
    <row r="272" spans="2:7" x14ac:dyDescent="0.25">
      <c r="B272" s="17"/>
      <c r="C272" s="86" t="s">
        <v>507</v>
      </c>
      <c r="D272" s="29" t="s">
        <v>441</v>
      </c>
      <c r="E272" s="29"/>
      <c r="F272" s="77"/>
      <c r="G272" s="17"/>
    </row>
    <row r="273" spans="1:7" x14ac:dyDescent="0.25">
      <c r="B273" s="17"/>
      <c r="C273" s="86" t="s">
        <v>507</v>
      </c>
      <c r="D273" s="29" t="s">
        <v>442</v>
      </c>
      <c r="E273" s="29"/>
      <c r="F273" s="77"/>
      <c r="G273" s="17"/>
    </row>
    <row r="274" spans="1:7" x14ac:dyDescent="0.25">
      <c r="B274" s="17"/>
      <c r="C274" s="86" t="s">
        <v>483</v>
      </c>
      <c r="D274" s="29" t="s">
        <v>443</v>
      </c>
      <c r="E274" s="29"/>
      <c r="F274" s="77"/>
      <c r="G274" s="17"/>
    </row>
    <row r="275" spans="1:7" x14ac:dyDescent="0.25">
      <c r="B275" s="17"/>
      <c r="C275" s="86" t="s">
        <v>483</v>
      </c>
      <c r="D275" s="29" t="s">
        <v>444</v>
      </c>
      <c r="E275" s="29"/>
      <c r="F275" s="77"/>
      <c r="G275" s="17"/>
    </row>
    <row r="276" spans="1:7" x14ac:dyDescent="0.25">
      <c r="B276" s="17"/>
      <c r="C276" s="86" t="s">
        <v>483</v>
      </c>
      <c r="D276" s="29" t="s">
        <v>445</v>
      </c>
      <c r="E276" s="29"/>
      <c r="F276" s="77"/>
      <c r="G276" s="17"/>
    </row>
    <row r="277" spans="1:7" x14ac:dyDescent="0.25">
      <c r="B277" s="17"/>
      <c r="C277" s="86" t="s">
        <v>492</v>
      </c>
      <c r="D277" s="29" t="s">
        <v>446</v>
      </c>
      <c r="E277" s="29"/>
      <c r="F277" s="77"/>
      <c r="G277" s="17"/>
    </row>
    <row r="278" spans="1:7" x14ac:dyDescent="0.25">
      <c r="B278" s="17"/>
      <c r="C278" s="86" t="s">
        <v>492</v>
      </c>
      <c r="D278" s="29" t="s">
        <v>447</v>
      </c>
      <c r="E278" s="29"/>
      <c r="F278" s="77"/>
      <c r="G278" s="17"/>
    </row>
    <row r="279" spans="1:7" x14ac:dyDescent="0.25">
      <c r="B279" s="17"/>
      <c r="C279" s="86" t="s">
        <v>492</v>
      </c>
      <c r="D279" s="29" t="s">
        <v>448</v>
      </c>
      <c r="E279" s="29"/>
      <c r="F279" s="77"/>
      <c r="G279" s="17"/>
    </row>
    <row r="280" spans="1:7" x14ac:dyDescent="0.25">
      <c r="B280" s="17"/>
      <c r="C280" s="86" t="s">
        <v>491</v>
      </c>
      <c r="D280" s="29" t="s">
        <v>449</v>
      </c>
      <c r="E280" s="29"/>
      <c r="F280" s="77"/>
      <c r="G280" s="17"/>
    </row>
    <row r="281" spans="1:7" x14ac:dyDescent="0.25">
      <c r="B281" s="17"/>
      <c r="C281" s="86" t="s">
        <v>491</v>
      </c>
      <c r="D281" s="29" t="s">
        <v>450</v>
      </c>
      <c r="E281" s="29"/>
      <c r="F281" s="77"/>
      <c r="G281" s="17"/>
    </row>
    <row r="282" spans="1:7" x14ac:dyDescent="0.25">
      <c r="B282" s="17"/>
      <c r="C282" s="86" t="s">
        <v>491</v>
      </c>
      <c r="D282" s="29" t="s">
        <v>451</v>
      </c>
      <c r="E282" s="29"/>
      <c r="F282" s="77"/>
      <c r="G282" s="17"/>
    </row>
    <row r="283" spans="1:7" x14ac:dyDescent="0.25">
      <c r="B283" s="17"/>
      <c r="C283" s="86" t="s">
        <v>508</v>
      </c>
      <c r="D283" s="81" t="s">
        <v>452</v>
      </c>
      <c r="E283" s="29"/>
      <c r="F283" s="77"/>
      <c r="G283" s="17"/>
    </row>
    <row r="284" spans="1:7" x14ac:dyDescent="0.25">
      <c r="B284" s="17"/>
      <c r="C284" s="86" t="s">
        <v>494</v>
      </c>
      <c r="D284" s="81" t="s">
        <v>453</v>
      </c>
      <c r="E284" s="29"/>
      <c r="F284" s="77"/>
      <c r="G284" s="17"/>
    </row>
    <row r="285" spans="1:7" ht="15.75" thickBot="1" x14ac:dyDescent="0.3">
      <c r="B285" s="17"/>
      <c r="C285" s="87" t="s">
        <v>495</v>
      </c>
      <c r="D285" s="90" t="s">
        <v>454</v>
      </c>
      <c r="E285" s="88"/>
      <c r="F285" s="89"/>
      <c r="G285" s="17"/>
    </row>
    <row r="286" spans="1:7" x14ac:dyDescent="0.25">
      <c r="B286" s="17"/>
      <c r="F286" s="17"/>
      <c r="G286" s="17"/>
    </row>
    <row r="287" spans="1:7" x14ac:dyDescent="0.25">
      <c r="B287" s="17"/>
      <c r="G287" s="17"/>
    </row>
    <row r="288" spans="1:7" x14ac:dyDescent="0.25">
      <c r="A288" s="27"/>
      <c r="B288" s="17"/>
      <c r="F288" s="17"/>
      <c r="G288" s="17"/>
    </row>
    <row r="289" spans="1:7" x14ac:dyDescent="0.25">
      <c r="B289" s="17"/>
      <c r="F289" s="17"/>
      <c r="G289" s="17"/>
    </row>
    <row r="290" spans="1:7" x14ac:dyDescent="0.25">
      <c r="A290" s="27"/>
      <c r="B290" s="17"/>
    </row>
    <row r="291" spans="1:7" x14ac:dyDescent="0.25">
      <c r="B291" s="17"/>
    </row>
    <row r="292" spans="1:7" x14ac:dyDescent="0.25">
      <c r="A292" s="27"/>
      <c r="B292" s="17"/>
    </row>
    <row r="293" spans="1:7" x14ac:dyDescent="0.25">
      <c r="A293" s="27"/>
      <c r="B293" s="17"/>
    </row>
    <row r="294" spans="1:7" x14ac:dyDescent="0.25">
      <c r="A294" s="27"/>
      <c r="B294" s="17"/>
    </row>
    <row r="295" spans="1:7" x14ac:dyDescent="0.25">
      <c r="A295" s="27"/>
      <c r="B295" s="17"/>
    </row>
    <row r="296" spans="1:7" x14ac:dyDescent="0.25">
      <c r="A296" s="27"/>
      <c r="B296" s="17"/>
    </row>
    <row r="297" spans="1:7" x14ac:dyDescent="0.25">
      <c r="A297" s="27"/>
      <c r="B297" s="17"/>
    </row>
  </sheetData>
  <autoFilter ref="A1:I1"/>
  <sortState ref="A59:B146">
    <sortCondition ref="A58"/>
  </sortState>
  <mergeCells count="1">
    <mergeCell ref="H41:K41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96"/>
  <sheetViews>
    <sheetView workbookViewId="0">
      <selection activeCell="C1" sqref="C1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41271</v>
      </c>
      <c r="C1" s="58" t="s">
        <v>215</v>
      </c>
      <c r="D1" s="40">
        <v>96</v>
      </c>
    </row>
    <row r="2" spans="1:4" x14ac:dyDescent="0.25">
      <c r="A2" s="36">
        <v>41274</v>
      </c>
      <c r="B2" s="122">
        <v>1.7337962962962961E-2</v>
      </c>
      <c r="C2" s="26" t="s">
        <v>1028</v>
      </c>
    </row>
    <row r="3" spans="1:4" x14ac:dyDescent="0.25">
      <c r="A3" s="36">
        <v>41274</v>
      </c>
      <c r="B3" s="122">
        <v>2.0856481481481479E-2</v>
      </c>
      <c r="C3" s="26" t="s">
        <v>1029</v>
      </c>
    </row>
    <row r="4" spans="1:4" x14ac:dyDescent="0.25">
      <c r="A4" s="36">
        <v>41274</v>
      </c>
      <c r="B4" s="122">
        <v>2.0856481481481479E-2</v>
      </c>
      <c r="C4" s="26" t="s">
        <v>1030</v>
      </c>
    </row>
    <row r="5" spans="1:4" x14ac:dyDescent="0.25">
      <c r="A5" s="36">
        <v>41274</v>
      </c>
      <c r="B5" s="122">
        <v>2.0856481481481479E-2</v>
      </c>
      <c r="C5" s="26" t="s">
        <v>1031</v>
      </c>
    </row>
    <row r="6" spans="1:4" x14ac:dyDescent="0.25">
      <c r="A6" s="36">
        <v>41274</v>
      </c>
      <c r="B6" s="122">
        <v>2.0856481481481479E-2</v>
      </c>
      <c r="C6" s="26" t="s">
        <v>1032</v>
      </c>
    </row>
    <row r="7" spans="1:4" x14ac:dyDescent="0.25">
      <c r="A7" s="36">
        <v>41274</v>
      </c>
      <c r="B7" s="122">
        <v>2.0856481481481479E-2</v>
      </c>
      <c r="C7" s="26" t="s">
        <v>1031</v>
      </c>
    </row>
    <row r="8" spans="1:4" x14ac:dyDescent="0.25">
      <c r="A8" s="36">
        <v>41274</v>
      </c>
      <c r="B8" s="122">
        <v>2.0856481481481479E-2</v>
      </c>
      <c r="C8" s="26" t="s">
        <v>1033</v>
      </c>
    </row>
    <row r="9" spans="1:4" x14ac:dyDescent="0.25">
      <c r="A9" s="36">
        <v>41274</v>
      </c>
      <c r="B9" s="122">
        <v>2.0856481481481479E-2</v>
      </c>
      <c r="C9" s="26" t="s">
        <v>1034</v>
      </c>
    </row>
    <row r="10" spans="1:4" x14ac:dyDescent="0.25">
      <c r="A10" s="36">
        <v>41274</v>
      </c>
      <c r="B10" s="122">
        <v>2.0856481481481479E-2</v>
      </c>
      <c r="C10" s="26" t="s">
        <v>1035</v>
      </c>
    </row>
    <row r="11" spans="1:4" x14ac:dyDescent="0.25">
      <c r="A11" s="36">
        <v>41274</v>
      </c>
      <c r="B11" s="122">
        <v>2.0856481481481479E-2</v>
      </c>
      <c r="C11" s="26" t="s">
        <v>1036</v>
      </c>
    </row>
    <row r="12" spans="1:4" x14ac:dyDescent="0.25">
      <c r="A12" s="36">
        <v>41274</v>
      </c>
      <c r="B12" s="122">
        <v>2.0856481481481479E-2</v>
      </c>
      <c r="C12" s="26" t="s">
        <v>1034</v>
      </c>
    </row>
    <row r="13" spans="1:4" x14ac:dyDescent="0.25">
      <c r="A13" s="36">
        <v>41274</v>
      </c>
      <c r="B13" s="122">
        <v>2.0856481481481479E-2</v>
      </c>
      <c r="C13" s="26" t="s">
        <v>1037</v>
      </c>
    </row>
    <row r="14" spans="1:4" x14ac:dyDescent="0.25">
      <c r="A14" s="36">
        <v>41274</v>
      </c>
      <c r="B14" s="122">
        <v>2.0856481481481479E-2</v>
      </c>
      <c r="C14" s="26" t="s">
        <v>1037</v>
      </c>
    </row>
    <row r="15" spans="1:4" x14ac:dyDescent="0.25">
      <c r="A15" s="36">
        <v>41274</v>
      </c>
      <c r="B15" s="122">
        <v>2.0856481481481479E-2</v>
      </c>
      <c r="C15" s="26" t="s">
        <v>1038</v>
      </c>
    </row>
    <row r="16" spans="1:4" x14ac:dyDescent="0.25">
      <c r="A16" s="36">
        <v>41274</v>
      </c>
      <c r="B16" s="122">
        <v>2.0856481481481479E-2</v>
      </c>
      <c r="C16" s="26" t="s">
        <v>1039</v>
      </c>
    </row>
    <row r="17" spans="1:3" x14ac:dyDescent="0.25">
      <c r="A17" s="36">
        <v>41274</v>
      </c>
      <c r="B17" s="122">
        <v>2.0856481481481479E-2</v>
      </c>
      <c r="C17" s="26" t="s">
        <v>1038</v>
      </c>
    </row>
    <row r="18" spans="1:3" x14ac:dyDescent="0.25">
      <c r="A18" s="36">
        <v>41274</v>
      </c>
      <c r="B18" s="122">
        <v>2.0856481481481479E-2</v>
      </c>
      <c r="C18" s="26" t="s">
        <v>1040</v>
      </c>
    </row>
    <row r="19" spans="1:3" x14ac:dyDescent="0.25">
      <c r="A19" s="36">
        <v>41274</v>
      </c>
      <c r="B19" s="122">
        <v>2.0856481481481479E-2</v>
      </c>
      <c r="C19" s="26" t="s">
        <v>1041</v>
      </c>
    </row>
    <row r="20" spans="1:3" x14ac:dyDescent="0.25">
      <c r="A20" s="36">
        <v>41274</v>
      </c>
      <c r="B20" s="122">
        <v>2.0856481481481479E-2</v>
      </c>
      <c r="C20" s="26" t="s">
        <v>1042</v>
      </c>
    </row>
    <row r="21" spans="1:3" x14ac:dyDescent="0.25">
      <c r="A21" s="36">
        <v>41274</v>
      </c>
      <c r="B21" s="122">
        <v>2.0856481481481479E-2</v>
      </c>
      <c r="C21" s="26" t="s">
        <v>1043</v>
      </c>
    </row>
    <row r="22" spans="1:3" x14ac:dyDescent="0.25">
      <c r="A22" s="36">
        <v>41274</v>
      </c>
      <c r="B22" s="122">
        <v>2.0856481481481479E-2</v>
      </c>
      <c r="C22" s="26" t="s">
        <v>1038</v>
      </c>
    </row>
    <row r="23" spans="1:3" x14ac:dyDescent="0.25">
      <c r="A23" s="36">
        <v>41274</v>
      </c>
      <c r="B23" s="122">
        <v>2.0856481481481479E-2</v>
      </c>
      <c r="C23" s="26" t="s">
        <v>1044</v>
      </c>
    </row>
    <row r="24" spans="1:3" x14ac:dyDescent="0.25">
      <c r="A24" s="36">
        <v>41274</v>
      </c>
      <c r="B24" s="122">
        <v>2.0856481481481479E-2</v>
      </c>
      <c r="C24" s="26" t="s">
        <v>1045</v>
      </c>
    </row>
    <row r="25" spans="1:3" x14ac:dyDescent="0.25">
      <c r="A25" s="36">
        <v>41274</v>
      </c>
      <c r="B25" s="122">
        <v>2.0856481481481479E-2</v>
      </c>
      <c r="C25" s="26" t="s">
        <v>1034</v>
      </c>
    </row>
    <row r="26" spans="1:3" x14ac:dyDescent="0.25">
      <c r="A26" s="36">
        <v>41274</v>
      </c>
      <c r="B26" s="122">
        <v>6.2141203703703705E-2</v>
      </c>
      <c r="C26" s="26" t="s">
        <v>1056</v>
      </c>
    </row>
    <row r="27" spans="1:3" x14ac:dyDescent="0.25">
      <c r="A27" s="36">
        <v>41275</v>
      </c>
      <c r="B27" s="122">
        <v>0.58028935185185182</v>
      </c>
      <c r="C27" s="26" t="s">
        <v>1057</v>
      </c>
    </row>
    <row r="28" spans="1:3" x14ac:dyDescent="0.25">
      <c r="A28" s="36">
        <v>41275</v>
      </c>
      <c r="B28" s="122">
        <v>0.58363425925925927</v>
      </c>
      <c r="C28" s="26" t="s">
        <v>1058</v>
      </c>
    </row>
    <row r="29" spans="1:3" x14ac:dyDescent="0.25">
      <c r="A29" s="36">
        <v>41275</v>
      </c>
      <c r="B29" s="122">
        <v>0.58916666666666673</v>
      </c>
      <c r="C29" s="26" t="s">
        <v>1059</v>
      </c>
    </row>
    <row r="30" spans="1:3" x14ac:dyDescent="0.25">
      <c r="A30" s="36">
        <v>41275</v>
      </c>
      <c r="B30" s="122">
        <v>0.86809027777777781</v>
      </c>
      <c r="C30" s="26" t="s">
        <v>1032</v>
      </c>
    </row>
    <row r="31" spans="1:3" x14ac:dyDescent="0.25">
      <c r="A31" s="36">
        <v>41275</v>
      </c>
      <c r="B31" s="122">
        <v>0.86809027777777781</v>
      </c>
      <c r="C31" s="26" t="s">
        <v>1045</v>
      </c>
    </row>
    <row r="32" spans="1:3" x14ac:dyDescent="0.25">
      <c r="A32" s="36">
        <v>41275</v>
      </c>
      <c r="B32" s="122">
        <v>0.86809027777777781</v>
      </c>
      <c r="C32" s="26" t="s">
        <v>1034</v>
      </c>
    </row>
    <row r="33" spans="1:3" x14ac:dyDescent="0.25">
      <c r="A33" s="36">
        <v>41275</v>
      </c>
      <c r="B33" s="122">
        <v>0.86809027777777781</v>
      </c>
      <c r="C33" s="26" t="s">
        <v>1044</v>
      </c>
    </row>
    <row r="34" spans="1:3" x14ac:dyDescent="0.25">
      <c r="A34" s="36">
        <v>41275</v>
      </c>
      <c r="B34" s="122">
        <v>0.86809027777777781</v>
      </c>
      <c r="C34" s="26" t="s">
        <v>1038</v>
      </c>
    </row>
    <row r="35" spans="1:3" x14ac:dyDescent="0.25">
      <c r="A35" s="36">
        <v>41275</v>
      </c>
      <c r="B35" s="122">
        <v>0.86809027777777781</v>
      </c>
      <c r="C35" s="26" t="s">
        <v>1043</v>
      </c>
    </row>
    <row r="36" spans="1:3" x14ac:dyDescent="0.25">
      <c r="A36" s="36">
        <v>41275</v>
      </c>
      <c r="B36" s="122">
        <v>0.86809027777777781</v>
      </c>
      <c r="C36" s="26" t="s">
        <v>1042</v>
      </c>
    </row>
    <row r="37" spans="1:3" x14ac:dyDescent="0.25">
      <c r="A37" s="36">
        <v>41275</v>
      </c>
      <c r="B37" s="122">
        <v>0.86809027777777781</v>
      </c>
      <c r="C37" s="26" t="s">
        <v>1041</v>
      </c>
    </row>
    <row r="38" spans="1:3" x14ac:dyDescent="0.25">
      <c r="A38" s="36">
        <v>41275</v>
      </c>
      <c r="B38" s="122">
        <v>0.86809027777777781</v>
      </c>
      <c r="C38" s="26" t="s">
        <v>1040</v>
      </c>
    </row>
    <row r="39" spans="1:3" x14ac:dyDescent="0.25">
      <c r="A39" s="36">
        <v>41275</v>
      </c>
      <c r="B39" s="122">
        <v>0.86809027777777781</v>
      </c>
      <c r="C39" s="26" t="s">
        <v>1038</v>
      </c>
    </row>
    <row r="40" spans="1:3" x14ac:dyDescent="0.25">
      <c r="A40" s="36">
        <v>41275</v>
      </c>
      <c r="B40" s="122">
        <v>0.86809027777777781</v>
      </c>
      <c r="C40" s="26" t="s">
        <v>1039</v>
      </c>
    </row>
    <row r="41" spans="1:3" x14ac:dyDescent="0.25">
      <c r="A41" s="36">
        <v>41275</v>
      </c>
      <c r="B41" s="122">
        <v>0.86809027777777781</v>
      </c>
      <c r="C41" s="26" t="s">
        <v>1038</v>
      </c>
    </row>
    <row r="42" spans="1:3" x14ac:dyDescent="0.25">
      <c r="A42" s="36">
        <v>41275</v>
      </c>
      <c r="B42" s="122">
        <v>0.86809027777777781</v>
      </c>
      <c r="C42" s="26" t="s">
        <v>1037</v>
      </c>
    </row>
    <row r="43" spans="1:3" x14ac:dyDescent="0.25">
      <c r="A43" s="36">
        <v>41275</v>
      </c>
      <c r="B43" s="122">
        <v>0.86809027777777781</v>
      </c>
      <c r="C43" s="26" t="s">
        <v>1037</v>
      </c>
    </row>
    <row r="44" spans="1:3" x14ac:dyDescent="0.25">
      <c r="A44" s="36">
        <v>41275</v>
      </c>
      <c r="B44" s="122">
        <v>0.86809027777777781</v>
      </c>
      <c r="C44" s="26" t="s">
        <v>1034</v>
      </c>
    </row>
    <row r="45" spans="1:3" x14ac:dyDescent="0.25">
      <c r="A45" s="36">
        <v>41275</v>
      </c>
      <c r="B45" s="122">
        <v>0.86809027777777781</v>
      </c>
      <c r="C45" s="26" t="s">
        <v>1036</v>
      </c>
    </row>
    <row r="46" spans="1:3" x14ac:dyDescent="0.25">
      <c r="A46" s="36">
        <v>41275</v>
      </c>
      <c r="B46" s="122">
        <v>0.86809027777777781</v>
      </c>
      <c r="C46" s="26" t="s">
        <v>1035</v>
      </c>
    </row>
    <row r="47" spans="1:3" x14ac:dyDescent="0.25">
      <c r="A47" s="36">
        <v>41275</v>
      </c>
      <c r="B47" s="122">
        <v>0.86809027777777781</v>
      </c>
      <c r="C47" s="26" t="s">
        <v>1034</v>
      </c>
    </row>
    <row r="48" spans="1:3" x14ac:dyDescent="0.25">
      <c r="A48" s="36">
        <v>41275</v>
      </c>
      <c r="B48" s="122">
        <v>0.86809027777777781</v>
      </c>
      <c r="C48" s="26" t="s">
        <v>1033</v>
      </c>
    </row>
    <row r="49" spans="1:3" x14ac:dyDescent="0.25">
      <c r="A49" s="36">
        <v>41275</v>
      </c>
      <c r="B49" s="122">
        <v>0.86809027777777781</v>
      </c>
      <c r="C49" s="26" t="s">
        <v>1031</v>
      </c>
    </row>
    <row r="50" spans="1:3" x14ac:dyDescent="0.25">
      <c r="A50" s="36">
        <v>41275</v>
      </c>
      <c r="B50" s="122">
        <v>0.86809027777777781</v>
      </c>
      <c r="C50" s="26" t="s">
        <v>1032</v>
      </c>
    </row>
    <row r="51" spans="1:3" x14ac:dyDescent="0.25">
      <c r="A51" s="36">
        <v>41275</v>
      </c>
      <c r="B51" s="122">
        <v>0.86809027777777781</v>
      </c>
      <c r="C51" s="26" t="s">
        <v>1031</v>
      </c>
    </row>
    <row r="52" spans="1:3" x14ac:dyDescent="0.25">
      <c r="A52" s="36">
        <v>41275</v>
      </c>
      <c r="B52" s="122">
        <v>0.86809027777777781</v>
      </c>
      <c r="C52" s="26" t="s">
        <v>1030</v>
      </c>
    </row>
    <row r="53" spans="1:3" x14ac:dyDescent="0.25">
      <c r="A53" s="36">
        <v>41275</v>
      </c>
      <c r="B53" s="122">
        <v>0.86809027777777781</v>
      </c>
      <c r="C53" s="26" t="s">
        <v>1029</v>
      </c>
    </row>
    <row r="54" spans="1:3" x14ac:dyDescent="0.25">
      <c r="A54" s="36">
        <v>41275</v>
      </c>
      <c r="B54" s="122">
        <v>0.86809027777777781</v>
      </c>
      <c r="C54" s="26" t="s">
        <v>1060</v>
      </c>
    </row>
    <row r="55" spans="1:3" x14ac:dyDescent="0.25">
      <c r="A55" s="36">
        <v>41275</v>
      </c>
      <c r="B55" s="122">
        <v>0.86900462962962965</v>
      </c>
      <c r="C55" s="26" t="s">
        <v>1061</v>
      </c>
    </row>
    <row r="56" spans="1:3" x14ac:dyDescent="0.25">
      <c r="A56" s="36">
        <v>41275</v>
      </c>
      <c r="B56" s="122">
        <v>0.88037037037037036</v>
      </c>
      <c r="C56" s="26" t="s">
        <v>1061</v>
      </c>
    </row>
    <row r="57" spans="1:3" x14ac:dyDescent="0.25">
      <c r="A57" s="36">
        <v>41279</v>
      </c>
      <c r="B57" s="122">
        <v>1.0486111111111111E-2</v>
      </c>
      <c r="C57" s="26" t="s">
        <v>1059</v>
      </c>
    </row>
    <row r="58" spans="1:3" x14ac:dyDescent="0.25">
      <c r="A58" s="36">
        <v>41280</v>
      </c>
      <c r="B58" s="122">
        <v>2.4155092592592589E-2</v>
      </c>
      <c r="C58" s="26" t="s">
        <v>1032</v>
      </c>
    </row>
    <row r="59" spans="1:3" x14ac:dyDescent="0.25">
      <c r="A59" s="36">
        <v>41280</v>
      </c>
      <c r="B59" s="122">
        <v>2.4155092592592589E-2</v>
      </c>
      <c r="C59" s="26" t="s">
        <v>1045</v>
      </c>
    </row>
    <row r="60" spans="1:3" x14ac:dyDescent="0.25">
      <c r="A60" s="36">
        <v>41280</v>
      </c>
      <c r="B60" s="122">
        <v>2.4155092592592589E-2</v>
      </c>
      <c r="C60" s="26" t="s">
        <v>1034</v>
      </c>
    </row>
    <row r="61" spans="1:3" x14ac:dyDescent="0.25">
      <c r="A61" s="36">
        <v>41280</v>
      </c>
      <c r="B61" s="122">
        <v>2.4155092592592589E-2</v>
      </c>
      <c r="C61" s="26" t="s">
        <v>1044</v>
      </c>
    </row>
    <row r="62" spans="1:3" x14ac:dyDescent="0.25">
      <c r="A62" s="36">
        <v>41280</v>
      </c>
      <c r="B62" s="122">
        <v>2.4155092592592589E-2</v>
      </c>
      <c r="C62" s="26" t="s">
        <v>1038</v>
      </c>
    </row>
    <row r="63" spans="1:3" x14ac:dyDescent="0.25">
      <c r="A63" s="36">
        <v>41280</v>
      </c>
      <c r="B63" s="122">
        <v>2.4155092592592589E-2</v>
      </c>
      <c r="C63" s="26" t="s">
        <v>1043</v>
      </c>
    </row>
    <row r="64" spans="1:3" x14ac:dyDescent="0.25">
      <c r="A64" s="36">
        <v>41280</v>
      </c>
      <c r="B64" s="122">
        <v>2.4155092592592589E-2</v>
      </c>
      <c r="C64" s="26" t="s">
        <v>1042</v>
      </c>
    </row>
    <row r="65" spans="1:3" x14ac:dyDescent="0.25">
      <c r="A65" s="36">
        <v>41280</v>
      </c>
      <c r="B65" s="122">
        <v>2.4155092592592589E-2</v>
      </c>
      <c r="C65" s="26" t="s">
        <v>1041</v>
      </c>
    </row>
    <row r="66" spans="1:3" x14ac:dyDescent="0.25">
      <c r="A66" s="36">
        <v>41280</v>
      </c>
      <c r="B66" s="122">
        <v>2.4155092592592589E-2</v>
      </c>
      <c r="C66" s="26" t="s">
        <v>1040</v>
      </c>
    </row>
    <row r="67" spans="1:3" x14ac:dyDescent="0.25">
      <c r="A67" s="36">
        <v>41280</v>
      </c>
      <c r="B67" s="122">
        <v>2.4155092592592589E-2</v>
      </c>
      <c r="C67" s="26" t="s">
        <v>1038</v>
      </c>
    </row>
    <row r="68" spans="1:3" x14ac:dyDescent="0.25">
      <c r="A68" s="36">
        <v>41280</v>
      </c>
      <c r="B68" s="122">
        <v>2.4155092592592589E-2</v>
      </c>
      <c r="C68" s="26" t="s">
        <v>1039</v>
      </c>
    </row>
    <row r="69" spans="1:3" x14ac:dyDescent="0.25">
      <c r="A69" s="36">
        <v>41280</v>
      </c>
      <c r="B69" s="122">
        <v>2.4155092592592589E-2</v>
      </c>
      <c r="C69" s="26" t="s">
        <v>1038</v>
      </c>
    </row>
    <row r="70" spans="1:3" x14ac:dyDescent="0.25">
      <c r="A70" s="36">
        <v>41280</v>
      </c>
      <c r="B70" s="122">
        <v>2.4155092592592589E-2</v>
      </c>
      <c r="C70" s="26" t="s">
        <v>1037</v>
      </c>
    </row>
    <row r="71" spans="1:3" x14ac:dyDescent="0.25">
      <c r="A71" s="36">
        <v>41280</v>
      </c>
      <c r="B71" s="122">
        <v>2.4155092592592589E-2</v>
      </c>
      <c r="C71" s="26" t="s">
        <v>1037</v>
      </c>
    </row>
    <row r="72" spans="1:3" x14ac:dyDescent="0.25">
      <c r="A72" s="36">
        <v>41280</v>
      </c>
      <c r="B72" s="122">
        <v>2.4155092592592589E-2</v>
      </c>
      <c r="C72" s="26" t="s">
        <v>1034</v>
      </c>
    </row>
    <row r="73" spans="1:3" x14ac:dyDescent="0.25">
      <c r="A73" s="36">
        <v>41280</v>
      </c>
      <c r="B73" s="122">
        <v>2.4155092592592589E-2</v>
      </c>
      <c r="C73" s="26" t="s">
        <v>1036</v>
      </c>
    </row>
    <row r="74" spans="1:3" x14ac:dyDescent="0.25">
      <c r="A74" s="36">
        <v>41280</v>
      </c>
      <c r="B74" s="122">
        <v>2.4155092592592589E-2</v>
      </c>
      <c r="C74" s="26" t="s">
        <v>1035</v>
      </c>
    </row>
    <row r="75" spans="1:3" x14ac:dyDescent="0.25">
      <c r="A75" s="36">
        <v>41280</v>
      </c>
      <c r="B75" s="122">
        <v>2.4155092592592589E-2</v>
      </c>
      <c r="C75" s="26" t="s">
        <v>1034</v>
      </c>
    </row>
    <row r="76" spans="1:3" x14ac:dyDescent="0.25">
      <c r="A76" s="36">
        <v>41280</v>
      </c>
      <c r="B76" s="122">
        <v>2.4155092592592589E-2</v>
      </c>
      <c r="C76" s="26" t="s">
        <v>1033</v>
      </c>
    </row>
    <row r="77" spans="1:3" x14ac:dyDescent="0.25">
      <c r="A77" s="36">
        <v>41280</v>
      </c>
      <c r="B77" s="122">
        <v>2.4155092592592589E-2</v>
      </c>
      <c r="C77" s="26" t="s">
        <v>1031</v>
      </c>
    </row>
    <row r="78" spans="1:3" x14ac:dyDescent="0.25">
      <c r="A78" s="36">
        <v>41280</v>
      </c>
      <c r="B78" s="122">
        <v>2.4155092592592589E-2</v>
      </c>
      <c r="C78" s="26" t="s">
        <v>1032</v>
      </c>
    </row>
    <row r="79" spans="1:3" x14ac:dyDescent="0.25">
      <c r="A79" s="36">
        <v>41280</v>
      </c>
      <c r="B79" s="122">
        <v>2.4155092592592589E-2</v>
      </c>
      <c r="C79" s="26" t="s">
        <v>1031</v>
      </c>
    </row>
    <row r="80" spans="1:3" x14ac:dyDescent="0.25">
      <c r="A80" s="36">
        <v>41280</v>
      </c>
      <c r="B80" s="122">
        <v>2.4155092592592589E-2</v>
      </c>
      <c r="C80" s="26" t="s">
        <v>1030</v>
      </c>
    </row>
    <row r="81" spans="1:3" x14ac:dyDescent="0.25">
      <c r="A81" s="36">
        <v>41280</v>
      </c>
      <c r="B81" s="122">
        <v>2.4155092592592589E-2</v>
      </c>
      <c r="C81" s="26" t="s">
        <v>1029</v>
      </c>
    </row>
    <row r="82" spans="1:3" x14ac:dyDescent="0.25">
      <c r="A82" s="36">
        <v>41280</v>
      </c>
      <c r="B82" s="122">
        <v>2.4155092592592589E-2</v>
      </c>
      <c r="C82" s="26" t="s">
        <v>1060</v>
      </c>
    </row>
    <row r="83" spans="1:3" x14ac:dyDescent="0.25">
      <c r="A83" s="36">
        <v>41280</v>
      </c>
      <c r="B83" s="122">
        <v>2.4918981481481483E-2</v>
      </c>
      <c r="C83" s="26" t="s">
        <v>1072</v>
      </c>
    </row>
    <row r="84" spans="1:3" x14ac:dyDescent="0.25">
      <c r="A84" s="36">
        <v>41280</v>
      </c>
      <c r="B84" s="122">
        <v>6.232638888888889E-2</v>
      </c>
      <c r="C84" s="26" t="s">
        <v>1072</v>
      </c>
    </row>
    <row r="85" spans="1:3" x14ac:dyDescent="0.25">
      <c r="A85" s="36">
        <v>41280</v>
      </c>
      <c r="B85" s="122">
        <v>7.3611111111111113E-2</v>
      </c>
      <c r="C85" s="26" t="s">
        <v>1072</v>
      </c>
    </row>
    <row r="86" spans="1:3" x14ac:dyDescent="0.25">
      <c r="A86" s="36">
        <v>41280</v>
      </c>
      <c r="B86" s="122">
        <v>7.481481481481482E-2</v>
      </c>
      <c r="C86" s="26" t="s">
        <v>1072</v>
      </c>
    </row>
    <row r="87" spans="1:3" x14ac:dyDescent="0.25">
      <c r="A87" s="36">
        <v>41280</v>
      </c>
      <c r="B87" s="122">
        <v>7.8611111111111118E-2</v>
      </c>
      <c r="C87" s="26" t="s">
        <v>1072</v>
      </c>
    </row>
    <row r="88" spans="1:3" x14ac:dyDescent="0.25">
      <c r="A88" s="36">
        <v>41280</v>
      </c>
      <c r="B88" s="122">
        <v>7.9120370370370369E-2</v>
      </c>
      <c r="C88" s="26" t="s">
        <v>1073</v>
      </c>
    </row>
    <row r="89" spans="1:3" x14ac:dyDescent="0.25">
      <c r="A89" s="36">
        <v>41280</v>
      </c>
      <c r="B89" s="122">
        <v>8.216435185185185E-2</v>
      </c>
      <c r="C89" s="26" t="s">
        <v>1072</v>
      </c>
    </row>
    <row r="90" spans="1:3" x14ac:dyDescent="0.25">
      <c r="A90" s="36">
        <v>41280</v>
      </c>
      <c r="B90" s="122">
        <v>8.3009259259259269E-2</v>
      </c>
      <c r="C90" s="26" t="s">
        <v>1073</v>
      </c>
    </row>
    <row r="91" spans="1:3" x14ac:dyDescent="0.25">
      <c r="A91" s="36">
        <v>41280</v>
      </c>
      <c r="B91" s="122">
        <v>8.3749999999999991E-2</v>
      </c>
      <c r="C91" s="26" t="s">
        <v>1072</v>
      </c>
    </row>
    <row r="92" spans="1:3" x14ac:dyDescent="0.25">
      <c r="A92" s="36">
        <v>41280</v>
      </c>
      <c r="B92" s="122">
        <v>0.12215277777777778</v>
      </c>
      <c r="C92" s="26" t="s">
        <v>1072</v>
      </c>
    </row>
    <row r="93" spans="1:3" x14ac:dyDescent="0.25">
      <c r="A93" s="36">
        <v>41280</v>
      </c>
      <c r="B93" s="122">
        <v>0.12365740740740742</v>
      </c>
      <c r="C93" s="26" t="s">
        <v>1074</v>
      </c>
    </row>
    <row r="94" spans="1:3" x14ac:dyDescent="0.25">
      <c r="A94" s="36">
        <v>41280</v>
      </c>
      <c r="B94" s="122">
        <v>0.12385416666666667</v>
      </c>
      <c r="C94" s="26" t="s">
        <v>1072</v>
      </c>
    </row>
    <row r="95" spans="1:3" x14ac:dyDescent="0.25">
      <c r="A95" s="36">
        <v>41280</v>
      </c>
      <c r="B95" s="122">
        <v>0.12436342592592593</v>
      </c>
      <c r="C95" s="26" t="s">
        <v>1075</v>
      </c>
    </row>
    <row r="96" spans="1:3" x14ac:dyDescent="0.25">
      <c r="A96" s="36">
        <v>41280</v>
      </c>
      <c r="B96" s="122">
        <v>0.1310300925925926</v>
      </c>
      <c r="C96" s="26" t="s">
        <v>1072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42"/>
  <sheetViews>
    <sheetView tabSelected="1" zoomScale="85" zoomScaleNormal="85" workbookViewId="0">
      <pane xSplit="1" ySplit="5" topLeftCell="B120" activePane="bottomRight" state="frozen"/>
      <selection pane="topRight" activeCell="B1" sqref="B1"/>
      <selection pane="bottomLeft" activeCell="A6" sqref="A6"/>
      <selection pane="bottomRight" activeCell="E132" sqref="E132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5.5703125" customWidth="1"/>
    <col min="10" max="10" width="12.7109375" customWidth="1"/>
    <col min="11" max="11" width="10.85546875" customWidth="1"/>
    <col min="12" max="12" width="10.28515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5.7109375" customWidth="1"/>
  </cols>
  <sheetData>
    <row r="1" spans="1:33" s="315" customFormat="1" ht="15.75" thickBot="1" x14ac:dyDescent="0.3">
      <c r="A1" s="424">
        <v>41258</v>
      </c>
    </row>
    <row r="2" spans="1:33" s="315" customFormat="1" ht="19.5" x14ac:dyDescent="0.3">
      <c r="C2" s="316" t="s">
        <v>696</v>
      </c>
    </row>
    <row r="3" spans="1:33" s="315" customFormat="1" x14ac:dyDescent="0.25"/>
    <row r="4" spans="1:33" s="315" customFormat="1" ht="15.75" thickBot="1" x14ac:dyDescent="0.3">
      <c r="A4" s="315" t="s">
        <v>776</v>
      </c>
    </row>
    <row r="5" spans="1:33" s="315" customFormat="1" ht="23.25" thickBot="1" x14ac:dyDescent="0.3">
      <c r="A5" s="254" t="s">
        <v>783</v>
      </c>
      <c r="B5" s="317" t="s">
        <v>697</v>
      </c>
      <c r="C5" s="318" t="s">
        <v>568</v>
      </c>
      <c r="D5" s="318" t="s">
        <v>698</v>
      </c>
      <c r="E5" s="318" t="s">
        <v>579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699</v>
      </c>
      <c r="L5" s="323" t="s">
        <v>700</v>
      </c>
      <c r="M5" s="323" t="s">
        <v>701</v>
      </c>
      <c r="N5" s="324" t="s">
        <v>702</v>
      </c>
      <c r="O5" s="324" t="s">
        <v>703</v>
      </c>
      <c r="P5" s="324" t="s">
        <v>704</v>
      </c>
      <c r="Q5" s="324" t="s">
        <v>705</v>
      </c>
      <c r="R5" s="324" t="s">
        <v>706</v>
      </c>
      <c r="S5" s="323" t="s">
        <v>0</v>
      </c>
      <c r="T5" s="322" t="s">
        <v>2</v>
      </c>
      <c r="U5" s="322" t="s">
        <v>707</v>
      </c>
      <c r="V5" s="322" t="s">
        <v>708</v>
      </c>
      <c r="W5" s="322" t="s">
        <v>1</v>
      </c>
      <c r="X5" s="322" t="s">
        <v>709</v>
      </c>
      <c r="Y5" s="322" t="s">
        <v>710</v>
      </c>
      <c r="Z5" s="320" t="s">
        <v>62</v>
      </c>
      <c r="AA5" s="322" t="s">
        <v>64</v>
      </c>
      <c r="AB5" s="323" t="s">
        <v>61</v>
      </c>
      <c r="AC5" s="322" t="s">
        <v>63</v>
      </c>
      <c r="AD5" s="700" t="s">
        <v>57</v>
      </c>
      <c r="AE5" s="728" t="s">
        <v>997</v>
      </c>
      <c r="AF5" s="727" t="s">
        <v>354</v>
      </c>
      <c r="AG5" s="727" t="s">
        <v>117</v>
      </c>
    </row>
    <row r="6" spans="1:33" s="315" customFormat="1" x14ac:dyDescent="0.25">
      <c r="A6" s="255" t="s">
        <v>784</v>
      </c>
      <c r="B6" s="325" t="s">
        <v>201</v>
      </c>
      <c r="C6" s="326" t="str">
        <f>IF(D6="","",1)</f>
        <v/>
      </c>
      <c r="D6" s="501"/>
      <c r="E6" s="501"/>
      <c r="F6" s="327" t="str">
        <f>TRIM(G6)&amp;TRIM(J6)&amp;ROUND(S6/1000,0)</f>
        <v>0</v>
      </c>
      <c r="AE6" s="701" t="s">
        <v>866</v>
      </c>
      <c r="AF6" s="701" t="s">
        <v>866</v>
      </c>
      <c r="AG6" s="701" t="s">
        <v>866</v>
      </c>
    </row>
    <row r="7" spans="1:33" s="315" customFormat="1" x14ac:dyDescent="0.25">
      <c r="A7" s="254" t="s">
        <v>785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 t="s">
        <v>1011</v>
      </c>
    </row>
    <row r="8" spans="1:33" s="315" customFormat="1" x14ac:dyDescent="0.25">
      <c r="A8" s="254" t="s">
        <v>786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3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5</v>
      </c>
    </row>
    <row r="9" spans="1:33" s="748" customFormat="1" ht="38.25" x14ac:dyDescent="0.25">
      <c r="A9" s="254" t="s">
        <v>787</v>
      </c>
      <c r="B9" s="351"/>
      <c r="C9" s="351"/>
      <c r="D9" s="351"/>
      <c r="E9" s="351"/>
      <c r="G9" s="351"/>
      <c r="H9" s="351"/>
      <c r="K9" s="351"/>
      <c r="L9" s="749"/>
      <c r="M9" s="749"/>
      <c r="N9" s="749"/>
      <c r="O9" s="749"/>
      <c r="P9" s="749"/>
      <c r="Q9" s="749"/>
      <c r="R9" s="749"/>
      <c r="S9" s="749"/>
      <c r="T9" s="749"/>
      <c r="U9" s="750"/>
      <c r="V9" s="749"/>
      <c r="W9" s="749"/>
      <c r="X9" s="749"/>
      <c r="Y9" s="749"/>
      <c r="Z9" s="749"/>
      <c r="AA9" s="749"/>
      <c r="AE9" s="351" t="s">
        <v>998</v>
      </c>
      <c r="AF9" s="751" t="s">
        <v>913</v>
      </c>
      <c r="AG9" s="752" t="s">
        <v>1065</v>
      </c>
    </row>
    <row r="10" spans="1:33" s="315" customFormat="1" x14ac:dyDescent="0.25">
      <c r="A10" s="254" t="s">
        <v>788</v>
      </c>
      <c r="B10" s="474" t="s">
        <v>779</v>
      </c>
      <c r="C10" s="474"/>
      <c r="D10" s="474" t="s">
        <v>815</v>
      </c>
      <c r="E10" s="474" t="s">
        <v>816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3"/>
      <c r="V10" s="330"/>
      <c r="W10" s="330"/>
      <c r="X10" s="330"/>
      <c r="Y10" s="330"/>
      <c r="Z10" s="330"/>
      <c r="AA10" s="330"/>
      <c r="AG10" s="474" t="s">
        <v>1055</v>
      </c>
    </row>
    <row r="11" spans="1:33" s="315" customFormat="1" x14ac:dyDescent="0.25">
      <c r="Z11" s="330"/>
    </row>
    <row r="12" spans="1:33" s="315" customFormat="1" x14ac:dyDescent="0.25">
      <c r="A12" s="315" t="s">
        <v>775</v>
      </c>
      <c r="Z12" s="330"/>
    </row>
    <row r="13" spans="1:33" s="315" customFormat="1" ht="15.75" thickBot="1" x14ac:dyDescent="0.3">
      <c r="B13" s="315" t="s">
        <v>711</v>
      </c>
      <c r="C13" s="315" t="s">
        <v>712</v>
      </c>
      <c r="D13" s="315" t="s">
        <v>712</v>
      </c>
      <c r="E13" s="315" t="s">
        <v>712</v>
      </c>
      <c r="F13" s="315" t="s">
        <v>712</v>
      </c>
      <c r="H13" s="315" t="s">
        <v>712</v>
      </c>
      <c r="I13" s="315" t="s">
        <v>712</v>
      </c>
      <c r="J13" s="315" t="s">
        <v>712</v>
      </c>
      <c r="K13" s="315" t="s">
        <v>712</v>
      </c>
      <c r="R13" s="331" t="s">
        <v>711</v>
      </c>
    </row>
    <row r="14" spans="1:33" s="315" customFormat="1" ht="15.75" thickBot="1" x14ac:dyDescent="0.3">
      <c r="A14" s="768">
        <f>1 - COUNTIF(A$3:A12,"")/COUNTA(A$3:A12)</f>
        <v>0.75</v>
      </c>
      <c r="B14" s="769"/>
      <c r="C14" s="769"/>
      <c r="D14" s="770"/>
      <c r="E14" s="332"/>
      <c r="F14" s="333">
        <f>R14-SUMIF(B$1:B12,"1",R$1:R12)</f>
        <v>0</v>
      </c>
      <c r="G14" s="334" t="e">
        <f>F14/R14</f>
        <v>#DIV/0!</v>
      </c>
      <c r="H14" s="335" t="e">
        <f>1-G14</f>
        <v>#DIV/0!</v>
      </c>
      <c r="I14" s="336" t="s">
        <v>713</v>
      </c>
      <c r="J14" s="337"/>
      <c r="K14" s="338"/>
      <c r="L14" s="339"/>
      <c r="M14" s="339"/>
      <c r="N14" s="339"/>
      <c r="O14" s="339"/>
      <c r="P14" s="339"/>
      <c r="Q14" s="339"/>
      <c r="R14" s="333">
        <f>SUM(R$3:R12)</f>
        <v>0</v>
      </c>
    </row>
    <row r="15" spans="1:33" s="315" customFormat="1" x14ac:dyDescent="0.25"/>
    <row r="16" spans="1:33" s="315" customFormat="1" x14ac:dyDescent="0.25">
      <c r="A16" s="315" t="s">
        <v>777</v>
      </c>
    </row>
    <row r="17" spans="1:27" s="315" customFormat="1" ht="15.75" thickBot="1" x14ac:dyDescent="0.3">
      <c r="B17" s="315" t="s">
        <v>968</v>
      </c>
    </row>
    <row r="18" spans="1:27" s="351" customFormat="1" ht="60.75" thickBot="1" x14ac:dyDescent="0.3">
      <c r="A18" s="254" t="s">
        <v>783</v>
      </c>
      <c r="B18" s="340" t="s">
        <v>714</v>
      </c>
      <c r="C18" s="341" t="s">
        <v>715</v>
      </c>
      <c r="D18" s="341" t="s">
        <v>716</v>
      </c>
      <c r="E18" s="342" t="s">
        <v>717</v>
      </c>
      <c r="F18" s="343" t="s">
        <v>718</v>
      </c>
      <c r="G18" s="344" t="s">
        <v>719</v>
      </c>
      <c r="H18" s="345" t="s">
        <v>720</v>
      </c>
      <c r="I18" s="346"/>
      <c r="J18" s="347"/>
      <c r="K18" s="348" t="s">
        <v>594</v>
      </c>
      <c r="L18" s="348"/>
      <c r="M18" s="349" t="s">
        <v>595</v>
      </c>
      <c r="N18" s="347" t="s">
        <v>707</v>
      </c>
      <c r="O18" s="347" t="s">
        <v>1</v>
      </c>
      <c r="P18" s="347" t="s">
        <v>58</v>
      </c>
      <c r="Q18" s="347" t="s">
        <v>721</v>
      </c>
      <c r="R18" s="347" t="s">
        <v>722</v>
      </c>
      <c r="S18" s="347" t="s">
        <v>723</v>
      </c>
      <c r="T18" s="348" t="s">
        <v>724</v>
      </c>
      <c r="U18" s="350" t="s">
        <v>725</v>
      </c>
      <c r="V18" s="350" t="s">
        <v>726</v>
      </c>
      <c r="W18" s="350" t="s">
        <v>727</v>
      </c>
      <c r="X18" s="347" t="s">
        <v>728</v>
      </c>
      <c r="Y18" s="347" t="s">
        <v>729</v>
      </c>
      <c r="Z18" s="347" t="s">
        <v>57</v>
      </c>
      <c r="AA18" s="347" t="s">
        <v>730</v>
      </c>
    </row>
    <row r="19" spans="1:27" s="315" customFormat="1" ht="18" customHeight="1" x14ac:dyDescent="0.25">
      <c r="A19" s="255" t="s">
        <v>784</v>
      </c>
      <c r="B19" s="352" t="s">
        <v>70</v>
      </c>
      <c r="C19" s="353" t="s">
        <v>741</v>
      </c>
      <c r="D19" s="354"/>
      <c r="E19" s="355">
        <v>1</v>
      </c>
      <c r="F19" s="356" t="str">
        <f>IF(AND(U19=W19,W19&gt;0),"1","")</f>
        <v/>
      </c>
      <c r="G19" s="357" t="str">
        <f>IF(U19=V19,"1","")</f>
        <v/>
      </c>
      <c r="H19" s="666"/>
      <c r="I19" s="665" t="str">
        <f>IF(S19="",TRIM(K19),TRIM(MID(S19,9,55))&amp;"/"&amp;TRIM(K19))</f>
        <v>2009-1-065</v>
      </c>
      <c r="J19" s="358"/>
      <c r="K19" s="359" t="s">
        <v>731</v>
      </c>
      <c r="L19" s="359"/>
      <c r="M19" s="360">
        <v>40058</v>
      </c>
      <c r="N19" s="358" t="s">
        <v>11</v>
      </c>
      <c r="O19" s="358" t="s">
        <v>80</v>
      </c>
      <c r="P19" s="358" t="s">
        <v>732</v>
      </c>
      <c r="Q19" s="358"/>
      <c r="R19" s="358" t="s">
        <v>733</v>
      </c>
      <c r="S19" s="358"/>
      <c r="T19" s="359" t="s">
        <v>100</v>
      </c>
      <c r="U19" s="361">
        <v>324000</v>
      </c>
      <c r="V19" s="361">
        <v>0</v>
      </c>
      <c r="W19" s="361">
        <v>0</v>
      </c>
      <c r="X19" s="358" t="s">
        <v>45</v>
      </c>
      <c r="Y19" s="362"/>
      <c r="Z19" s="362" t="s">
        <v>734</v>
      </c>
      <c r="AA19" s="358" t="s">
        <v>735</v>
      </c>
    </row>
    <row r="20" spans="1:27" s="315" customFormat="1" x14ac:dyDescent="0.25">
      <c r="A20" s="254" t="s">
        <v>785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3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786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3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787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3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788</v>
      </c>
      <c r="B23" s="328" t="s">
        <v>779</v>
      </c>
      <c r="C23" s="328" t="s">
        <v>791</v>
      </c>
      <c r="D23" s="315" t="s">
        <v>789</v>
      </c>
      <c r="E23" s="328"/>
      <c r="F23" s="329"/>
      <c r="G23" s="328"/>
      <c r="H23" s="328" t="s">
        <v>790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3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778</v>
      </c>
    </row>
    <row r="26" spans="1:27" s="378" customFormat="1" ht="15" customHeight="1" thickBot="1" x14ac:dyDescent="0.3">
      <c r="A26" s="364"/>
      <c r="B26" s="365"/>
      <c r="C26" s="366"/>
      <c r="D26" s="366"/>
      <c r="E26" s="367"/>
      <c r="F26" s="368"/>
      <c r="G26" s="369"/>
      <c r="H26" s="369"/>
      <c r="I26" s="370"/>
      <c r="J26" s="371"/>
      <c r="K26" s="371"/>
      <c r="L26" s="372"/>
      <c r="M26" s="370"/>
      <c r="N26" s="373"/>
      <c r="O26" s="373"/>
      <c r="P26" s="374"/>
      <c r="Q26" s="374"/>
      <c r="R26" s="374"/>
      <c r="S26" s="375"/>
      <c r="T26" s="376"/>
      <c r="U26" s="376"/>
      <c r="V26" s="376"/>
      <c r="W26" s="374"/>
      <c r="X26" s="377"/>
      <c r="Y26" s="377"/>
      <c r="Z26" s="374"/>
    </row>
    <row r="27" spans="1:27" s="378" customFormat="1" ht="15" customHeight="1" x14ac:dyDescent="0.25">
      <c r="A27" s="364"/>
      <c r="B27" s="379" t="s">
        <v>736</v>
      </c>
      <c r="C27" s="429">
        <f>COUNTIF(B$1:B24,B27)</f>
        <v>0</v>
      </c>
      <c r="D27" s="437" t="e">
        <f>C27/C32</f>
        <v>#DIV/0!</v>
      </c>
      <c r="E27" s="380"/>
      <c r="F27" s="368"/>
      <c r="G27" s="369"/>
      <c r="H27" s="369"/>
      <c r="I27" s="381"/>
      <c r="J27" s="430">
        <f>SUMIF(B$3:B24,B27,T$3:T31)</f>
        <v>0</v>
      </c>
      <c r="K27" s="441"/>
      <c r="L27" s="442" t="e">
        <f>J27/J32</f>
        <v>#DIV/0!</v>
      </c>
      <c r="M27" s="373"/>
      <c r="N27" s="373"/>
      <c r="O27" s="373"/>
      <c r="P27" s="374"/>
      <c r="Q27" s="374"/>
      <c r="R27" s="374"/>
      <c r="S27" s="375" t="s">
        <v>713</v>
      </c>
      <c r="T27" s="383">
        <f>SUM(T$1:T26)</f>
        <v>48</v>
      </c>
      <c r="U27" s="383">
        <f>SUM(U$1:U26)</f>
        <v>324012</v>
      </c>
      <c r="V27" s="383">
        <f>SUM(V$1:V26)</f>
        <v>11</v>
      </c>
      <c r="W27" s="374" t="s">
        <v>737</v>
      </c>
      <c r="X27" s="377"/>
      <c r="Y27" s="377"/>
      <c r="Z27" s="374"/>
    </row>
    <row r="28" spans="1:27" s="378" customFormat="1" ht="15" customHeight="1" x14ac:dyDescent="0.25">
      <c r="A28" s="364"/>
      <c r="B28" s="384" t="s">
        <v>738</v>
      </c>
      <c r="C28" s="431">
        <f>COUNTIF(B$1:B24,B28)</f>
        <v>0</v>
      </c>
      <c r="D28" s="438" t="e">
        <f>C28/C32</f>
        <v>#DIV/0!</v>
      </c>
      <c r="E28" s="380"/>
      <c r="F28" s="368"/>
      <c r="G28" s="369"/>
      <c r="H28" s="369"/>
      <c r="I28" s="381"/>
      <c r="J28" s="432">
        <f>SUMIF(B$3:B27,B28,T$3:T32)</f>
        <v>0</v>
      </c>
      <c r="K28" s="443"/>
      <c r="L28" s="444" t="e">
        <f>J28/J32</f>
        <v>#DIV/0!</v>
      </c>
      <c r="M28" s="373"/>
      <c r="N28" s="373"/>
      <c r="O28" s="373"/>
      <c r="S28" s="385"/>
      <c r="T28" s="386"/>
      <c r="U28" s="386"/>
      <c r="V28" s="386"/>
      <c r="X28" s="387"/>
      <c r="Y28" s="387"/>
    </row>
    <row r="29" spans="1:27" s="378" customFormat="1" ht="15" customHeight="1" x14ac:dyDescent="0.25">
      <c r="A29" s="364"/>
      <c r="B29" s="388" t="s">
        <v>739</v>
      </c>
      <c r="C29" s="433">
        <f>COUNTIF(B$1:B24,B29)</f>
        <v>0</v>
      </c>
      <c r="D29" s="439" t="e">
        <f>C29/C32</f>
        <v>#DIV/0!</v>
      </c>
      <c r="E29" s="380"/>
      <c r="F29" s="368"/>
      <c r="G29" s="369"/>
      <c r="H29" s="369"/>
      <c r="I29" s="381"/>
      <c r="J29" s="434">
        <f>SUMIF(B$3:B28,B29,T$3:T32)</f>
        <v>0</v>
      </c>
      <c r="K29" s="445"/>
      <c r="L29" s="446" t="e">
        <f>J29/J32</f>
        <v>#DIV/0!</v>
      </c>
      <c r="M29" s="370"/>
      <c r="N29" s="373"/>
      <c r="O29" s="373"/>
      <c r="S29" s="385"/>
      <c r="T29" s="386"/>
      <c r="U29" s="386"/>
      <c r="V29" s="386"/>
      <c r="X29" s="387"/>
      <c r="Y29" s="387"/>
    </row>
    <row r="30" spans="1:27" s="378" customFormat="1" ht="15" customHeight="1" thickBot="1" x14ac:dyDescent="0.3">
      <c r="A30" s="364"/>
      <c r="B30" s="389" t="s">
        <v>740</v>
      </c>
      <c r="C30" s="435">
        <f>COUNTIF(B$1:B27,B30)</f>
        <v>0</v>
      </c>
      <c r="D30" s="440" t="e">
        <f>C30/C32</f>
        <v>#DIV/0!</v>
      </c>
      <c r="E30" s="380"/>
      <c r="F30" s="368"/>
      <c r="G30" s="369"/>
      <c r="H30" s="369"/>
      <c r="I30" s="381"/>
      <c r="J30" s="436">
        <f>SUMIF(B$3:B29,B30,T$3:T32)</f>
        <v>0</v>
      </c>
      <c r="K30" s="447"/>
      <c r="L30" s="448" t="e">
        <f>J30/J32</f>
        <v>#DIV/0!</v>
      </c>
      <c r="M30" s="370"/>
      <c r="N30" s="373"/>
      <c r="O30" s="373"/>
      <c r="S30" s="385"/>
      <c r="T30" s="386"/>
      <c r="U30" s="386"/>
      <c r="V30" s="386"/>
      <c r="X30" s="387"/>
      <c r="Y30" s="387"/>
    </row>
    <row r="31" spans="1:27" s="378" customFormat="1" ht="15" customHeight="1" thickTop="1" thickBot="1" x14ac:dyDescent="0.3">
      <c r="A31" s="390"/>
      <c r="B31" s="391" t="s">
        <v>741</v>
      </c>
      <c r="C31" s="392">
        <f>COUNTIF(B$1:B24,B31)</f>
        <v>0</v>
      </c>
      <c r="D31" s="393" t="e">
        <f>C31/C32</f>
        <v>#DIV/0!</v>
      </c>
      <c r="E31" s="394"/>
      <c r="F31" s="395"/>
      <c r="G31" s="396"/>
      <c r="H31" s="396"/>
      <c r="I31" s="397"/>
      <c r="J31" s="449">
        <f>SUMIF(B$3:B30,B31,T$3:T32)</f>
        <v>0</v>
      </c>
      <c r="K31" s="450"/>
      <c r="L31" s="451" t="e">
        <f>J31/J32</f>
        <v>#DIV/0!</v>
      </c>
      <c r="M31" s="398"/>
      <c r="N31" s="398"/>
      <c r="O31" s="398"/>
      <c r="S31" s="385"/>
      <c r="T31" s="386"/>
      <c r="U31" s="386"/>
      <c r="V31" s="386"/>
      <c r="X31" s="387"/>
      <c r="Y31" s="387"/>
    </row>
    <row r="32" spans="1:27" s="378" customFormat="1" ht="15" customHeight="1" x14ac:dyDescent="0.25">
      <c r="A32" s="364"/>
      <c r="B32" s="399"/>
      <c r="C32" s="400">
        <f>SUM(C27:C31)</f>
        <v>0</v>
      </c>
      <c r="D32" s="366"/>
      <c r="E32" s="380"/>
      <c r="F32" s="368"/>
      <c r="G32" s="369"/>
      <c r="H32" s="369"/>
      <c r="I32" s="381"/>
      <c r="J32" s="401">
        <f>SUM(J27:J31)</f>
        <v>0</v>
      </c>
      <c r="K32" s="382"/>
      <c r="L32" s="402"/>
      <c r="M32" s="370"/>
      <c r="N32" s="373"/>
      <c r="O32" s="373"/>
      <c r="S32" s="385"/>
      <c r="T32" s="386"/>
      <c r="U32" s="386"/>
      <c r="V32" s="386"/>
      <c r="X32" s="387"/>
      <c r="Y32" s="387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3" t="s">
        <v>742</v>
      </c>
    </row>
    <row r="35" spans="1:26" s="315" customFormat="1" ht="17.25" x14ac:dyDescent="0.4">
      <c r="A35" s="254" t="s">
        <v>783</v>
      </c>
      <c r="B35" s="404" t="s">
        <v>697</v>
      </c>
      <c r="C35" s="405"/>
    </row>
    <row r="36" spans="1:26" s="315" customFormat="1" ht="17.25" x14ac:dyDescent="0.4">
      <c r="A36" s="255" t="s">
        <v>784</v>
      </c>
      <c r="B36" s="406"/>
      <c r="C36" s="405"/>
    </row>
    <row r="37" spans="1:26" s="315" customFormat="1" x14ac:dyDescent="0.25">
      <c r="A37" s="254" t="s">
        <v>785</v>
      </c>
      <c r="B37" s="328">
        <v>0.5</v>
      </c>
      <c r="C37" s="328"/>
    </row>
    <row r="38" spans="1:26" s="315" customFormat="1" x14ac:dyDescent="0.25">
      <c r="A38" s="254" t="s">
        <v>786</v>
      </c>
      <c r="B38" s="328">
        <v>3</v>
      </c>
      <c r="C38" s="328"/>
    </row>
    <row r="39" spans="1:26" s="315" customFormat="1" x14ac:dyDescent="0.25">
      <c r="A39" s="254" t="s">
        <v>787</v>
      </c>
      <c r="B39" s="328"/>
      <c r="C39" s="328"/>
    </row>
    <row r="40" spans="1:26" s="315" customFormat="1" x14ac:dyDescent="0.25">
      <c r="A40" s="254" t="s">
        <v>788</v>
      </c>
      <c r="B40" s="328" t="s">
        <v>779</v>
      </c>
      <c r="C40" s="328"/>
    </row>
    <row r="41" spans="1:26" s="315" customFormat="1" x14ac:dyDescent="0.25"/>
    <row r="42" spans="1:26" s="425" customFormat="1" ht="7.5" customHeight="1" x14ac:dyDescent="0.25">
      <c r="D42" s="426"/>
      <c r="E42" s="426"/>
    </row>
    <row r="43" spans="1:26" s="410" customFormat="1" ht="19.5" x14ac:dyDescent="0.3">
      <c r="A43" s="315"/>
      <c r="C43" s="411" t="s">
        <v>758</v>
      </c>
    </row>
    <row r="44" spans="1:26" s="410" customFormat="1" x14ac:dyDescent="0.25"/>
    <row r="45" spans="1:26" s="410" customFormat="1" x14ac:dyDescent="0.25">
      <c r="A45" s="410" t="s">
        <v>759</v>
      </c>
    </row>
    <row r="46" spans="1:26" s="410" customFormat="1" ht="17.25" x14ac:dyDescent="0.4">
      <c r="A46" s="405" t="s">
        <v>760</v>
      </c>
      <c r="B46" s="412" t="s">
        <v>761</v>
      </c>
      <c r="E46" s="410" t="s">
        <v>762</v>
      </c>
    </row>
    <row r="47" spans="1:26" s="410" customFormat="1" x14ac:dyDescent="0.25">
      <c r="A47" s="413">
        <v>4240</v>
      </c>
      <c r="B47" s="414" t="str">
        <f>IF(D47="&lt;&lt;ПУСТО&gt;&gt;",C47&amp;ROUND(F47/1000,0),D47&amp;C47&amp;ROUND(F47/1000,0))</f>
        <v>0</v>
      </c>
      <c r="E47" s="410" t="s">
        <v>763</v>
      </c>
    </row>
    <row r="48" spans="1:26" s="410" customFormat="1" x14ac:dyDescent="0.25">
      <c r="A48" s="415">
        <v>8</v>
      </c>
      <c r="B48" s="415">
        <v>1</v>
      </c>
      <c r="E48" s="410" t="s">
        <v>764</v>
      </c>
    </row>
    <row r="49" spans="1:8" s="410" customFormat="1" x14ac:dyDescent="0.25"/>
    <row r="50" spans="1:8" s="410" customFormat="1" ht="15.75" thickBot="1" x14ac:dyDescent="0.3">
      <c r="A50" s="410" t="s">
        <v>765</v>
      </c>
    </row>
    <row r="51" spans="1:8" s="410" customFormat="1" ht="15.75" x14ac:dyDescent="0.3">
      <c r="A51" s="416">
        <f>(SUMIF(A$43:A47,0,F$43:F47)-F51)/1000000</f>
        <v>0</v>
      </c>
      <c r="B51" s="408"/>
      <c r="C51" s="409"/>
      <c r="E51" s="417" t="s">
        <v>766</v>
      </c>
      <c r="F51" s="418">
        <f>SUMIF(I$43:I48,"Наталья Константиновна Лидер",F$43:F48)</f>
        <v>0</v>
      </c>
    </row>
    <row r="52" spans="1:8" s="410" customFormat="1" ht="16.5" thickBot="1" x14ac:dyDescent="0.35">
      <c r="A52" s="419">
        <f>COUNTIF(A$43:A47,0)-F52</f>
        <v>0</v>
      </c>
      <c r="B52" s="408"/>
      <c r="C52" s="409" t="s">
        <v>612</v>
      </c>
      <c r="E52" s="420"/>
      <c r="F52" s="421">
        <f>COUNTIF(I$43:I53,"Наталья Константиновна Лидер")</f>
        <v>0</v>
      </c>
    </row>
    <row r="53" spans="1:8" s="410" customFormat="1" x14ac:dyDescent="0.25"/>
    <row r="54" spans="1:8" s="410" customFormat="1" x14ac:dyDescent="0.25">
      <c r="A54" s="410" t="s">
        <v>767</v>
      </c>
    </row>
    <row r="55" spans="1:8" s="410" customFormat="1" ht="15.75" thickBot="1" x14ac:dyDescent="0.3">
      <c r="B55" s="410" t="s">
        <v>970</v>
      </c>
    </row>
    <row r="56" spans="1:8" s="410" customFormat="1" ht="17.25" x14ac:dyDescent="0.4">
      <c r="A56" s="771" t="s">
        <v>566</v>
      </c>
      <c r="B56" s="254" t="s">
        <v>783</v>
      </c>
      <c r="C56" s="405" t="s">
        <v>760</v>
      </c>
      <c r="D56" s="405" t="s">
        <v>768</v>
      </c>
      <c r="G56" s="410" t="s">
        <v>762</v>
      </c>
    </row>
    <row r="57" spans="1:8" s="410" customFormat="1" x14ac:dyDescent="0.25">
      <c r="A57" s="772"/>
      <c r="B57" s="255" t="s">
        <v>784</v>
      </c>
      <c r="C57" s="406" t="str">
        <f>IFERROR(MATCH(D57,#REF!,0),IF(N58="Не состоялся","-"," "))</f>
        <v xml:space="preserve"> </v>
      </c>
      <c r="D57" s="422" t="str">
        <f>IF(G57="",F57,G57&amp;"/"&amp;F57)</f>
        <v>Match=&lt;номер строки Договора1С&gt;/</v>
      </c>
      <c r="G57" s="410" t="s">
        <v>769</v>
      </c>
    </row>
    <row r="58" spans="1:8" s="410" customFormat="1" x14ac:dyDescent="0.25">
      <c r="A58" s="772"/>
      <c r="B58" s="254" t="s">
        <v>785</v>
      </c>
      <c r="C58" s="410">
        <v>10</v>
      </c>
      <c r="D58" s="415">
        <v>1</v>
      </c>
      <c r="F58" s="668" t="str">
        <f>"/=""Не состоялся"":"&amp;F59</f>
        <v>/="Не состоялся":/="Договор расторгнут"</v>
      </c>
      <c r="G58" s="410" t="s">
        <v>770</v>
      </c>
    </row>
    <row r="59" spans="1:8" s="315" customFormat="1" x14ac:dyDescent="0.25">
      <c r="A59" s="772"/>
      <c r="B59" s="254" t="s">
        <v>786</v>
      </c>
      <c r="C59" s="328">
        <v>2</v>
      </c>
      <c r="D59" s="328"/>
      <c r="F59" s="667" t="s">
        <v>972</v>
      </c>
    </row>
    <row r="60" spans="1:8" s="315" customFormat="1" x14ac:dyDescent="0.25">
      <c r="A60" s="772"/>
      <c r="B60" s="254" t="s">
        <v>787</v>
      </c>
      <c r="C60" s="328"/>
      <c r="D60" s="328"/>
    </row>
    <row r="61" spans="1:8" s="315" customFormat="1" ht="15.75" thickBot="1" x14ac:dyDescent="0.3">
      <c r="A61" s="773"/>
      <c r="B61" s="254" t="s">
        <v>788</v>
      </c>
      <c r="C61" s="328" t="s">
        <v>969</v>
      </c>
      <c r="D61" s="328"/>
      <c r="F61" s="415" t="str">
        <f>"10/="""":"&amp;F58</f>
        <v>10/="":/="Не состоялся":/="Договор расторгнут"</v>
      </c>
      <c r="G61" s="315" t="s">
        <v>973</v>
      </c>
    </row>
    <row r="62" spans="1:8" s="410" customFormat="1" x14ac:dyDescent="0.25">
      <c r="E62" s="315"/>
      <c r="H62" s="315"/>
    </row>
    <row r="63" spans="1:8" s="410" customFormat="1" x14ac:dyDescent="0.25">
      <c r="A63" s="410" t="s">
        <v>771</v>
      </c>
      <c r="E63" s="315"/>
      <c r="H63" s="315"/>
    </row>
    <row r="64" spans="1:8" s="410" customFormat="1" ht="15.75" thickBot="1" x14ac:dyDescent="0.3">
      <c r="B64" s="410" t="s">
        <v>971</v>
      </c>
    </row>
    <row r="65" spans="1:35" s="410" customFormat="1" ht="15.75" thickBot="1" x14ac:dyDescent="0.3">
      <c r="A65" s="407">
        <f>COUNTIF(A$2:A59,"")-COUNTIF(M$2:M56,"Не состоялся")-COUNTIF(M$2:M56,"Договор расторгнут")</f>
        <v>25</v>
      </c>
      <c r="B65" s="408"/>
    </row>
    <row r="66" spans="1:35" s="410" customFormat="1" x14ac:dyDescent="0.25">
      <c r="B66" s="408"/>
    </row>
    <row r="67" spans="1:35" s="410" customFormat="1" x14ac:dyDescent="0.25">
      <c r="A67" s="410" t="s">
        <v>743</v>
      </c>
    </row>
    <row r="68" spans="1:35" s="410" customFormat="1" x14ac:dyDescent="0.25">
      <c r="A68" s="423" t="s">
        <v>744</v>
      </c>
      <c r="B68" s="423" t="s">
        <v>745</v>
      </c>
      <c r="C68" s="423" t="s">
        <v>746</v>
      </c>
      <c r="D68" s="423" t="s">
        <v>747</v>
      </c>
      <c r="E68" s="423" t="s">
        <v>748</v>
      </c>
      <c r="F68" s="423" t="s">
        <v>749</v>
      </c>
      <c r="G68" s="423" t="s">
        <v>750</v>
      </c>
      <c r="H68" s="423" t="s">
        <v>751</v>
      </c>
      <c r="I68" s="423" t="s">
        <v>752</v>
      </c>
    </row>
    <row r="69" spans="1:35" s="410" customFormat="1" x14ac:dyDescent="0.25">
      <c r="A69" s="410" t="s">
        <v>753</v>
      </c>
      <c r="B69" s="410" t="s">
        <v>754</v>
      </c>
      <c r="D69" s="415" t="s">
        <v>568</v>
      </c>
      <c r="E69" s="415">
        <v>1</v>
      </c>
      <c r="F69" s="410" t="s">
        <v>755</v>
      </c>
      <c r="G69" s="410" t="s">
        <v>756</v>
      </c>
      <c r="H69" s="410" t="s">
        <v>561</v>
      </c>
      <c r="I69" s="410" t="s">
        <v>757</v>
      </c>
    </row>
    <row r="70" spans="1:35" s="425" customFormat="1" ht="7.5" customHeight="1" x14ac:dyDescent="0.25">
      <c r="D70" s="426"/>
      <c r="E70" s="426"/>
    </row>
    <row r="71" spans="1:35" s="410" customFormat="1" ht="19.5" x14ac:dyDescent="0.3">
      <c r="A71" s="315"/>
      <c r="C71" s="411" t="s">
        <v>840</v>
      </c>
      <c r="I71" s="410">
        <f>G77</f>
        <v>6</v>
      </c>
    </row>
    <row r="72" spans="1:35" s="315" customFormat="1" x14ac:dyDescent="0.25"/>
    <row r="73" spans="1:35" s="315" customFormat="1" x14ac:dyDescent="0.25">
      <c r="A73" s="315" t="s">
        <v>881</v>
      </c>
    </row>
    <row r="74" spans="1:35" s="315" customFormat="1" ht="25.5" x14ac:dyDescent="0.25">
      <c r="A74" s="254" t="s">
        <v>783</v>
      </c>
      <c r="B74" s="566" t="s">
        <v>841</v>
      </c>
      <c r="C74" s="568" t="s">
        <v>359</v>
      </c>
      <c r="D74" s="569" t="s">
        <v>842</v>
      </c>
      <c r="E74" s="545" t="s">
        <v>843</v>
      </c>
      <c r="F74" s="545" t="s">
        <v>58</v>
      </c>
      <c r="G74" s="545" t="s">
        <v>793</v>
      </c>
      <c r="H74" s="545" t="s">
        <v>818</v>
      </c>
      <c r="I74" s="545" t="s">
        <v>884</v>
      </c>
      <c r="K74" s="542" t="s">
        <v>849</v>
      </c>
      <c r="L74" s="543" t="s">
        <v>844</v>
      </c>
      <c r="M74" s="544"/>
      <c r="N74" s="532" t="s">
        <v>688</v>
      </c>
      <c r="O74" s="532" t="s">
        <v>689</v>
      </c>
      <c r="P74" s="532" t="s">
        <v>65</v>
      </c>
      <c r="Q74" s="532" t="s">
        <v>1</v>
      </c>
      <c r="R74" s="533" t="s">
        <v>690</v>
      </c>
      <c r="S74" s="534" t="s">
        <v>845</v>
      </c>
      <c r="T74" s="535" t="s">
        <v>691</v>
      </c>
      <c r="U74" s="532" t="s">
        <v>692</v>
      </c>
      <c r="V74" s="536" t="s">
        <v>685</v>
      </c>
      <c r="W74" s="537" t="s">
        <v>685</v>
      </c>
      <c r="X74" s="537" t="s">
        <v>685</v>
      </c>
      <c r="Y74" s="537" t="s">
        <v>685</v>
      </c>
      <c r="Z74" s="532" t="s">
        <v>685</v>
      </c>
      <c r="AA74" s="532" t="s">
        <v>846</v>
      </c>
      <c r="AB74" s="532" t="s">
        <v>685</v>
      </c>
      <c r="AC74" s="532" t="s">
        <v>685</v>
      </c>
      <c r="AD74" s="538" t="s">
        <v>847</v>
      </c>
      <c r="AE74" s="539" t="s">
        <v>685</v>
      </c>
      <c r="AF74" s="532" t="s">
        <v>685</v>
      </c>
      <c r="AG74" s="532" t="s">
        <v>685</v>
      </c>
      <c r="AH74" s="540" t="s">
        <v>848</v>
      </c>
      <c r="AI74" s="541"/>
    </row>
    <row r="75" spans="1:35" s="315" customFormat="1" x14ac:dyDescent="0.25">
      <c r="A75" s="255" t="s">
        <v>784</v>
      </c>
      <c r="B75" s="567"/>
      <c r="C75" s="326"/>
      <c r="D75" s="570">
        <f>R75</f>
        <v>0</v>
      </c>
      <c r="E75" s="501"/>
      <c r="F75" s="329"/>
      <c r="G75" s="563"/>
    </row>
    <row r="76" spans="1:35" s="315" customFormat="1" x14ac:dyDescent="0.25">
      <c r="A76" s="254" t="s">
        <v>785</v>
      </c>
      <c r="B76" s="328">
        <v>8</v>
      </c>
      <c r="C76" s="328">
        <v>13</v>
      </c>
      <c r="D76" s="328">
        <v>7</v>
      </c>
      <c r="E76" s="328">
        <v>11</v>
      </c>
      <c r="F76" s="329">
        <v>20</v>
      </c>
      <c r="G76" s="330">
        <v>5</v>
      </c>
      <c r="H76" s="330">
        <v>15</v>
      </c>
      <c r="I76" s="330">
        <v>10</v>
      </c>
      <c r="J76" s="330">
        <v>6</v>
      </c>
      <c r="K76" s="330">
        <v>6</v>
      </c>
      <c r="L76" s="330">
        <v>10</v>
      </c>
      <c r="M76" s="330">
        <v>1</v>
      </c>
      <c r="N76" s="330">
        <v>45</v>
      </c>
      <c r="O76" s="330">
        <v>13</v>
      </c>
      <c r="P76" s="330">
        <v>16</v>
      </c>
      <c r="Q76" s="330">
        <v>10</v>
      </c>
      <c r="R76" s="330">
        <v>10</v>
      </c>
      <c r="S76" s="330">
        <v>10</v>
      </c>
      <c r="T76" s="330">
        <v>10</v>
      </c>
      <c r="U76" s="330">
        <v>10</v>
      </c>
      <c r="V76" s="330">
        <v>10</v>
      </c>
      <c r="W76" s="330">
        <v>0</v>
      </c>
      <c r="X76" s="330">
        <v>0</v>
      </c>
      <c r="Y76" s="330">
        <v>0</v>
      </c>
      <c r="Z76" s="330">
        <v>0</v>
      </c>
      <c r="AA76" s="330">
        <v>0</v>
      </c>
      <c r="AB76" s="330">
        <v>0</v>
      </c>
      <c r="AC76" s="330">
        <v>0</v>
      </c>
      <c r="AD76" s="330">
        <v>0</v>
      </c>
      <c r="AE76" s="330">
        <v>0</v>
      </c>
      <c r="AF76" s="330">
        <v>0</v>
      </c>
      <c r="AG76" s="330">
        <v>0</v>
      </c>
      <c r="AH76" s="330">
        <v>0</v>
      </c>
      <c r="AI76" s="330">
        <v>0</v>
      </c>
    </row>
    <row r="77" spans="1:35" s="315" customFormat="1" x14ac:dyDescent="0.25">
      <c r="A77" s="254" t="s">
        <v>786</v>
      </c>
      <c r="B77" s="328">
        <v>6</v>
      </c>
      <c r="C77" s="328">
        <v>6</v>
      </c>
      <c r="D77" s="328"/>
      <c r="E77" s="328">
        <v>6</v>
      </c>
      <c r="F77" s="315">
        <v>6</v>
      </c>
      <c r="G77" s="328">
        <v>6</v>
      </c>
      <c r="H77" s="315">
        <v>6</v>
      </c>
      <c r="I77" s="328">
        <v>6</v>
      </c>
      <c r="J77" s="329">
        <v>-1</v>
      </c>
      <c r="K77" s="328"/>
      <c r="N77" s="328"/>
      <c r="O77" s="330"/>
      <c r="P77" s="330"/>
      <c r="Q77" s="330"/>
      <c r="R77" s="330"/>
      <c r="S77" s="330"/>
      <c r="T77" s="330"/>
      <c r="U77" s="330"/>
      <c r="V77" s="330"/>
      <c r="W77" s="330"/>
      <c r="X77" s="363"/>
      <c r="Y77" s="330"/>
      <c r="Z77" s="330"/>
      <c r="AA77" s="330"/>
      <c r="AB77" s="330"/>
      <c r="AC77" s="330"/>
      <c r="AD77" s="330"/>
    </row>
    <row r="78" spans="1:35" s="315" customFormat="1" ht="44.25" customHeight="1" x14ac:dyDescent="0.25">
      <c r="A78" s="254" t="s">
        <v>787</v>
      </c>
      <c r="B78" s="564" t="s">
        <v>882</v>
      </c>
      <c r="C78" s="564" t="s">
        <v>883</v>
      </c>
      <c r="D78" s="328"/>
      <c r="E78" s="564" t="s">
        <v>868</v>
      </c>
      <c r="F78" s="564" t="s">
        <v>867</v>
      </c>
      <c r="G78" s="565"/>
      <c r="H78" s="565" t="s">
        <v>873</v>
      </c>
      <c r="I78" s="565" t="s">
        <v>885</v>
      </c>
      <c r="J78" s="328"/>
      <c r="K78" s="328"/>
      <c r="N78" s="562" t="s">
        <v>871</v>
      </c>
      <c r="O78" s="330"/>
      <c r="P78" s="330"/>
      <c r="Q78" s="330"/>
      <c r="R78" s="330"/>
      <c r="S78" s="330"/>
      <c r="T78" s="330"/>
      <c r="U78" s="330"/>
      <c r="V78" s="330"/>
      <c r="W78" s="330"/>
      <c r="X78" s="363"/>
      <c r="Y78" s="330"/>
      <c r="Z78" s="330"/>
      <c r="AA78" s="330"/>
      <c r="AB78" s="330"/>
      <c r="AC78" s="330"/>
      <c r="AD78" s="330"/>
    </row>
    <row r="79" spans="1:35" s="315" customFormat="1" x14ac:dyDescent="0.25">
      <c r="A79" s="254" t="s">
        <v>788</v>
      </c>
      <c r="B79" s="474"/>
      <c r="C79" s="474"/>
      <c r="D79" s="474"/>
      <c r="E79" s="474"/>
      <c r="F79" s="329"/>
      <c r="G79" s="328"/>
      <c r="H79" s="328"/>
      <c r="I79" s="328"/>
      <c r="J79" s="328"/>
      <c r="K79" s="328"/>
      <c r="N79" s="328"/>
      <c r="O79" s="330"/>
      <c r="P79" s="330"/>
      <c r="Q79" s="330"/>
      <c r="R79" s="330"/>
      <c r="S79" s="330"/>
      <c r="T79" s="330"/>
      <c r="U79" s="330"/>
      <c r="V79" s="330"/>
      <c r="W79" s="330"/>
      <c r="X79" s="363"/>
      <c r="Y79" s="330"/>
      <c r="Z79" s="330"/>
      <c r="AA79" s="330"/>
      <c r="AB79" s="330"/>
      <c r="AC79" s="330"/>
      <c r="AD79" s="330"/>
    </row>
    <row r="80" spans="1:35" s="315" customFormat="1" x14ac:dyDescent="0.25">
      <c r="N80" s="315" t="s">
        <v>872</v>
      </c>
    </row>
    <row r="81" spans="1:36" s="315" customFormat="1" ht="15.75" thickBot="1" x14ac:dyDescent="0.3">
      <c r="A81" s="315" t="s">
        <v>865</v>
      </c>
      <c r="F81" s="315">
        <v>5</v>
      </c>
      <c r="I81" s="315">
        <v>8</v>
      </c>
      <c r="P81" s="315">
        <v>10</v>
      </c>
      <c r="T81" s="315">
        <v>14</v>
      </c>
    </row>
    <row r="82" spans="1:36" s="315" customFormat="1" ht="75" x14ac:dyDescent="0.25">
      <c r="A82" s="697" t="s">
        <v>598</v>
      </c>
      <c r="B82" s="584" t="s">
        <v>899</v>
      </c>
      <c r="C82" s="545" t="s">
        <v>66</v>
      </c>
      <c r="D82" s="545" t="s">
        <v>793</v>
      </c>
      <c r="E82" s="545" t="s">
        <v>369</v>
      </c>
      <c r="F82" s="557" t="s">
        <v>1</v>
      </c>
      <c r="G82" s="557" t="s">
        <v>869</v>
      </c>
      <c r="H82" s="561" t="s">
        <v>818</v>
      </c>
      <c r="I82" s="561" t="s">
        <v>149</v>
      </c>
      <c r="J82" s="561" t="s">
        <v>62</v>
      </c>
      <c r="K82" s="561"/>
      <c r="L82" s="561"/>
      <c r="M82" s="545" t="s">
        <v>850</v>
      </c>
      <c r="N82" s="546" t="s">
        <v>188</v>
      </c>
      <c r="O82" s="545" t="s">
        <v>851</v>
      </c>
      <c r="P82" s="545" t="s">
        <v>852</v>
      </c>
      <c r="Q82" s="548" t="s">
        <v>856</v>
      </c>
      <c r="R82" s="548" t="s">
        <v>683</v>
      </c>
      <c r="S82" s="547" t="s">
        <v>684</v>
      </c>
      <c r="T82" s="548" t="s">
        <v>687</v>
      </c>
      <c r="U82" s="549" t="s">
        <v>685</v>
      </c>
      <c r="V82" s="549" t="s">
        <v>686</v>
      </c>
      <c r="W82" s="549" t="s">
        <v>853</v>
      </c>
      <c r="X82" s="549" t="s">
        <v>854</v>
      </c>
      <c r="Y82" s="549" t="s">
        <v>855</v>
      </c>
    </row>
    <row r="83" spans="1:36" s="315" customFormat="1" x14ac:dyDescent="0.25">
      <c r="A83" s="698"/>
      <c r="B83" s="255" t="s">
        <v>784</v>
      </c>
      <c r="D83" s="558"/>
      <c r="M83" s="329"/>
      <c r="N83" s="326"/>
      <c r="O83" s="501"/>
      <c r="P83" s="501"/>
      <c r="Q83" s="328" t="s">
        <v>866</v>
      </c>
      <c r="R83" s="328" t="s">
        <v>866</v>
      </c>
      <c r="S83" s="328" t="s">
        <v>866</v>
      </c>
      <c r="T83" s="328" t="s">
        <v>866</v>
      </c>
      <c r="U83" s="328" t="s">
        <v>866</v>
      </c>
      <c r="V83" s="328" t="s">
        <v>866</v>
      </c>
      <c r="W83" s="328" t="s">
        <v>866</v>
      </c>
      <c r="X83" s="328" t="s">
        <v>866</v>
      </c>
      <c r="Y83" s="328" t="s">
        <v>866</v>
      </c>
    </row>
    <row r="84" spans="1:36" s="315" customFormat="1" x14ac:dyDescent="0.25">
      <c r="A84" s="698"/>
      <c r="B84" s="254" t="s">
        <v>785</v>
      </c>
      <c r="C84" s="328">
        <v>9</v>
      </c>
      <c r="D84" s="328">
        <v>5</v>
      </c>
      <c r="E84" s="328">
        <v>22</v>
      </c>
      <c r="F84" s="328">
        <v>10</v>
      </c>
      <c r="G84" s="328">
        <v>1</v>
      </c>
      <c r="H84" s="328">
        <v>15</v>
      </c>
      <c r="I84" s="328">
        <v>10</v>
      </c>
      <c r="J84" s="328">
        <v>8</v>
      </c>
      <c r="K84" s="328">
        <v>1</v>
      </c>
      <c r="L84" s="328">
        <v>1</v>
      </c>
      <c r="M84" s="328">
        <v>12</v>
      </c>
      <c r="N84" s="328">
        <v>14</v>
      </c>
      <c r="O84" s="328">
        <v>12</v>
      </c>
      <c r="P84" s="328">
        <v>8</v>
      </c>
      <c r="Q84" s="328">
        <v>47</v>
      </c>
      <c r="R84" s="328">
        <v>44</v>
      </c>
      <c r="S84" s="328">
        <v>8</v>
      </c>
      <c r="T84" s="328">
        <v>44</v>
      </c>
      <c r="U84" s="328">
        <v>9</v>
      </c>
      <c r="V84" s="328">
        <v>25</v>
      </c>
      <c r="W84" s="328">
        <v>22</v>
      </c>
      <c r="X84" s="328">
        <v>0</v>
      </c>
      <c r="Y84" s="330">
        <v>0</v>
      </c>
    </row>
    <row r="85" spans="1:36" s="315" customFormat="1" x14ac:dyDescent="0.25">
      <c r="A85" s="698"/>
      <c r="B85" s="254" t="s">
        <v>786</v>
      </c>
      <c r="C85" s="328">
        <v>15</v>
      </c>
      <c r="D85" s="328">
        <v>19</v>
      </c>
      <c r="E85" s="328">
        <v>2</v>
      </c>
      <c r="G85" s="315">
        <v>-1</v>
      </c>
      <c r="M85" s="328"/>
      <c r="N85" s="328"/>
      <c r="O85" s="328"/>
      <c r="P85" s="328"/>
      <c r="T85" s="328"/>
      <c r="U85" s="330"/>
      <c r="V85" s="330"/>
      <c r="W85" s="330"/>
      <c r="X85" s="330"/>
      <c r="Y85" s="330"/>
    </row>
    <row r="86" spans="1:36" s="315" customFormat="1" ht="30" x14ac:dyDescent="0.25">
      <c r="A86" s="698"/>
      <c r="B86" s="254" t="s">
        <v>787</v>
      </c>
      <c r="C86" s="328" t="s">
        <v>988</v>
      </c>
      <c r="D86" s="718" t="s">
        <v>1005</v>
      </c>
      <c r="E86" s="559" t="s">
        <v>867</v>
      </c>
      <c r="G86" s="328"/>
      <c r="M86" s="328"/>
      <c r="N86" s="328"/>
      <c r="O86" s="328"/>
      <c r="P86" s="328"/>
      <c r="Q86" s="328"/>
      <c r="T86" s="328"/>
      <c r="U86" s="330"/>
      <c r="V86" s="330"/>
      <c r="W86" s="330"/>
      <c r="X86" s="330"/>
      <c r="Y86" s="330"/>
      <c r="Z86" s="330"/>
      <c r="AA86" s="330"/>
      <c r="AB86" s="330"/>
      <c r="AC86" s="330"/>
      <c r="AD86" s="363"/>
      <c r="AE86" s="330"/>
      <c r="AF86" s="330"/>
      <c r="AG86" s="330"/>
      <c r="AH86" s="330"/>
      <c r="AI86" s="330"/>
      <c r="AJ86" s="330"/>
    </row>
    <row r="87" spans="1:36" s="315" customFormat="1" x14ac:dyDescent="0.25">
      <c r="A87" s="698"/>
      <c r="B87" s="254" t="s">
        <v>788</v>
      </c>
      <c r="D87" s="329"/>
      <c r="E87" s="328"/>
      <c r="F87" s="328"/>
      <c r="H87" s="328"/>
      <c r="K87" s="328"/>
      <c r="L87" s="330"/>
      <c r="M87" s="474"/>
      <c r="N87" s="474"/>
      <c r="O87" s="474"/>
      <c r="P87" s="474"/>
      <c r="Q87" s="330"/>
      <c r="R87" s="330"/>
      <c r="S87" s="330"/>
      <c r="T87" s="330"/>
      <c r="U87" s="330"/>
      <c r="V87" s="330"/>
      <c r="W87" s="330"/>
      <c r="X87" s="330"/>
      <c r="Y87" s="363"/>
      <c r="Z87" s="330"/>
      <c r="AA87" s="330"/>
      <c r="AB87" s="330"/>
      <c r="AC87" s="330"/>
      <c r="AD87" s="330"/>
      <c r="AE87" s="330"/>
    </row>
    <row r="89" spans="1:36" x14ac:dyDescent="0.25">
      <c r="D89" s="315">
        <v>5</v>
      </c>
      <c r="E89" s="315">
        <v>5</v>
      </c>
      <c r="J89" s="328"/>
      <c r="K89" s="328">
        <v>5</v>
      </c>
      <c r="L89" s="315">
        <v>5</v>
      </c>
      <c r="M89" s="329">
        <v>-1</v>
      </c>
      <c r="N89" s="328"/>
      <c r="O89" s="328"/>
      <c r="P89" s="328"/>
    </row>
    <row r="90" spans="1:36" ht="36.75" x14ac:dyDescent="0.25">
      <c r="D90" s="559" t="s">
        <v>867</v>
      </c>
      <c r="E90" s="559" t="s">
        <v>868</v>
      </c>
      <c r="F90" s="328" t="s">
        <v>988</v>
      </c>
      <c r="K90" s="560" t="s">
        <v>870</v>
      </c>
      <c r="L90" s="560" t="s">
        <v>873</v>
      </c>
      <c r="M90" s="560"/>
      <c r="N90" s="560"/>
      <c r="O90" s="560"/>
      <c r="P90" s="560"/>
    </row>
    <row r="92" spans="1:36" s="425" customFormat="1" ht="7.5" customHeight="1" x14ac:dyDescent="0.25">
      <c r="D92" s="426"/>
      <c r="E92" s="426"/>
    </row>
    <row r="93" spans="1:36" s="410" customFormat="1" ht="19.5" x14ac:dyDescent="0.3">
      <c r="A93" s="315"/>
      <c r="C93" s="411" t="s">
        <v>772</v>
      </c>
      <c r="I93" s="410">
        <f>G116</f>
        <v>0</v>
      </c>
    </row>
    <row r="95" spans="1:36" ht="15.75" thickBot="1" x14ac:dyDescent="0.3">
      <c r="A95" s="30" t="s">
        <v>250</v>
      </c>
    </row>
    <row r="96" spans="1:36" ht="16.5" thickBot="1" x14ac:dyDescent="0.3">
      <c r="A96" s="33">
        <v>40954</v>
      </c>
      <c r="B96" s="34" t="s">
        <v>215</v>
      </c>
      <c r="D96" s="35">
        <v>1</v>
      </c>
    </row>
    <row r="97" spans="1:27" s="315" customFormat="1" x14ac:dyDescent="0.25">
      <c r="A97" s="474"/>
      <c r="B97" s="474"/>
      <c r="C97" s="474"/>
      <c r="D97" s="474"/>
      <c r="E97" s="474"/>
      <c r="F97" s="329"/>
      <c r="G97" s="328"/>
      <c r="H97" s="328"/>
      <c r="K97" s="328"/>
      <c r="L97" s="330"/>
      <c r="M97" s="330"/>
      <c r="N97" s="330"/>
      <c r="O97" s="330"/>
      <c r="P97" s="330"/>
      <c r="Q97" s="330"/>
      <c r="R97" s="330"/>
      <c r="S97" s="330"/>
      <c r="T97" s="330"/>
      <c r="U97" s="363"/>
      <c r="V97" s="330"/>
      <c r="W97" s="330"/>
      <c r="X97" s="330"/>
      <c r="Y97" s="330"/>
      <c r="Z97" s="330"/>
      <c r="AA97" s="330"/>
    </row>
    <row r="98" spans="1:27" s="629" customFormat="1" ht="7.5" customHeight="1" x14ac:dyDescent="0.25">
      <c r="D98" s="630"/>
      <c r="E98" s="630"/>
    </row>
    <row r="99" spans="1:27" s="315" customFormat="1" ht="19.5" x14ac:dyDescent="0.3">
      <c r="C99" s="316" t="s">
        <v>937</v>
      </c>
    </row>
    <row r="101" spans="1:27" ht="15.75" thickBot="1" x14ac:dyDescent="0.3">
      <c r="A101" s="30" t="s">
        <v>809</v>
      </c>
    </row>
    <row r="102" spans="1:27" ht="15.75" thickBot="1" x14ac:dyDescent="0.3">
      <c r="A102" s="254" t="s">
        <v>674</v>
      </c>
      <c r="B102" s="4" t="s">
        <v>119</v>
      </c>
      <c r="C102" s="4" t="s">
        <v>120</v>
      </c>
      <c r="D102" s="4" t="s">
        <v>121</v>
      </c>
      <c r="E102" s="4" t="s">
        <v>122</v>
      </c>
      <c r="F102" s="4" t="s">
        <v>123</v>
      </c>
      <c r="G102" s="3" t="s">
        <v>118</v>
      </c>
      <c r="H102" s="64" t="s">
        <v>116</v>
      </c>
      <c r="I102" s="64" t="s">
        <v>814</v>
      </c>
    </row>
    <row r="103" spans="1:27" s="1" customFormat="1" x14ac:dyDescent="0.25">
      <c r="A103" s="255" t="s">
        <v>588</v>
      </c>
      <c r="I103" s="145"/>
      <c r="J103" s="145"/>
      <c r="K103" s="8"/>
      <c r="L103" s="6"/>
      <c r="M103" s="12"/>
      <c r="N103"/>
      <c r="O103"/>
      <c r="P103"/>
      <c r="Q103"/>
      <c r="R103"/>
      <c r="S103"/>
      <c r="T103"/>
      <c r="U103"/>
      <c r="V103"/>
      <c r="W103"/>
    </row>
    <row r="104" spans="1:27" x14ac:dyDescent="0.25">
      <c r="A104" s="254" t="s">
        <v>675</v>
      </c>
      <c r="B104" s="145" t="s">
        <v>1007</v>
      </c>
      <c r="C104" s="145" t="s">
        <v>113</v>
      </c>
      <c r="D104" s="145" t="s">
        <v>1007</v>
      </c>
      <c r="E104" s="145" t="s">
        <v>113</v>
      </c>
      <c r="F104" s="145" t="s">
        <v>1011</v>
      </c>
      <c r="G104" s="145" t="s">
        <v>1007</v>
      </c>
      <c r="H104" s="145" t="s">
        <v>1010</v>
      </c>
      <c r="I104" s="145" t="s">
        <v>1010</v>
      </c>
      <c r="J104" s="145"/>
      <c r="K104" s="145"/>
      <c r="L104" s="145"/>
      <c r="M104" s="145"/>
    </row>
    <row r="105" spans="1:27" x14ac:dyDescent="0.25">
      <c r="A105" s="254" t="s">
        <v>676</v>
      </c>
      <c r="B105" s="145" t="s">
        <v>126</v>
      </c>
      <c r="C105" s="145" t="s">
        <v>112</v>
      </c>
      <c r="D105" s="145" t="s">
        <v>128</v>
      </c>
      <c r="E105" s="145" t="s">
        <v>111</v>
      </c>
      <c r="F105" s="145" t="s">
        <v>810</v>
      </c>
      <c r="G105" s="462" t="s">
        <v>115</v>
      </c>
      <c r="H105" s="577" t="s">
        <v>888</v>
      </c>
      <c r="I105" s="145" t="s">
        <v>91</v>
      </c>
      <c r="J105" s="145"/>
      <c r="K105" s="145"/>
      <c r="L105" s="145"/>
      <c r="M105" s="145"/>
    </row>
    <row r="106" spans="1:27" x14ac:dyDescent="0.25">
      <c r="A106" s="254" t="s">
        <v>677</v>
      </c>
      <c r="E106" t="s">
        <v>797</v>
      </c>
      <c r="H106" s="57"/>
      <c r="I106" s="92"/>
      <c r="M106" s="92"/>
      <c r="N106" s="92"/>
      <c r="O106" s="455"/>
      <c r="P106" s="92"/>
    </row>
    <row r="107" spans="1:27" x14ac:dyDescent="0.25">
      <c r="A107" s="254" t="s">
        <v>796</v>
      </c>
      <c r="E107" s="252"/>
      <c r="G107" s="252" t="s">
        <v>811</v>
      </c>
      <c r="H107" s="576" t="s">
        <v>887</v>
      </c>
      <c r="I107" s="328"/>
      <c r="N107" s="253"/>
      <c r="R107" s="456"/>
      <c r="S107" s="456"/>
      <c r="T107" s="456"/>
      <c r="U107" s="456"/>
      <c r="V107" s="456"/>
    </row>
    <row r="109" spans="1:27" ht="15.75" thickBot="1" x14ac:dyDescent="0.3">
      <c r="A109" s="30" t="s">
        <v>1015</v>
      </c>
    </row>
    <row r="110" spans="1:27" s="256" customFormat="1" ht="15.75" thickBot="1" x14ac:dyDescent="0.3">
      <c r="A110" s="254" t="s">
        <v>674</v>
      </c>
      <c r="B110" s="257" t="s">
        <v>151</v>
      </c>
      <c r="C110" s="257" t="s">
        <v>120</v>
      </c>
      <c r="D110" s="259" t="s">
        <v>152</v>
      </c>
      <c r="E110" s="258" t="s">
        <v>153</v>
      </c>
      <c r="F110" s="258" t="s">
        <v>154</v>
      </c>
      <c r="G110" s="260" t="s">
        <v>155</v>
      </c>
      <c r="H110" s="259" t="s">
        <v>156</v>
      </c>
      <c r="I110" s="260" t="s">
        <v>157</v>
      </c>
      <c r="J110" s="258" t="s">
        <v>158</v>
      </c>
      <c r="K110" s="260" t="s">
        <v>159</v>
      </c>
      <c r="L110" s="259" t="s">
        <v>160</v>
      </c>
      <c r="M110" s="261" t="s">
        <v>122</v>
      </c>
      <c r="N110" s="262" t="s">
        <v>161</v>
      </c>
      <c r="O110" s="262" t="s">
        <v>162</v>
      </c>
      <c r="P110" s="262" t="s">
        <v>163</v>
      </c>
      <c r="Q110" s="262" t="s">
        <v>164</v>
      </c>
      <c r="R110" s="481" t="s">
        <v>165</v>
      </c>
      <c r="S110" s="481" t="s">
        <v>166</v>
      </c>
      <c r="T110" s="481" t="s">
        <v>167</v>
      </c>
      <c r="U110" s="481" t="s">
        <v>168</v>
      </c>
      <c r="V110" s="481" t="s">
        <v>169</v>
      </c>
    </row>
    <row r="111" spans="1:27" s="1" customFormat="1" x14ac:dyDescent="0.25">
      <c r="A111" s="255" t="s">
        <v>588</v>
      </c>
      <c r="B111" s="6" t="s">
        <v>125</v>
      </c>
      <c r="C111" s="7">
        <v>40918</v>
      </c>
      <c r="D111" s="8" t="s">
        <v>11</v>
      </c>
      <c r="E111" s="9"/>
      <c r="F111" s="8" t="s">
        <v>98</v>
      </c>
      <c r="G111" s="10"/>
      <c r="H111" s="8" t="s">
        <v>99</v>
      </c>
      <c r="I111" s="11"/>
      <c r="J111" s="8" t="s">
        <v>79</v>
      </c>
      <c r="K111" s="8"/>
      <c r="L111" s="6" t="s">
        <v>100</v>
      </c>
      <c r="M111" s="12">
        <v>130000</v>
      </c>
      <c r="N111" s="13" t="s">
        <v>45</v>
      </c>
      <c r="O111" s="454" t="s">
        <v>17</v>
      </c>
      <c r="P111" s="14"/>
      <c r="Q111" s="15"/>
      <c r="R111" s="16"/>
      <c r="S111" s="16"/>
      <c r="T111" s="16"/>
      <c r="U111" s="16"/>
      <c r="V111" s="16"/>
      <c r="W111" s="453"/>
    </row>
    <row r="112" spans="1:27" x14ac:dyDescent="0.25">
      <c r="A112" s="254" t="s">
        <v>675</v>
      </c>
      <c r="B112" s="145" t="s">
        <v>1007</v>
      </c>
      <c r="C112" s="145" t="s">
        <v>1007</v>
      </c>
      <c r="D112" s="145" t="s">
        <v>1008</v>
      </c>
      <c r="E112" s="145" t="s">
        <v>1009</v>
      </c>
      <c r="F112" s="145" t="s">
        <v>1008</v>
      </c>
      <c r="G112" s="145" t="s">
        <v>1009</v>
      </c>
      <c r="H112" s="145" t="s">
        <v>1007</v>
      </c>
      <c r="I112" s="145" t="s">
        <v>1009</v>
      </c>
      <c r="J112" s="145" t="s">
        <v>1008</v>
      </c>
      <c r="K112" s="145" t="s">
        <v>1007</v>
      </c>
      <c r="L112" s="145" t="s">
        <v>94</v>
      </c>
      <c r="M112" s="145" t="s">
        <v>132</v>
      </c>
      <c r="N112" s="145" t="s">
        <v>112</v>
      </c>
      <c r="O112" s="145" t="s">
        <v>91</v>
      </c>
      <c r="P112" s="145" t="s">
        <v>92</v>
      </c>
      <c r="Q112" s="145" t="s">
        <v>91</v>
      </c>
      <c r="R112" s="145" t="s">
        <v>113</v>
      </c>
      <c r="S112" s="145" t="s">
        <v>113</v>
      </c>
      <c r="T112" s="145" t="s">
        <v>1008</v>
      </c>
      <c r="U112" s="145" t="s">
        <v>92</v>
      </c>
      <c r="V112" s="145" t="s">
        <v>92</v>
      </c>
    </row>
    <row r="113" spans="1:25" x14ac:dyDescent="0.25">
      <c r="A113" s="254" t="s">
        <v>676</v>
      </c>
      <c r="B113" s="145">
        <v>10</v>
      </c>
      <c r="C113" s="145">
        <v>12</v>
      </c>
      <c r="D113" s="145" t="s">
        <v>131</v>
      </c>
      <c r="E113" s="145" t="s">
        <v>131</v>
      </c>
      <c r="F113" s="145" t="s">
        <v>130</v>
      </c>
      <c r="G113" s="145" t="s">
        <v>130</v>
      </c>
      <c r="H113" s="145" t="s">
        <v>110</v>
      </c>
      <c r="I113" s="145" t="s">
        <v>70</v>
      </c>
      <c r="J113" s="145" t="s">
        <v>127</v>
      </c>
      <c r="K113" s="145">
        <v>18</v>
      </c>
      <c r="L113" s="145" t="s">
        <v>133</v>
      </c>
      <c r="M113" s="145" t="s">
        <v>242</v>
      </c>
      <c r="N113" s="145" t="s">
        <v>673</v>
      </c>
      <c r="O113" s="145" t="s">
        <v>673</v>
      </c>
      <c r="P113" s="145" t="s">
        <v>673</v>
      </c>
      <c r="Q113" s="145">
        <v>12</v>
      </c>
      <c r="R113" s="145" t="s">
        <v>70</v>
      </c>
      <c r="S113" s="145" t="s">
        <v>70</v>
      </c>
      <c r="T113" s="145" t="s">
        <v>70</v>
      </c>
      <c r="U113" s="145" t="s">
        <v>70</v>
      </c>
      <c r="V113" s="145" t="s">
        <v>70</v>
      </c>
    </row>
    <row r="114" spans="1:25" x14ac:dyDescent="0.25">
      <c r="A114" s="254" t="s">
        <v>677</v>
      </c>
      <c r="E114" s="252" t="s">
        <v>794</v>
      </c>
      <c r="G114" s="252" t="s">
        <v>795</v>
      </c>
      <c r="I114" s="92"/>
      <c r="K114" s="252" t="s">
        <v>159</v>
      </c>
      <c r="M114" s="92" t="s">
        <v>797</v>
      </c>
      <c r="N114" s="92"/>
      <c r="O114" s="455" t="s">
        <v>798</v>
      </c>
      <c r="P114" s="92" t="s">
        <v>803</v>
      </c>
    </row>
    <row r="115" spans="1:25" x14ac:dyDescent="0.25">
      <c r="A115" s="254" t="s">
        <v>796</v>
      </c>
      <c r="E115" s="252"/>
      <c r="G115" s="252"/>
      <c r="I115" s="328"/>
      <c r="K115" s="456" t="s">
        <v>811</v>
      </c>
      <c r="N115" s="253"/>
      <c r="R115" s="456" t="s">
        <v>801</v>
      </c>
      <c r="S115" s="456" t="s">
        <v>802</v>
      </c>
      <c r="T115" s="456" t="s">
        <v>1014</v>
      </c>
      <c r="U115" s="456" t="s">
        <v>799</v>
      </c>
      <c r="V115" s="456" t="s">
        <v>800</v>
      </c>
    </row>
    <row r="117" spans="1:25" ht="15.75" thickBot="1" x14ac:dyDescent="0.3">
      <c r="A117" s="30" t="s">
        <v>942</v>
      </c>
      <c r="B117" s="30"/>
      <c r="C117" s="30"/>
      <c r="D117" s="30"/>
      <c r="E117" s="30"/>
      <c r="F117" s="30"/>
      <c r="G117" s="30"/>
      <c r="H117" s="30"/>
      <c r="I117" s="30"/>
      <c r="J117" s="30"/>
      <c r="P117" s="30"/>
      <c r="Q117" s="30"/>
    </row>
    <row r="118" spans="1:25" ht="15.75" thickBot="1" x14ac:dyDescent="0.3">
      <c r="A118" s="697" t="s">
        <v>931</v>
      </c>
      <c r="B118" s="254" t="s">
        <v>674</v>
      </c>
      <c r="C118" s="4" t="s">
        <v>205</v>
      </c>
      <c r="D118" s="4" t="s">
        <v>206</v>
      </c>
      <c r="E118" s="4" t="s">
        <v>207</v>
      </c>
      <c r="F118" s="4" t="s">
        <v>208</v>
      </c>
      <c r="G118" s="4" t="s">
        <v>122</v>
      </c>
      <c r="H118" s="4" t="s">
        <v>209</v>
      </c>
      <c r="I118" s="4" t="s">
        <v>210</v>
      </c>
      <c r="J118" s="4" t="s">
        <v>211</v>
      </c>
      <c r="K118" s="4" t="s">
        <v>348</v>
      </c>
      <c r="L118" s="4" t="s">
        <v>347</v>
      </c>
      <c r="M118" s="4" t="s">
        <v>255</v>
      </c>
      <c r="N118" s="4" t="s">
        <v>262</v>
      </c>
      <c r="P118" s="118" t="s">
        <v>210</v>
      </c>
      <c r="Q118" s="118" t="s">
        <v>211</v>
      </c>
      <c r="R118" s="118" t="s">
        <v>348</v>
      </c>
      <c r="S118" s="118" t="s">
        <v>347</v>
      </c>
      <c r="T118" s="118" t="s">
        <v>255</v>
      </c>
      <c r="U118" s="118" t="s">
        <v>262</v>
      </c>
    </row>
    <row r="119" spans="1:25" s="1" customFormat="1" x14ac:dyDescent="0.25">
      <c r="A119" s="698"/>
      <c r="B119" s="255" t="s">
        <v>588</v>
      </c>
      <c r="C119" s="500" t="s">
        <v>943</v>
      </c>
      <c r="D119" s="7" t="s">
        <v>945</v>
      </c>
      <c r="E119" s="600" t="s">
        <v>946</v>
      </c>
      <c r="F119" s="9"/>
      <c r="G119" s="650">
        <v>2298687.7200000002</v>
      </c>
      <c r="H119" s="10"/>
      <c r="I119" s="658" t="s">
        <v>141</v>
      </c>
      <c r="J119" s="722" t="s">
        <v>963</v>
      </c>
      <c r="K119" s="658"/>
      <c r="L119" s="658"/>
      <c r="M119" s="659"/>
      <c r="N119" s="660"/>
      <c r="O119"/>
      <c r="P119" s="8" t="s">
        <v>141</v>
      </c>
      <c r="Q119" s="651"/>
      <c r="R119" s="8" t="s">
        <v>948</v>
      </c>
      <c r="S119" s="8" t="s">
        <v>141</v>
      </c>
      <c r="T119" s="6" t="s">
        <v>9</v>
      </c>
      <c r="U119" s="12" t="s">
        <v>951</v>
      </c>
      <c r="V119"/>
      <c r="W119"/>
      <c r="X119"/>
      <c r="Y119"/>
    </row>
    <row r="120" spans="1:25" x14ac:dyDescent="0.25">
      <c r="A120" s="698"/>
      <c r="B120" s="254" t="s">
        <v>675</v>
      </c>
      <c r="C120" s="145" t="s">
        <v>110</v>
      </c>
      <c r="D120" s="145" t="s">
        <v>944</v>
      </c>
      <c r="E120" s="145" t="s">
        <v>132</v>
      </c>
      <c r="F120" s="145" t="s">
        <v>110</v>
      </c>
      <c r="G120" s="145" t="s">
        <v>110</v>
      </c>
      <c r="H120" s="145" t="s">
        <v>91</v>
      </c>
      <c r="I120" s="594"/>
      <c r="J120" s="269"/>
      <c r="K120" s="145"/>
      <c r="L120" s="145"/>
      <c r="M120" s="145"/>
      <c r="N120" s="145"/>
      <c r="P120" s="145">
        <v>10</v>
      </c>
      <c r="Q120" s="145" t="s">
        <v>113</v>
      </c>
      <c r="R120" s="145" t="s">
        <v>112</v>
      </c>
      <c r="S120" s="145" t="s">
        <v>132</v>
      </c>
      <c r="T120" s="145" t="s">
        <v>113</v>
      </c>
      <c r="U120" s="145" t="s">
        <v>113</v>
      </c>
    </row>
    <row r="121" spans="1:25" x14ac:dyDescent="0.25">
      <c r="A121" s="698"/>
      <c r="B121" s="254" t="s">
        <v>676</v>
      </c>
      <c r="C121" s="145" t="s">
        <v>91</v>
      </c>
      <c r="D121" s="145" t="s">
        <v>91</v>
      </c>
      <c r="E121" s="145" t="s">
        <v>130</v>
      </c>
      <c r="F121" s="145" t="s">
        <v>242</v>
      </c>
      <c r="G121" s="145" t="s">
        <v>892</v>
      </c>
      <c r="H121" s="145" t="s">
        <v>673</v>
      </c>
      <c r="I121" s="594" t="s">
        <v>133</v>
      </c>
      <c r="J121" s="269"/>
      <c r="K121" s="145"/>
      <c r="L121" s="145"/>
      <c r="M121" s="145"/>
      <c r="N121" s="145"/>
      <c r="P121" s="145" t="s">
        <v>113</v>
      </c>
      <c r="Q121" s="145" t="s">
        <v>113</v>
      </c>
      <c r="R121" s="145"/>
      <c r="S121" s="145" t="s">
        <v>113</v>
      </c>
      <c r="T121" s="145" t="s">
        <v>810</v>
      </c>
      <c r="U121" s="145" t="s">
        <v>41</v>
      </c>
    </row>
    <row r="122" spans="1:25" x14ac:dyDescent="0.25">
      <c r="A122" s="698"/>
      <c r="B122" s="254" t="s">
        <v>677</v>
      </c>
      <c r="D122" s="252" t="s">
        <v>1062</v>
      </c>
      <c r="F122" s="252" t="s">
        <v>954</v>
      </c>
      <c r="G122" s="721" t="s">
        <v>1018</v>
      </c>
      <c r="H122" s="252" t="s">
        <v>798</v>
      </c>
      <c r="I122" s="652" t="s">
        <v>1019</v>
      </c>
      <c r="J122" s="252"/>
      <c r="K122" s="595"/>
      <c r="L122" s="652"/>
      <c r="M122" s="652"/>
      <c r="N122" s="653"/>
      <c r="P122" s="252" t="s">
        <v>957</v>
      </c>
      <c r="Q122" s="652" t="s">
        <v>947</v>
      </c>
      <c r="R122" s="595"/>
      <c r="S122" s="652" t="s">
        <v>949</v>
      </c>
      <c r="T122" s="652" t="s">
        <v>950</v>
      </c>
      <c r="U122" s="653"/>
    </row>
    <row r="123" spans="1:25" x14ac:dyDescent="0.25">
      <c r="A123" s="698"/>
      <c r="B123" s="254" t="s">
        <v>796</v>
      </c>
      <c r="C123" t="s">
        <v>1052</v>
      </c>
      <c r="D123" t="s">
        <v>953</v>
      </c>
      <c r="F123" s="252"/>
      <c r="H123" s="252"/>
      <c r="J123" s="571"/>
      <c r="L123" s="456"/>
      <c r="Q123" s="328"/>
      <c r="S123" s="456"/>
      <c r="U123" t="s">
        <v>952</v>
      </c>
    </row>
    <row r="125" spans="1:25" ht="15.75" thickBot="1" x14ac:dyDescent="0.3">
      <c r="A125" s="30" t="s">
        <v>1068</v>
      </c>
      <c r="B125" s="30"/>
      <c r="C125" s="30"/>
      <c r="D125" s="30"/>
      <c r="E125" s="30"/>
      <c r="F125" s="30"/>
      <c r="G125" s="30"/>
      <c r="H125" s="30"/>
      <c r="I125" s="30"/>
      <c r="J125" s="30"/>
    </row>
    <row r="126" spans="1:25" ht="15.75" thickBot="1" x14ac:dyDescent="0.3">
      <c r="A126" s="697" t="s">
        <v>561</v>
      </c>
      <c r="B126" s="254" t="s">
        <v>674</v>
      </c>
      <c r="C126" s="118" t="s">
        <v>205</v>
      </c>
      <c r="D126" s="118" t="s">
        <v>206</v>
      </c>
      <c r="E126" s="118" t="s">
        <v>207</v>
      </c>
      <c r="F126" s="118" t="s">
        <v>208</v>
      </c>
      <c r="G126" s="118" t="s">
        <v>122</v>
      </c>
      <c r="H126" s="118" t="s">
        <v>209</v>
      </c>
      <c r="I126" s="118" t="s">
        <v>210</v>
      </c>
      <c r="J126" s="118" t="s">
        <v>211</v>
      </c>
      <c r="K126" s="118" t="s">
        <v>348</v>
      </c>
      <c r="L126" s="118" t="s">
        <v>347</v>
      </c>
      <c r="M126" s="118" t="s">
        <v>255</v>
      </c>
      <c r="N126" s="118" t="s">
        <v>262</v>
      </c>
    </row>
    <row r="127" spans="1:25" s="1" customFormat="1" x14ac:dyDescent="0.25">
      <c r="A127" s="698"/>
      <c r="B127" s="255" t="s">
        <v>588</v>
      </c>
      <c r="C127" s="500" t="s">
        <v>943</v>
      </c>
      <c r="D127" s="7" t="s">
        <v>945</v>
      </c>
      <c r="E127" s="600" t="s">
        <v>946</v>
      </c>
      <c r="F127" s="9"/>
      <c r="G127" s="650">
        <v>2298687.7200000002</v>
      </c>
      <c r="H127" s="10"/>
      <c r="I127" s="658" t="s">
        <v>141</v>
      </c>
      <c r="J127" s="722" t="s">
        <v>963</v>
      </c>
      <c r="K127" s="658"/>
      <c r="L127" s="658"/>
      <c r="M127" s="659"/>
      <c r="N127" s="660"/>
      <c r="O127"/>
      <c r="P127"/>
      <c r="Q127"/>
      <c r="R127"/>
      <c r="S127"/>
      <c r="T127"/>
      <c r="U127"/>
      <c r="V127"/>
      <c r="W127"/>
      <c r="X127"/>
      <c r="Y127"/>
    </row>
    <row r="128" spans="1:25" x14ac:dyDescent="0.25">
      <c r="A128" s="698"/>
      <c r="B128" s="254" t="s">
        <v>675</v>
      </c>
      <c r="C128" s="145" t="s">
        <v>110</v>
      </c>
      <c r="D128" s="145" t="s">
        <v>944</v>
      </c>
      <c r="E128" s="145" t="s">
        <v>132</v>
      </c>
      <c r="F128" s="145" t="s">
        <v>110</v>
      </c>
      <c r="G128" s="145" t="s">
        <v>110</v>
      </c>
      <c r="H128" s="145" t="s">
        <v>91</v>
      </c>
      <c r="I128" s="594"/>
      <c r="J128" s="269"/>
      <c r="K128" s="145"/>
      <c r="L128" s="145"/>
      <c r="M128" s="145"/>
      <c r="N128" s="145"/>
    </row>
    <row r="129" spans="1:22" x14ac:dyDescent="0.25">
      <c r="A129" s="698"/>
      <c r="B129" s="254" t="s">
        <v>676</v>
      </c>
      <c r="C129" s="145" t="s">
        <v>70</v>
      </c>
      <c r="D129" s="269" t="s">
        <v>1066</v>
      </c>
      <c r="E129" s="269" t="s">
        <v>112</v>
      </c>
      <c r="F129" s="594" t="s">
        <v>892</v>
      </c>
      <c r="G129" s="145" t="s">
        <v>892</v>
      </c>
      <c r="H129" s="145" t="s">
        <v>673</v>
      </c>
      <c r="I129" s="594" t="s">
        <v>133</v>
      </c>
      <c r="J129" s="269"/>
      <c r="K129" s="145"/>
      <c r="L129" s="145"/>
      <c r="M129" s="145"/>
      <c r="N129" s="145"/>
    </row>
    <row r="130" spans="1:22" x14ac:dyDescent="0.25">
      <c r="A130" s="698"/>
      <c r="B130" s="254" t="s">
        <v>677</v>
      </c>
      <c r="C130" s="92" t="s">
        <v>1064</v>
      </c>
      <c r="D130" s="252" t="s">
        <v>1067</v>
      </c>
      <c r="E130" s="92"/>
      <c r="F130" s="652" t="s">
        <v>954</v>
      </c>
      <c r="G130" s="721" t="s">
        <v>1018</v>
      </c>
      <c r="H130" s="252" t="s">
        <v>798</v>
      </c>
      <c r="I130" s="652" t="s">
        <v>1019</v>
      </c>
      <c r="J130" s="252"/>
      <c r="K130" s="595"/>
      <c r="L130" s="652"/>
      <c r="M130" s="652"/>
      <c r="N130" s="653"/>
    </row>
    <row r="131" spans="1:22" x14ac:dyDescent="0.25">
      <c r="A131" s="698"/>
      <c r="B131" s="254" t="s">
        <v>796</v>
      </c>
      <c r="E131" s="92"/>
      <c r="F131" s="252"/>
      <c r="H131" s="252"/>
      <c r="J131" s="571"/>
      <c r="L131" s="456"/>
    </row>
    <row r="132" spans="1:22" x14ac:dyDescent="0.25">
      <c r="I132" s="2"/>
    </row>
    <row r="133" spans="1:22" ht="15.75" thickBot="1" x14ac:dyDescent="0.3">
      <c r="A133" s="662" t="s">
        <v>965</v>
      </c>
      <c r="B133" s="30"/>
      <c r="C133" s="30"/>
      <c r="D133" s="30"/>
      <c r="E133" s="30"/>
      <c r="F133" s="30"/>
      <c r="G133" s="30"/>
      <c r="H133" s="30"/>
      <c r="I133" s="30"/>
      <c r="J133" s="30"/>
    </row>
    <row r="134" spans="1:22" ht="15.75" thickBot="1" x14ac:dyDescent="0.3">
      <c r="A134" s="3" t="s">
        <v>118</v>
      </c>
      <c r="B134" s="3" t="s">
        <v>117</v>
      </c>
      <c r="J134" s="31"/>
    </row>
    <row r="136" spans="1:22" ht="15.75" thickBot="1" x14ac:dyDescent="0.3">
      <c r="A136" s="30" t="s">
        <v>251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2" ht="15.75" thickBot="1" x14ac:dyDescent="0.3">
      <c r="A137" s="3" t="s">
        <v>124</v>
      </c>
      <c r="B137" s="3" t="s">
        <v>252</v>
      </c>
      <c r="J137" s="31"/>
    </row>
    <row r="139" spans="1:22" ht="15.75" thickBot="1" x14ac:dyDescent="0.3">
      <c r="A139" s="687" t="s">
        <v>979</v>
      </c>
      <c r="B139" s="688"/>
      <c r="C139" s="688"/>
      <c r="D139" s="688"/>
      <c r="E139" s="688"/>
      <c r="F139" s="30"/>
      <c r="G139" s="30"/>
      <c r="H139" s="30"/>
      <c r="I139" s="30"/>
      <c r="J139" s="30"/>
    </row>
    <row r="140" spans="1:22" ht="15.75" thickBot="1" x14ac:dyDescent="0.3">
      <c r="A140" s="4" t="s">
        <v>335</v>
      </c>
      <c r="B140" s="4" t="s">
        <v>336</v>
      </c>
      <c r="C140" s="4" t="s">
        <v>208</v>
      </c>
      <c r="D140" s="4" t="s">
        <v>344</v>
      </c>
      <c r="E140" s="4" t="s">
        <v>165</v>
      </c>
      <c r="F140" s="4" t="s">
        <v>166</v>
      </c>
      <c r="G140" s="4" t="s">
        <v>167</v>
      </c>
      <c r="H140" s="4" t="s">
        <v>168</v>
      </c>
      <c r="I140" s="4" t="s">
        <v>169</v>
      </c>
      <c r="J140" s="4" t="s">
        <v>337</v>
      </c>
      <c r="K140" s="4" t="s">
        <v>338</v>
      </c>
      <c r="L140" s="4" t="s">
        <v>339</v>
      </c>
      <c r="M140" s="4" t="s">
        <v>340</v>
      </c>
      <c r="N140" s="118" t="s">
        <v>341</v>
      </c>
      <c r="O140" s="118" t="s">
        <v>342</v>
      </c>
      <c r="P140" s="118" t="s">
        <v>343</v>
      </c>
      <c r="Q140" s="118" t="s">
        <v>553</v>
      </c>
      <c r="R140" s="118" t="s">
        <v>552</v>
      </c>
      <c r="S140" s="118" t="s">
        <v>554</v>
      </c>
      <c r="T140" s="118" t="s">
        <v>555</v>
      </c>
      <c r="U140" s="118" t="s">
        <v>556</v>
      </c>
      <c r="V140" s="120" t="s">
        <v>547</v>
      </c>
    </row>
    <row r="142" spans="1:22" ht="15.75" thickBot="1" x14ac:dyDescent="0.3">
      <c r="A142" s="30" t="s">
        <v>560</v>
      </c>
    </row>
    <row r="143" spans="1:22" ht="15.75" thickBot="1" x14ac:dyDescent="0.3">
      <c r="A143" s="118" t="s">
        <v>136</v>
      </c>
      <c r="B143" s="118" t="s">
        <v>369</v>
      </c>
      <c r="C143" s="118" t="s">
        <v>344</v>
      </c>
      <c r="D143" s="118" t="s">
        <v>341</v>
      </c>
      <c r="E143" s="118" t="s">
        <v>165</v>
      </c>
      <c r="F143" s="118" t="s">
        <v>166</v>
      </c>
      <c r="G143" s="118" t="s">
        <v>167</v>
      </c>
      <c r="H143" s="118" t="s">
        <v>168</v>
      </c>
      <c r="I143" s="118" t="s">
        <v>169</v>
      </c>
      <c r="J143" s="118" t="s">
        <v>553</v>
      </c>
      <c r="K143" s="118" t="s">
        <v>552</v>
      </c>
      <c r="L143" s="118" t="s">
        <v>554</v>
      </c>
      <c r="M143" s="118" t="s">
        <v>555</v>
      </c>
      <c r="N143" s="118" t="s">
        <v>556</v>
      </c>
    </row>
    <row r="145" spans="1:10" ht="15.75" thickBot="1" x14ac:dyDescent="0.3">
      <c r="A145" s="30" t="s">
        <v>558</v>
      </c>
    </row>
    <row r="146" spans="1:10" ht="15.75" thickBot="1" x14ac:dyDescent="0.3">
      <c r="A146" s="4" t="s">
        <v>345</v>
      </c>
      <c r="B146" s="4" t="s">
        <v>369</v>
      </c>
      <c r="C146" s="118" t="s">
        <v>559</v>
      </c>
    </row>
    <row r="147" spans="1:10" x14ac:dyDescent="0.25">
      <c r="A147" s="119" t="s">
        <v>110</v>
      </c>
      <c r="B147" s="119" t="s">
        <v>134</v>
      </c>
      <c r="C147" s="119" t="s">
        <v>111</v>
      </c>
    </row>
    <row r="148" spans="1:10" x14ac:dyDescent="0.25">
      <c r="A148" s="26"/>
      <c r="B148" s="26"/>
    </row>
    <row r="149" spans="1:10" ht="15.75" thickBot="1" x14ac:dyDescent="0.3">
      <c r="A149" s="65" t="s">
        <v>357</v>
      </c>
      <c r="B149" s="26"/>
    </row>
    <row r="150" spans="1:10" ht="15.75" thickBot="1" x14ac:dyDescent="0.3">
      <c r="A150" s="4" t="s">
        <v>345</v>
      </c>
      <c r="B150" s="4" t="s">
        <v>167</v>
      </c>
      <c r="C150" s="59"/>
    </row>
    <row r="152" spans="1:10" ht="15.75" thickBot="1" x14ac:dyDescent="0.3">
      <c r="A152" s="65" t="s">
        <v>538</v>
      </c>
      <c r="B152" s="26"/>
    </row>
    <row r="153" spans="1:10" ht="15.75" thickBot="1" x14ac:dyDescent="0.3">
      <c r="A153" s="3" t="s">
        <v>512</v>
      </c>
      <c r="B153" s="3" t="s">
        <v>124</v>
      </c>
      <c r="C153" s="3" t="s">
        <v>496</v>
      </c>
    </row>
    <row r="155" spans="1:10" ht="15.75" thickBot="1" x14ac:dyDescent="0.3">
      <c r="A155" s="65" t="s">
        <v>544</v>
      </c>
      <c r="B155" s="119"/>
    </row>
    <row r="156" spans="1:10" ht="15.75" thickBot="1" x14ac:dyDescent="0.3">
      <c r="A156" s="117" t="s">
        <v>367</v>
      </c>
      <c r="B156" s="117" t="s">
        <v>188</v>
      </c>
      <c r="C156" s="117" t="s">
        <v>543</v>
      </c>
    </row>
    <row r="158" spans="1:10" ht="15.75" thickBot="1" x14ac:dyDescent="0.3">
      <c r="A158" s="65" t="s">
        <v>548</v>
      </c>
      <c r="B158" s="119"/>
    </row>
    <row r="159" spans="1:10" ht="29.25" customHeight="1" thickBot="1" x14ac:dyDescent="0.3">
      <c r="A159" s="117" t="s">
        <v>557</v>
      </c>
      <c r="B159" s="121" t="s">
        <v>356</v>
      </c>
      <c r="C159" s="121" t="s">
        <v>359</v>
      </c>
      <c r="D159" s="121" t="s">
        <v>549</v>
      </c>
      <c r="E159" s="121" t="s">
        <v>358</v>
      </c>
      <c r="F159" s="121" t="s">
        <v>1</v>
      </c>
      <c r="G159" s="121" t="s">
        <v>58</v>
      </c>
      <c r="H159" s="121" t="s">
        <v>367</v>
      </c>
      <c r="I159" s="121" t="s">
        <v>551</v>
      </c>
      <c r="J159" s="121" t="s">
        <v>550</v>
      </c>
    </row>
    <row r="160" spans="1:10" s="119" customFormat="1" x14ac:dyDescent="0.25">
      <c r="A160" s="119" t="s">
        <v>115</v>
      </c>
      <c r="B160" s="119" t="s">
        <v>112</v>
      </c>
      <c r="C160" s="119" t="s">
        <v>129</v>
      </c>
      <c r="D160" s="119" t="s">
        <v>129</v>
      </c>
      <c r="E160" s="119" t="s">
        <v>115</v>
      </c>
      <c r="F160" s="119" t="s">
        <v>242</v>
      </c>
      <c r="G160" s="119" t="s">
        <v>71</v>
      </c>
      <c r="H160" s="119" t="s">
        <v>132</v>
      </c>
      <c r="I160" s="119" t="s">
        <v>115</v>
      </c>
      <c r="J160" s="119" t="s">
        <v>115</v>
      </c>
    </row>
    <row r="162" spans="1:47" ht="15.75" thickBot="1" x14ac:dyDescent="0.3">
      <c r="A162" s="65" t="s">
        <v>520</v>
      </c>
    </row>
    <row r="163" spans="1:47" ht="71.25" thickBot="1" x14ac:dyDescent="0.3">
      <c r="A163" s="96" t="s">
        <v>516</v>
      </c>
      <c r="B163" s="97" t="s">
        <v>517</v>
      </c>
      <c r="C163" s="98">
        <v>40057</v>
      </c>
      <c r="D163" s="98">
        <v>40087</v>
      </c>
      <c r="E163" s="98">
        <v>40118</v>
      </c>
      <c r="F163" s="98">
        <v>40148</v>
      </c>
      <c r="G163" s="99" t="s">
        <v>114</v>
      </c>
      <c r="H163" s="98">
        <v>40179</v>
      </c>
      <c r="I163" s="98">
        <v>40210</v>
      </c>
      <c r="J163" s="98">
        <v>40238</v>
      </c>
      <c r="K163" s="98">
        <v>40269</v>
      </c>
      <c r="L163" s="98">
        <v>40299</v>
      </c>
      <c r="M163" s="98">
        <v>40330</v>
      </c>
      <c r="N163" s="98">
        <v>40360</v>
      </c>
      <c r="O163" s="98">
        <v>40391</v>
      </c>
      <c r="P163" s="98">
        <v>40422</v>
      </c>
      <c r="Q163" s="98">
        <v>40452</v>
      </c>
      <c r="R163" s="98">
        <v>40483</v>
      </c>
      <c r="S163" s="98">
        <v>40513</v>
      </c>
      <c r="T163" s="99" t="s">
        <v>135</v>
      </c>
      <c r="U163" s="98">
        <v>40544</v>
      </c>
      <c r="V163" s="98">
        <v>40575</v>
      </c>
      <c r="W163" s="98">
        <v>40603</v>
      </c>
      <c r="X163" s="98">
        <v>40634</v>
      </c>
      <c r="Y163" s="98">
        <v>40664</v>
      </c>
      <c r="Z163" s="98">
        <v>40695</v>
      </c>
      <c r="AA163" s="98">
        <v>40725</v>
      </c>
      <c r="AB163" s="98">
        <v>40756</v>
      </c>
      <c r="AC163" s="98">
        <v>40787</v>
      </c>
      <c r="AD163" s="98">
        <v>40817</v>
      </c>
      <c r="AE163" s="98">
        <v>40848</v>
      </c>
      <c r="AF163" s="98">
        <v>40878</v>
      </c>
      <c r="AG163" s="99" t="s">
        <v>108</v>
      </c>
      <c r="AH163" s="98">
        <v>40909</v>
      </c>
      <c r="AI163" s="98">
        <v>40940</v>
      </c>
      <c r="AJ163" s="98">
        <v>40969</v>
      </c>
      <c r="AK163" s="98">
        <v>41000</v>
      </c>
      <c r="AL163" s="98">
        <v>41030</v>
      </c>
      <c r="AM163" s="98">
        <v>41061</v>
      </c>
      <c r="AN163" s="98">
        <v>41091</v>
      </c>
      <c r="AO163" s="98">
        <v>41122</v>
      </c>
      <c r="AP163" s="98">
        <v>41153</v>
      </c>
      <c r="AQ163" s="98">
        <v>41183</v>
      </c>
      <c r="AR163" s="98">
        <v>41214</v>
      </c>
      <c r="AS163" s="98">
        <v>41244</v>
      </c>
      <c r="AT163" s="99" t="s">
        <v>109</v>
      </c>
      <c r="AU163" s="100" t="s">
        <v>519</v>
      </c>
    </row>
    <row r="164" spans="1:47" x14ac:dyDescent="0.25">
      <c r="A164" s="101" t="s">
        <v>489</v>
      </c>
      <c r="B164" s="93" t="s">
        <v>488</v>
      </c>
      <c r="C164" s="104"/>
      <c r="D164" s="104"/>
      <c r="E164" s="104"/>
      <c r="F164" s="105"/>
      <c r="G164" s="110">
        <f t="shared" ref="G164:G196" si="0">SUM(C164:F164)</f>
        <v>0</v>
      </c>
      <c r="H164" s="104"/>
      <c r="I164" s="104"/>
      <c r="J164" s="104"/>
      <c r="K164" s="104"/>
      <c r="L164" s="104"/>
      <c r="M164" s="104"/>
      <c r="N164" s="104"/>
      <c r="O164" s="104"/>
      <c r="P164" s="104"/>
      <c r="Q164" s="104"/>
      <c r="R164" s="104"/>
      <c r="S164" s="104"/>
      <c r="T164" s="110">
        <f t="shared" ref="T164:T196" si="1">SUM(H164:S164)</f>
        <v>0</v>
      </c>
      <c r="U164" s="104"/>
      <c r="V164" s="104"/>
      <c r="W164" s="104"/>
      <c r="X164" s="104"/>
      <c r="Y164" s="104"/>
      <c r="Z164" s="104"/>
      <c r="AA164" s="104"/>
      <c r="AB164" s="104"/>
      <c r="AC164" s="104"/>
      <c r="AD164" s="104"/>
      <c r="AE164" s="104"/>
      <c r="AF164" s="104"/>
      <c r="AG164" s="110">
        <f t="shared" ref="AG164:AG196" si="2">SUM(U164:AF164)</f>
        <v>0</v>
      </c>
      <c r="AH164" s="104"/>
      <c r="AI164" s="104"/>
      <c r="AJ164" s="104"/>
      <c r="AK164" s="104"/>
      <c r="AL164" s="104"/>
      <c r="AM164" s="104"/>
      <c r="AN164" s="104"/>
      <c r="AO164" s="104"/>
      <c r="AP164" s="104"/>
      <c r="AQ164" s="104"/>
      <c r="AR164" s="104"/>
      <c r="AS164" s="104"/>
      <c r="AT164" s="110">
        <f t="shared" ref="AT164:AT196" si="3">SUM(AH164:AS164)</f>
        <v>0</v>
      </c>
      <c r="AU164" s="111">
        <f t="shared" ref="AU164:AU196" si="4">G164+T164+AG164+AT164</f>
        <v>0</v>
      </c>
    </row>
    <row r="165" spans="1:47" x14ac:dyDescent="0.25">
      <c r="A165" s="101" t="s">
        <v>489</v>
      </c>
      <c r="B165" s="93" t="s">
        <v>457</v>
      </c>
      <c r="C165" s="106"/>
      <c r="D165" s="106"/>
      <c r="E165" s="106"/>
      <c r="F165" s="107"/>
      <c r="G165" s="112">
        <f t="shared" si="0"/>
        <v>0</v>
      </c>
      <c r="H165" s="106"/>
      <c r="I165" s="106"/>
      <c r="J165" s="106"/>
      <c r="K165" s="106"/>
      <c r="L165" s="106"/>
      <c r="M165" s="106"/>
      <c r="N165" s="106"/>
      <c r="O165" s="106"/>
      <c r="P165" s="106"/>
      <c r="Q165" s="106"/>
      <c r="R165" s="106"/>
      <c r="S165" s="106"/>
      <c r="T165" s="112">
        <f t="shared" si="1"/>
        <v>0</v>
      </c>
      <c r="U165" s="106"/>
      <c r="V165" s="106"/>
      <c r="W165" s="106"/>
      <c r="X165" s="106"/>
      <c r="Y165" s="106"/>
      <c r="Z165" s="106"/>
      <c r="AA165" s="106"/>
      <c r="AB165" s="106"/>
      <c r="AC165" s="106"/>
      <c r="AD165" s="106"/>
      <c r="AE165" s="106"/>
      <c r="AF165" s="106"/>
      <c r="AG165" s="112">
        <f t="shared" si="2"/>
        <v>0</v>
      </c>
      <c r="AH165" s="106"/>
      <c r="AI165" s="106"/>
      <c r="AJ165" s="106"/>
      <c r="AK165" s="106"/>
      <c r="AL165" s="106"/>
      <c r="AM165" s="106"/>
      <c r="AN165" s="106"/>
      <c r="AO165" s="106"/>
      <c r="AP165" s="106"/>
      <c r="AQ165" s="106"/>
      <c r="AR165" s="106"/>
      <c r="AS165" s="106"/>
      <c r="AT165" s="112">
        <f t="shared" si="3"/>
        <v>0</v>
      </c>
      <c r="AU165" s="111">
        <f t="shared" si="4"/>
        <v>0</v>
      </c>
    </row>
    <row r="166" spans="1:47" x14ac:dyDescent="0.25">
      <c r="A166" s="101" t="s">
        <v>489</v>
      </c>
      <c r="B166" s="93" t="s">
        <v>455</v>
      </c>
      <c r="C166" s="106"/>
      <c r="D166" s="106"/>
      <c r="E166" s="106"/>
      <c r="F166" s="107"/>
      <c r="G166" s="112">
        <f t="shared" si="0"/>
        <v>0</v>
      </c>
      <c r="H166" s="106"/>
      <c r="I166" s="106"/>
      <c r="J166" s="106"/>
      <c r="K166" s="106"/>
      <c r="L166" s="106"/>
      <c r="M166" s="106"/>
      <c r="N166" s="106"/>
      <c r="O166" s="106"/>
      <c r="P166" s="106"/>
      <c r="Q166" s="106"/>
      <c r="R166" s="106"/>
      <c r="S166" s="106"/>
      <c r="T166" s="112">
        <f t="shared" si="1"/>
        <v>0</v>
      </c>
      <c r="U166" s="106"/>
      <c r="V166" s="106"/>
      <c r="W166" s="106"/>
      <c r="X166" s="106"/>
      <c r="Y166" s="106"/>
      <c r="Z166" s="106"/>
      <c r="AA166" s="106"/>
      <c r="AB166" s="106"/>
      <c r="AC166" s="106"/>
      <c r="AD166" s="106"/>
      <c r="AE166" s="106"/>
      <c r="AF166" s="106"/>
      <c r="AG166" s="112">
        <f t="shared" si="2"/>
        <v>0</v>
      </c>
      <c r="AH166" s="106"/>
      <c r="AI166" s="106"/>
      <c r="AJ166" s="106"/>
      <c r="AK166" s="106"/>
      <c r="AL166" s="106"/>
      <c r="AM166" s="106"/>
      <c r="AN166" s="106"/>
      <c r="AO166" s="106"/>
      <c r="AP166" s="106"/>
      <c r="AQ166" s="106"/>
      <c r="AR166" s="106"/>
      <c r="AS166" s="106"/>
      <c r="AT166" s="112">
        <f t="shared" si="3"/>
        <v>0</v>
      </c>
      <c r="AU166" s="111">
        <f t="shared" si="4"/>
        <v>0</v>
      </c>
    </row>
    <row r="167" spans="1:47" x14ac:dyDescent="0.25">
      <c r="A167" s="102" t="s">
        <v>489</v>
      </c>
      <c r="B167" s="93" t="s">
        <v>378</v>
      </c>
      <c r="C167" s="106"/>
      <c r="D167" s="106"/>
      <c r="E167" s="106"/>
      <c r="F167" s="107"/>
      <c r="G167" s="112">
        <f t="shared" si="0"/>
        <v>0</v>
      </c>
      <c r="H167" s="106"/>
      <c r="I167" s="106"/>
      <c r="J167" s="106"/>
      <c r="K167" s="106"/>
      <c r="L167" s="106"/>
      <c r="M167" s="106"/>
      <c r="N167" s="106"/>
      <c r="O167" s="106"/>
      <c r="P167" s="106"/>
      <c r="Q167" s="106"/>
      <c r="R167" s="106"/>
      <c r="S167" s="106"/>
      <c r="T167" s="112">
        <f t="shared" si="1"/>
        <v>0</v>
      </c>
      <c r="U167" s="106"/>
      <c r="V167" s="106"/>
      <c r="W167" s="106"/>
      <c r="X167" s="106"/>
      <c r="Y167" s="106"/>
      <c r="Z167" s="106"/>
      <c r="AA167" s="106"/>
      <c r="AB167" s="106"/>
      <c r="AC167" s="106"/>
      <c r="AD167" s="106"/>
      <c r="AE167" s="106"/>
      <c r="AF167" s="106"/>
      <c r="AG167" s="112">
        <f t="shared" si="2"/>
        <v>0</v>
      </c>
      <c r="AH167" s="106"/>
      <c r="AI167" s="106"/>
      <c r="AJ167" s="106"/>
      <c r="AK167" s="106"/>
      <c r="AL167" s="106"/>
      <c r="AM167" s="106"/>
      <c r="AN167" s="106"/>
      <c r="AO167" s="106"/>
      <c r="AP167" s="106"/>
      <c r="AQ167" s="106"/>
      <c r="AR167" s="106"/>
      <c r="AS167" s="106"/>
      <c r="AT167" s="112">
        <f t="shared" si="3"/>
        <v>0</v>
      </c>
      <c r="AU167" s="111">
        <f t="shared" si="4"/>
        <v>0</v>
      </c>
    </row>
    <row r="168" spans="1:47" x14ac:dyDescent="0.25">
      <c r="A168" s="101" t="s">
        <v>489</v>
      </c>
      <c r="B168" s="93" t="s">
        <v>466</v>
      </c>
      <c r="C168" s="106"/>
      <c r="D168" s="106"/>
      <c r="E168" s="106"/>
      <c r="F168" s="107"/>
      <c r="G168" s="112">
        <f t="shared" si="0"/>
        <v>0</v>
      </c>
      <c r="H168" s="106"/>
      <c r="I168" s="106"/>
      <c r="J168" s="106"/>
      <c r="K168" s="106"/>
      <c r="L168" s="106"/>
      <c r="M168" s="106"/>
      <c r="N168" s="106"/>
      <c r="O168" s="106"/>
      <c r="P168" s="106"/>
      <c r="Q168" s="106"/>
      <c r="R168" s="106"/>
      <c r="S168" s="106"/>
      <c r="T168" s="112">
        <f t="shared" si="1"/>
        <v>0</v>
      </c>
      <c r="U168" s="106"/>
      <c r="V168" s="106"/>
      <c r="W168" s="106"/>
      <c r="X168" s="106"/>
      <c r="Y168" s="106"/>
      <c r="Z168" s="106"/>
      <c r="AA168" s="106"/>
      <c r="AB168" s="106"/>
      <c r="AC168" s="106"/>
      <c r="AD168" s="106"/>
      <c r="AE168" s="106"/>
      <c r="AF168" s="106"/>
      <c r="AG168" s="112">
        <f t="shared" si="2"/>
        <v>0</v>
      </c>
      <c r="AH168" s="106"/>
      <c r="AI168" s="106"/>
      <c r="AJ168" s="106"/>
      <c r="AK168" s="106"/>
      <c r="AL168" s="106"/>
      <c r="AM168" s="106"/>
      <c r="AN168" s="106"/>
      <c r="AO168" s="106"/>
      <c r="AP168" s="106"/>
      <c r="AQ168" s="106"/>
      <c r="AR168" s="106"/>
      <c r="AS168" s="106"/>
      <c r="AT168" s="112">
        <f t="shared" si="3"/>
        <v>0</v>
      </c>
      <c r="AU168" s="111">
        <f t="shared" si="4"/>
        <v>0</v>
      </c>
    </row>
    <row r="169" spans="1:47" x14ac:dyDescent="0.25">
      <c r="A169" s="101" t="s">
        <v>489</v>
      </c>
      <c r="B169" s="93" t="s">
        <v>456</v>
      </c>
      <c r="C169" s="106"/>
      <c r="D169" s="106"/>
      <c r="E169" s="106"/>
      <c r="F169" s="107"/>
      <c r="G169" s="112">
        <f t="shared" si="0"/>
        <v>0</v>
      </c>
      <c r="H169" s="106"/>
      <c r="I169" s="106"/>
      <c r="J169" s="106"/>
      <c r="K169" s="106"/>
      <c r="L169" s="106"/>
      <c r="M169" s="106"/>
      <c r="N169" s="106"/>
      <c r="O169" s="106"/>
      <c r="P169" s="106"/>
      <c r="Q169" s="106"/>
      <c r="R169" s="106"/>
      <c r="S169" s="106"/>
      <c r="T169" s="112">
        <f t="shared" si="1"/>
        <v>0</v>
      </c>
      <c r="U169" s="106"/>
      <c r="V169" s="106"/>
      <c r="W169" s="106"/>
      <c r="X169" s="106"/>
      <c r="Y169" s="106"/>
      <c r="Z169" s="106"/>
      <c r="AA169" s="106"/>
      <c r="AB169" s="106"/>
      <c r="AC169" s="106"/>
      <c r="AD169" s="106"/>
      <c r="AE169" s="106"/>
      <c r="AF169" s="106"/>
      <c r="AG169" s="112">
        <f t="shared" si="2"/>
        <v>0</v>
      </c>
      <c r="AH169" s="106"/>
      <c r="AI169" s="106"/>
      <c r="AJ169" s="106"/>
      <c r="AK169" s="106"/>
      <c r="AL169" s="106"/>
      <c r="AM169" s="106"/>
      <c r="AN169" s="106"/>
      <c r="AO169" s="106"/>
      <c r="AP169" s="106"/>
      <c r="AQ169" s="106"/>
      <c r="AR169" s="106"/>
      <c r="AS169" s="106"/>
      <c r="AT169" s="112">
        <f t="shared" si="3"/>
        <v>0</v>
      </c>
      <c r="AU169" s="111">
        <f t="shared" si="4"/>
        <v>0</v>
      </c>
    </row>
    <row r="170" spans="1:47" x14ac:dyDescent="0.25">
      <c r="A170" s="101" t="s">
        <v>489</v>
      </c>
      <c r="B170" s="93" t="s">
        <v>374</v>
      </c>
      <c r="C170" s="106"/>
      <c r="D170" s="106"/>
      <c r="E170" s="106"/>
      <c r="F170" s="107"/>
      <c r="G170" s="112">
        <f t="shared" si="0"/>
        <v>0</v>
      </c>
      <c r="H170" s="106"/>
      <c r="I170" s="106"/>
      <c r="J170" s="106"/>
      <c r="K170" s="106"/>
      <c r="L170" s="106"/>
      <c r="M170" s="106"/>
      <c r="N170" s="106"/>
      <c r="O170" s="106"/>
      <c r="P170" s="106"/>
      <c r="Q170" s="106"/>
      <c r="R170" s="106"/>
      <c r="S170" s="106"/>
      <c r="T170" s="112">
        <f t="shared" si="1"/>
        <v>0</v>
      </c>
      <c r="U170" s="106"/>
      <c r="V170" s="106"/>
      <c r="W170" s="106"/>
      <c r="X170" s="106"/>
      <c r="Y170" s="106"/>
      <c r="Z170" s="106"/>
      <c r="AA170" s="106"/>
      <c r="AB170" s="106"/>
      <c r="AC170" s="106"/>
      <c r="AD170" s="106"/>
      <c r="AE170" s="106"/>
      <c r="AF170" s="106"/>
      <c r="AG170" s="112">
        <f t="shared" si="2"/>
        <v>0</v>
      </c>
      <c r="AH170" s="106"/>
      <c r="AI170" s="106"/>
      <c r="AJ170" s="106"/>
      <c r="AK170" s="106"/>
      <c r="AL170" s="106"/>
      <c r="AM170" s="106"/>
      <c r="AN170" s="106"/>
      <c r="AO170" s="106"/>
      <c r="AP170" s="106"/>
      <c r="AQ170" s="106"/>
      <c r="AR170" s="106"/>
      <c r="AS170" s="106"/>
      <c r="AT170" s="112">
        <f t="shared" si="3"/>
        <v>0</v>
      </c>
      <c r="AU170" s="111">
        <f t="shared" si="4"/>
        <v>0</v>
      </c>
    </row>
    <row r="171" spans="1:47" x14ac:dyDescent="0.25">
      <c r="A171" s="101" t="s">
        <v>489</v>
      </c>
      <c r="B171" s="93" t="s">
        <v>487</v>
      </c>
      <c r="C171" s="106"/>
      <c r="D171" s="106"/>
      <c r="E171" s="106"/>
      <c r="F171" s="107"/>
      <c r="G171" s="112">
        <f t="shared" si="0"/>
        <v>0</v>
      </c>
      <c r="H171" s="106"/>
      <c r="I171" s="106"/>
      <c r="J171" s="106"/>
      <c r="K171" s="106"/>
      <c r="L171" s="106"/>
      <c r="M171" s="106"/>
      <c r="N171" s="106"/>
      <c r="O171" s="106"/>
      <c r="P171" s="106"/>
      <c r="Q171" s="106"/>
      <c r="R171" s="106"/>
      <c r="S171" s="106"/>
      <c r="T171" s="112">
        <f t="shared" si="1"/>
        <v>0</v>
      </c>
      <c r="U171" s="106"/>
      <c r="V171" s="106"/>
      <c r="W171" s="106"/>
      <c r="X171" s="106"/>
      <c r="Y171" s="106"/>
      <c r="Z171" s="106"/>
      <c r="AA171" s="106"/>
      <c r="AB171" s="106"/>
      <c r="AC171" s="106"/>
      <c r="AD171" s="106"/>
      <c r="AE171" s="106"/>
      <c r="AF171" s="106"/>
      <c r="AG171" s="112">
        <f t="shared" si="2"/>
        <v>0</v>
      </c>
      <c r="AH171" s="106"/>
      <c r="AI171" s="106"/>
      <c r="AJ171" s="106"/>
      <c r="AK171" s="106"/>
      <c r="AL171" s="106"/>
      <c r="AM171" s="106"/>
      <c r="AN171" s="106"/>
      <c r="AO171" s="106"/>
      <c r="AP171" s="106"/>
      <c r="AQ171" s="106"/>
      <c r="AR171" s="106"/>
      <c r="AS171" s="106"/>
      <c r="AT171" s="112">
        <f t="shared" si="3"/>
        <v>0</v>
      </c>
      <c r="AU171" s="111">
        <f t="shared" si="4"/>
        <v>0</v>
      </c>
    </row>
    <row r="172" spans="1:47" x14ac:dyDescent="0.25">
      <c r="A172" s="101" t="s">
        <v>489</v>
      </c>
      <c r="B172" s="93" t="s">
        <v>503</v>
      </c>
      <c r="C172" s="106"/>
      <c r="D172" s="106"/>
      <c r="E172" s="106"/>
      <c r="F172" s="107"/>
      <c r="G172" s="112">
        <f t="shared" si="0"/>
        <v>0</v>
      </c>
      <c r="H172" s="106"/>
      <c r="I172" s="106"/>
      <c r="J172" s="106"/>
      <c r="K172" s="106"/>
      <c r="L172" s="106"/>
      <c r="M172" s="106"/>
      <c r="N172" s="106"/>
      <c r="O172" s="106"/>
      <c r="P172" s="106"/>
      <c r="Q172" s="106"/>
      <c r="R172" s="106"/>
      <c r="S172" s="106"/>
      <c r="T172" s="112">
        <f t="shared" si="1"/>
        <v>0</v>
      </c>
      <c r="U172" s="106"/>
      <c r="V172" s="106"/>
      <c r="W172" s="106"/>
      <c r="X172" s="106"/>
      <c r="Y172" s="106"/>
      <c r="Z172" s="106"/>
      <c r="AA172" s="106"/>
      <c r="AB172" s="106"/>
      <c r="AC172" s="106"/>
      <c r="AD172" s="106"/>
      <c r="AE172" s="106"/>
      <c r="AF172" s="106"/>
      <c r="AG172" s="112">
        <f t="shared" si="2"/>
        <v>0</v>
      </c>
      <c r="AH172" s="106"/>
      <c r="AI172" s="106"/>
      <c r="AJ172" s="106"/>
      <c r="AK172" s="106"/>
      <c r="AL172" s="106"/>
      <c r="AM172" s="106"/>
      <c r="AN172" s="106"/>
      <c r="AO172" s="106"/>
      <c r="AP172" s="106"/>
      <c r="AQ172" s="106"/>
      <c r="AR172" s="106"/>
      <c r="AS172" s="106"/>
      <c r="AT172" s="112">
        <f t="shared" si="3"/>
        <v>0</v>
      </c>
      <c r="AU172" s="111">
        <f t="shared" si="4"/>
        <v>0</v>
      </c>
    </row>
    <row r="173" spans="1:47" x14ac:dyDescent="0.25">
      <c r="A173" s="101" t="s">
        <v>489</v>
      </c>
      <c r="B173" s="93" t="s">
        <v>504</v>
      </c>
      <c r="C173" s="106"/>
      <c r="D173" s="106"/>
      <c r="E173" s="106"/>
      <c r="F173" s="107"/>
      <c r="G173" s="112">
        <f t="shared" si="0"/>
        <v>0</v>
      </c>
      <c r="H173" s="106"/>
      <c r="I173" s="106"/>
      <c r="J173" s="106"/>
      <c r="K173" s="106"/>
      <c r="L173" s="106"/>
      <c r="M173" s="106"/>
      <c r="N173" s="106"/>
      <c r="O173" s="106"/>
      <c r="P173" s="106"/>
      <c r="Q173" s="106"/>
      <c r="R173" s="106"/>
      <c r="S173" s="106"/>
      <c r="T173" s="112">
        <f t="shared" si="1"/>
        <v>0</v>
      </c>
      <c r="U173" s="106"/>
      <c r="V173" s="106"/>
      <c r="W173" s="106"/>
      <c r="X173" s="106"/>
      <c r="Y173" s="106"/>
      <c r="Z173" s="106"/>
      <c r="AA173" s="106"/>
      <c r="AB173" s="106"/>
      <c r="AC173" s="106"/>
      <c r="AD173" s="106"/>
      <c r="AE173" s="106"/>
      <c r="AF173" s="106"/>
      <c r="AG173" s="112">
        <f t="shared" si="2"/>
        <v>0</v>
      </c>
      <c r="AH173" s="106"/>
      <c r="AI173" s="106"/>
      <c r="AJ173" s="106"/>
      <c r="AK173" s="106"/>
      <c r="AL173" s="106"/>
      <c r="AM173" s="106"/>
      <c r="AN173" s="106"/>
      <c r="AO173" s="106"/>
      <c r="AP173" s="106"/>
      <c r="AQ173" s="106"/>
      <c r="AR173" s="106"/>
      <c r="AS173" s="106"/>
      <c r="AT173" s="112">
        <f t="shared" si="3"/>
        <v>0</v>
      </c>
      <c r="AU173" s="111">
        <f t="shared" si="4"/>
        <v>0</v>
      </c>
    </row>
    <row r="174" spans="1:47" x14ac:dyDescent="0.25">
      <c r="A174" s="101" t="s">
        <v>489</v>
      </c>
      <c r="B174" s="93" t="s">
        <v>484</v>
      </c>
      <c r="C174" s="106"/>
      <c r="D174" s="106"/>
      <c r="E174" s="106"/>
      <c r="F174" s="107"/>
      <c r="G174" s="112">
        <f t="shared" si="0"/>
        <v>0</v>
      </c>
      <c r="H174" s="106"/>
      <c r="I174" s="106"/>
      <c r="J174" s="106"/>
      <c r="K174" s="106"/>
      <c r="L174" s="106"/>
      <c r="M174" s="106"/>
      <c r="N174" s="106"/>
      <c r="O174" s="106"/>
      <c r="P174" s="106"/>
      <c r="Q174" s="106"/>
      <c r="R174" s="106"/>
      <c r="S174" s="106"/>
      <c r="T174" s="112">
        <f t="shared" si="1"/>
        <v>0</v>
      </c>
      <c r="U174" s="106"/>
      <c r="V174" s="106"/>
      <c r="W174" s="106"/>
      <c r="X174" s="106"/>
      <c r="Y174" s="106"/>
      <c r="Z174" s="106"/>
      <c r="AA174" s="106"/>
      <c r="AB174" s="106"/>
      <c r="AC174" s="106"/>
      <c r="AD174" s="106"/>
      <c r="AE174" s="106"/>
      <c r="AF174" s="106"/>
      <c r="AG174" s="112">
        <f t="shared" si="2"/>
        <v>0</v>
      </c>
      <c r="AH174" s="106"/>
      <c r="AI174" s="106"/>
      <c r="AJ174" s="106"/>
      <c r="AK174" s="106"/>
      <c r="AL174" s="106"/>
      <c r="AM174" s="106"/>
      <c r="AN174" s="106"/>
      <c r="AO174" s="106"/>
      <c r="AP174" s="106"/>
      <c r="AQ174" s="106"/>
      <c r="AR174" s="106"/>
      <c r="AS174" s="106"/>
      <c r="AT174" s="112">
        <f t="shared" si="3"/>
        <v>0</v>
      </c>
      <c r="AU174" s="111">
        <f t="shared" si="4"/>
        <v>0</v>
      </c>
    </row>
    <row r="175" spans="1:47" x14ac:dyDescent="0.25">
      <c r="A175" s="101" t="s">
        <v>489</v>
      </c>
      <c r="B175" s="93" t="s">
        <v>506</v>
      </c>
      <c r="C175" s="106"/>
      <c r="D175" s="106"/>
      <c r="E175" s="106"/>
      <c r="F175" s="107"/>
      <c r="G175" s="112">
        <f t="shared" si="0"/>
        <v>0</v>
      </c>
      <c r="H175" s="106"/>
      <c r="I175" s="106"/>
      <c r="J175" s="106"/>
      <c r="K175" s="106"/>
      <c r="L175" s="106"/>
      <c r="M175" s="106"/>
      <c r="N175" s="106"/>
      <c r="O175" s="106"/>
      <c r="P175" s="106"/>
      <c r="Q175" s="106"/>
      <c r="R175" s="106"/>
      <c r="S175" s="106"/>
      <c r="T175" s="112">
        <f t="shared" si="1"/>
        <v>0</v>
      </c>
      <c r="U175" s="106"/>
      <c r="V175" s="106"/>
      <c r="W175" s="106"/>
      <c r="X175" s="106"/>
      <c r="Y175" s="106"/>
      <c r="Z175" s="106"/>
      <c r="AA175" s="106"/>
      <c r="AB175" s="106"/>
      <c r="AC175" s="106"/>
      <c r="AD175" s="106"/>
      <c r="AE175" s="106"/>
      <c r="AF175" s="106"/>
      <c r="AG175" s="112">
        <f t="shared" si="2"/>
        <v>0</v>
      </c>
      <c r="AH175" s="106"/>
      <c r="AI175" s="106"/>
      <c r="AJ175" s="106"/>
      <c r="AK175" s="106"/>
      <c r="AL175" s="106"/>
      <c r="AM175" s="106"/>
      <c r="AN175" s="106"/>
      <c r="AO175" s="106"/>
      <c r="AP175" s="106"/>
      <c r="AQ175" s="106"/>
      <c r="AR175" s="106"/>
      <c r="AS175" s="106"/>
      <c r="AT175" s="112">
        <f t="shared" si="3"/>
        <v>0</v>
      </c>
      <c r="AU175" s="111">
        <f t="shared" si="4"/>
        <v>0</v>
      </c>
    </row>
    <row r="176" spans="1:47" x14ac:dyDescent="0.25">
      <c r="A176" s="101" t="s">
        <v>513</v>
      </c>
      <c r="B176" s="93" t="s">
        <v>485</v>
      </c>
      <c r="C176" s="106"/>
      <c r="D176" s="106"/>
      <c r="E176" s="106"/>
      <c r="F176" s="107"/>
      <c r="G176" s="112">
        <f t="shared" si="0"/>
        <v>0</v>
      </c>
      <c r="H176" s="106"/>
      <c r="I176" s="106"/>
      <c r="J176" s="106"/>
      <c r="K176" s="106"/>
      <c r="L176" s="106"/>
      <c r="M176" s="106"/>
      <c r="N176" s="106"/>
      <c r="O176" s="106"/>
      <c r="P176" s="106"/>
      <c r="Q176" s="106"/>
      <c r="R176" s="106"/>
      <c r="S176" s="106"/>
      <c r="T176" s="112">
        <f t="shared" si="1"/>
        <v>0</v>
      </c>
      <c r="U176" s="106"/>
      <c r="V176" s="106"/>
      <c r="W176" s="106"/>
      <c r="X176" s="106"/>
      <c r="Y176" s="106"/>
      <c r="Z176" s="106"/>
      <c r="AA176" s="106"/>
      <c r="AB176" s="106"/>
      <c r="AC176" s="106"/>
      <c r="AD176" s="106"/>
      <c r="AE176" s="106"/>
      <c r="AF176" s="106"/>
      <c r="AG176" s="112">
        <f t="shared" si="2"/>
        <v>0</v>
      </c>
      <c r="AH176" s="106"/>
      <c r="AI176" s="106"/>
      <c r="AJ176" s="106"/>
      <c r="AK176" s="106"/>
      <c r="AL176" s="106"/>
      <c r="AM176" s="106"/>
      <c r="AN176" s="106"/>
      <c r="AO176" s="106"/>
      <c r="AP176" s="106"/>
      <c r="AQ176" s="106"/>
      <c r="AR176" s="106"/>
      <c r="AS176" s="106"/>
      <c r="AT176" s="112">
        <f t="shared" si="3"/>
        <v>0</v>
      </c>
      <c r="AU176" s="111">
        <f t="shared" si="4"/>
        <v>0</v>
      </c>
    </row>
    <row r="177" spans="1:47" x14ac:dyDescent="0.25">
      <c r="A177" s="101" t="s">
        <v>513</v>
      </c>
      <c r="B177" s="93" t="s">
        <v>486</v>
      </c>
      <c r="C177" s="106"/>
      <c r="D177" s="106"/>
      <c r="E177" s="106"/>
      <c r="F177" s="107"/>
      <c r="G177" s="112">
        <f t="shared" si="0"/>
        <v>0</v>
      </c>
      <c r="H177" s="106"/>
      <c r="I177" s="106"/>
      <c r="J177" s="106"/>
      <c r="K177" s="106"/>
      <c r="L177" s="106"/>
      <c r="M177" s="106"/>
      <c r="N177" s="106"/>
      <c r="O177" s="106"/>
      <c r="P177" s="106"/>
      <c r="Q177" s="106"/>
      <c r="R177" s="106"/>
      <c r="S177" s="106"/>
      <c r="T177" s="112">
        <f t="shared" si="1"/>
        <v>0</v>
      </c>
      <c r="U177" s="106"/>
      <c r="V177" s="106"/>
      <c r="W177" s="106"/>
      <c r="X177" s="106"/>
      <c r="Y177" s="106"/>
      <c r="Z177" s="106"/>
      <c r="AA177" s="106"/>
      <c r="AB177" s="106"/>
      <c r="AC177" s="106"/>
      <c r="AD177" s="106"/>
      <c r="AE177" s="106"/>
      <c r="AF177" s="106"/>
      <c r="AG177" s="112">
        <f t="shared" si="2"/>
        <v>0</v>
      </c>
      <c r="AH177" s="106"/>
      <c r="AI177" s="106"/>
      <c r="AJ177" s="106"/>
      <c r="AK177" s="106"/>
      <c r="AL177" s="106"/>
      <c r="AM177" s="106"/>
      <c r="AN177" s="106"/>
      <c r="AO177" s="106"/>
      <c r="AP177" s="106"/>
      <c r="AQ177" s="106"/>
      <c r="AR177" s="106"/>
      <c r="AS177" s="106"/>
      <c r="AT177" s="112">
        <f t="shared" si="3"/>
        <v>0</v>
      </c>
      <c r="AU177" s="111">
        <f t="shared" si="4"/>
        <v>0</v>
      </c>
    </row>
    <row r="178" spans="1:47" x14ac:dyDescent="0.25">
      <c r="A178" s="102" t="s">
        <v>490</v>
      </c>
      <c r="B178" s="93" t="s">
        <v>483</v>
      </c>
      <c r="C178" s="106"/>
      <c r="D178" s="106"/>
      <c r="E178" s="106"/>
      <c r="F178" s="107"/>
      <c r="G178" s="112">
        <f t="shared" si="0"/>
        <v>0</v>
      </c>
      <c r="H178" s="106"/>
      <c r="I178" s="106"/>
      <c r="J178" s="106"/>
      <c r="K178" s="106"/>
      <c r="L178" s="106"/>
      <c r="M178" s="106"/>
      <c r="N178" s="106"/>
      <c r="O178" s="106"/>
      <c r="P178" s="106"/>
      <c r="Q178" s="106"/>
      <c r="R178" s="106"/>
      <c r="S178" s="106"/>
      <c r="T178" s="112">
        <f t="shared" si="1"/>
        <v>0</v>
      </c>
      <c r="U178" s="106"/>
      <c r="V178" s="106"/>
      <c r="W178" s="106"/>
      <c r="X178" s="106"/>
      <c r="Y178" s="106"/>
      <c r="Z178" s="106"/>
      <c r="AA178" s="106"/>
      <c r="AB178" s="106"/>
      <c r="AC178" s="106"/>
      <c r="AD178" s="106"/>
      <c r="AE178" s="106"/>
      <c r="AF178" s="106"/>
      <c r="AG178" s="112">
        <f t="shared" si="2"/>
        <v>0</v>
      </c>
      <c r="AH178" s="106"/>
      <c r="AI178" s="106"/>
      <c r="AJ178" s="106"/>
      <c r="AK178" s="106"/>
      <c r="AL178" s="106"/>
      <c r="AM178" s="106"/>
      <c r="AN178" s="106"/>
      <c r="AO178" s="106"/>
      <c r="AP178" s="106"/>
      <c r="AQ178" s="106"/>
      <c r="AR178" s="106"/>
      <c r="AS178" s="106"/>
      <c r="AT178" s="112">
        <f t="shared" si="3"/>
        <v>0</v>
      </c>
      <c r="AU178" s="111">
        <f t="shared" si="4"/>
        <v>0</v>
      </c>
    </row>
    <row r="179" spans="1:47" x14ac:dyDescent="0.25">
      <c r="A179" s="102" t="s">
        <v>490</v>
      </c>
      <c r="B179" s="93" t="s">
        <v>460</v>
      </c>
      <c r="C179" s="106"/>
      <c r="D179" s="106"/>
      <c r="E179" s="106"/>
      <c r="F179" s="107"/>
      <c r="G179" s="112">
        <f t="shared" si="0"/>
        <v>0</v>
      </c>
      <c r="H179" s="106"/>
      <c r="I179" s="106"/>
      <c r="J179" s="106"/>
      <c r="K179" s="106"/>
      <c r="L179" s="106"/>
      <c r="M179" s="106"/>
      <c r="N179" s="106"/>
      <c r="O179" s="106"/>
      <c r="P179" s="106"/>
      <c r="Q179" s="106"/>
      <c r="R179" s="106"/>
      <c r="S179" s="106"/>
      <c r="T179" s="112">
        <f t="shared" si="1"/>
        <v>0</v>
      </c>
      <c r="U179" s="106"/>
      <c r="V179" s="106"/>
      <c r="W179" s="106"/>
      <c r="X179" s="106"/>
      <c r="Y179" s="106"/>
      <c r="Z179" s="106"/>
      <c r="AA179" s="106"/>
      <c r="AB179" s="106"/>
      <c r="AC179" s="106"/>
      <c r="AD179" s="106"/>
      <c r="AE179" s="106"/>
      <c r="AF179" s="106"/>
      <c r="AG179" s="112">
        <f t="shared" si="2"/>
        <v>0</v>
      </c>
      <c r="AH179" s="106"/>
      <c r="AI179" s="106"/>
      <c r="AJ179" s="106"/>
      <c r="AK179" s="106"/>
      <c r="AL179" s="106"/>
      <c r="AM179" s="106"/>
      <c r="AN179" s="106"/>
      <c r="AO179" s="106"/>
      <c r="AP179" s="106"/>
      <c r="AQ179" s="106"/>
      <c r="AR179" s="106"/>
      <c r="AS179" s="106"/>
      <c r="AT179" s="112">
        <f t="shared" si="3"/>
        <v>0</v>
      </c>
      <c r="AU179" s="111">
        <f t="shared" si="4"/>
        <v>0</v>
      </c>
    </row>
    <row r="180" spans="1:47" x14ac:dyDescent="0.25">
      <c r="A180" s="102" t="s">
        <v>490</v>
      </c>
      <c r="B180" s="93" t="s">
        <v>505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490</v>
      </c>
      <c r="B181" s="93" t="s">
        <v>458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1" t="s">
        <v>490</v>
      </c>
      <c r="B182" s="93" t="s">
        <v>514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490</v>
      </c>
      <c r="B183" s="93" t="s">
        <v>510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2" t="s">
        <v>490</v>
      </c>
      <c r="B184" s="93" t="s">
        <v>509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490</v>
      </c>
      <c r="B185" s="93" t="s">
        <v>373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490</v>
      </c>
      <c r="B186" s="93" t="s">
        <v>507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493</v>
      </c>
      <c r="B187" s="93" t="s">
        <v>508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493</v>
      </c>
      <c r="B188" s="93" t="s">
        <v>459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493</v>
      </c>
      <c r="B189" s="93" t="s">
        <v>494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493</v>
      </c>
      <c r="B190" s="93" t="s">
        <v>491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493</v>
      </c>
      <c r="B191" s="93" t="s">
        <v>492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493</v>
      </c>
      <c r="B192" s="93" t="s">
        <v>511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1" t="s">
        <v>493</v>
      </c>
      <c r="B193" s="93" t="s">
        <v>495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1" t="s">
        <v>42</v>
      </c>
      <c r="B194" s="93" t="s">
        <v>42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1" t="s">
        <v>375</v>
      </c>
      <c r="B195" s="93" t="s">
        <v>375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ht="15.75" thickBot="1" x14ac:dyDescent="0.3">
      <c r="A196" s="103" t="s">
        <v>515</v>
      </c>
      <c r="B196" s="94" t="s">
        <v>515</v>
      </c>
      <c r="C196" s="108"/>
      <c r="D196" s="108"/>
      <c r="E196" s="108"/>
      <c r="F196" s="109"/>
      <c r="G196" s="113">
        <f t="shared" si="0"/>
        <v>0</v>
      </c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13">
        <f t="shared" si="1"/>
        <v>0</v>
      </c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13">
        <f t="shared" si="2"/>
        <v>0</v>
      </c>
      <c r="AH196" s="108"/>
      <c r="AI196" s="108"/>
      <c r="AJ196" s="108"/>
      <c r="AK196" s="108"/>
      <c r="AL196" s="108"/>
      <c r="AM196" s="108"/>
      <c r="AN196" s="108"/>
      <c r="AO196" s="108"/>
      <c r="AP196" s="108"/>
      <c r="AQ196" s="108"/>
      <c r="AR196" s="108"/>
      <c r="AS196" s="108"/>
      <c r="AT196" s="113">
        <f t="shared" si="3"/>
        <v>0</v>
      </c>
      <c r="AU196" s="114">
        <f t="shared" si="4"/>
        <v>0</v>
      </c>
    </row>
    <row r="197" spans="1:47" ht="15.75" thickBot="1" x14ac:dyDescent="0.3">
      <c r="A197" s="92"/>
      <c r="B197" s="95" t="s">
        <v>518</v>
      </c>
      <c r="C197" s="32">
        <f t="shared" ref="C197:AU197" si="5">SUM(C164:C196)</f>
        <v>0</v>
      </c>
      <c r="D197" s="32">
        <f t="shared" si="5"/>
        <v>0</v>
      </c>
      <c r="E197" s="32">
        <f t="shared" si="5"/>
        <v>0</v>
      </c>
      <c r="F197" s="32">
        <f t="shared" si="5"/>
        <v>0</v>
      </c>
      <c r="G197" s="116">
        <f t="shared" si="5"/>
        <v>0</v>
      </c>
      <c r="H197" s="32">
        <f t="shared" si="5"/>
        <v>0</v>
      </c>
      <c r="I197" s="32">
        <f t="shared" si="5"/>
        <v>0</v>
      </c>
      <c r="J197" s="32">
        <f t="shared" si="5"/>
        <v>0</v>
      </c>
      <c r="K197" s="32">
        <f t="shared" si="5"/>
        <v>0</v>
      </c>
      <c r="L197" s="32">
        <f t="shared" si="5"/>
        <v>0</v>
      </c>
      <c r="M197" s="32">
        <f t="shared" si="5"/>
        <v>0</v>
      </c>
      <c r="N197" s="32">
        <f t="shared" si="5"/>
        <v>0</v>
      </c>
      <c r="O197" s="32">
        <f t="shared" si="5"/>
        <v>0</v>
      </c>
      <c r="P197" s="32">
        <f t="shared" si="5"/>
        <v>0</v>
      </c>
      <c r="Q197" s="32">
        <f t="shared" si="5"/>
        <v>0</v>
      </c>
      <c r="R197" s="32">
        <f t="shared" si="5"/>
        <v>0</v>
      </c>
      <c r="S197" s="32">
        <f t="shared" si="5"/>
        <v>0</v>
      </c>
      <c r="T197" s="116">
        <f t="shared" si="5"/>
        <v>0</v>
      </c>
      <c r="U197" s="32">
        <f t="shared" si="5"/>
        <v>0</v>
      </c>
      <c r="V197" s="32">
        <f t="shared" si="5"/>
        <v>0</v>
      </c>
      <c r="W197" s="32">
        <f t="shared" si="5"/>
        <v>0</v>
      </c>
      <c r="X197" s="32">
        <f t="shared" si="5"/>
        <v>0</v>
      </c>
      <c r="Y197" s="32">
        <f t="shared" si="5"/>
        <v>0</v>
      </c>
      <c r="Z197" s="32">
        <f t="shared" si="5"/>
        <v>0</v>
      </c>
      <c r="AA197" s="32">
        <f t="shared" si="5"/>
        <v>0</v>
      </c>
      <c r="AB197" s="32">
        <f t="shared" si="5"/>
        <v>0</v>
      </c>
      <c r="AC197" s="32">
        <f t="shared" si="5"/>
        <v>0</v>
      </c>
      <c r="AD197" s="32">
        <f t="shared" si="5"/>
        <v>0</v>
      </c>
      <c r="AE197" s="32">
        <f t="shared" si="5"/>
        <v>0</v>
      </c>
      <c r="AF197" s="32">
        <f t="shared" si="5"/>
        <v>0</v>
      </c>
      <c r="AG197" s="116">
        <f t="shared" si="5"/>
        <v>0</v>
      </c>
      <c r="AH197" s="32">
        <f t="shared" si="5"/>
        <v>0</v>
      </c>
      <c r="AI197" s="32">
        <f t="shared" si="5"/>
        <v>0</v>
      </c>
      <c r="AJ197" s="32">
        <f t="shared" si="5"/>
        <v>0</v>
      </c>
      <c r="AK197" s="32">
        <f t="shared" si="5"/>
        <v>0</v>
      </c>
      <c r="AL197" s="32">
        <f t="shared" si="5"/>
        <v>0</v>
      </c>
      <c r="AM197" s="32">
        <f t="shared" si="5"/>
        <v>0</v>
      </c>
      <c r="AN197" s="32">
        <f t="shared" si="5"/>
        <v>0</v>
      </c>
      <c r="AO197" s="32">
        <f t="shared" si="5"/>
        <v>0</v>
      </c>
      <c r="AP197" s="32">
        <f t="shared" si="5"/>
        <v>0</v>
      </c>
      <c r="AQ197" s="32">
        <f t="shared" si="5"/>
        <v>0</v>
      </c>
      <c r="AR197" s="32">
        <f t="shared" si="5"/>
        <v>0</v>
      </c>
      <c r="AS197" s="32">
        <f t="shared" si="5"/>
        <v>0</v>
      </c>
      <c r="AT197" s="116">
        <f t="shared" si="5"/>
        <v>0</v>
      </c>
      <c r="AU197" s="115">
        <f t="shared" si="5"/>
        <v>0</v>
      </c>
    </row>
    <row r="1136" spans="1:23" ht="15.75" thickBot="1" x14ac:dyDescent="0.3">
      <c r="A1136" s="364"/>
      <c r="B1136" s="365"/>
      <c r="C1136" s="366"/>
      <c r="D1136" s="366"/>
      <c r="E1136" s="367"/>
      <c r="F1136" s="368"/>
      <c r="G1136" s="369"/>
      <c r="H1136" s="369"/>
      <c r="I1136" s="370"/>
      <c r="J1136" s="371"/>
      <c r="K1136" s="371"/>
      <c r="L1136" s="372"/>
      <c r="M1136" s="370"/>
      <c r="N1136" s="373"/>
      <c r="O1136" s="373"/>
      <c r="P1136" s="374"/>
      <c r="Q1136" s="374"/>
      <c r="R1136" s="374"/>
      <c r="S1136" s="375"/>
      <c r="T1136" s="376"/>
      <c r="U1136" s="376"/>
      <c r="V1136" s="376"/>
      <c r="W1136" s="374"/>
    </row>
    <row r="1137" spans="1:23" x14ac:dyDescent="0.25">
      <c r="A1137" s="364"/>
      <c r="B1137" s="379" t="s">
        <v>736</v>
      </c>
      <c r="C1137" s="429">
        <f>COUNTIF(B$1:B1134,B1137)</f>
        <v>1</v>
      </c>
      <c r="D1137" s="437">
        <f>C1137/C1142</f>
        <v>0.2</v>
      </c>
      <c r="E1137" s="380"/>
      <c r="F1137" s="368"/>
      <c r="G1137" s="369"/>
      <c r="H1137" s="369"/>
      <c r="I1137" s="381"/>
      <c r="J1137" s="430">
        <f>SUMIF(B$3:B1134,B1137,T$3:T1141)</f>
        <v>48</v>
      </c>
      <c r="K1137" s="441"/>
      <c r="L1137" s="442">
        <f>J1137/J1142</f>
        <v>1</v>
      </c>
      <c r="M1137" s="373"/>
      <c r="N1137" s="373"/>
      <c r="O1137" s="373"/>
      <c r="P1137" s="374"/>
      <c r="Q1137" s="374"/>
      <c r="R1137" s="374"/>
      <c r="S1137" s="375" t="s">
        <v>713</v>
      </c>
      <c r="T1137" s="383">
        <v>1261915799.52244</v>
      </c>
      <c r="U1137" s="383" t="e">
        <f>SUM(#REF!)</f>
        <v>#REF!</v>
      </c>
      <c r="V1137" s="383" t="e">
        <f>SUM(#REF!)</f>
        <v>#REF!</v>
      </c>
      <c r="W1137" s="374" t="s">
        <v>737</v>
      </c>
    </row>
    <row r="1138" spans="1:23" x14ac:dyDescent="0.25">
      <c r="A1138" s="364"/>
      <c r="B1138" s="384" t="s">
        <v>738</v>
      </c>
      <c r="C1138" s="431">
        <f>COUNTIF(B$1:B1134,B1138)</f>
        <v>1</v>
      </c>
      <c r="D1138" s="438">
        <f>C1138/C1142</f>
        <v>0.2</v>
      </c>
      <c r="E1138" s="380"/>
      <c r="F1138" s="368"/>
      <c r="G1138" s="369"/>
      <c r="H1138" s="369"/>
      <c r="I1138" s="381"/>
      <c r="J1138" s="432">
        <f>SUMIF(B$3:B1137,B1138,T$3:T1142)</f>
        <v>0</v>
      </c>
      <c r="K1138" s="443"/>
      <c r="L1138" s="444">
        <f>J1138/J1142</f>
        <v>0</v>
      </c>
      <c r="M1138" s="373"/>
      <c r="N1138" s="373"/>
      <c r="O1138" s="373"/>
      <c r="P1138" s="378"/>
      <c r="Q1138" s="378"/>
      <c r="R1138" s="378"/>
      <c r="S1138" s="385"/>
      <c r="T1138" s="386"/>
      <c r="U1138" s="386"/>
      <c r="V1138" s="386"/>
      <c r="W1138" s="378"/>
    </row>
    <row r="1139" spans="1:23" x14ac:dyDescent="0.25">
      <c r="A1139" s="364"/>
      <c r="B1139" s="388" t="s">
        <v>739</v>
      </c>
      <c r="C1139" s="433">
        <f>COUNTIF(B$1:B1134,B1139)</f>
        <v>1</v>
      </c>
      <c r="D1139" s="439">
        <f>C1139/C1142</f>
        <v>0.2</v>
      </c>
      <c r="E1139" s="380"/>
      <c r="F1139" s="368"/>
      <c r="G1139" s="369"/>
      <c r="H1139" s="369"/>
      <c r="I1139" s="381"/>
      <c r="J1139" s="434">
        <f>SUMIF(B$3:B1138,B1139,T$3:T1142)</f>
        <v>0</v>
      </c>
      <c r="K1139" s="445"/>
      <c r="L1139" s="446">
        <f>J1139/J1142</f>
        <v>0</v>
      </c>
      <c r="M1139" s="370"/>
      <c r="N1139" s="373"/>
      <c r="O1139" s="373"/>
      <c r="P1139" s="378"/>
      <c r="Q1139" s="378"/>
      <c r="R1139" s="378"/>
      <c r="S1139" s="385"/>
      <c r="T1139" s="386"/>
      <c r="U1139" s="386"/>
      <c r="V1139" s="386"/>
      <c r="W1139" s="378"/>
    </row>
    <row r="1140" spans="1:23" ht="15.75" thickBot="1" x14ac:dyDescent="0.3">
      <c r="A1140" s="364"/>
      <c r="B1140" s="389" t="s">
        <v>740</v>
      </c>
      <c r="C1140" s="435">
        <f>COUNTIF(B$1:B1137,B1140)</f>
        <v>1</v>
      </c>
      <c r="D1140" s="440">
        <f>C1140/C1142</f>
        <v>0.2</v>
      </c>
      <c r="E1140" s="380"/>
      <c r="F1140" s="368"/>
      <c r="G1140" s="369"/>
      <c r="H1140" s="369"/>
      <c r="I1140" s="381"/>
      <c r="J1140" s="436">
        <f>SUMIF(B$3:B1139,B1140,T$3:T1142)</f>
        <v>0</v>
      </c>
      <c r="K1140" s="447"/>
      <c r="L1140" s="448">
        <f>J1140/J1142</f>
        <v>0</v>
      </c>
      <c r="M1140" s="370"/>
      <c r="N1140" s="373"/>
      <c r="O1140" s="373"/>
      <c r="P1140" s="378"/>
      <c r="Q1140" s="378"/>
      <c r="R1140" s="378"/>
      <c r="S1140" s="385"/>
      <c r="T1140" s="386"/>
      <c r="U1140" s="386"/>
      <c r="V1140" s="386"/>
      <c r="W1140" s="378"/>
    </row>
    <row r="1141" spans="1:23" ht="16.5" thickTop="1" thickBot="1" x14ac:dyDescent="0.3">
      <c r="A1141" s="390"/>
      <c r="B1141" s="391" t="s">
        <v>741</v>
      </c>
      <c r="C1141" s="392">
        <f>COUNTIF(B$1:B1134,B1141)</f>
        <v>1</v>
      </c>
      <c r="D1141" s="393">
        <f>C1141/C1142</f>
        <v>0.2</v>
      </c>
      <c r="E1141" s="394"/>
      <c r="F1141" s="395"/>
      <c r="G1141" s="396"/>
      <c r="H1141" s="396"/>
      <c r="I1141" s="397"/>
      <c r="J1141" s="449">
        <f>SUMIF(B$3:B1140,B1141,T$3:T1142)</f>
        <v>0</v>
      </c>
      <c r="K1141" s="450"/>
      <c r="L1141" s="451">
        <f>J1141/J1142</f>
        <v>0</v>
      </c>
      <c r="M1141" s="398"/>
      <c r="N1141" s="398"/>
      <c r="O1141" s="398"/>
      <c r="P1141" s="378"/>
      <c r="Q1141" s="378"/>
      <c r="R1141" s="378"/>
      <c r="S1141" s="385"/>
      <c r="T1141" s="386"/>
      <c r="U1141" s="386"/>
      <c r="V1141" s="386"/>
      <c r="W1141" s="378"/>
    </row>
    <row r="1142" spans="1:23" x14ac:dyDescent="0.25">
      <c r="A1142" s="364"/>
      <c r="B1142" s="399"/>
      <c r="C1142" s="400">
        <f>SUM(C1137:C1141)</f>
        <v>5</v>
      </c>
      <c r="D1142" s="366"/>
      <c r="E1142" s="380"/>
      <c r="F1142" s="368"/>
      <c r="G1142" s="369"/>
      <c r="H1142" s="369"/>
      <c r="I1142" s="381"/>
      <c r="J1142" s="401">
        <f>SUM(J1137:J1141)</f>
        <v>48</v>
      </c>
      <c r="K1142" s="382"/>
      <c r="L1142" s="402"/>
      <c r="M1142" s="370"/>
      <c r="N1142" s="373"/>
      <c r="O1142" s="373"/>
      <c r="P1142" s="378"/>
      <c r="Q1142" s="378"/>
      <c r="R1142" s="378"/>
      <c r="S1142" s="385"/>
      <c r="T1142" s="386"/>
      <c r="U1142" s="386"/>
      <c r="V1142" s="386"/>
      <c r="W1142" s="378"/>
    </row>
  </sheetData>
  <mergeCells count="2">
    <mergeCell ref="A14:D14"/>
    <mergeCell ref="A56:A61"/>
  </mergeCells>
  <conditionalFormatting sqref="B6">
    <cfRule type="cellIs" dxfId="3" priority="6" operator="lessThanOrEqual">
      <formula>0</formula>
    </cfRule>
  </conditionalFormatting>
  <conditionalFormatting sqref="C57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1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2" zoomScale="70" zoomScaleNormal="70" workbookViewId="0">
      <selection activeCell="F40" sqref="F40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5" customFormat="1" ht="7.5" customHeight="1" x14ac:dyDescent="0.25">
      <c r="D1" s="426"/>
      <c r="E1" s="426"/>
      <c r="F1" s="426"/>
      <c r="G1" s="426"/>
      <c r="K1" s="596"/>
    </row>
    <row r="2" spans="1:34" s="315" customFormat="1" ht="19.5" x14ac:dyDescent="0.3">
      <c r="C2" s="316" t="s">
        <v>792</v>
      </c>
      <c r="K2" s="596"/>
    </row>
    <row r="4" spans="1:34" ht="15.75" thickBot="1" x14ac:dyDescent="0.3">
      <c r="A4" s="30" t="s">
        <v>999</v>
      </c>
    </row>
    <row r="5" spans="1:34" s="1" customFormat="1" ht="15.75" thickBot="1" x14ac:dyDescent="0.3">
      <c r="A5"/>
      <c r="B5" s="482" t="s">
        <v>900</v>
      </c>
      <c r="C5" s="694">
        <f>MATCH("NewOpp",E5:N5,0)+4</f>
        <v>12</v>
      </c>
      <c r="D5" s="694">
        <f>MATCH("STOP",E5:N5,0)+4</f>
        <v>14</v>
      </c>
      <c r="K5" s="522"/>
      <c r="L5" s="483" t="s">
        <v>817</v>
      </c>
      <c r="M5" s="484" t="s">
        <v>819</v>
      </c>
      <c r="N5" s="578" t="s">
        <v>891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22" customFormat="1" x14ac:dyDescent="0.25">
      <c r="A6" s="520"/>
      <c r="B6" s="521"/>
      <c r="C6" s="525"/>
      <c r="D6" s="485"/>
      <c r="L6" s="523"/>
      <c r="M6" s="523"/>
      <c r="N6" s="524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5">
        <v>0</v>
      </c>
      <c r="B7" s="491" t="s">
        <v>590</v>
      </c>
      <c r="C7" s="489" t="s">
        <v>590</v>
      </c>
      <c r="D7" s="490" t="s">
        <v>590</v>
      </c>
      <c r="E7" s="572">
        <v>0</v>
      </c>
      <c r="F7" s="572">
        <v>0</v>
      </c>
      <c r="G7" s="572">
        <v>0</v>
      </c>
      <c r="H7" s="572">
        <v>0</v>
      </c>
      <c r="I7" s="572">
        <v>0</v>
      </c>
      <c r="J7" s="572">
        <v>0</v>
      </c>
      <c r="K7" s="572">
        <v>17</v>
      </c>
      <c r="L7" s="573" t="s">
        <v>892</v>
      </c>
      <c r="M7" s="573" t="s">
        <v>130</v>
      </c>
      <c r="N7" s="573" t="s">
        <v>130</v>
      </c>
      <c r="O7" s="573" t="s">
        <v>127</v>
      </c>
      <c r="P7" s="573" t="s">
        <v>892</v>
      </c>
      <c r="Q7" s="573" t="s">
        <v>131</v>
      </c>
      <c r="R7" s="573" t="s">
        <v>113</v>
      </c>
      <c r="S7" s="573" t="s">
        <v>71</v>
      </c>
      <c r="T7" s="573" t="s">
        <v>113</v>
      </c>
      <c r="U7" s="573" t="s">
        <v>113</v>
      </c>
      <c r="V7" s="573" t="s">
        <v>113</v>
      </c>
      <c r="W7" s="573" t="s">
        <v>110</v>
      </c>
      <c r="X7" s="573" t="s">
        <v>91</v>
      </c>
      <c r="Y7" s="573" t="s">
        <v>110</v>
      </c>
      <c r="Z7" s="572">
        <v>0</v>
      </c>
      <c r="AA7" s="455"/>
      <c r="AB7" s="92"/>
    </row>
    <row r="8" spans="1:34" x14ac:dyDescent="0.25">
      <c r="A8" s="520"/>
      <c r="B8" s="491" t="s">
        <v>676</v>
      </c>
      <c r="C8" s="489"/>
      <c r="D8" s="490"/>
      <c r="E8" s="571"/>
      <c r="F8" s="571"/>
      <c r="G8" s="571"/>
      <c r="H8" s="571"/>
      <c r="I8" s="571"/>
      <c r="J8" s="571"/>
      <c r="K8" s="571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5"/>
      <c r="AA8" s="92"/>
    </row>
    <row r="9" spans="1:34" x14ac:dyDescent="0.25">
      <c r="A9" s="520"/>
      <c r="B9" s="491" t="s">
        <v>677</v>
      </c>
      <c r="C9" s="489"/>
      <c r="D9" s="490"/>
      <c r="E9" s="571"/>
      <c r="F9" s="571"/>
      <c r="G9" s="571"/>
      <c r="H9" s="571"/>
      <c r="I9" s="571"/>
      <c r="J9" s="571"/>
      <c r="K9" s="571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5"/>
      <c r="AA9" s="92"/>
    </row>
    <row r="10" spans="1:34" ht="15.75" thickBot="1" x14ac:dyDescent="0.3">
      <c r="A10" s="520"/>
      <c r="B10" s="492" t="s">
        <v>796</v>
      </c>
      <c r="C10" s="489"/>
      <c r="D10" s="490"/>
      <c r="E10" s="571"/>
      <c r="F10" s="571"/>
      <c r="G10" s="571"/>
      <c r="H10" s="571"/>
      <c r="I10" s="571"/>
      <c r="J10" s="571"/>
      <c r="K10" s="571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5"/>
      <c r="AA10" s="92"/>
    </row>
    <row r="11" spans="1:34" s="5" customFormat="1" ht="23.25" thickBot="1" x14ac:dyDescent="0.3">
      <c r="A11" s="771" t="s">
        <v>561</v>
      </c>
      <c r="B11" s="583" t="s">
        <v>898</v>
      </c>
      <c r="C11" s="486" t="s">
        <v>820</v>
      </c>
      <c r="D11" s="487"/>
      <c r="E11" s="317" t="s">
        <v>697</v>
      </c>
      <c r="F11" s="593" t="s">
        <v>65</v>
      </c>
      <c r="G11" s="593" t="s">
        <v>920</v>
      </c>
      <c r="H11" s="586" t="s">
        <v>62</v>
      </c>
      <c r="I11" s="586"/>
      <c r="J11" s="318" t="s">
        <v>925</v>
      </c>
      <c r="K11" s="611" t="s">
        <v>354</v>
      </c>
      <c r="L11" s="614" t="s">
        <v>919</v>
      </c>
      <c r="M11" s="605" t="s">
        <v>68</v>
      </c>
      <c r="N11" s="605" t="s">
        <v>67</v>
      </c>
      <c r="O11" s="606" t="s">
        <v>66</v>
      </c>
      <c r="P11" s="605" t="s">
        <v>822</v>
      </c>
      <c r="Q11" s="608" t="s">
        <v>0</v>
      </c>
      <c r="R11" s="778" t="s">
        <v>2</v>
      </c>
      <c r="S11" s="779"/>
      <c r="T11" s="607" t="s">
        <v>1</v>
      </c>
      <c r="U11" s="606" t="s">
        <v>62</v>
      </c>
      <c r="V11" s="607" t="s">
        <v>64</v>
      </c>
      <c r="W11" s="609" t="s">
        <v>61</v>
      </c>
      <c r="X11" s="610" t="s">
        <v>63</v>
      </c>
      <c r="Y11" s="607" t="s">
        <v>57</v>
      </c>
      <c r="Z11"/>
    </row>
    <row r="12" spans="1:34" s="5" customFormat="1" ht="15.75" thickBot="1" x14ac:dyDescent="0.3">
      <c r="A12" s="772"/>
      <c r="B12" s="488" t="s">
        <v>122</v>
      </c>
      <c r="C12" s="489" t="s">
        <v>820</v>
      </c>
      <c r="D12" s="574"/>
      <c r="E12" s="500"/>
      <c r="F12" s="612"/>
      <c r="G12"/>
      <c r="H12"/>
      <c r="I12"/>
      <c r="J12" s="478"/>
      <c r="K12" s="604"/>
      <c r="L12" s="613">
        <f>HYPERLINK("https://eu1.salesforce.com/"&amp;E12,F12)</f>
        <v>0</v>
      </c>
      <c r="M12" s="600"/>
      <c r="N12" s="600"/>
      <c r="O12" s="601"/>
      <c r="P12" s="670">
        <v>1234567.8899999999</v>
      </c>
      <c r="Q12" s="670">
        <v>1234567.8899999999</v>
      </c>
      <c r="R12" s="780"/>
      <c r="S12" s="781"/>
      <c r="T12" s="602"/>
      <c r="U12" s="613">
        <f>HYPERLINK("https://eu1.salesforce.com/"&amp;G12,H12)</f>
        <v>0</v>
      </c>
      <c r="V12" s="603"/>
      <c r="W12" s="603"/>
      <c r="X12" s="603"/>
      <c r="Y12" s="603"/>
    </row>
    <row r="13" spans="1:34" x14ac:dyDescent="0.25">
      <c r="A13" s="772"/>
      <c r="B13" s="491" t="s">
        <v>675</v>
      </c>
      <c r="C13" s="489"/>
      <c r="D13" s="490"/>
      <c r="E13" s="571">
        <v>0.5</v>
      </c>
      <c r="F13" s="571"/>
      <c r="J13" s="571">
        <v>0.5</v>
      </c>
      <c r="K13" s="571">
        <v>17</v>
      </c>
      <c r="L13" s="269" t="s">
        <v>892</v>
      </c>
      <c r="M13" s="269" t="s">
        <v>130</v>
      </c>
      <c r="N13" s="269" t="s">
        <v>113</v>
      </c>
      <c r="O13" s="269" t="s">
        <v>111</v>
      </c>
      <c r="P13" s="269" t="s">
        <v>974</v>
      </c>
      <c r="Q13" s="269" t="s">
        <v>974</v>
      </c>
      <c r="R13" s="269" t="s">
        <v>893</v>
      </c>
      <c r="S13" s="269"/>
      <c r="T13" s="269" t="s">
        <v>113</v>
      </c>
      <c r="U13" s="269" t="s">
        <v>128</v>
      </c>
      <c r="V13" s="269" t="s">
        <v>128</v>
      </c>
      <c r="W13" s="269" t="s">
        <v>974</v>
      </c>
      <c r="X13" s="269" t="s">
        <v>91</v>
      </c>
      <c r="Y13" s="269" t="s">
        <v>110</v>
      </c>
      <c r="AA13" s="455"/>
      <c r="AB13" s="92"/>
    </row>
    <row r="14" spans="1:34" x14ac:dyDescent="0.25">
      <c r="A14" s="772"/>
      <c r="B14" s="491" t="s">
        <v>676</v>
      </c>
      <c r="C14" s="489"/>
      <c r="D14" s="490"/>
      <c r="E14" s="571">
        <v>1</v>
      </c>
      <c r="F14" s="571">
        <v>9</v>
      </c>
      <c r="G14" s="571">
        <v>25</v>
      </c>
      <c r="H14" s="478">
        <v>25</v>
      </c>
      <c r="I14" s="478"/>
      <c r="J14" s="571" t="s">
        <v>924</v>
      </c>
      <c r="K14" s="571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810</v>
      </c>
      <c r="S14" s="269"/>
      <c r="T14" s="269" t="s">
        <v>892</v>
      </c>
      <c r="U14" s="269"/>
      <c r="V14" s="269" t="s">
        <v>894</v>
      </c>
      <c r="W14" s="269" t="s">
        <v>896</v>
      </c>
      <c r="X14" s="269" t="s">
        <v>897</v>
      </c>
      <c r="Y14" s="269" t="s">
        <v>895</v>
      </c>
      <c r="AD14" s="456"/>
      <c r="AE14" s="456"/>
      <c r="AF14" s="456"/>
      <c r="AG14" s="456"/>
      <c r="AH14" s="456"/>
    </row>
    <row r="15" spans="1:34" x14ac:dyDescent="0.25">
      <c r="A15" s="772"/>
      <c r="B15" s="491" t="s">
        <v>677</v>
      </c>
      <c r="C15" s="489"/>
      <c r="D15" s="490"/>
      <c r="E15" s="571"/>
      <c r="F15" s="571"/>
      <c r="G15" s="571" t="s">
        <v>921</v>
      </c>
      <c r="H15" t="s">
        <v>923</v>
      </c>
      <c r="J15" s="571"/>
      <c r="K15" s="587" t="s">
        <v>913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6"/>
      <c r="AE15" s="456"/>
      <c r="AF15" s="456"/>
      <c r="AG15" s="456"/>
      <c r="AH15" s="456"/>
    </row>
    <row r="16" spans="1:34" ht="15.75" thickBot="1" x14ac:dyDescent="0.3">
      <c r="A16" s="773"/>
      <c r="B16" s="492" t="s">
        <v>796</v>
      </c>
      <c r="C16" s="495"/>
      <c r="D16" s="496"/>
      <c r="E16" s="580"/>
      <c r="F16" s="580"/>
      <c r="G16" s="580" t="s">
        <v>922</v>
      </c>
      <c r="J16" s="580" t="s">
        <v>926</v>
      </c>
      <c r="K16" s="580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6"/>
      <c r="AC16" s="456"/>
      <c r="AD16" s="456"/>
      <c r="AE16" s="456"/>
      <c r="AF16" s="456"/>
    </row>
    <row r="17" spans="1:37" s="5" customFormat="1" ht="30.75" thickBot="1" x14ac:dyDescent="0.3">
      <c r="A17" s="771" t="s">
        <v>136</v>
      </c>
      <c r="B17" s="584" t="s">
        <v>899</v>
      </c>
      <c r="C17" s="486" t="s">
        <v>820</v>
      </c>
      <c r="D17" s="487"/>
      <c r="E17" s="507" t="s">
        <v>698</v>
      </c>
      <c r="F17" s="507"/>
      <c r="G17" s="507"/>
      <c r="H17" s="508" t="s">
        <v>832</v>
      </c>
      <c r="I17" s="508"/>
      <c r="J17" s="509" t="s">
        <v>599</v>
      </c>
      <c r="K17" s="598"/>
      <c r="L17" s="615" t="s">
        <v>831</v>
      </c>
      <c r="M17" s="616" t="s">
        <v>825</v>
      </c>
      <c r="N17" s="617" t="s">
        <v>830</v>
      </c>
      <c r="O17" s="617" t="s">
        <v>826</v>
      </c>
      <c r="P17" s="618" t="s">
        <v>827</v>
      </c>
      <c r="Q17" s="618" t="s">
        <v>828</v>
      </c>
      <c r="R17" s="782" t="s">
        <v>829</v>
      </c>
      <c r="S17" s="783"/>
      <c r="T17" s="615" t="s">
        <v>909</v>
      </c>
      <c r="W17" s="615" t="s">
        <v>911</v>
      </c>
      <c r="X17" s="510"/>
    </row>
    <row r="18" spans="1:37" s="5" customFormat="1" ht="15.75" thickBot="1" x14ac:dyDescent="0.3">
      <c r="A18" s="772"/>
      <c r="B18" s="488" t="s">
        <v>122</v>
      </c>
      <c r="C18" s="489" t="s">
        <v>927</v>
      </c>
      <c r="D18" s="619">
        <f>E12</f>
        <v>0</v>
      </c>
      <c r="H18" s="620"/>
      <c r="I18" s="620"/>
      <c r="J18" s="621"/>
      <c r="K18" s="597"/>
      <c r="L18" s="622"/>
      <c r="M18" s="624"/>
      <c r="N18" s="623"/>
      <c r="O18" s="623"/>
      <c r="P18" s="623"/>
      <c r="Q18" s="624"/>
      <c r="R18" s="784"/>
      <c r="S18" s="785"/>
      <c r="T18" s="625"/>
      <c r="W18" s="672"/>
      <c r="X18" s="510"/>
    </row>
    <row r="19" spans="1:37" x14ac:dyDescent="0.25">
      <c r="A19" s="772"/>
      <c r="B19" s="491" t="s">
        <v>675</v>
      </c>
      <c r="C19" s="489"/>
      <c r="D19" s="490"/>
      <c r="E19" s="328">
        <v>0.5</v>
      </c>
      <c r="F19" s="328"/>
      <c r="G19" s="328"/>
      <c r="H19" s="328">
        <v>0.5</v>
      </c>
      <c r="I19" s="328"/>
      <c r="J19" s="328">
        <v>0.5</v>
      </c>
      <c r="K19" s="571"/>
      <c r="L19" s="497">
        <v>14</v>
      </c>
      <c r="M19" s="497">
        <v>10</v>
      </c>
      <c r="N19" s="497">
        <v>10</v>
      </c>
      <c r="O19" s="497">
        <v>10</v>
      </c>
      <c r="P19" s="497">
        <v>30</v>
      </c>
      <c r="Q19" s="497">
        <v>10</v>
      </c>
      <c r="R19" s="497">
        <v>40</v>
      </c>
      <c r="S19" s="497"/>
      <c r="T19" s="497">
        <v>26</v>
      </c>
      <c r="W19" s="269" t="s">
        <v>974</v>
      </c>
      <c r="X19" s="478"/>
    </row>
    <row r="20" spans="1:37" x14ac:dyDescent="0.25">
      <c r="A20" s="772"/>
      <c r="B20" s="491" t="s">
        <v>676</v>
      </c>
      <c r="C20" s="489"/>
      <c r="D20" s="490"/>
      <c r="E20" s="478">
        <v>4</v>
      </c>
      <c r="J20" s="2"/>
      <c r="K20"/>
      <c r="L20" s="478">
        <v>4</v>
      </c>
      <c r="M20" s="478">
        <v>4</v>
      </c>
      <c r="N20" s="497">
        <v>4</v>
      </c>
      <c r="O20" s="497">
        <v>4</v>
      </c>
      <c r="P20" s="497">
        <v>4</v>
      </c>
      <c r="Q20" s="497">
        <v>4</v>
      </c>
      <c r="R20" s="497">
        <v>4</v>
      </c>
      <c r="S20" s="497"/>
      <c r="T20" s="497">
        <v>4</v>
      </c>
      <c r="W20" s="497">
        <v>4</v>
      </c>
      <c r="X20" s="478"/>
    </row>
    <row r="21" spans="1:37" x14ac:dyDescent="0.25">
      <c r="A21" s="772"/>
      <c r="B21" s="491" t="s">
        <v>677</v>
      </c>
      <c r="C21" s="489"/>
      <c r="D21" s="490"/>
      <c r="E21" s="478"/>
      <c r="K21"/>
      <c r="L21" s="478"/>
      <c r="M21" s="478"/>
      <c r="N21" s="478"/>
      <c r="O21" s="478"/>
      <c r="P21" s="478"/>
      <c r="Q21" s="478"/>
      <c r="R21" s="478"/>
      <c r="S21" s="478"/>
      <c r="T21" s="478"/>
      <c r="W21" s="478"/>
      <c r="X21" s="478"/>
    </row>
    <row r="22" spans="1:37" s="1" customFormat="1" ht="15.75" thickBot="1" x14ac:dyDescent="0.3">
      <c r="A22" s="773"/>
      <c r="B22" s="492" t="s">
        <v>796</v>
      </c>
      <c r="C22" s="493"/>
      <c r="D22" s="494"/>
      <c r="E22" s="582" t="s">
        <v>901</v>
      </c>
      <c r="F22" s="582"/>
      <c r="G22"/>
      <c r="H22"/>
      <c r="I22"/>
      <c r="J22" s="2"/>
      <c r="K22" s="580"/>
      <c r="L22" s="582" t="s">
        <v>902</v>
      </c>
      <c r="M22" s="582" t="s">
        <v>903</v>
      </c>
      <c r="N22" s="582" t="s">
        <v>904</v>
      </c>
      <c r="O22" s="582" t="s">
        <v>905</v>
      </c>
      <c r="P22" s="582" t="s">
        <v>906</v>
      </c>
      <c r="Q22" s="582" t="s">
        <v>907</v>
      </c>
      <c r="R22" s="582" t="s">
        <v>908</v>
      </c>
      <c r="S22" s="497"/>
      <c r="T22" s="582" t="s">
        <v>910</v>
      </c>
      <c r="U22" s="582"/>
      <c r="X22" s="582" t="s">
        <v>912</v>
      </c>
      <c r="Y22" s="498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771" t="s">
        <v>573</v>
      </c>
      <c r="B23" s="585" t="s">
        <v>914</v>
      </c>
      <c r="C23" s="486" t="s">
        <v>820</v>
      </c>
      <c r="D23" s="487"/>
      <c r="E23" s="318" t="s">
        <v>157</v>
      </c>
      <c r="F23" s="318" t="s">
        <v>915</v>
      </c>
      <c r="G23" s="318" t="s">
        <v>818</v>
      </c>
      <c r="H23" s="690" t="s">
        <v>984</v>
      </c>
      <c r="I23" s="690" t="s">
        <v>920</v>
      </c>
      <c r="J23" s="504" t="s">
        <v>599</v>
      </c>
      <c r="K23" s="599"/>
      <c r="L23" s="774" t="s">
        <v>818</v>
      </c>
      <c r="M23" s="775"/>
      <c r="N23" s="663" t="s">
        <v>823</v>
      </c>
      <c r="O23" s="499" t="s">
        <v>975</v>
      </c>
      <c r="P23" s="499" t="s">
        <v>821</v>
      </c>
      <c r="Q23" s="499" t="s">
        <v>824</v>
      </c>
      <c r="R23" s="499" t="s">
        <v>917</v>
      </c>
      <c r="S23" s="499" t="s">
        <v>916</v>
      </c>
      <c r="T23" s="499" t="s">
        <v>1</v>
      </c>
      <c r="U23" s="499" t="s">
        <v>62</v>
      </c>
      <c r="V23" s="499" t="s">
        <v>688</v>
      </c>
      <c r="W23" s="499" t="s">
        <v>598</v>
      </c>
      <c r="X23" s="499" t="s">
        <v>833</v>
      </c>
      <c r="Y23" s="499" t="s">
        <v>367</v>
      </c>
      <c r="Z23" s="145"/>
      <c r="AA23" s="145"/>
      <c r="AB23" s="145"/>
    </row>
    <row r="24" spans="1:37" ht="15.75" thickBot="1" x14ac:dyDescent="0.3">
      <c r="A24" s="772"/>
      <c r="B24" s="488" t="s">
        <v>122</v>
      </c>
      <c r="C24" s="626" t="str">
        <f>IF(LEN(J12)=0,"",J12)</f>
        <v/>
      </c>
      <c r="D24" s="590">
        <v>1</v>
      </c>
      <c r="F24" s="502"/>
      <c r="G24" s="328"/>
      <c r="H24" s="505"/>
      <c r="I24" s="505"/>
      <c r="J24" s="503"/>
      <c r="K24" s="628" t="s">
        <v>930</v>
      </c>
      <c r="L24" s="776">
        <f>HYPERLINK("https://eu1.salesforce.com/"&amp;F24,G24)</f>
        <v>0</v>
      </c>
      <c r="M24" s="777"/>
      <c r="N24" s="1"/>
      <c r="O24" s="1"/>
      <c r="P24" s="671"/>
      <c r="Q24" s="1"/>
      <c r="R24" s="1"/>
      <c r="S24" s="1"/>
      <c r="T24" s="696"/>
      <c r="U24" s="695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772"/>
      <c r="B25" s="491" t="s">
        <v>675</v>
      </c>
      <c r="C25" s="489"/>
      <c r="D25" s="490"/>
      <c r="E25" s="328">
        <v>0.5</v>
      </c>
      <c r="F25" s="328"/>
      <c r="G25" s="328"/>
      <c r="H25" s="328">
        <v>10</v>
      </c>
      <c r="I25" s="328"/>
      <c r="J25" s="328">
        <v>0.5</v>
      </c>
      <c r="K25" s="571"/>
      <c r="L25" s="591" t="s">
        <v>892</v>
      </c>
      <c r="M25" s="591"/>
      <c r="N25" s="591" t="s">
        <v>113</v>
      </c>
      <c r="O25" s="591"/>
      <c r="P25" s="269" t="s">
        <v>1023</v>
      </c>
      <c r="Q25" s="269" t="s">
        <v>1024</v>
      </c>
      <c r="R25" s="591"/>
      <c r="S25" s="591"/>
      <c r="T25" s="591" t="s">
        <v>113</v>
      </c>
      <c r="U25" s="591" t="s">
        <v>113</v>
      </c>
      <c r="V25" s="591" t="s">
        <v>113</v>
      </c>
      <c r="W25" s="591" t="s">
        <v>128</v>
      </c>
      <c r="X25" s="591" t="s">
        <v>128</v>
      </c>
      <c r="Y25" s="591" t="s">
        <v>128</v>
      </c>
      <c r="AB25" s="92"/>
      <c r="AD25" s="455"/>
      <c r="AE25" s="92"/>
    </row>
    <row r="26" spans="1:37" ht="15.75" thickBot="1" x14ac:dyDescent="0.3">
      <c r="A26" s="772"/>
      <c r="B26" s="491" t="s">
        <v>676</v>
      </c>
      <c r="C26" s="489" t="s">
        <v>70</v>
      </c>
      <c r="D26" s="588" t="s">
        <v>128</v>
      </c>
      <c r="E26" s="581" t="s">
        <v>928</v>
      </c>
      <c r="F26" s="478" t="s">
        <v>70</v>
      </c>
      <c r="G26" s="478">
        <v>3</v>
      </c>
      <c r="H26" s="497" t="s">
        <v>986</v>
      </c>
      <c r="I26" s="497" t="s">
        <v>986</v>
      </c>
      <c r="J26" s="497"/>
      <c r="K26" s="705"/>
      <c r="L26" s="478"/>
      <c r="M26" s="478"/>
      <c r="N26" s="497" t="s">
        <v>838</v>
      </c>
      <c r="O26" s="497">
        <v>26</v>
      </c>
      <c r="P26" s="497" t="s">
        <v>131</v>
      </c>
      <c r="Q26" s="478" t="s">
        <v>129</v>
      </c>
      <c r="R26" s="478" t="s">
        <v>918</v>
      </c>
      <c r="S26" s="591" t="s">
        <v>111</v>
      </c>
      <c r="T26" s="497" t="s">
        <v>113</v>
      </c>
      <c r="U26" s="497"/>
      <c r="V26" s="594"/>
      <c r="W26" s="594"/>
      <c r="X26" s="594"/>
      <c r="Y26" s="594"/>
      <c r="AG26" s="456"/>
      <c r="AH26" s="456"/>
      <c r="AI26" s="456"/>
      <c r="AJ26" s="456"/>
      <c r="AK26" s="456"/>
    </row>
    <row r="27" spans="1:37" ht="45" x14ac:dyDescent="0.25">
      <c r="A27" s="772"/>
      <c r="B27" s="491" t="s">
        <v>677</v>
      </c>
      <c r="C27" s="489"/>
      <c r="D27" s="490"/>
      <c r="E27" s="589" t="s">
        <v>989</v>
      </c>
      <c r="K27" s="627" t="s">
        <v>990</v>
      </c>
      <c r="L27" s="627" t="s">
        <v>929</v>
      </c>
      <c r="M27" s="592"/>
      <c r="N27" s="592"/>
      <c r="O27" s="592"/>
      <c r="T27" s="592"/>
      <c r="U27" s="627" t="s">
        <v>929</v>
      </c>
      <c r="AG27" s="456"/>
      <c r="AH27" s="456"/>
      <c r="AI27" s="456"/>
      <c r="AJ27" s="456"/>
      <c r="AK27" s="456"/>
    </row>
    <row r="28" spans="1:37" ht="15.75" thickBot="1" x14ac:dyDescent="0.3">
      <c r="A28" s="773"/>
      <c r="B28" s="492" t="s">
        <v>796</v>
      </c>
      <c r="C28" s="495"/>
      <c r="D28" s="494"/>
      <c r="E28" s="119"/>
      <c r="H28" s="580" t="s">
        <v>983</v>
      </c>
      <c r="I28" s="580" t="s">
        <v>987</v>
      </c>
      <c r="K28"/>
      <c r="L28" s="2"/>
      <c r="AB28" s="253"/>
      <c r="AF28" s="456"/>
      <c r="AG28" s="456"/>
      <c r="AH28" s="456"/>
      <c r="AI28" s="456"/>
      <c r="AJ28" s="456"/>
    </row>
    <row r="29" spans="1:37" x14ac:dyDescent="0.25">
      <c r="K29"/>
    </row>
    <row r="30" spans="1:37" ht="15.75" thickBot="1" x14ac:dyDescent="0.3">
      <c r="A30" s="30" t="s">
        <v>976</v>
      </c>
    </row>
    <row r="31" spans="1:37" s="1" customFormat="1" ht="15.75" thickBot="1" x14ac:dyDescent="0.3">
      <c r="A31"/>
      <c r="B31" s="482" t="s">
        <v>900</v>
      </c>
      <c r="C31" s="525" t="s">
        <v>133</v>
      </c>
      <c r="D31" s="525" t="s">
        <v>131</v>
      </c>
      <c r="K31" s="522"/>
      <c r="L31" s="483" t="s">
        <v>932</v>
      </c>
      <c r="M31" s="484" t="s">
        <v>819</v>
      </c>
      <c r="N31" s="578" t="s">
        <v>891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22" customFormat="1" x14ac:dyDescent="0.25">
      <c r="A32" s="520"/>
      <c r="B32" s="521"/>
      <c r="C32" s="525"/>
      <c r="D32" s="485"/>
      <c r="L32" s="523"/>
      <c r="M32" s="523"/>
      <c r="N32" s="524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5">
        <v>0</v>
      </c>
      <c r="B33" s="491" t="s">
        <v>590</v>
      </c>
      <c r="C33" s="489" t="s">
        <v>590</v>
      </c>
      <c r="D33" s="490" t="s">
        <v>590</v>
      </c>
      <c r="E33" s="572">
        <v>0</v>
      </c>
      <c r="F33" s="572">
        <v>0</v>
      </c>
      <c r="G33" s="572">
        <v>0</v>
      </c>
      <c r="H33" s="572">
        <v>0</v>
      </c>
      <c r="I33" s="572"/>
      <c r="J33" s="572">
        <v>0</v>
      </c>
      <c r="K33" s="572">
        <v>17</v>
      </c>
      <c r="L33" s="573" t="s">
        <v>892</v>
      </c>
      <c r="M33" s="573" t="s">
        <v>130</v>
      </c>
      <c r="N33" s="573" t="s">
        <v>130</v>
      </c>
      <c r="O33" s="573" t="s">
        <v>127</v>
      </c>
      <c r="P33" s="573" t="s">
        <v>892</v>
      </c>
      <c r="Q33" s="573" t="s">
        <v>131</v>
      </c>
      <c r="R33" s="573" t="s">
        <v>113</v>
      </c>
      <c r="S33" s="573" t="s">
        <v>71</v>
      </c>
      <c r="T33" s="573" t="s">
        <v>113</v>
      </c>
      <c r="U33" s="573" t="s">
        <v>113</v>
      </c>
      <c r="V33" s="573" t="s">
        <v>113</v>
      </c>
      <c r="W33" s="573" t="s">
        <v>110</v>
      </c>
      <c r="X33" s="573" t="s">
        <v>91</v>
      </c>
      <c r="Y33" s="573" t="s">
        <v>110</v>
      </c>
      <c r="AA33" s="455"/>
      <c r="AB33" s="92"/>
    </row>
    <row r="34" spans="1:35" x14ac:dyDescent="0.25">
      <c r="A34" s="520"/>
      <c r="B34" s="491" t="s">
        <v>676</v>
      </c>
      <c r="C34" s="489"/>
      <c r="D34" s="490"/>
      <c r="E34" s="571"/>
      <c r="F34" s="571"/>
      <c r="G34" s="571"/>
      <c r="H34" s="571"/>
      <c r="I34" s="571"/>
      <c r="J34" s="571"/>
      <c r="K34" s="571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5"/>
      <c r="AA34" s="92"/>
    </row>
    <row r="35" spans="1:35" x14ac:dyDescent="0.25">
      <c r="A35" s="520"/>
      <c r="B35" s="491" t="s">
        <v>677</v>
      </c>
      <c r="C35" s="489"/>
      <c r="D35" s="490"/>
      <c r="E35" s="571"/>
      <c r="F35" s="571"/>
      <c r="G35" s="571"/>
      <c r="H35" s="571"/>
      <c r="I35" s="571"/>
      <c r="J35" s="571"/>
      <c r="K35" s="571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5"/>
      <c r="AA35" s="92"/>
    </row>
    <row r="36" spans="1:35" ht="15.75" thickBot="1" x14ac:dyDescent="0.3">
      <c r="A36" s="520"/>
      <c r="B36" s="492" t="s">
        <v>796</v>
      </c>
      <c r="C36" s="489"/>
      <c r="D36" s="490"/>
      <c r="E36" s="571"/>
      <c r="F36" s="571"/>
      <c r="G36" s="571"/>
      <c r="H36" s="571"/>
      <c r="I36" s="571"/>
      <c r="J36" s="571"/>
      <c r="K36" s="571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5"/>
      <c r="AA36" s="92"/>
    </row>
    <row r="37" spans="1:35" s="5" customFormat="1" ht="23.25" thickBot="1" x14ac:dyDescent="0.3">
      <c r="A37" s="771" t="s">
        <v>561</v>
      </c>
      <c r="B37" s="583" t="s">
        <v>898</v>
      </c>
      <c r="C37" s="486" t="s">
        <v>820</v>
      </c>
      <c r="D37" s="487"/>
      <c r="E37" s="317" t="s">
        <v>697</v>
      </c>
      <c r="F37" s="593" t="s">
        <v>65</v>
      </c>
      <c r="G37" s="593" t="s">
        <v>920</v>
      </c>
      <c r="H37" s="586" t="s">
        <v>62</v>
      </c>
      <c r="I37" s="586"/>
      <c r="J37" s="318" t="s">
        <v>925</v>
      </c>
      <c r="K37" s="611" t="s">
        <v>354</v>
      </c>
      <c r="L37" s="614" t="s">
        <v>919</v>
      </c>
      <c r="M37" s="605" t="s">
        <v>68</v>
      </c>
      <c r="N37" s="605" t="s">
        <v>67</v>
      </c>
      <c r="O37" s="606" t="s">
        <v>66</v>
      </c>
      <c r="P37" s="605" t="s">
        <v>822</v>
      </c>
      <c r="Q37" s="608" t="s">
        <v>0</v>
      </c>
      <c r="R37" s="778" t="s">
        <v>2</v>
      </c>
      <c r="S37" s="779"/>
      <c r="T37" s="607" t="s">
        <v>1</v>
      </c>
      <c r="U37" s="606" t="s">
        <v>62</v>
      </c>
      <c r="V37" s="607" t="s">
        <v>64</v>
      </c>
      <c r="W37" s="609" t="s">
        <v>61</v>
      </c>
      <c r="X37" s="610" t="s">
        <v>63</v>
      </c>
      <c r="Y37" s="607" t="s">
        <v>57</v>
      </c>
      <c r="Z37"/>
    </row>
    <row r="38" spans="1:35" s="5" customFormat="1" ht="15.75" thickBot="1" x14ac:dyDescent="0.3">
      <c r="A38" s="772"/>
      <c r="B38" s="488" t="s">
        <v>122</v>
      </c>
      <c r="C38" s="489" t="s">
        <v>820</v>
      </c>
      <c r="D38" s="574"/>
      <c r="E38" s="500"/>
      <c r="F38" s="612"/>
      <c r="G38"/>
      <c r="H38"/>
      <c r="I38"/>
      <c r="J38" s="478"/>
      <c r="K38" s="604"/>
      <c r="L38" s="613">
        <f>HYPERLINK("https://eu1.salesforce.com/"&amp;E38,F38)</f>
        <v>0</v>
      </c>
      <c r="M38" s="600"/>
      <c r="N38" s="600"/>
      <c r="O38" s="601"/>
      <c r="P38" s="670">
        <v>1234567.8899999999</v>
      </c>
      <c r="Q38" s="670">
        <v>1234567.8899999999</v>
      </c>
      <c r="R38" s="780"/>
      <c r="S38" s="781"/>
      <c r="T38" s="602"/>
      <c r="U38" s="613">
        <f>HYPERLINK("https://eu1.salesforce.com/"&amp;G38,H38)</f>
        <v>0</v>
      </c>
      <c r="V38" s="603"/>
      <c r="W38" s="603"/>
      <c r="X38" s="603"/>
      <c r="Y38" s="603"/>
    </row>
    <row r="39" spans="1:35" x14ac:dyDescent="0.25">
      <c r="A39" s="772"/>
      <c r="B39" s="491" t="s">
        <v>675</v>
      </c>
      <c r="C39" s="489"/>
      <c r="D39" s="490"/>
      <c r="E39" s="571">
        <v>0.5</v>
      </c>
      <c r="F39" s="571"/>
      <c r="J39" s="571">
        <v>0.5</v>
      </c>
      <c r="K39" s="571">
        <v>17</v>
      </c>
      <c r="L39" s="269" t="s">
        <v>892</v>
      </c>
      <c r="M39" s="269" t="s">
        <v>130</v>
      </c>
      <c r="N39" s="269" t="s">
        <v>113</v>
      </c>
      <c r="O39" s="269" t="s">
        <v>111</v>
      </c>
      <c r="P39" s="269" t="s">
        <v>974</v>
      </c>
      <c r="Q39" s="269" t="s">
        <v>974</v>
      </c>
      <c r="R39" s="269" t="s">
        <v>893</v>
      </c>
      <c r="S39" s="269"/>
      <c r="T39" s="269" t="s">
        <v>113</v>
      </c>
      <c r="U39" s="269" t="s">
        <v>128</v>
      </c>
      <c r="V39" s="269" t="s">
        <v>128</v>
      </c>
      <c r="W39" s="269" t="s">
        <v>974</v>
      </c>
      <c r="X39" s="269" t="s">
        <v>91</v>
      </c>
      <c r="Y39" s="269" t="s">
        <v>110</v>
      </c>
      <c r="AA39" s="455"/>
      <c r="AB39" s="92"/>
    </row>
    <row r="40" spans="1:35" x14ac:dyDescent="0.25">
      <c r="A40" s="772"/>
      <c r="B40" s="491" t="s">
        <v>676</v>
      </c>
      <c r="C40" s="489"/>
      <c r="D40" s="490"/>
      <c r="E40" s="571">
        <v>1</v>
      </c>
      <c r="F40" s="571">
        <v>9</v>
      </c>
      <c r="G40" s="571">
        <v>25</v>
      </c>
      <c r="H40" s="478">
        <v>25</v>
      </c>
      <c r="I40" s="478"/>
      <c r="J40" s="571" t="s">
        <v>924</v>
      </c>
      <c r="K40" s="571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810</v>
      </c>
      <c r="S40" s="269"/>
      <c r="T40" s="269" t="s">
        <v>892</v>
      </c>
      <c r="U40" s="269"/>
      <c r="V40" s="269" t="s">
        <v>894</v>
      </c>
      <c r="W40" s="269" t="s">
        <v>896</v>
      </c>
      <c r="X40" s="269" t="s">
        <v>897</v>
      </c>
      <c r="Y40" s="269" t="s">
        <v>895</v>
      </c>
      <c r="AD40" s="456"/>
      <c r="AE40" s="456"/>
      <c r="AF40" s="456"/>
      <c r="AG40" s="456"/>
      <c r="AH40" s="456"/>
    </row>
    <row r="41" spans="1:35" x14ac:dyDescent="0.25">
      <c r="A41" s="772"/>
      <c r="B41" s="491" t="s">
        <v>677</v>
      </c>
      <c r="C41" s="489"/>
      <c r="D41" s="490"/>
      <c r="E41" s="571"/>
      <c r="F41" s="571"/>
      <c r="G41" s="571" t="s">
        <v>921</v>
      </c>
      <c r="H41" t="s">
        <v>923</v>
      </c>
      <c r="J41" s="571"/>
      <c r="K41" s="587" t="s">
        <v>913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6"/>
      <c r="AE41" s="456"/>
      <c r="AF41" s="456"/>
      <c r="AG41" s="456"/>
      <c r="AH41" s="456"/>
    </row>
    <row r="42" spans="1:35" ht="15.75" thickBot="1" x14ac:dyDescent="0.3">
      <c r="A42" s="773"/>
      <c r="B42" s="492" t="s">
        <v>796</v>
      </c>
      <c r="C42" s="495"/>
      <c r="D42" s="496"/>
      <c r="E42" s="580"/>
      <c r="F42" s="580"/>
      <c r="G42" s="580" t="s">
        <v>922</v>
      </c>
      <c r="J42" s="580" t="s">
        <v>926</v>
      </c>
      <c r="K42" s="580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6"/>
      <c r="AC42" s="456"/>
      <c r="AD42" s="456"/>
      <c r="AE42" s="456"/>
      <c r="AF42" s="456"/>
    </row>
    <row r="43" spans="1:35" s="5" customFormat="1" ht="30.75" thickBot="1" x14ac:dyDescent="0.3">
      <c r="A43" s="771" t="s">
        <v>136</v>
      </c>
      <c r="B43" s="584" t="s">
        <v>899</v>
      </c>
      <c r="C43" s="486" t="s">
        <v>820</v>
      </c>
      <c r="D43" s="487"/>
      <c r="E43" s="507" t="s">
        <v>698</v>
      </c>
      <c r="F43" s="507"/>
      <c r="G43" s="507"/>
      <c r="H43" s="508" t="s">
        <v>832</v>
      </c>
      <c r="I43" s="508"/>
      <c r="J43" s="509" t="s">
        <v>599</v>
      </c>
      <c r="K43" s="598"/>
      <c r="L43" s="669" t="s">
        <v>831</v>
      </c>
      <c r="M43" s="616" t="s">
        <v>825</v>
      </c>
      <c r="N43" s="617" t="s">
        <v>830</v>
      </c>
      <c r="O43" s="617" t="s">
        <v>826</v>
      </c>
      <c r="P43" s="618" t="s">
        <v>827</v>
      </c>
      <c r="Q43" s="618" t="s">
        <v>828</v>
      </c>
      <c r="R43" s="782" t="s">
        <v>829</v>
      </c>
      <c r="S43" s="783"/>
      <c r="T43" s="669" t="s">
        <v>909</v>
      </c>
      <c r="W43" s="669" t="s">
        <v>911</v>
      </c>
      <c r="X43" s="510"/>
    </row>
    <row r="44" spans="1:35" s="5" customFormat="1" ht="15.75" thickBot="1" x14ac:dyDescent="0.3">
      <c r="A44" s="772"/>
      <c r="B44" s="488" t="s">
        <v>122</v>
      </c>
      <c r="C44" s="489" t="s">
        <v>927</v>
      </c>
      <c r="D44" s="619">
        <f>E38</f>
        <v>0</v>
      </c>
      <c r="H44" s="620"/>
      <c r="I44" s="620"/>
      <c r="J44" s="621"/>
      <c r="K44" s="597"/>
      <c r="L44" s="622"/>
      <c r="M44" s="624"/>
      <c r="N44" s="623"/>
      <c r="O44" s="623"/>
      <c r="P44" s="623"/>
      <c r="Q44" s="624"/>
      <c r="R44" s="784"/>
      <c r="S44" s="785"/>
      <c r="T44" s="625"/>
      <c r="W44" s="672"/>
      <c r="X44" s="510"/>
    </row>
    <row r="45" spans="1:35" x14ac:dyDescent="0.25">
      <c r="A45" s="772"/>
      <c r="B45" s="491" t="s">
        <v>675</v>
      </c>
      <c r="C45" s="489"/>
      <c r="D45" s="490"/>
      <c r="E45" s="328">
        <v>0.5</v>
      </c>
      <c r="F45" s="328"/>
      <c r="G45" s="328"/>
      <c r="H45" s="328">
        <v>0.5</v>
      </c>
      <c r="I45" s="328"/>
      <c r="J45" s="328">
        <v>0.5</v>
      </c>
      <c r="K45" s="571"/>
      <c r="L45" s="497">
        <v>14</v>
      </c>
      <c r="M45" s="497">
        <v>10</v>
      </c>
      <c r="N45" s="497">
        <v>10</v>
      </c>
      <c r="O45" s="497">
        <v>10</v>
      </c>
      <c r="P45" s="497">
        <v>30</v>
      </c>
      <c r="Q45" s="497">
        <v>10</v>
      </c>
      <c r="R45" s="497">
        <v>40</v>
      </c>
      <c r="S45" s="497"/>
      <c r="T45" s="497">
        <v>26</v>
      </c>
      <c r="W45" s="269" t="s">
        <v>974</v>
      </c>
      <c r="X45" s="478"/>
    </row>
    <row r="46" spans="1:35" x14ac:dyDescent="0.25">
      <c r="A46" s="772"/>
      <c r="B46" s="491" t="s">
        <v>676</v>
      </c>
      <c r="C46" s="489"/>
      <c r="D46" s="490"/>
      <c r="E46" s="478">
        <v>4</v>
      </c>
      <c r="J46" s="2"/>
      <c r="K46"/>
      <c r="L46" s="478">
        <v>4</v>
      </c>
      <c r="M46" s="478">
        <v>4</v>
      </c>
      <c r="N46" s="497">
        <v>4</v>
      </c>
      <c r="O46" s="497">
        <v>4</v>
      </c>
      <c r="P46" s="497">
        <v>4</v>
      </c>
      <c r="Q46" s="497">
        <v>4</v>
      </c>
      <c r="R46" s="497">
        <v>4</v>
      </c>
      <c r="S46" s="497"/>
      <c r="T46" s="497">
        <v>4</v>
      </c>
      <c r="W46" s="497">
        <v>4</v>
      </c>
      <c r="X46" s="478"/>
    </row>
    <row r="47" spans="1:35" x14ac:dyDescent="0.25">
      <c r="A47" s="772"/>
      <c r="B47" s="491" t="s">
        <v>677</v>
      </c>
      <c r="C47" s="489"/>
      <c r="D47" s="490"/>
      <c r="E47" s="478"/>
      <c r="K47"/>
      <c r="L47" s="478"/>
      <c r="M47" s="478"/>
      <c r="N47" s="478"/>
      <c r="O47" s="478"/>
      <c r="P47" s="478"/>
      <c r="Q47" s="478"/>
      <c r="R47" s="478"/>
      <c r="S47" s="478"/>
      <c r="T47" s="478"/>
      <c r="W47" s="478"/>
      <c r="X47" s="478"/>
    </row>
    <row r="48" spans="1:35" s="1" customFormat="1" ht="15.75" thickBot="1" x14ac:dyDescent="0.3">
      <c r="A48" s="773"/>
      <c r="B48" s="492" t="s">
        <v>796</v>
      </c>
      <c r="C48" s="493"/>
      <c r="D48" s="494"/>
      <c r="E48" s="582" t="s">
        <v>901</v>
      </c>
      <c r="F48" s="582"/>
      <c r="G48"/>
      <c r="H48"/>
      <c r="I48"/>
      <c r="J48" s="2"/>
      <c r="K48" s="580"/>
      <c r="L48" s="582" t="s">
        <v>902</v>
      </c>
      <c r="M48" s="582" t="s">
        <v>903</v>
      </c>
      <c r="N48" s="582" t="s">
        <v>904</v>
      </c>
      <c r="O48" s="582" t="s">
        <v>905</v>
      </c>
      <c r="P48" s="582" t="s">
        <v>906</v>
      </c>
      <c r="Q48" s="582" t="s">
        <v>907</v>
      </c>
      <c r="R48" s="582" t="s">
        <v>908</v>
      </c>
      <c r="S48" s="497"/>
      <c r="T48" s="582" t="s">
        <v>910</v>
      </c>
      <c r="W48" s="582" t="s">
        <v>912</v>
      </c>
      <c r="X48" s="498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771" t="s">
        <v>573</v>
      </c>
      <c r="B49" s="585" t="s">
        <v>914</v>
      </c>
      <c r="C49" s="486" t="s">
        <v>820</v>
      </c>
      <c r="D49" s="487"/>
      <c r="E49" s="318" t="s">
        <v>157</v>
      </c>
      <c r="F49" s="318" t="s">
        <v>915</v>
      </c>
      <c r="G49" s="318" t="s">
        <v>818</v>
      </c>
      <c r="H49" s="506" t="s">
        <v>62</v>
      </c>
      <c r="I49" s="506"/>
      <c r="J49" s="504" t="s">
        <v>599</v>
      </c>
      <c r="K49" s="599"/>
      <c r="L49" s="774" t="s">
        <v>818</v>
      </c>
      <c r="M49" s="775"/>
      <c r="N49" s="663" t="s">
        <v>823</v>
      </c>
      <c r="O49" s="499" t="s">
        <v>975</v>
      </c>
      <c r="P49" s="499" t="s">
        <v>821</v>
      </c>
      <c r="Q49" s="499" t="s">
        <v>824</v>
      </c>
      <c r="R49" s="499" t="s">
        <v>917</v>
      </c>
      <c r="S49" s="499" t="s">
        <v>916</v>
      </c>
      <c r="T49" s="499" t="s">
        <v>1</v>
      </c>
      <c r="U49" s="499" t="s">
        <v>688</v>
      </c>
      <c r="V49" s="499" t="s">
        <v>598</v>
      </c>
      <c r="W49" s="499" t="s">
        <v>833</v>
      </c>
      <c r="X49" s="499" t="s">
        <v>367</v>
      </c>
      <c r="Y49" s="145"/>
      <c r="Z49" s="145"/>
      <c r="AA49" s="145"/>
    </row>
    <row r="50" spans="1:36" ht="15.75" thickBot="1" x14ac:dyDescent="0.3">
      <c r="A50" s="772"/>
      <c r="B50" s="488" t="s">
        <v>122</v>
      </c>
      <c r="C50" s="626" t="str">
        <f>IF(LEN(J38)=0,"",J38)</f>
        <v/>
      </c>
      <c r="D50" s="590">
        <v>1</v>
      </c>
      <c r="F50" s="502"/>
      <c r="G50" s="328"/>
      <c r="H50" s="505"/>
      <c r="I50" s="505"/>
      <c r="J50" s="503"/>
      <c r="K50" s="628" t="s">
        <v>930</v>
      </c>
      <c r="L50" s="776">
        <f>HYPERLINK("https://eu1.salesforce.com/"&amp;F50,G50)</f>
        <v>0</v>
      </c>
      <c r="M50" s="777"/>
      <c r="N50" s="1"/>
      <c r="O50" s="1"/>
      <c r="P50" s="671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772"/>
      <c r="B51" s="491" t="s">
        <v>675</v>
      </c>
      <c r="C51" s="489"/>
      <c r="D51" s="490"/>
      <c r="E51" s="328">
        <v>0.5</v>
      </c>
      <c r="F51" s="328"/>
      <c r="G51" s="328"/>
      <c r="H51" s="328">
        <v>0.5</v>
      </c>
      <c r="I51" s="328"/>
      <c r="J51" s="328">
        <v>0.5</v>
      </c>
      <c r="K51" s="571"/>
      <c r="L51" s="591" t="s">
        <v>892</v>
      </c>
      <c r="M51" s="591"/>
      <c r="N51" s="591" t="s">
        <v>113</v>
      </c>
      <c r="O51" s="591"/>
      <c r="P51" s="269" t="s">
        <v>1023</v>
      </c>
      <c r="Q51" s="269" t="s">
        <v>1024</v>
      </c>
      <c r="R51" s="591"/>
      <c r="S51" s="591"/>
      <c r="T51" s="591" t="s">
        <v>113</v>
      </c>
      <c r="U51" s="591" t="s">
        <v>113</v>
      </c>
      <c r="V51" s="591" t="s">
        <v>128</v>
      </c>
      <c r="W51" s="591" t="s">
        <v>128</v>
      </c>
      <c r="X51" s="591" t="s">
        <v>128</v>
      </c>
      <c r="AA51" s="92"/>
      <c r="AC51" s="455"/>
      <c r="AD51" s="92"/>
    </row>
    <row r="52" spans="1:36" x14ac:dyDescent="0.25">
      <c r="A52" s="772"/>
      <c r="B52" s="491" t="s">
        <v>676</v>
      </c>
      <c r="C52" s="489" t="s">
        <v>70</v>
      </c>
      <c r="D52" s="588" t="s">
        <v>128</v>
      </c>
      <c r="E52" s="581" t="s">
        <v>928</v>
      </c>
      <c r="F52" s="478" t="s">
        <v>70</v>
      </c>
      <c r="G52" s="478">
        <v>3</v>
      </c>
      <c r="H52" s="497"/>
      <c r="I52" s="497"/>
      <c r="J52" s="497"/>
      <c r="K52" s="497"/>
      <c r="L52" s="478"/>
      <c r="M52" s="478"/>
      <c r="N52" s="497" t="s">
        <v>838</v>
      </c>
      <c r="O52" s="497">
        <v>26</v>
      </c>
      <c r="P52" s="497" t="s">
        <v>131</v>
      </c>
      <c r="Q52" s="478" t="s">
        <v>129</v>
      </c>
      <c r="R52" s="478" t="s">
        <v>918</v>
      </c>
      <c r="S52" s="591" t="s">
        <v>111</v>
      </c>
      <c r="T52" s="497" t="s">
        <v>113</v>
      </c>
      <c r="U52" s="594"/>
      <c r="V52" s="594"/>
      <c r="W52" s="594"/>
      <c r="X52" s="594"/>
      <c r="Y52" s="595"/>
      <c r="AF52" s="456"/>
      <c r="AG52" s="456"/>
      <c r="AH52" s="456"/>
      <c r="AI52" s="456"/>
      <c r="AJ52" s="456"/>
    </row>
    <row r="53" spans="1:36" ht="45" x14ac:dyDescent="0.25">
      <c r="A53" s="772"/>
      <c r="B53" s="491" t="s">
        <v>677</v>
      </c>
      <c r="C53" s="489"/>
      <c r="D53" s="490"/>
      <c r="E53" s="589" t="s">
        <v>981</v>
      </c>
      <c r="K53" s="627" t="s">
        <v>929</v>
      </c>
      <c r="L53" s="627" t="s">
        <v>929</v>
      </c>
      <c r="M53" s="592"/>
      <c r="N53" s="592"/>
      <c r="O53" s="592"/>
      <c r="T53" s="592"/>
      <c r="AF53" s="456"/>
      <c r="AG53" s="456"/>
      <c r="AH53" s="456"/>
      <c r="AI53" s="456"/>
      <c r="AJ53" s="456"/>
    </row>
    <row r="54" spans="1:36" ht="15.75" thickBot="1" x14ac:dyDescent="0.3">
      <c r="A54" s="773"/>
      <c r="B54" s="492" t="s">
        <v>796</v>
      </c>
      <c r="C54" s="495"/>
      <c r="D54" s="494"/>
      <c r="E54" s="119"/>
      <c r="H54" s="580"/>
      <c r="I54" s="580"/>
      <c r="K54"/>
      <c r="L54" s="2"/>
      <c r="AB54" s="253"/>
      <c r="AF54" s="456"/>
      <c r="AG54" s="456"/>
      <c r="AH54" s="456"/>
      <c r="AI54" s="456"/>
      <c r="AJ54" s="456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HDR_BTOmails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HDR_PaymentUpd</vt:lpstr>
      <vt:lpstr>HDR_WP</vt:lpstr>
      <vt:lpstr>HDR_WPacc</vt:lpstr>
      <vt:lpstr>NewOppHeader</vt:lpstr>
      <vt:lpstr>OppTypeRng</vt:lpstr>
      <vt:lpstr>Orders_MyCol</vt:lpstr>
      <vt:lpstr>Payment_MyCol</vt:lpstr>
      <vt:lpstr>Payment_Summary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2013-01-05T23:12:47Z</dcterms:modified>
</cp:coreProperties>
</file>