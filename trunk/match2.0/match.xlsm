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4905" yWindow="6000" windowWidth="4920" windowHeight="603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Process!$A$119:$L$122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G94" i="1989" l="1"/>
  <c r="K94" i="1989" l="1"/>
  <c r="L94" i="1989"/>
  <c r="F95" i="1989"/>
  <c r="K95" i="1989" s="1"/>
  <c r="C95" i="1989"/>
  <c r="C94" i="1989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s="1"/>
  <c r="T34" i="1988" l="1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1" i="1989"/>
  <c r="L52" i="1989" s="1"/>
  <c r="C131" i="1989"/>
  <c r="M128" i="1989"/>
  <c r="L128" i="1989"/>
  <c r="K128" i="1989"/>
  <c r="L125" i="1989"/>
  <c r="F113" i="1989"/>
  <c r="K113" i="1989" s="1"/>
  <c r="C113" i="1989"/>
  <c r="N112" i="1989"/>
  <c r="M112" i="1989"/>
  <c r="L112" i="1989"/>
  <c r="C112" i="1989"/>
  <c r="C110" i="1989"/>
  <c r="K109" i="1989"/>
  <c r="K108" i="1989"/>
  <c r="K112" i="1989" s="1"/>
  <c r="K106" i="1989"/>
  <c r="C106" i="1989"/>
  <c r="K105" i="1989"/>
  <c r="C105" i="1989"/>
  <c r="N104" i="1989"/>
  <c r="M104" i="1989"/>
  <c r="L104" i="1989"/>
  <c r="C104" i="1989"/>
  <c r="K103" i="1989"/>
  <c r="K102" i="1989"/>
  <c r="F101" i="1989"/>
  <c r="C101" i="1989"/>
  <c r="F100" i="1989"/>
  <c r="F99" i="1989"/>
  <c r="C99" i="1989"/>
  <c r="H98" i="1989"/>
  <c r="G98" i="1989"/>
  <c r="F98" i="1989"/>
  <c r="K97" i="1989"/>
  <c r="K104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1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<sst xmlns="http://schemas.openxmlformats.org/spreadsheetml/2006/main" count="2624" uniqueCount="1178">
  <si>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</si>
  <si>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</si>
  <si>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</si>
  <si>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</si>
  <si>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</si>
  <si>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</si>
  <si>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</si>
  <si>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</si>
  <si>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</si>
  <si>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</si>
  <si>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</si>
  <si>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</si>
  <si>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</si>
  <si>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</si>
  <si>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</si>
  <si>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</si>
  <si>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</si>
  <si>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</si>
  <si>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</si>
  <si>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</si>
  <si>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</si>
  <si>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</si>
  <si>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</si>
  <si>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</si>
  <si>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</si>
  <si>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</si>
  <si>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</si>
  <si>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</si>
  <si>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</si>
  <si>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</si>
  <si>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</si>
  <si>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</si>
  <si>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</si>
  <si>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</si>
  <si>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</si>
  <si>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</si>
  <si>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</si>
  <si>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</si>
  <si>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</si>
  <si>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</si>
  <si>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</si>
  <si>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</si>
  <si>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</si>
  <si>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</si>
  <si>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</si>
  <si>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</si>
  <si>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</si>
  <si>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</si>
  <si>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</si>
  <si>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</si>
  <si>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</si>
  <si>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</si>
  <si>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</si>
  <si>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</si>
  <si>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</si>
  <si>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</si>
  <si>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</si>
  <si>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</si>
  <si>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</si>
  <si>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</si>
  <si>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</si>
  <si>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</si>
  <si>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</si>
  <si>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</si>
  <si>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</si>
  <si>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</si>
  <si>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</si>
  <si>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</si>
  <si>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</si>
  <si>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</si>
  <si>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</si>
  <si>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</si>
  <si>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</si>
  <si>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</si>
  <si>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</si>
  <si>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</si>
  <si>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</si>
  <si>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</si>
  <si>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</si>
  <si>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</si>
  <si>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</si>
  <si>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</si>
  <si>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</si>
  <si>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</si>
  <si>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</si>
  <si>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</si>
  <si>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</si>
  <si>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</si>
  <si>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</si>
  <si>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</si>
  <si>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</si>
  <si>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</si>
  <si>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</si>
  <si>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</si>
  <si>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</si>
  <si>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</si>
  <si>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</si>
  <si>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</si>
  <si>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</si>
  <si>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</si>
  <si>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</si>
  <si>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</si>
  <si>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</si>
  <si>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</si>
  <si>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</si>
  <si>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</si>
  <si>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</si>
  <si>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</si>
  <si>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</si>
  <si>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</si>
  <si>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</si>
  <si>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</si>
  <si>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</si>
  <si>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</si>
  <si>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</si>
  <si>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</si>
  <si>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</si>
  <si>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</si>
  <si>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</si>
  <si>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</si>
  <si>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</si>
  <si>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</si>
  <si>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</si>
  <si>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</si>
  <si>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</si>
  <si>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</si>
  <si>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</si>
  <si>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</si>
  <si>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</si>
  <si>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</si>
  <si>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</si>
  <si>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</si>
  <si>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</si>
  <si>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</si>
  <si>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</si>
  <si>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</si>
  <si>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</si>
  <si>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</si>
  <si>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</si>
  <si>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</si>
  <si>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</si>
  <si>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</si>
  <si>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</si>
  <si>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</si>
  <si>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</si>
  <si>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</si>
  <si>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</si>
  <si>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</si>
  <si>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</si>
  <si>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</si>
  <si>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</si>
  <si>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</si>
  <si>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</si>
  <si>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</si>
  <si>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</si>
  <si>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</si>
  <si>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</si>
  <si>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</si>
  <si>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</si>
  <si>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</si>
  <si>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</si>
  <si>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</si>
  <si>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</si>
  <si>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</si>
  <si>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</si>
  <si>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</si>
  <si>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</si>
  <si>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</si>
  <si>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</si>
  <si>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</si>
  <si>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</si>
  <si>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</si>
  <si>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</si>
  <si>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</si>
  <si>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</si>
  <si>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</si>
  <si>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</si>
  <si>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</si>
  <si>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</si>
  <si>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</si>
  <si>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</si>
  <si>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</si>
  <si>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</si>
  <si>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</si>
  <si>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</si>
  <si>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</si>
  <si>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</si>
  <si>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</si>
  <si>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</si>
  <si>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</si>
  <si>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</si>
  <si>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</si>
  <si>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</si>
  <si>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</si>
  <si>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</si>
  <si>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</si>
  <si>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</si>
  <si>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</si>
  <si>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</si>
  <si>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</si>
  <si>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</si>
  <si>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</si>
  <si>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</si>
  <si>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</si>
  <si>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</si>
  <si>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</si>
  <si>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</si>
  <si>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</si>
  <si>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</si>
  <si>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</si>
  <si>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</si>
  <si>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</si>
  <si>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</si>
  <si>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</si>
  <si>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</si>
  <si>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</si>
  <si>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</si>
  <si>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</si>
  <si>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</si>
  <si>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</si>
  <si>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</si>
  <si>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</si>
  <si>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</si>
  <si>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</si>
  <si>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</si>
  <si>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</si>
  <si>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</si>
  <si>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</si>
  <si>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</si>
  <si>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</si>
  <si>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</si>
  <si>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</si>
  <si>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</si>
  <si>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</si>
  <si>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</si>
  <si>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</si>
  <si>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</si>
  <si>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</si>
  <si>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</si>
  <si>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</si>
  <si>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</si>
  <si>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</si>
  <si>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</si>
  <si>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</si>
  <si>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</si>
  <si>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</si>
  <si>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</si>
  <si>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</si>
  <si>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</si>
  <si>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</si>
  <si>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</si>
  <si>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</si>
  <si>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</si>
  <si>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</si>
  <si>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</si>
  <si>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</si>
  <si>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</si>
  <si>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</si>
  <si>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</si>
  <si>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</si>
  <si>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</si>
  <si>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</si>
  <si>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</si>
  <si>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</si>
  <si>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</si>
  <si>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</si>
  <si>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</si>
  <si>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</si>
  <si>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</si>
  <si>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</si>
  <si>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</si>
  <si>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</si>
  <si>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</si>
  <si>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</si>
  <si>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</si>
  <si>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</si>
  <si>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</si>
  <si>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</si>
  <si>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</si>
  <si>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</si>
  <si>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</si>
  <si>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</si>
  <si>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</si>
  <si>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</si>
  <si>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</si>
  <si>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</si>
  <si>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</si>
  <si>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</si>
  <si>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</si>
  <si>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</si>
  <si>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</si>
  <si>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</si>
  <si>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</si>
  <si>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</si>
  <si>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</si>
  <si>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</si>
  <si>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</si>
  <si>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</si>
  <si>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</si>
  <si>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</si>
  <si>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</si>
  <si>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</si>
  <si>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</si>
  <si>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</si>
  <si>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</si>
  <si>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</si>
  <si>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</si>
  <si>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</si>
  <si>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</si>
  <si>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</si>
  <si>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</si>
  <si>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</si>
  <si>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</si>
  <si>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</si>
  <si>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</si>
  <si>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</si>
  <si>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</si>
  <si>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</si>
  <si>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</si>
  <si>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</si>
  <si>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</si>
  <si>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</si>
  <si>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</si>
  <si>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</si>
  <si>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</si>
  <si>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</si>
  <si>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</si>
  <si>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</si>
  <si>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</si>
  <si>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</si>
  <si>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</si>
  <si>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</si>
  <si>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</si>
  <si>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</si>
  <si>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</si>
  <si>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</si>
  <si>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</si>
  <si>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</si>
  <si>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</si>
  <si>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</si>
  <si>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</si>
  <si>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</si>
  <si>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</si>
  <si>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</si>
  <si>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</si>
  <si>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</si>
  <si>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</si>
  <si>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</si>
  <si>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</si>
  <si>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</si>
  <si>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</si>
  <si>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</si>
  <si>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</si>
  <si>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</si>
  <si>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</si>
  <si>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</si>
  <si>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</si>
  <si>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</si>
  <si>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</si>
  <si>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</si>
  <si>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</si>
  <si>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</si>
  <si>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</si>
  <si>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</si>
  <si>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</si>
  <si>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</si>
  <si>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</si>
  <si>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</si>
  <si>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</si>
  <si>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</si>
  <si>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</si>
  <si>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</si>
  <si>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</si>
  <si>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</si>
  <si>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</si>
  <si>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</si>
  <si>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</si>
  <si>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</si>
  <si>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</si>
  <si>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</si>
  <si>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</si>
  <si>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</si>
  <si>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</si>
  <si>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</si>
  <si>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</si>
  <si>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</si>
  <si>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</si>
  <si>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</si>
  <si>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</si>
  <si>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</si>
  <si>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</si>
  <si>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</si>
  <si>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</si>
  <si>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</si>
  <si>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</si>
  <si>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</si>
  <si>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</si>
  <si>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</si>
  <si>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</si>
  <si>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</si>
  <si>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</si>
  <si>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</si>
  <si>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</si>
  <si>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</si>
  <si>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</si>
  <si>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</si>
  <si>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</si>
  <si>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</si>
  <si>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</si>
  <si>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</si>
  <si>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</si>
  <si>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</si>
  <si>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</si>
  <si>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</si>
  <si>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</si>
  <si>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</si>
  <si>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</si>
  <si>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</si>
  <si>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</si>
  <si>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</si>
  <si>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</si>
  <si>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</si>
  <si>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</si>
  <si>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</si>
  <si>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</si>
  <si>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</si>
  <si>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</si>
  <si>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</si>
  <si>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</si>
  <si>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</si>
  <si>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</si>
  <si>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</si>
  <si>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</si>
  <si>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</si>
  <si>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</si>
  <si>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</si>
  <si>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</si>
  <si>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</si>
  <si>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</si>
  <si>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</si>
  <si>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</si>
  <si>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</si>
  <si>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</si>
  <si>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</si>
  <si>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</si>
  <si>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</si>
  <si>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</si>
  <si>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</si>
  <si>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</si>
  <si>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</si>
  <si>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</si>
  <si>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</si>
  <si>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</si>
  <si>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</si>
  <si>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</si>
  <si>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</si>
  <si>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</si>
  <si>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</si>
  <si>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</si>
  <si>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</si>
  <si>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</si>
  <si>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</si>
  <si>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</si>
  <si>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</si>
  <si>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</si>
  <si>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</si>
  <si>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</si>
  <si>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</si>
  <si>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</si>
  <si>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</si>
  <si>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</si>
  <si>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</si>
  <si>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</si>
  <si>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</si>
  <si>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</si>
  <si>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</si>
  <si>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</si>
  <si>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</si>
  <si>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</si>
  <si>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</si>
  <si>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</si>
  <si>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</si>
  <si>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</si>
  <si>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</si>
  <si>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</si>
  <si>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</si>
  <si>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</si>
  <si>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</si>
  <si>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</si>
  <si>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</si>
  <si>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</si>
  <si>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</si>
  <si>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</si>
  <si>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</si>
  <si>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</si>
  <si>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</si>
  <si>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</si>
  <si>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</si>
  <si>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</si>
  <si>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</si>
  <si>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</si>
  <si>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</si>
  <si>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</si>
  <si>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</si>
  <si>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</si>
  <si>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</si>
  <si>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</si>
  <si>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</si>
  <si>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</si>
  <si>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</si>
  <si>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</si>
  <si>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</si>
  <si>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</si>
  <si>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</si>
  <si>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</si>
  <si>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</si>
  <si>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</si>
  <si>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</si>
  <si>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</si>
  <si>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</si>
  <si>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</si>
  <si>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</si>
  <si>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</si>
  <si>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</si>
  <si>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</si>
  <si>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</si>
  <si>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</si>
  <si>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</si>
  <si>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</si>
  <si>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</si>
  <si>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</si>
  <si>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</si>
  <si>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</si>
  <si>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</si>
  <si>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</si>
  <si>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</si>
  <si>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</si>
  <si>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</si>
  <si>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</si>
  <si>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</si>
  <si>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</si>
  <si>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</si>
  <si>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</si>
  <si>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</si>
  <si>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</si>
  <si>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</si>
  <si>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</si>
  <si>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</si>
  <si>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</si>
  <si>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</si>
  <si>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</si>
  <si>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</si>
  <si>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</si>
  <si>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</si>
  <si>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</si>
  <si>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</si>
  <si>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</si>
  <si>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</si>
  <si>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</si>
  <si>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</si>
  <si>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</si>
  <si>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</si>
  <si>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</si>
  <si>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</si>
  <si>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</si>
  <si>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</si>
  <si>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</si>
  <si>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</si>
  <si>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</si>
  <si>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</si>
  <si>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</si>
  <si>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</si>
  <si>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</si>
  <si>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</si>
  <si>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</si>
  <si>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</si>
  <si>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</si>
  <si>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</si>
  <si>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</si>
  <si>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</si>
  <si>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</si>
  <si>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</si>
  <si>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</si>
  <si>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</si>
  <si>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</si>
  <si>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</si>
  <si>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</si>
  <si>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</si>
  <si>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</si>
  <si>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</si>
  <si>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</si>
  <si>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</si>
  <si>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</si>
  <si>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</si>
  <si>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</si>
  <si>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</si>
  <si>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</si>
  <si>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</si>
  <si>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</si>
  <si>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</si>
  <si>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</si>
  <si>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</si>
  <si>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</si>
  <si>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</si>
  <si>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</si>
  <si>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</si>
  <si>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</si>
  <si>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</si>
  <si>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</si>
  <si>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</si>
  <si>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</si>
  <si>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</si>
  <si>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</si>
  <si>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</si>
  <si>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</si>
  <si>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</si>
  <si>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</si>
  <si>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</si>
  <si>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</si>
  <si>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</si>
  <si>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</si>
  <si>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</si>
  <si>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</si>
  <si>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</si>
  <si>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</si>
  <si>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</si>
  <si>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</si>
  <si>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</si>
  <si>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</si>
  <si>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</si>
  <si>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</si>
  <si>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</si>
  <si>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</si>
  <si>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</si>
  <si>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</si>
  <si>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</si>
  <si>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</si>
  <si>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</si>
  <si>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</si>
  <si>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</si>
  <si>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</si>
  <si>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</si>
  <si>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</si>
  <si>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</si>
  <si>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</si>
  <si>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</si>
  <si>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</si>
  <si>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</si>
  <si>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</si>
  <si>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</si>
  <si>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</si>
  <si>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</si>
  <si>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</si>
  <si>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</si>
  <si>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</si>
  <si>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</si>
  <si>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</si>
  <si>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</si>
  <si>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</si>
  <si>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</si>
  <si>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</si>
  <si>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</si>
  <si>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</si>
  <si>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</si>
  <si>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</si>
  <si>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</si>
  <si>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</si>
  <si>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</si>
  <si>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</si>
  <si>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</si>
  <si>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</si>
  <si>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</si>
  <si>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</si>
  <si>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</si>
  <si>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</si>
  <si>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</si>
  <si>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</si>
  <si>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</si>
  <si>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</si>
  <si>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</si>
  <si>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</si>
  <si>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</si>
  <si>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</si>
  <si>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</si>
  <si>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</si>
  <si>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</si>
  <si>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</si>
  <si>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</si>
  <si>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</si>
  <si>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</si>
  <si>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</si>
  <si>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</si>
  <si>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</si>
  <si>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</si>
  <si>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</si>
  <si>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</si>
  <si>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</si>
  <si>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</si>
  <si>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</si>
  <si>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</si>
  <si>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</si>
  <si>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</si>
  <si>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</si>
  <si>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</si>
  <si>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</si>
  <si>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</si>
  <si>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</si>
  <si>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</si>
  <si>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</si>
  <si>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</si>
  <si>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</si>
  <si>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</si>
  <si>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</si>
  <si>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</si>
  <si>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</si>
  <si>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</si>
  <si>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</si>
  <si>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</si>
  <si>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</si>
  <si>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</si>
  <si>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</si>
  <si>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</si>
  <si>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</si>
  <si>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</si>
  <si>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</si>
  <si>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</si>
  <si>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</si>
  <si>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</si>
  <si>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</si>
  <si>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</si>
  <si>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</si>
  <si>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</si>
  <si>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</si>
  <si>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</si>
  <si>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</si>
  <si>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</si>
  <si>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</si>
  <si>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</si>
  <si>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</si>
  <si>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</si>
  <si>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</si>
  <si>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</si>
  <si>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</si>
  <si>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</si>
  <si>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</si>
  <si>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</si>
  <si>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</si>
  <si>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</si>
  <si>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</si>
  <si>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</si>
  <si>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</si>
  <si>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</si>
  <si>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</si>
  <si>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</si>
  <si>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</si>
  <si>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</si>
  <si>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</si>
  <si>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</si>
  <si>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</si>
  <si>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</si>
  <si>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</si>
  <si>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</si>
  <si>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</si>
  <si>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</si>
  <si>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</si>
  <si>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</si>
  <si>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</si>
  <si>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</si>
  <si>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</si>
  <si>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</si>
  <si>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</si>
  <si>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</si>
  <si>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</si>
  <si>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</si>
  <si>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</si>
  <si>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</si>
  <si>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</si>
  <si>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</si>
  <si>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</si>
  <si>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</si>
  <si>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</si>
  <si>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</si>
  <si>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</si>
  <si>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</si>
  <si>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</si>
  <si>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</si>
  <si>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</si>
  <si>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</si>
  <si>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</si>
  <si>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</si>
  <si>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</si>
  <si>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</si>
  <si>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</si>
  <si>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</si>
  <si>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</si>
  <si>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</si>
  <si>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</si>
  <si>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</si>
  <si>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</si>
  <si>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</si>
  <si>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</si>
  <si>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</si>
  <si>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</si>
  <si>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</si>
  <si>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</si>
  <si>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</si>
  <si>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</si>
  <si>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</si>
  <si>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</si>
  <si>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</si>
  <si>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</si>
  <si>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</si>
  <si>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</si>
  <si>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</si>
  <si>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</si>
  <si>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</si>
  <si>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</si>
  <si>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</si>
  <si>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</si>
  <si>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</si>
  <si>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</si>
  <si>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</si>
  <si>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</si>
  <si>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</si>
  <si>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</si>
  <si>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</si>
  <si>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</si>
  <si>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</si>
  <si>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</si>
  <si>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</si>
  <si>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</si>
  <si>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</si>
  <si>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</si>
  <si>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</si>
  <si>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</si>
  <si>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</si>
  <si>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</si>
  <si>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</si>
  <si>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</si>
  <si>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</si>
  <si>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</si>
  <si>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</si>
  <si>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</si>
  <si>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</si>
  <si>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</si>
  <si>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</si>
  <si>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</si>
  <si>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</si>
  <si>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</si>
  <si>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</si>
  <si>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</si>
  <si>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</si>
  <si>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</si>
  <si>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</si>
  <si>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</si>
  <si>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</si>
  <si>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</si>
  <si>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</si>
  <si>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</si>
  <si>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</si>
  <si>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</si>
  <si>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</si>
  <si>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</si>
  <si>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</si>
  <si>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</si>
  <si>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</si>
  <si>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</si>
  <si>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</si>
  <si>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</si>
  <si>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</si>
  <si>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</si>
  <si>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</si>
  <si>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</si>
  <si>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</si>
  <si>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</si>
  <si>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</si>
  <si>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</si>
  <si>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</si>
  <si>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</si>
  <si>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</si>
  <si>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</si>
  <si>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</si>
  <si>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</si>
  <si>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</si>
  <si>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</si>
  <si>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</si>
  <si>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</si>
  <si>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</si>
  <si>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</si>
  <si>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</si>
  <si>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</si>
  <si>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</si>
  <si>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</si>
  <si>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</si>
  <si>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</si>
  <si>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</si>
  <si>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</si>
  <si>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</si>
  <si>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</si>
  <si>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</si>
  <si>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</si>
  <si>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</si>
  <si>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</si>
  <si>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</si>
  <si>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</si>
  <si>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</si>
  <si>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</si>
  <si>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</si>
  <si>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</si>
  <si>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</si>
  <si>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</si>
  <si>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</si>
  <si>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</si>
  <si>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</si>
  <si>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</si>
  <si>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</si>
  <si>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</si>
  <si>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</si>
  <si>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</si>
  <si>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</si>
  <si>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</si>
  <si>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</si>
  <si>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</si>
  <si>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</si>
  <si>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</si>
  <si>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</si>
  <si>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</si>
  <si>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</si>
  <si>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</si>
  <si>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</si>
  <si>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</si>
  <si>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</si>
  <si>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</si>
  <si>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</si>
  <si>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</si>
  <si>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</si>
  <si>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</si>
  <si>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</si>
  <si>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</si>
  <si>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</si>
  <si>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</si>
  <si>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</si>
  <si>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</si>
  <si>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</si>
  <si>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</si>
  <si>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</si>
  <si>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</si>
  <si>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</si>
  <si>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</si>
  <si>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</si>
  <si>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</si>
  <si>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</si>
  <si>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</si>
  <si>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</si>
  <si>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</si>
  <si>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</si>
  <si>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</si>
  <si>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</si>
  <si>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</si>
  <si>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</si>
  <si>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</si>
  <si>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</si>
  <si>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</si>
  <si>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</si>
  <si>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</si>
  <si>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</si>
  <si>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</si>
  <si>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</si>
  <si>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</si>
  <si>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</si>
  <si>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</si>
  <si>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</si>
  <si>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</si>
  <si>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</si>
  <si>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</si>
  <si>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</si>
  <si>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</si>
  <si>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</si>
  <si>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</si>
  <si>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</si>
  <si>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</si>
  <si>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</si>
  <si>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</si>
  <si>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</si>
  <si>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</si>
  <si>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</si>
  <si>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</si>
  <si>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</si>
  <si>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</si>
  <si>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</si>
  <si>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</si>
  <si>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</si>
  <si>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</si>
  <si>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</si>
  <si>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</si>
  <si>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</si>
  <si>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</si>
  <si>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</si>
  <si>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</si>
  <si>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</si>
  <si>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</si>
  <si>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</si>
  <si>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</si>
  <si>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</si>
  <si>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</si>
  <si>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</si>
  <si>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</si>
  <si>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</si>
  <si>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</si>
  <si>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</si>
  <si>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</si>
  <si>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</si>
  <si>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</si>
  <si>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</si>
  <si>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</si>
  <si>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</si>
  <si>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</si>
  <si>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</si>
  <si>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</si>
  <si>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</si>
  <si>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</si>
  <si>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</si>
  <si>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</si>
  <si>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</si>
  <si>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</si>
  <si>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</si>
  <si>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</si>
  <si>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</si>
  <si>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</si>
  <si>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</si>
  <si>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</si>
  <si>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</si>
  <si>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</si>
  <si>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</si>
  <si>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</si>
  <si>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</si>
  <si>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</si>
  <si>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</si>
  <si>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</si>
  <si>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</si>
  <si>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</si>
  <si>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</si>
  <si>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</si>
  <si>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</si>
  <si>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</si>
  <si>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</si>
  <si>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</si>
  <si>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</si>
  <si>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</si>
  <si>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</si>
  <si>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</si>
  <si>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</si>
  <si>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</si>
  <si>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</si>
  <si>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</si>
  <si>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</si>
  <si>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</si>
  <si>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</si>
  <si>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</si>
  <si>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</si>
  <si>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</si>
  <si>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</si>
  <si>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</si>
  <si>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</si>
  <si>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</si>
  <si>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</si>
  <si>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</si>
  <si>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</si>
  <si>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</si>
  <si>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</si>
  <si>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</si>
  <si>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</si>
  <si>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</si>
  <si>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</si>
  <si>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</si>
  <si>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</si>
  <si>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</si>
  <si>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</si>
  <si>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</si>
  <si>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</si>
  <si>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</si>
  <si>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</si>
  <si>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</si>
  <si>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</si>
  <si>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</si>
  <si>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</si>
  <si>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</si>
  <si>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</si>
  <si>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</si>
  <si>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</si>
  <si>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</si>
  <si>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</si>
  <si>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</si>
  <si>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</si>
  <si>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</si>
  <si>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</si>
  <si>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</si>
  <si>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</si>
  <si>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</si>
  <si>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</si>
  <si>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</si>
  <si>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</si>
  <si>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</si>
  <si>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</si>
  <si>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</si>
  <si>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</si>
  <si>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</si>
  <si>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</si>
  <si>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</si>
  <si>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</si>
  <si>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</si>
  <si>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</si>
  <si>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</si>
  <si>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</si>
  <si>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</si>
  <si>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</si>
  <si>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</si>
  <si>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</si>
  <si>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C:\Users\Pavel_Khrapkin\Documents\Pavel\match\DBs\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</si>
  <si>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</si>
  <si>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</si>
  <si>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</si>
  <si>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</si>
  <si>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</si>
  <si>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</si>
  <si>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</si>
  <si>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</si>
  <si>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</si>
  <si>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</si>
  <si>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</si>
  <si>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</si>
  <si>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</si>
  <si>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</si>
  <si>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</si>
  <si>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</si>
  <si>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</si>
  <si>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</si>
  <si>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</si>
  <si>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</si>
  <si>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</si>
  <si>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</si>
  <si>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</si>
  <si>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</si>
  <si>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</si>
  <si>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</si>
  <si>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</si>
  <si>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</si>
  <si>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</si>
  <si>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</si>
  <si>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</si>
  <si>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</si>
  <si>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</si>
  <si>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</si>
  <si>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</si>
  <si>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</si>
  <si>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</si>
  <si>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</si>
  <si>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681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</si>
  <si>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</si>
  <si>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</si>
  <si>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</si>
  <si>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</si>
  <si>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</si>
  <si>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</si>
  <si>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</si>
  <si>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</si>
  <si>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</si>
  <si>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</si>
  <si>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</si>
  <si>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UniqueHandle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</si>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</sst>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69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70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171" fontId="0" fillId="52" borderId="109" xfId="0" applyFill="1" applyBorder="1"/>
    <xf numFmtId="1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topLeftCell="A13" zoomScale="90" zoomScaleNormal="90" workbookViewId="0">
      <selection activeCell="Q29" sqref="Q29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41399.717812499999</v>
      </c>
      <c r="C1" s="124" t="s">
        <v>572</v>
      </c>
      <c r="J1" s="455" t="s">
        <v>1118</v>
      </c>
      <c r="K1" s="166"/>
      <c r="L1" s="57"/>
      <c r="M1" s="57"/>
      <c r="N1" s="57"/>
      <c r="O1" s="839" t="s">
        <v>581</v>
      </c>
      <c r="P1" s="839" t="s">
        <v>824</v>
      </c>
      <c r="Q1" s="839"/>
      <c r="R1" s="839"/>
      <c r="S1" s="839"/>
    </row>
    <row r="2" spans="1:23" ht="20.25" customHeight="1" x14ac:dyDescent="0.25">
      <c r="O2" s="840"/>
      <c r="P2" s="840"/>
      <c r="Q2" s="840"/>
      <c r="R2" s="840"/>
      <c r="S2" s="840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41397.588252314818</v>
      </c>
      <c r="B8" s="135" t="s">
        <v>550</v>
      </c>
      <c r="C8" s="140">
        <v>5671</v>
      </c>
      <c r="D8" s="140">
        <v>5</v>
      </c>
      <c r="E8" s="140">
        <v>2</v>
      </c>
      <c r="F8" t="s">
        <v>982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41394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41397.526782407411</v>
      </c>
      <c r="B10" t="s">
        <v>555</v>
      </c>
      <c r="C10" s="144">
        <v>1304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41396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41397.526805555557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41397.557824074072</v>
      </c>
      <c r="B14" s="135" t="s">
        <v>557</v>
      </c>
      <c r="C14" s="140">
        <v>4550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41397.556250000001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41397.524513888886</v>
      </c>
      <c r="B15" t="s">
        <v>560</v>
      </c>
      <c r="C15" s="144">
        <v>1079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41397.523611111108</v>
      </c>
      <c r="O15" s="137"/>
      <c r="Q15" s="137"/>
      <c r="T15" s="148" t="str">
        <f>Process!F32</f>
        <v>LOAD_SFD</v>
      </c>
    </row>
    <row r="16" spans="1:23" ht="15.75" x14ac:dyDescent="0.3">
      <c r="A16" s="247">
        <v>41396.726678240739</v>
      </c>
      <c r="B16" t="s">
        <v>562</v>
      </c>
      <c r="C16" s="144">
        <v>3372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41396.725694444445</v>
      </c>
      <c r="O16" s="137"/>
      <c r="Q16" s="137"/>
    </row>
    <row r="17" spans="1:20" ht="15.75" x14ac:dyDescent="0.3">
      <c r="A17" s="247">
        <v>41397.525578703702</v>
      </c>
      <c r="B17" t="s">
        <v>136</v>
      </c>
      <c r="C17" s="144">
        <v>4172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41397.524305555555</v>
      </c>
      <c r="O17" s="137"/>
      <c r="Q17" s="137"/>
      <c r="T17" t="str">
        <f>Process!F38</f>
        <v>LOAD_SFacc</v>
      </c>
    </row>
    <row r="18" spans="1:20" ht="15.75" x14ac:dyDescent="0.3">
      <c r="A18" s="247">
        <v>41397.541122685187</v>
      </c>
      <c r="B18" t="s">
        <v>565</v>
      </c>
      <c r="C18" s="144">
        <v>8373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41397.527777777781</v>
      </c>
      <c r="O18" s="137"/>
      <c r="Q18" s="137"/>
    </row>
    <row r="19" spans="1:20" ht="15.75" x14ac:dyDescent="0.3">
      <c r="A19" s="247">
        <v>41399.624837962961</v>
      </c>
      <c r="B19" t="s">
        <v>567</v>
      </c>
      <c r="C19" s="144">
        <v>1846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41399.623611111114</v>
      </c>
      <c r="O19" s="137"/>
      <c r="Q19" s="137"/>
    </row>
    <row r="20" spans="1:20" ht="15.75" x14ac:dyDescent="0.3">
      <c r="A20" s="247">
        <v>41399.652002314811</v>
      </c>
      <c r="B20" t="s">
        <v>1167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1167</v>
      </c>
      <c r="J20" s="131" t="s">
        <v>1166</v>
      </c>
      <c r="K20" s="128" t="s">
        <v>576</v>
      </c>
      <c r="L20" s="139">
        <v>2</v>
      </c>
      <c r="M20" s="139">
        <v>1</v>
      </c>
      <c r="N20" s="123">
        <v>41399.645138888889</v>
      </c>
      <c r="O20" s="137"/>
      <c r="Q20" s="137"/>
    </row>
    <row r="21" spans="1:20" ht="15.75" x14ac:dyDescent="0.3">
      <c r="A21" s="247">
        <v>41385.529618055552</v>
      </c>
      <c r="B21" t="s">
        <v>568</v>
      </c>
      <c r="C21" s="144">
        <v>193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41385.529166666667</v>
      </c>
      <c r="O21" s="137"/>
      <c r="Q21" s="137"/>
    </row>
    <row r="22" spans="1:20" ht="15.75" x14ac:dyDescent="0.3">
      <c r="A22" s="247">
        <v>41396.665300925924</v>
      </c>
      <c r="B22" t="s">
        <v>570</v>
      </c>
      <c r="C22" s="144" t="s">
        <v>1157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41396.664583333331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4">
        <v>41399.717812499999</v>
      </c>
      <c r="B29" s="287" t="s">
        <v>590</v>
      </c>
      <c r="C29" s="288">
        <v>1673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41398.686539351853</v>
      </c>
      <c r="O29" s="287" t="s">
        <v>314</v>
      </c>
      <c r="P29" s="523">
        <v>3</v>
      </c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>
        <v>3</v>
      </c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>
        <v>3</v>
      </c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>
        <v>3</v>
      </c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>
        <v>3</v>
      </c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41398.850706018522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41397.588252314818</v>
      </c>
      <c r="B43" s="148" t="s">
        <v>792</v>
      </c>
      <c r="C43" s="274">
        <v>2</v>
      </c>
      <c r="D43" s="274"/>
      <c r="E43" s="274"/>
      <c r="F43" s="148" t="s">
        <v>1087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41397.605231481481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41388.807662037034</v>
      </c>
      <c r="B44" s="148" t="s">
        <v>667</v>
      </c>
      <c r="C44" s="274">
        <v>1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41388.807638888888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41399.707754629628</v>
      </c>
      <c r="B47" s="148" t="s">
        <v>1110</v>
      </c>
      <c r="C47" s="274">
        <v>76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41399.697581018518</v>
      </c>
      <c r="O47" s="814"/>
      <c r="P47" s="159" t="s">
        <v>1111</v>
      </c>
      <c r="Q47" s="814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2"/>
  <sheetViews>
    <sheetView tabSelected="1" topLeftCell="A6" zoomScale="90" zoomScaleNormal="90" workbookViewId="0">
      <selection activeCell="B43" sqref="B43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41399.717812499999</v>
      </c>
      <c r="C1" s="124" t="s">
        <v>602</v>
      </c>
      <c r="D1" s="124"/>
      <c r="G1" s="456"/>
      <c r="H1" s="456"/>
      <c r="I1" s="456"/>
    </row>
    <row r="2" spans="1:15" ht="15" customHeight="1" thickBot="1" x14ac:dyDescent="0.35">
      <c r="B2" s="124"/>
    </row>
    <row r="3" spans="1:15" ht="15.75" customHeight="1" x14ac:dyDescent="0.25">
      <c r="E3" s="841" t="s">
        <v>606</v>
      </c>
      <c r="F3" s="843" t="s">
        <v>607</v>
      </c>
      <c r="G3" s="844"/>
      <c r="H3" s="844"/>
      <c r="I3" s="844"/>
      <c r="J3" s="845"/>
      <c r="K3" s="843" t="s">
        <v>608</v>
      </c>
      <c r="L3" s="844"/>
      <c r="M3" s="844"/>
      <c r="N3" s="844"/>
      <c r="O3" s="845"/>
    </row>
    <row r="4" spans="1:15" s="122" customFormat="1" ht="15.75" thickBot="1" x14ac:dyDescent="0.3">
      <c r="B4" s="157" t="s">
        <v>603</v>
      </c>
      <c r="C4" s="122" t="s">
        <v>604</v>
      </c>
      <c r="E4" s="842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</row>
    <row r="7" spans="1:15" s="172" customFormat="1" hidden="1" outlineLevel="1" x14ac:dyDescent="0.25">
      <c r="A7" s="751">
        <v>41396.692569444444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1">
        <v>41397.559305555558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</row>
    <row r="9" spans="1:15" s="172" customFormat="1" hidden="1" outlineLevel="1" x14ac:dyDescent="0.25">
      <c r="A9" s="751">
        <v>41397.559340277781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4">
        <v>41397.559386574074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1">
        <v>41397.559398148151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1">
        <v>41396.715451388889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1">
        <v>41397.526770833334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4">
        <v>41397.526770833334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4">
        <v>41397.526782407411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1">
        <v>41397.526782407411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751">
        <v>41397.526805555557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751">
        <v>41397.526805555557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</row>
    <row r="27" spans="1:15" hidden="1" outlineLevel="1" x14ac:dyDescent="0.25">
      <c r="A27" s="751">
        <v>41397.557604166665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5" ht="45" hidden="1" outlineLevel="1" x14ac:dyDescent="0.25">
      <c r="A28" s="751">
        <v>41397.557812500003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1">
        <v>41397.557824074072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5" hidden="1" outlineLevel="1" x14ac:dyDescent="0.25">
      <c r="A30" s="751">
        <v>41397.559398148151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5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</row>
    <row r="32" spans="1:15" s="172" customFormat="1" collapsed="1" x14ac:dyDescent="0.25">
      <c r="A32" s="799"/>
      <c r="B32" s="800" t="s">
        <v>612</v>
      </c>
      <c r="C32" s="801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</row>
    <row r="33" spans="1:15" hidden="1" outlineLevel="1" x14ac:dyDescent="0.25">
      <c r="A33" s="751">
        <v>41397.524444444447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5" hidden="1" outlineLevel="1" x14ac:dyDescent="0.25">
      <c r="A34" s="751">
        <v>41397.524513888886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214"/>
      <c r="O34" s="221"/>
    </row>
    <row r="35" spans="1:15" hidden="1" outlineLevel="1" x14ac:dyDescent="0.25">
      <c r="A35" s="751">
        <v>41397.524513888886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5" hidden="1" outlineLevel="1" x14ac:dyDescent="0.25">
      <c r="A36" s="194">
        <v>41396.725624999999</v>
      </c>
      <c r="B36" s="201" t="s">
        <v>650</v>
      </c>
      <c r="C36" s="159" t="str">
        <f>B35</f>
        <v>DateSort</v>
      </c>
      <c r="D36" s="5"/>
      <c r="E36" s="217" t="s">
        <v>201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5" s="186" customFormat="1" hidden="1" outlineLevel="1" x14ac:dyDescent="0.25">
      <c r="A37" s="203"/>
      <c r="B37" s="204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1">
        <v>41397.526701388888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1">
        <v>41397.526782407411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751">
        <v>41397.526805555557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95"/>
      <c r="B42" s="796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collapsed="1" x14ac:dyDescent="0.25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</row>
    <row r="44" spans="1:15" s="172" customFormat="1" outlineLevel="1" x14ac:dyDescent="0.25">
      <c r="A44" s="751">
        <v>41399.717256944445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outlineLevel="1" x14ac:dyDescent="0.25">
      <c r="A45" s="751">
        <v>41399.717268518521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outlineLevel="1" x14ac:dyDescent="0.25">
      <c r="A46" s="751">
        <v>41399.717812499999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</row>
    <row r="47" spans="1:15" s="186" customFormat="1" ht="15.75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5" s="172" customFormat="1" ht="16.5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L131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751">
        <v>41397.583854166667</v>
      </c>
      <c r="B66" s="752" t="s">
        <v>768</v>
      </c>
      <c r="C66" s="827" t="str">
        <f>F6&amp;"/"&amp;B10</f>
        <v>LOAD_1C_P/PaymentPaint</v>
      </c>
      <c r="D66" s="195"/>
      <c r="E66" s="196" t="s">
        <v>70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751">
        <v>41397.583854166667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755"/>
      <c r="B68" s="756" t="s">
        <v>613</v>
      </c>
      <c r="C68" s="828">
        <v>11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579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194"/>
      <c r="B70" s="195" t="s">
        <v>982</v>
      </c>
      <c r="C70" s="802" t="str">
        <f>F6&amp;"/"&amp;B10</f>
        <v>LOAD_1C_P/PaymentPaint</v>
      </c>
      <c r="D70" s="195"/>
      <c r="E70" s="196" t="s">
        <v>201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194"/>
      <c r="B71" s="201" t="s">
        <v>619</v>
      </c>
      <c r="C71" s="460" t="str">
        <f>B70</f>
        <v>PaidContr</v>
      </c>
      <c r="D71" s="195"/>
      <c r="E71" s="196" t="s">
        <v>201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203"/>
      <c r="B72" s="204" t="s">
        <v>613</v>
      </c>
      <c r="C72" s="778">
        <v>5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41388.807662037034</v>
      </c>
      <c r="B74" s="195" t="s">
        <v>656</v>
      </c>
      <c r="C74" s="802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41388.807662037034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0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201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5"/>
    </row>
    <row r="78" spans="1:16" s="172" customFormat="1" ht="15.75" thickTop="1" x14ac:dyDescent="0.25">
      <c r="A78" s="194">
        <v>41399.698229166665</v>
      </c>
      <c r="B78" s="195" t="s">
        <v>1110</v>
      </c>
      <c r="C78" s="802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5"/>
    </row>
    <row r="79" spans="1:16" s="172" customFormat="1" x14ac:dyDescent="0.25">
      <c r="A79" s="194">
        <v>41399.707754629628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5"/>
    </row>
    <row r="80" spans="1:16" s="186" customFormat="1" ht="15.75" thickBot="1" x14ac:dyDescent="0.3">
      <c r="A80" s="203"/>
      <c r="B80" s="204" t="s">
        <v>613</v>
      </c>
      <c r="C80" s="778">
        <v>68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6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751"/>
      <c r="B92" s="752" t="s">
        <v>612</v>
      </c>
      <c r="C92" s="753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34"/>
    </row>
    <row r="93" spans="1:16" ht="15.75" thickTop="1" x14ac:dyDescent="0.25">
      <c r="A93" s="194"/>
      <c r="B93" s="201" t="s">
        <v>1071</v>
      </c>
      <c r="C93" s="159" t="s">
        <v>592</v>
      </c>
      <c r="D93" s="5"/>
      <c r="E93" s="217" t="s">
        <v>201</v>
      </c>
      <c r="F93" s="866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5"/>
    </row>
    <row r="94" spans="1:16" x14ac:dyDescent="0.25">
      <c r="A94" s="194"/>
      <c r="B94" s="201" t="s">
        <v>1169</v>
      </c>
      <c r="C94" s="159" t="str">
        <f>B93</f>
        <v>BTO_Mail_track</v>
      </c>
      <c r="D94" s="5"/>
      <c r="E94" s="217"/>
      <c r="F94" s="866" t="str">
        <f>F93</f>
        <v>BTOlog</v>
      </c>
      <c r="G94" s="300" t="str">
        <f>L94</f>
        <v>BTO</v>
      </c>
      <c r="H94" s="867">
        <v>11</v>
      </c>
      <c r="I94" s="214"/>
      <c r="J94" s="221"/>
      <c r="K94" s="866" t="str">
        <f>F93</f>
        <v>BTOlog</v>
      </c>
      <c r="L94" s="300" t="str">
        <f>TOCmatch!B20</f>
        <v>BTO</v>
      </c>
      <c r="M94" s="197"/>
      <c r="N94" s="200"/>
      <c r="O94" s="198"/>
      <c r="P94" s="835"/>
    </row>
    <row r="95" spans="1:16" s="172" customFormat="1" x14ac:dyDescent="0.25">
      <c r="A95" s="194">
        <v>41344.938113425924</v>
      </c>
      <c r="B95" s="201" t="s">
        <v>619</v>
      </c>
      <c r="C95" s="460" t="str">
        <f>B94</f>
        <v>UniqueHandle</v>
      </c>
      <c r="D95" s="195"/>
      <c r="E95" s="196" t="s">
        <v>201</v>
      </c>
      <c r="F95" s="866" t="str">
        <f>F93</f>
        <v>BTOlog</v>
      </c>
      <c r="G95" s="200" t="s">
        <v>790</v>
      </c>
      <c r="H95" s="214" t="s">
        <v>1170</v>
      </c>
      <c r="I95" s="214" t="s">
        <v>1171</v>
      </c>
      <c r="J95" s="198"/>
      <c r="K95" s="866" t="str">
        <f>F95</f>
        <v>BTOlog</v>
      </c>
      <c r="M95" s="197"/>
      <c r="N95" s="200"/>
      <c r="O95" s="198"/>
      <c r="P95" s="835"/>
    </row>
    <row r="96" spans="1:16" s="186" customFormat="1" ht="15.75" thickBot="1" x14ac:dyDescent="0.3">
      <c r="A96" s="203"/>
      <c r="B96" s="204" t="s">
        <v>613</v>
      </c>
      <c r="C96" s="236"/>
      <c r="D96" s="204"/>
      <c r="E96" s="205" t="s">
        <v>201</v>
      </c>
      <c r="F96" s="206"/>
      <c r="G96" s="207"/>
      <c r="H96" s="207"/>
      <c r="I96" s="207"/>
      <c r="J96" s="208"/>
      <c r="K96" s="209"/>
      <c r="L96" s="210"/>
      <c r="M96" s="207"/>
      <c r="N96" s="210"/>
      <c r="O96" s="208"/>
      <c r="P96" s="836"/>
    </row>
    <row r="97" spans="1:15" s="513" customFormat="1" ht="16.5" thickTop="1" thickBot="1" x14ac:dyDescent="0.3">
      <c r="A97" s="757">
        <v>41201.045671296299</v>
      </c>
      <c r="B97" s="758" t="s">
        <v>612</v>
      </c>
      <c r="C97" s="759"/>
      <c r="D97" s="507"/>
      <c r="E97" s="508" t="s">
        <v>201</v>
      </c>
      <c r="F97" s="509" t="s">
        <v>819</v>
      </c>
      <c r="G97" s="507"/>
      <c r="H97" s="507"/>
      <c r="I97" s="507"/>
      <c r="J97" s="510"/>
      <c r="K97" s="511" t="str">
        <f>K6</f>
        <v>Платежи</v>
      </c>
      <c r="L97" s="512"/>
      <c r="M97" s="507"/>
      <c r="N97" s="512"/>
      <c r="O97" s="510"/>
    </row>
    <row r="98" spans="1:15" s="172" customFormat="1" ht="16.5" thickTop="1" thickBot="1" x14ac:dyDescent="0.3">
      <c r="A98" s="263">
        <v>41289.96565972222</v>
      </c>
      <c r="B98" s="457" t="s">
        <v>822</v>
      </c>
      <c r="C98" s="458"/>
      <c r="D98" s="195"/>
      <c r="E98" s="449" t="s">
        <v>70</v>
      </c>
      <c r="F98" s="199" t="str">
        <f>F73</f>
        <v>HANDL_NewContract</v>
      </c>
      <c r="G98" s="685" t="str">
        <f>F97</f>
        <v>WP_PaidOpp</v>
      </c>
      <c r="H98" s="685" t="str">
        <f>B104</f>
        <v>WP_Paid</v>
      </c>
      <c r="I98" s="686">
        <v>7</v>
      </c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41289.96565972222</v>
      </c>
      <c r="B99" s="264" t="s">
        <v>821</v>
      </c>
      <c r="C99" s="572" t="str">
        <f>B98</f>
        <v>ProcReset</v>
      </c>
      <c r="D99" s="195"/>
      <c r="E99" s="196" t="s">
        <v>70</v>
      </c>
      <c r="F99" s="514">
        <f>C76</f>
        <v>0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263">
        <v>41289.965682870374</v>
      </c>
      <c r="B100" s="457" t="s">
        <v>822</v>
      </c>
      <c r="C100" s="458"/>
      <c r="D100" s="195"/>
      <c r="E100" s="449" t="s">
        <v>70</v>
      </c>
      <c r="F100" s="199" t="str">
        <f>F69</f>
        <v>HANDL_PaidContr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821</v>
      </c>
      <c r="C101" s="460" t="str">
        <f>B99</f>
        <v>CheckProc0</v>
      </c>
      <c r="D101" s="195"/>
      <c r="E101" s="196" t="s">
        <v>201</v>
      </c>
      <c r="F101" s="698">
        <f>C72</f>
        <v>5</v>
      </c>
      <c r="G101" s="220"/>
      <c r="H101" s="197"/>
      <c r="I101" s="197"/>
      <c r="J101" s="198"/>
      <c r="K101" s="199"/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802</v>
      </c>
      <c r="G102" s="197"/>
      <c r="H102" s="197"/>
      <c r="I102" s="197"/>
      <c r="J102" s="198"/>
      <c r="K102" s="266" t="str">
        <f>F102</f>
        <v>NewOpp</v>
      </c>
      <c r="L102" s="200"/>
      <c r="M102" s="197"/>
      <c r="N102" s="200"/>
      <c r="O102" s="198"/>
    </row>
    <row r="103" spans="1:15" s="172" customFormat="1" x14ac:dyDescent="0.25">
      <c r="A103" s="194"/>
      <c r="B103" s="195" t="s">
        <v>666</v>
      </c>
      <c r="C103" s="237"/>
      <c r="D103" s="211"/>
      <c r="E103" s="196" t="s">
        <v>201</v>
      </c>
      <c r="F103" s="266" t="s">
        <v>792</v>
      </c>
      <c r="G103" s="197"/>
      <c r="H103" s="197"/>
      <c r="I103" s="197"/>
      <c r="J103" s="198"/>
      <c r="K103" s="266" t="str">
        <f>F103</f>
        <v>NewPayment</v>
      </c>
      <c r="L103" s="200"/>
      <c r="M103" s="197"/>
      <c r="N103" s="200"/>
      <c r="O103" s="198"/>
    </row>
    <row r="104" spans="1:15" s="172" customFormat="1" ht="15.75" thickBot="1" x14ac:dyDescent="0.3">
      <c r="A104" s="666"/>
      <c r="B104" s="667" t="s">
        <v>964</v>
      </c>
      <c r="C104" s="668" t="str">
        <f>B99</f>
        <v>CheckProc0</v>
      </c>
      <c r="D104" s="667"/>
      <c r="E104" s="669" t="s">
        <v>201</v>
      </c>
      <c r="F104" s="670" t="s">
        <v>820</v>
      </c>
      <c r="G104" s="684" t="s">
        <v>201</v>
      </c>
      <c r="H104" s="672"/>
      <c r="I104" s="672"/>
      <c r="J104" s="673"/>
      <c r="K104" s="674" t="str">
        <f>K97</f>
        <v>Платежи</v>
      </c>
      <c r="L104" s="675" t="str">
        <f>TOCmatch!B17</f>
        <v>SFacc</v>
      </c>
      <c r="M104" s="675" t="str">
        <f>TOCmatch!B16</f>
        <v>SFopp</v>
      </c>
      <c r="N104" s="675" t="str">
        <f>TOCmatch!B15</f>
        <v>SFD</v>
      </c>
      <c r="O104" s="673"/>
    </row>
    <row r="105" spans="1:15" s="172" customFormat="1" ht="15.75" thickTop="1" x14ac:dyDescent="0.25">
      <c r="A105" s="194"/>
      <c r="B105" s="201" t="s">
        <v>619</v>
      </c>
      <c r="C105" s="460" t="str">
        <f>B104</f>
        <v>WP_Paid</v>
      </c>
      <c r="D105" s="195"/>
      <c r="E105" s="196" t="s">
        <v>201</v>
      </c>
      <c r="F105" s="266" t="s">
        <v>802</v>
      </c>
      <c r="G105" s="200" t="s">
        <v>790</v>
      </c>
      <c r="H105" s="214" t="s">
        <v>868</v>
      </c>
      <c r="I105" s="214" t="s">
        <v>946</v>
      </c>
      <c r="J105" s="198"/>
      <c r="K105" s="266" t="str">
        <f>F105</f>
        <v>NewOpp</v>
      </c>
      <c r="L105" s="200"/>
      <c r="M105" s="197"/>
      <c r="N105" s="200"/>
      <c r="O105" s="198"/>
    </row>
    <row r="106" spans="1:15" s="172" customFormat="1" x14ac:dyDescent="0.25">
      <c r="A106" s="194"/>
      <c r="B106" s="201" t="s">
        <v>619</v>
      </c>
      <c r="C106" s="460" t="str">
        <f>B104</f>
        <v>WP_Paid</v>
      </c>
      <c r="D106" s="195"/>
      <c r="E106" s="196" t="s">
        <v>201</v>
      </c>
      <c r="F106" s="266" t="s">
        <v>792</v>
      </c>
      <c r="G106" s="200" t="s">
        <v>790</v>
      </c>
      <c r="H106" s="214" t="s">
        <v>797</v>
      </c>
      <c r="I106" s="214" t="s">
        <v>798</v>
      </c>
      <c r="J106" s="198"/>
      <c r="K106" s="266" t="str">
        <f>F106</f>
        <v>NewPayment</v>
      </c>
      <c r="L106" s="200"/>
      <c r="M106" s="197"/>
      <c r="N106" s="200"/>
      <c r="O106" s="198"/>
    </row>
    <row r="107" spans="1:15" s="173" customFormat="1" x14ac:dyDescent="0.25">
      <c r="A107" s="715"/>
      <c r="B107" s="201" t="s">
        <v>613</v>
      </c>
      <c r="C107" s="716">
        <v>0</v>
      </c>
      <c r="D107" s="201"/>
      <c r="E107" s="202" t="s">
        <v>201</v>
      </c>
      <c r="F107" s="506"/>
      <c r="G107" s="197"/>
      <c r="H107" s="197"/>
      <c r="I107" s="197"/>
      <c r="J107" s="198"/>
      <c r="K107" s="199"/>
      <c r="L107" s="200"/>
      <c r="M107" s="197"/>
      <c r="N107" s="200"/>
      <c r="O107" s="198"/>
    </row>
    <row r="108" spans="1:15" s="679" customFormat="1" ht="15.75" thickBot="1" x14ac:dyDescent="0.3">
      <c r="A108" s="713">
        <v>41201.045671296299</v>
      </c>
      <c r="B108" s="227" t="s">
        <v>612</v>
      </c>
      <c r="C108" s="714"/>
      <c r="D108" s="302"/>
      <c r="E108" s="676" t="s">
        <v>201</v>
      </c>
      <c r="F108" s="677" t="s">
        <v>959</v>
      </c>
      <c r="G108" s="302"/>
      <c r="H108" s="302"/>
      <c r="I108" s="302"/>
      <c r="J108" s="305"/>
      <c r="K108" s="678" t="str">
        <f>TOCmatch!B$8</f>
        <v>Платежи</v>
      </c>
      <c r="L108" s="307"/>
      <c r="M108" s="302"/>
      <c r="N108" s="307"/>
      <c r="O108" s="305"/>
    </row>
    <row r="109" spans="1:15" s="172" customFormat="1" ht="15.75" thickTop="1" x14ac:dyDescent="0.25">
      <c r="A109" s="263">
        <v>41218.822870370372</v>
      </c>
      <c r="B109" s="264" t="s">
        <v>666</v>
      </c>
      <c r="C109" s="265"/>
      <c r="D109" s="211"/>
      <c r="E109" s="196"/>
      <c r="F109" s="266" t="s">
        <v>914</v>
      </c>
      <c r="G109" s="197"/>
      <c r="H109" s="197"/>
      <c r="I109" s="197"/>
      <c r="J109" s="198"/>
      <c r="K109" s="266" t="str">
        <f>F109</f>
        <v>NewAcc</v>
      </c>
      <c r="L109" s="200"/>
      <c r="M109" s="197"/>
      <c r="N109" s="200"/>
      <c r="O109" s="198"/>
    </row>
    <row r="110" spans="1:15" s="172" customFormat="1" x14ac:dyDescent="0.25">
      <c r="A110" s="263"/>
      <c r="B110" s="264" t="s">
        <v>962</v>
      </c>
      <c r="C110" s="460" t="str">
        <f>B109</f>
        <v>NewSheet</v>
      </c>
      <c r="D110" s="211"/>
      <c r="E110" s="196"/>
      <c r="F110" s="682"/>
      <c r="G110" s="197"/>
      <c r="H110" s="197"/>
      <c r="I110" s="197"/>
      <c r="J110" s="198"/>
      <c r="K110" s="266"/>
      <c r="L110" s="200"/>
      <c r="M110" s="197"/>
      <c r="N110" s="200"/>
      <c r="O110" s="198"/>
    </row>
    <row r="111" spans="1:15" s="172" customFormat="1" x14ac:dyDescent="0.25">
      <c r="A111" s="194"/>
      <c r="B111" s="195" t="s">
        <v>617</v>
      </c>
      <c r="C111" s="235"/>
      <c r="D111" s="195"/>
      <c r="E111" s="196" t="s">
        <v>201</v>
      </c>
      <c r="F111" s="213" t="s">
        <v>579</v>
      </c>
      <c r="G111" s="220" t="s">
        <v>967</v>
      </c>
      <c r="H111" s="197"/>
      <c r="I111" s="197"/>
      <c r="J111" s="198"/>
      <c r="K111" s="199"/>
      <c r="L111" s="200"/>
      <c r="M111" s="197"/>
      <c r="N111" s="200"/>
      <c r="O111" s="198"/>
    </row>
    <row r="112" spans="1:15" s="172" customFormat="1" ht="15.75" thickBot="1" x14ac:dyDescent="0.3">
      <c r="A112" s="666">
        <v>41218.824293981481</v>
      </c>
      <c r="B112" s="667" t="s">
        <v>964</v>
      </c>
      <c r="C112" s="668" t="str">
        <f>B110</f>
        <v>SFaccDicBuild</v>
      </c>
      <c r="D112" s="667"/>
      <c r="E112" s="669" t="s">
        <v>201</v>
      </c>
      <c r="F112" s="670" t="s">
        <v>960</v>
      </c>
      <c r="G112" s="671"/>
      <c r="H112" s="672"/>
      <c r="I112" s="672"/>
      <c r="J112" s="673"/>
      <c r="K112" s="674" t="str">
        <f>K108</f>
        <v>Платежи</v>
      </c>
      <c r="L112" s="675">
        <f>TOCmatch!B28</f>
        <v>0</v>
      </c>
      <c r="M112" s="675">
        <f>TOCmatch!B27</f>
        <v>0</v>
      </c>
      <c r="N112" s="675">
        <f>TOCmatch!B26</f>
        <v>0</v>
      </c>
      <c r="O112" s="673"/>
    </row>
    <row r="113" spans="1:15" s="172" customFormat="1" ht="15.75" thickTop="1" x14ac:dyDescent="0.25">
      <c r="A113" s="194">
        <v>41218.824293981481</v>
      </c>
      <c r="B113" s="201" t="s">
        <v>619</v>
      </c>
      <c r="C113" s="460" t="str">
        <f>B112</f>
        <v>WP_Paid</v>
      </c>
      <c r="D113" s="195"/>
      <c r="E113" s="196" t="s">
        <v>201</v>
      </c>
      <c r="F113" s="266" t="str">
        <f>F109</f>
        <v>NewAcc</v>
      </c>
      <c r="G113" s="200" t="s">
        <v>790</v>
      </c>
      <c r="H113" s="214" t="s">
        <v>868</v>
      </c>
      <c r="I113" s="214" t="s">
        <v>946</v>
      </c>
      <c r="J113" s="198"/>
      <c r="K113" s="266" t="str">
        <f>F113</f>
        <v>NewAcc</v>
      </c>
      <c r="L113" s="200"/>
      <c r="M113" s="197"/>
      <c r="N113" s="200"/>
      <c r="O113" s="198"/>
    </row>
    <row r="114" spans="1:15" s="186" customFormat="1" x14ac:dyDescent="0.25">
      <c r="A114" s="203"/>
      <c r="B114" s="204" t="s">
        <v>613</v>
      </c>
      <c r="C114" s="236">
        <v>5</v>
      </c>
      <c r="D114" s="204"/>
      <c r="E114" s="205" t="s">
        <v>201</v>
      </c>
      <c r="F114" s="206"/>
      <c r="G114" s="207"/>
      <c r="H114" s="207"/>
      <c r="I114" s="207"/>
      <c r="J114" s="208"/>
      <c r="K114" s="209"/>
      <c r="L114" s="210"/>
      <c r="M114" s="207"/>
      <c r="N114" s="210"/>
      <c r="O114" s="208"/>
    </row>
    <row r="115" spans="1:15" s="172" customFormat="1" x14ac:dyDescent="0.25">
      <c r="A115" s="194"/>
      <c r="B115" s="195" t="s">
        <v>612</v>
      </c>
      <c r="C115" s="237"/>
      <c r="D115" s="211"/>
      <c r="E115" s="196" t="s">
        <v>201</v>
      </c>
      <c r="F115" s="212" t="s">
        <v>635</v>
      </c>
      <c r="G115" s="197"/>
      <c r="H115" s="197"/>
      <c r="I115" s="197"/>
      <c r="J115" s="198"/>
      <c r="K115" s="187" t="s">
        <v>550</v>
      </c>
      <c r="L115" s="200"/>
      <c r="M115" s="197"/>
      <c r="N115" s="200"/>
      <c r="O115" s="198"/>
    </row>
    <row r="116" spans="1:15" s="172" customFormat="1" x14ac:dyDescent="0.25">
      <c r="A116" s="216"/>
      <c r="B116" s="195" t="s">
        <v>617</v>
      </c>
      <c r="C116" s="235"/>
      <c r="D116" s="195"/>
      <c r="E116" s="196"/>
      <c r="F116" s="213" t="s">
        <v>70</v>
      </c>
      <c r="G116" s="220"/>
      <c r="H116" s="197"/>
      <c r="I116" s="197"/>
      <c r="J116" s="198"/>
      <c r="K116" s="199"/>
      <c r="L116" s="200"/>
      <c r="M116" s="197"/>
      <c r="N116" s="200"/>
      <c r="O116" s="198"/>
    </row>
    <row r="117" spans="1:15" ht="30" x14ac:dyDescent="0.25">
      <c r="A117" s="216"/>
      <c r="B117" s="201" t="s">
        <v>624</v>
      </c>
      <c r="C117" s="234" t="s">
        <v>652</v>
      </c>
      <c r="D117" s="5"/>
      <c r="E117" s="217" t="s">
        <v>201</v>
      </c>
      <c r="F117" s="199"/>
      <c r="G117" s="200"/>
      <c r="H117" s="214"/>
      <c r="I117" s="214"/>
      <c r="J117" s="221"/>
      <c r="K117" s="222" t="s">
        <v>550</v>
      </c>
      <c r="L117" s="214" t="s">
        <v>562</v>
      </c>
      <c r="M117" s="214"/>
      <c r="N117" s="214"/>
      <c r="O117" s="221"/>
    </row>
    <row r="118" spans="1:15" s="186" customFormat="1" x14ac:dyDescent="0.25">
      <c r="A118" s="203"/>
      <c r="B118" s="204" t="s">
        <v>613</v>
      </c>
      <c r="C118" s="236"/>
      <c r="D118" s="204"/>
      <c r="E118" s="205" t="s">
        <v>201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5" s="135" customFormat="1" x14ac:dyDescent="0.25">
      <c r="A119" s="224"/>
      <c r="B119" s="225" t="s">
        <v>589</v>
      </c>
      <c r="C119" s="226" t="s">
        <v>126</v>
      </c>
      <c r="D119" s="227"/>
      <c r="E119" s="228"/>
      <c r="F119" s="229"/>
      <c r="G119" s="223"/>
      <c r="H119" s="223"/>
      <c r="I119" s="223"/>
      <c r="J119" s="230"/>
      <c r="K119" s="229" t="s">
        <v>588</v>
      </c>
      <c r="L119" s="223"/>
      <c r="M119" s="223"/>
      <c r="N119" s="223"/>
      <c r="O119" s="230"/>
    </row>
    <row r="120" spans="1:15" x14ac:dyDescent="0.25">
      <c r="A120" s="231"/>
      <c r="B120" s="232">
        <v>1043</v>
      </c>
      <c r="C120" s="233"/>
      <c r="D120" s="5"/>
      <c r="E120" s="196"/>
      <c r="F120" s="219"/>
      <c r="G120" s="214"/>
      <c r="H120" s="214"/>
      <c r="I120" s="214"/>
      <c r="J120" s="215"/>
      <c r="K120" s="219" t="s">
        <v>588</v>
      </c>
      <c r="L120" s="214"/>
      <c r="M120" s="214"/>
      <c r="N120" s="214"/>
      <c r="O120" s="215"/>
    </row>
    <row r="121" spans="1:15" s="135" customFormat="1" ht="15.75" thickBot="1" x14ac:dyDescent="0.3">
      <c r="A121" s="134"/>
      <c r="B121" s="155" t="s">
        <v>589</v>
      </c>
      <c r="C121" s="193" t="s">
        <v>126</v>
      </c>
      <c r="D121" s="156"/>
      <c r="E121" s="191"/>
      <c r="F121" s="175"/>
      <c r="G121" s="176"/>
      <c r="H121" s="176"/>
      <c r="I121" s="176"/>
      <c r="J121" s="177"/>
      <c r="K121" s="175" t="s">
        <v>595</v>
      </c>
      <c r="L121" s="176"/>
      <c r="M121" s="176"/>
      <c r="N121" s="176"/>
      <c r="O121" s="177"/>
    </row>
    <row r="122" spans="1:15" x14ac:dyDescent="0.25">
      <c r="A122" s="144"/>
    </row>
    <row r="123" spans="1:15" s="172" customFormat="1" x14ac:dyDescent="0.25">
      <c r="A123" s="194"/>
      <c r="B123" s="195" t="s">
        <v>617</v>
      </c>
      <c r="C123" s="235"/>
      <c r="D123" s="195"/>
      <c r="E123" s="196" t="s">
        <v>201</v>
      </c>
      <c r="F123" s="213" t="s">
        <v>579</v>
      </c>
      <c r="G123" s="220" t="s">
        <v>967</v>
      </c>
      <c r="H123" s="197"/>
      <c r="I123" s="197"/>
      <c r="J123" s="198"/>
      <c r="K123" s="199"/>
      <c r="L123" s="200"/>
      <c r="M123" s="197"/>
      <c r="N123" s="200"/>
      <c r="O123" s="198"/>
    </row>
    <row r="125" spans="1:15" ht="45" hidden="1" outlineLevel="1" x14ac:dyDescent="0.25">
      <c r="A125" s="194">
        <v>41217.705717592595</v>
      </c>
      <c r="B125" s="195" t="s">
        <v>640</v>
      </c>
      <c r="C125" s="234" t="s">
        <v>639</v>
      </c>
      <c r="D125" s="214"/>
      <c r="E125" s="217" t="s">
        <v>201</v>
      </c>
      <c r="F125" s="213" t="s">
        <v>560</v>
      </c>
      <c r="G125" s="200" t="s">
        <v>555</v>
      </c>
      <c r="H125" s="220" t="s">
        <v>94</v>
      </c>
      <c r="I125" s="220" t="s">
        <v>128</v>
      </c>
      <c r="J125" s="221"/>
      <c r="L125" s="300" t="str">
        <f>TOCmatch!B$15</f>
        <v>SFD</v>
      </c>
      <c r="M125" s="214"/>
      <c r="N125" s="214"/>
      <c r="O125" s="221"/>
    </row>
    <row r="126" spans="1:15" collapsed="1" x14ac:dyDescent="0.25"/>
    <row r="128" spans="1:15" s="148" customFormat="1" hidden="1" outlineLevel="1" x14ac:dyDescent="0.25">
      <c r="A128" s="194">
        <v>41217.684374999997</v>
      </c>
      <c r="B128" s="195" t="s">
        <v>594</v>
      </c>
      <c r="C128" s="234" t="s">
        <v>592</v>
      </c>
      <c r="D128" s="195"/>
      <c r="E128" s="196" t="s">
        <v>201</v>
      </c>
      <c r="F128" s="424" t="s">
        <v>766</v>
      </c>
      <c r="G128" s="425" t="s">
        <v>767</v>
      </c>
      <c r="H128" s="197"/>
      <c r="I128" s="197"/>
      <c r="J128" s="215"/>
      <c r="K128" s="199">
        <f>TOCmatch!B100</f>
        <v>0</v>
      </c>
      <c r="L128" s="300" t="str">
        <f>TOCmatch!B$17</f>
        <v>SFacc</v>
      </c>
      <c r="M128" s="300" t="str">
        <f>TOCmatch!B$15</f>
        <v>SFD</v>
      </c>
      <c r="N128" s="214"/>
      <c r="O128" s="215"/>
    </row>
    <row r="129" spans="1:15" collapsed="1" x14ac:dyDescent="0.25"/>
    <row r="131" spans="1:15" s="148" customFormat="1" hidden="1" outlineLevel="1" x14ac:dyDescent="0.25">
      <c r="A131" s="194">
        <v>41227.065937500003</v>
      </c>
      <c r="B131" s="195" t="s">
        <v>845</v>
      </c>
      <c r="C131" s="654" t="str">
        <f>B50</f>
        <v>InsMyCol</v>
      </c>
      <c r="D131" s="195"/>
      <c r="E131" s="196" t="s">
        <v>201</v>
      </c>
      <c r="F131" s="213" t="s">
        <v>128</v>
      </c>
      <c r="G131" s="220" t="s">
        <v>91</v>
      </c>
      <c r="H131" s="220" t="s">
        <v>110</v>
      </c>
      <c r="I131" s="220" t="s">
        <v>795</v>
      </c>
      <c r="J131" s="544"/>
      <c r="K131" s="546" t="str">
        <f>K48</f>
        <v>Склад</v>
      </c>
      <c r="L131" s="200" t="str">
        <f>TOCmatch!B8</f>
        <v>Платежи</v>
      </c>
      <c r="M131" s="214"/>
      <c r="N131" s="172"/>
      <c r="O131" s="198"/>
    </row>
    <row r="132" spans="1:15" collapsed="1" x14ac:dyDescent="0.25"/>
  </sheetData>
  <autoFilter ref="A4:O121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" workbookViewId="0">
      <selection activeCell="A10" sqref="A10:B14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1135</v>
      </c>
      <c r="B8" s="66"/>
    </row>
    <row r="9" spans="1:7" x14ac:dyDescent="0.25">
      <c r="A9" s="18" t="s">
        <v>1131</v>
      </c>
      <c r="B9" s="65" t="s">
        <v>1136</v>
      </c>
    </row>
    <row r="10" spans="1:7" x14ac:dyDescent="0.25">
      <c r="A10" s="750" t="s">
        <v>1137</v>
      </c>
      <c r="B10" s="24" t="s">
        <v>1142</v>
      </c>
    </row>
    <row r="11" spans="1:7" x14ac:dyDescent="0.25">
      <c r="A11" s="750" t="s">
        <v>1138</v>
      </c>
      <c r="B11" s="24" t="s">
        <v>1143</v>
      </c>
    </row>
    <row r="12" spans="1:7" x14ac:dyDescent="0.25">
      <c r="A12" s="750" t="s">
        <v>1139</v>
      </c>
      <c r="B12" s="24" t="s">
        <v>1142</v>
      </c>
    </row>
    <row r="13" spans="1:7" x14ac:dyDescent="0.25">
      <c r="A13" s="21" t="s">
        <v>1140</v>
      </c>
      <c r="B13" s="25" t="s">
        <v>1144</v>
      </c>
    </row>
    <row r="14" spans="1:7" x14ac:dyDescent="0.25">
      <c r="A14" s="21" t="s">
        <v>1141</v>
      </c>
      <c r="B14" s="25" t="s">
        <v>1145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6" t="s">
        <v>354</v>
      </c>
      <c r="I49" s="847"/>
      <c r="J49" s="847"/>
      <c r="K49" s="840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48" t="s">
        <v>354</v>
      </c>
      <c r="N50" s="849"/>
      <c r="O50" s="849"/>
      <c r="P50" s="849"/>
      <c r="Q50" s="850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4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14</v>
      </c>
    </row>
    <row r="2" spans="1:4" x14ac:dyDescent="0.25">
      <c r="A2" s="36">
        <v>41399</v>
      </c>
      <c r="B2" s="121">
        <v>0.45664351851851853</v>
      </c>
      <c r="C2" s="26" t="s">
        <v>1161</v>
      </c>
    </row>
    <row r="3" spans="1:4" x14ac:dyDescent="0.25">
      <c r="A3" s="36">
        <v>41399</v>
      </c>
      <c r="B3" s="121">
        <v>0.53920138888888891</v>
      </c>
      <c r="C3" s="26" t="s">
        <v>1162</v>
      </c>
    </row>
    <row r="4" spans="1:4" x14ac:dyDescent="0.25">
      <c r="A4" s="36">
        <v>41399</v>
      </c>
      <c r="B4" s="121">
        <v>0.60442129629629626</v>
      </c>
      <c r="C4" s="26" t="s">
        <v>1163</v>
      </c>
    </row>
    <row r="5" spans="1:4" x14ac:dyDescent="0.25">
      <c r="A5" s="36">
        <v>41399</v>
      </c>
      <c r="B5" s="121">
        <v>0.62013888888888891</v>
      </c>
      <c r="C5" s="26" t="s">
        <v>1164</v>
      </c>
    </row>
    <row r="6" spans="1:4" x14ac:dyDescent="0.25">
      <c r="A6" s="36">
        <v>41399</v>
      </c>
      <c r="B6" s="121">
        <v>0.6248379629629629</v>
      </c>
      <c r="C6" s="26" t="s">
        <v>1165</v>
      </c>
    </row>
    <row r="7" spans="1:4" x14ac:dyDescent="0.25">
      <c r="A7" s="36">
        <v>41399</v>
      </c>
      <c r="B7" s="121">
        <v>0.65200231481481474</v>
      </c>
      <c r="C7" s="26" t="s">
        <v>1168</v>
      </c>
    </row>
    <row r="8" spans="1:4" ht="45" x14ac:dyDescent="0.25">
      <c r="A8" s="36">
        <v>41399</v>
      </c>
      <c r="B8" s="121">
        <v>0.69309027777777776</v>
      </c>
      <c r="C8" s="868" t="s">
        <v>1172</v>
      </c>
    </row>
    <row r="9" spans="1:4" x14ac:dyDescent="0.25">
      <c r="A9" s="36">
        <v>41399</v>
      </c>
      <c r="B9" s="121">
        <v>0.69373842592592594</v>
      </c>
      <c r="C9" s="26" t="s">
        <v>1173</v>
      </c>
    </row>
    <row r="10" spans="1:4" x14ac:dyDescent="0.25">
      <c r="A10" s="36">
        <v>41399</v>
      </c>
      <c r="B10" s="121">
        <v>0.69822916666666668</v>
      </c>
      <c r="C10" s="26" t="s">
        <v>1173</v>
      </c>
    </row>
    <row r="11" spans="1:4" x14ac:dyDescent="0.25">
      <c r="A11" s="36">
        <v>41399</v>
      </c>
      <c r="B11" s="121">
        <v>0.70775462962962965</v>
      </c>
      <c r="C11" s="26" t="s">
        <v>1174</v>
      </c>
    </row>
    <row r="12" spans="1:4" ht="45" x14ac:dyDescent="0.25">
      <c r="A12" s="36">
        <v>41399</v>
      </c>
      <c r="B12" s="121">
        <v>0.71197916666666661</v>
      </c>
      <c r="C12" s="868" t="s">
        <v>1175</v>
      </c>
    </row>
    <row r="13" spans="1:4" x14ac:dyDescent="0.25">
      <c r="A13" s="36">
        <v>41399</v>
      </c>
      <c r="B13" s="121">
        <v>0.71725694444444443</v>
      </c>
      <c r="C13" s="26" t="s">
        <v>1176</v>
      </c>
    </row>
    <row r="14" spans="1:4" ht="45" x14ac:dyDescent="0.25">
      <c r="A14" s="36">
        <v>41399</v>
      </c>
      <c r="B14" s="121">
        <v>0.71781249999999996</v>
      </c>
      <c r="C14" s="868" t="s">
        <v>1177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42" zoomScale="80" zoomScaleNormal="80" workbookViewId="0">
      <selection activeCell="C173" sqref="C173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1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2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2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2"/>
      <c r="B49" s="253" t="s">
        <v>772</v>
      </c>
      <c r="C49" s="412">
        <v>2</v>
      </c>
      <c r="D49" s="412"/>
    </row>
    <row r="50" spans="1:7" s="407" customFormat="1" x14ac:dyDescent="0.25">
      <c r="A50" s="852"/>
      <c r="B50" s="253" t="s">
        <v>773</v>
      </c>
      <c r="C50" s="412"/>
      <c r="D50" s="412"/>
    </row>
    <row r="51" spans="1:7" s="407" customFormat="1" ht="15.75" thickBot="1" x14ac:dyDescent="0.3">
      <c r="A51" s="853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1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2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2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2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2"/>
      <c r="B63" s="253" t="s">
        <v>773</v>
      </c>
      <c r="C63" s="327"/>
      <c r="D63" s="327"/>
    </row>
    <row r="64" spans="1:7" s="314" customFormat="1" ht="15.75" thickBot="1" x14ac:dyDescent="0.3">
      <c r="A64" s="853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1126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3"/>
      <c r="C78" s="557"/>
      <c r="D78" s="819">
        <v>41367</v>
      </c>
      <c r="E78" s="818" t="s">
        <v>1127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1125</v>
      </c>
      <c r="D82" s="471" t="s">
        <v>1095</v>
      </c>
      <c r="E82" s="471" t="s">
        <v>1093</v>
      </c>
      <c r="F82" s="471"/>
      <c r="G82" s="327" t="s">
        <v>1092</v>
      </c>
      <c r="H82" s="806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1148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1148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1128</v>
      </c>
      <c r="B160" s="26"/>
      <c r="I160" s="822" t="s">
        <v>677</v>
      </c>
      <c r="N160" s="824" t="s">
        <v>679</v>
      </c>
    </row>
    <row r="161" spans="1:38" s="314" customFormat="1" ht="25.5" x14ac:dyDescent="0.25">
      <c r="A161" s="253" t="s">
        <v>769</v>
      </c>
      <c r="B161" s="826" t="s">
        <v>1116</v>
      </c>
      <c r="C161" s="539" t="s">
        <v>1099</v>
      </c>
      <c r="D161" s="811" t="s">
        <v>1130</v>
      </c>
      <c r="E161" s="811" t="s">
        <v>1103</v>
      </c>
      <c r="F161" s="810" t="s">
        <v>1104</v>
      </c>
      <c r="G161" s="810" t="s">
        <v>1105</v>
      </c>
      <c r="H161" s="810" t="s">
        <v>1106</v>
      </c>
      <c r="I161" s="821" t="s">
        <v>1107</v>
      </c>
      <c r="J161" s="812" t="s">
        <v>1108</v>
      </c>
      <c r="K161" s="813" t="s">
        <v>1109</v>
      </c>
      <c r="L161" s="823" t="s">
        <v>1133</v>
      </c>
      <c r="M161" s="823" t="s">
        <v>1132</v>
      </c>
      <c r="N161" s="823" t="s">
        <v>1131</v>
      </c>
    </row>
    <row r="162" spans="1:38" s="314" customFormat="1" x14ac:dyDescent="0.25">
      <c r="A162" s="254" t="s">
        <v>770</v>
      </c>
      <c r="B162" s="803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9">
        <v>45</v>
      </c>
      <c r="E163" s="809">
        <v>5</v>
      </c>
      <c r="F163" s="809">
        <v>7</v>
      </c>
      <c r="G163" s="809">
        <v>16</v>
      </c>
      <c r="H163" s="809">
        <v>10</v>
      </c>
      <c r="I163" s="809" t="s">
        <v>1146</v>
      </c>
      <c r="J163" s="809" t="s">
        <v>1120</v>
      </c>
      <c r="K163" s="809">
        <v>10</v>
      </c>
      <c r="L163" s="809" t="s">
        <v>1134</v>
      </c>
      <c r="M163" s="809" t="s">
        <v>988</v>
      </c>
      <c r="N163" s="809" t="s">
        <v>988</v>
      </c>
    </row>
    <row r="164" spans="1:38" s="314" customFormat="1" x14ac:dyDescent="0.25">
      <c r="A164" s="253" t="s">
        <v>772</v>
      </c>
      <c r="B164" s="820" t="s">
        <v>1123</v>
      </c>
      <c r="C164" s="327" t="s">
        <v>1129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5" t="s">
        <v>773</v>
      </c>
      <c r="L165" s="144" t="s">
        <v>783</v>
      </c>
      <c r="M165" s="144" t="s">
        <v>783</v>
      </c>
      <c r="N165" s="144" t="s">
        <v>1147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7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3"/>
      <c r="C169" s="803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8" t="s">
        <v>1102</v>
      </c>
      <c r="D172" s="805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1153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1154</v>
      </c>
      <c r="J176" s="120" t="s">
        <v>541</v>
      </c>
      <c r="K176" s="120" t="s">
        <v>1077</v>
      </c>
      <c r="L176" s="830" t="s">
        <v>799</v>
      </c>
      <c r="M176" s="120" t="s">
        <v>1149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1119</v>
      </c>
      <c r="D177" s="118" t="s">
        <v>1159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1155</v>
      </c>
      <c r="J177" s="118" t="s">
        <v>1086</v>
      </c>
      <c r="K177" s="144" t="s">
        <v>70</v>
      </c>
      <c r="L177" s="838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1120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1124</v>
      </c>
      <c r="L178" s="831" t="s">
        <v>1160</v>
      </c>
      <c r="M178" s="144" t="s">
        <v>1150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7" t="s">
        <v>1123</v>
      </c>
      <c r="I179" s="144" t="s">
        <v>906</v>
      </c>
      <c r="J179" s="817" t="s">
        <v>1121</v>
      </c>
      <c r="K179" s="817" t="s">
        <v>1122</v>
      </c>
      <c r="L179" s="831"/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33"/>
      <c r="N180"/>
    </row>
    <row r="181" spans="1:47" s="118" customFormat="1" x14ac:dyDescent="0.25">
      <c r="A181" s="253" t="s">
        <v>782</v>
      </c>
      <c r="D181" s="837" t="s">
        <v>1090</v>
      </c>
      <c r="E181" s="118" t="s">
        <v>1151</v>
      </c>
      <c r="F181" s="118" t="s">
        <v>1158</v>
      </c>
      <c r="G181" s="118" t="s">
        <v>1152</v>
      </c>
      <c r="I181" s="829" t="s">
        <v>1156</v>
      </c>
      <c r="L181" s="832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1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58" t="s">
        <v>2</v>
      </c>
      <c r="S11" s="859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2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0"/>
      <c r="S12" s="861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2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2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2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3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1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2" t="s">
        <v>814</v>
      </c>
      <c r="S17" s="863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2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4"/>
      <c r="S18" s="865"/>
      <c r="T18" s="618"/>
      <c r="W18" s="665"/>
      <c r="X18" s="505"/>
    </row>
    <row r="19" spans="1:37" x14ac:dyDescent="0.25">
      <c r="A19" s="852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2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2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3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1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4" t="s">
        <v>803</v>
      </c>
      <c r="M23" s="855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2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6">
        <f>HYPERLINK("https://eu1.salesforce.com/"&amp;F24,G24)</f>
        <v>0</v>
      </c>
      <c r="M24" s="857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2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2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2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3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1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58" t="s">
        <v>2</v>
      </c>
      <c r="S37" s="859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2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0"/>
      <c r="S38" s="861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2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2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2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3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1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2" t="s">
        <v>814</v>
      </c>
      <c r="S43" s="863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2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4"/>
      <c r="S44" s="865"/>
      <c r="T44" s="618"/>
      <c r="W44" s="665"/>
      <c r="X44" s="505"/>
    </row>
    <row r="45" spans="1:35" x14ac:dyDescent="0.25">
      <c r="A45" s="852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2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2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3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1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4" t="s">
        <v>803</v>
      </c>
      <c r="M49" s="855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2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6">
        <f>HYPERLINK("https://eu1.salesforce.com/"&amp;F50,G50)</f>
        <v>0</v>
      </c>
      <c r="M50" s="857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2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2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2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3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2013-05-06T06:24:31Z</dcterms:modified>
</cp:coreProperties>
</file>