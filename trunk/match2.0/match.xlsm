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-15" windowWidth="7650" windowHeight="514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mails" comment="12.6.12 HDR_BTOmails шапка для извлекаемых писем БТО">Header!$A$170:$J$171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Header!$B$77:$AI$82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/>
</workbook>
</file>

<file path=xl/calcChain.xml><?xml version="1.0" encoding="utf-8"?>
<calcChain xmlns="http://schemas.openxmlformats.org/spreadsheetml/2006/main">
  <c r="A55" i="763" l="1"/>
  <c r="A54" i="763"/>
  <c r="F10" i="1989" l="1"/>
  <c r="C60" i="763" l="1"/>
  <c r="Y14" i="763" l="1"/>
  <c r="R14" i="763"/>
  <c r="AA14" i="763" s="1"/>
  <c r="AB14" i="763" s="1"/>
  <c r="AC14" i="763" s="1"/>
  <c r="C30" i="1989" l="1"/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2" i="763"/>
  <c r="V1148" i="763"/>
  <c r="U1148" i="763"/>
  <c r="AS208" i="763"/>
  <c r="AR208" i="763"/>
  <c r="AQ208" i="763"/>
  <c r="AP208" i="763"/>
  <c r="AO208" i="763"/>
  <c r="AN208" i="763"/>
  <c r="AM208" i="763"/>
  <c r="AL208" i="763"/>
  <c r="AK208" i="763"/>
  <c r="AJ208" i="763"/>
  <c r="AI208" i="763"/>
  <c r="AH208" i="763"/>
  <c r="AF208" i="763"/>
  <c r="AE208" i="763"/>
  <c r="AD208" i="763"/>
  <c r="AC208" i="763"/>
  <c r="AB208" i="763"/>
  <c r="AA208" i="763"/>
  <c r="Z208" i="763"/>
  <c r="Y208" i="763"/>
  <c r="X208" i="763"/>
  <c r="W208" i="763"/>
  <c r="V208" i="763"/>
  <c r="U208" i="763"/>
  <c r="S208" i="763"/>
  <c r="R208" i="763"/>
  <c r="Q208" i="763"/>
  <c r="P208" i="763"/>
  <c r="O208" i="763"/>
  <c r="N208" i="763"/>
  <c r="M208" i="763"/>
  <c r="L208" i="763"/>
  <c r="K208" i="763"/>
  <c r="J208" i="763"/>
  <c r="I208" i="763"/>
  <c r="H208" i="763"/>
  <c r="F208" i="763"/>
  <c r="E208" i="763"/>
  <c r="D208" i="763"/>
  <c r="C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AT178" i="763"/>
  <c r="AG178" i="763"/>
  <c r="T178" i="763"/>
  <c r="G178" i="763"/>
  <c r="AT177" i="763"/>
  <c r="AG177" i="763"/>
  <c r="T177" i="763"/>
  <c r="G177" i="763"/>
  <c r="AU177" i="763" s="1"/>
  <c r="AT176" i="763"/>
  <c r="AG176" i="763"/>
  <c r="T176" i="763"/>
  <c r="G176" i="763"/>
  <c r="AT175" i="763"/>
  <c r="AG175" i="763"/>
  <c r="T175" i="763"/>
  <c r="G175" i="763"/>
  <c r="AU175" i="763" s="1"/>
  <c r="I96" i="763"/>
  <c r="D78" i="763"/>
  <c r="I74" i="763"/>
  <c r="F61" i="763"/>
  <c r="F64" i="763" s="1"/>
  <c r="D60" i="763"/>
  <c r="F55" i="763"/>
  <c r="F54" i="763"/>
  <c r="D47" i="763"/>
  <c r="C115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8" i="763" s="1"/>
  <c r="J27" i="763"/>
  <c r="C27" i="763"/>
  <c r="I19" i="763"/>
  <c r="G19" i="763"/>
  <c r="F19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2" i="763" l="1"/>
  <c r="T208" i="763"/>
  <c r="K44" i="1989"/>
  <c r="K48" i="1989"/>
  <c r="K46" i="1989"/>
  <c r="K40" i="1989"/>
  <c r="AG208" i="763"/>
  <c r="AT208" i="763"/>
  <c r="AU176" i="763"/>
  <c r="AU178" i="763"/>
  <c r="AU180" i="763"/>
  <c r="AU182" i="763"/>
  <c r="C32" i="763"/>
  <c r="D27" i="763" s="1"/>
  <c r="AU184" i="763"/>
  <c r="AU186" i="763"/>
  <c r="AU188" i="763"/>
  <c r="AU190" i="763"/>
  <c r="AU192" i="763"/>
  <c r="AU194" i="763"/>
  <c r="AU196" i="763"/>
  <c r="AU198" i="763"/>
  <c r="J32" i="763"/>
  <c r="L31" i="763" s="1"/>
  <c r="G208" i="763"/>
  <c r="AU200" i="763"/>
  <c r="AU204" i="763"/>
  <c r="AU206" i="763"/>
  <c r="A68" i="763"/>
  <c r="J1151" i="763"/>
  <c r="J1152" i="763"/>
  <c r="C1149" i="763"/>
  <c r="J1149" i="763"/>
  <c r="C1150" i="763"/>
  <c r="J1150" i="763"/>
  <c r="C1148" i="763"/>
  <c r="K22" i="1989"/>
  <c r="K41" i="1989"/>
  <c r="K51" i="1989"/>
  <c r="K52" i="1989"/>
  <c r="K23" i="1989"/>
  <c r="K15" i="1989"/>
  <c r="K18" i="1989"/>
  <c r="K54" i="1989"/>
  <c r="K21" i="1989"/>
  <c r="AU208" i="763" l="1"/>
  <c r="D29" i="763"/>
  <c r="L30" i="763"/>
  <c r="L28" i="763"/>
  <c r="L27" i="763"/>
  <c r="L29" i="763"/>
  <c r="C1153" i="763"/>
  <c r="D1149" i="763" s="1"/>
  <c r="D30" i="763"/>
  <c r="J1153" i="763"/>
  <c r="L1152" i="763" s="1"/>
  <c r="D28" i="763"/>
  <c r="D31" i="763"/>
  <c r="D1150" i="763" l="1"/>
  <c r="D1148" i="763"/>
  <c r="D1151" i="763"/>
  <c r="D1152" i="763"/>
  <c r="L1149" i="763"/>
  <c r="L1151" i="763"/>
  <c r="L1150" i="763"/>
  <c r="L1148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<sst xmlns="http://schemas.openxmlformats.org/spreadsheetml/2006/main" count="3063" uniqueCount="1332">
  <si>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</si>
  <si>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</si>
  <si>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</si>
  <si>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</si>
  <si>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</si>
  <si>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</si>
  <si>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</si>
  <si>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</si>
  <si>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</si>
  <si>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</si>
  <si>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</si>
  <si>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</si>
  <si>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</si>
  <si>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</si>
  <si>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</si>
  <si>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</si>
  <si>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</si>
  <si>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</si>
  <si>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</si>
  <si>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</si>
  <si>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</si>
  <si>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</si>
  <si>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</si>
  <si>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</si>
  <si>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</si>
  <si>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</si>
  <si>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</si>
  <si>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</si>
  <si>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</si>
  <si>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</si>
  <si>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</si>
  <si>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</si>
  <si>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</si>
  <si>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</si>
  <si>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</si>
  <si>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</si>
  <si>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</si>
  <si>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</si>
  <si>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</si>
  <si>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</si>
  <si>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</si>
  <si>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</si>
  <si>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</si>
  <si>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</si>
  <si>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</si>
  <si>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</si>
  <si>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</si>
  <si>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</si>
  <si>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</si>
  <si>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</si>
  <si>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</si>
  <si>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</si>
  <si>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</si>
  <si>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</si>
  <si>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</si>
  <si>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</si>
  <si>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</si>
  <si>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</si>
  <si>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</si>
  <si>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</si>
  <si>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</si>
  <si>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</si>
  <si>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</si>
  <si>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</si>
  <si>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</si>
  <si>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</si>
  <si>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</si>
  <si>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</si>
  <si>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</si>
  <si>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</si>
  <si>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</si>
  <si>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</si>
  <si>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</si>
  <si>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</si>
  <si>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</si>
  <si>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</si>
  <si>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</si>
  <si>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</si>
  <si>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</si>
  <si>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</si>
  <si>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</si>
  <si>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</si>
  <si>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</si>
  <si>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</si>
  <si>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</si>
  <si>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</si>
  <si>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</si>
  <si>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</si>
  <si>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</si>
  <si>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</si>
  <si>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</si>
  <si>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</si>
  <si>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</si>
  <si>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</si>
  <si>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</si>
  <si>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</si>
  <si>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</si>
  <si>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</si>
  <si>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</si>
  <si>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</si>
  <si>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</si>
  <si>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</si>
  <si>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</si>
  <si>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</si>
  <si>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</si>
  <si>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</si>
  <si>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</si>
  <si>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</si>
  <si>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</si>
  <si>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</si>
  <si>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</si>
  <si>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</si>
  <si>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</si>
  <si>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</si>
  <si>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</si>
  <si>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</si>
  <si>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</si>
  <si>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</si>
  <si>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</si>
  <si>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</si>
  <si>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</si>
  <si>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</si>
  <si>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</si>
  <si>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</si>
  <si>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</si>
  <si>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</si>
  <si>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</si>
  <si>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</si>
  <si>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</si>
  <si>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</si>
  <si>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</si>
  <si>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</si>
  <si>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</si>
  <si>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</si>
  <si>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</si>
  <si>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</si>
  <si>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</si>
  <si>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</si>
  <si>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</si>
  <si>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</si>
  <si>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</si>
  <si>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</si>
  <si>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</si>
  <si>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</si>
  <si>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</si>
  <si>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</si>
  <si>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</si>
  <si>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</si>
  <si>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</si>
  <si>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</si>
  <si>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</si>
  <si>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</si>
  <si>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</si>
  <si>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</si>
  <si>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</si>
  <si>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</si>
  <si>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</si>
  <si>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</si>
  <si>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</si>
  <si>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</si>
  <si>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</si>
  <si>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</si>
  <si>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</si>
  <si>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</si>
  <si>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</si>
  <si>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</si>
  <si>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</si>
  <si>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</si>
  <si>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</si>
  <si>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</si>
  <si>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</si>
  <si>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</si>
  <si>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</si>
  <si>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</si>
  <si>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</si>
  <si>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</si>
  <si>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</si>
  <si>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</si>
  <si>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</si>
  <si>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</si>
  <si>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</si>
  <si>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</si>
  <si>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</si>
  <si>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</si>
  <si>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</si>
  <si>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</si>
  <si>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</si>
  <si>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</si>
  <si>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</si>
  <si>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</si>
  <si>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</si>
  <si>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</si>
  <si>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</si>
  <si>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</si>
  <si>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</si>
  <si>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</si>
  <si>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</si>
  <si>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</si>
  <si>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</si>
  <si>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</si>
  <si>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</si>
  <si>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</si>
  <si>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</si>
  <si>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</si>
  <si>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</si>
  <si>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</si>
  <si>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</si>
  <si>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</si>
  <si>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</si>
  <si>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</si>
  <si>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</si>
  <si>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</si>
  <si>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</si>
  <si>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</si>
  <si>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</si>
  <si>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</si>
  <si>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</si>
  <si>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</si>
  <si>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</si>
  <si>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</si>
  <si>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</si>
  <si>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</si>
  <si>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</si>
  <si>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</si>
  <si>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</si>
  <si>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</si>
  <si>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</si>
  <si>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</si>
  <si>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</si>
  <si>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</si>
  <si>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</si>
  <si>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</si>
  <si>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</si>
  <si>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</si>
  <si>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</si>
  <si>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</si>
  <si>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</si>
  <si>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</si>
  <si>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</si>
  <si>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</si>
  <si>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</si>
  <si>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</si>
  <si>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</si>
  <si>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</si>
  <si>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</si>
  <si>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</si>
  <si>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</si>
  <si>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</si>
  <si>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</si>
  <si>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</si>
  <si>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</si>
  <si>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</si>
  <si>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</si>
  <si>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</si>
  <si>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</si>
  <si>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</si>
  <si>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</si>
  <si>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</si>
  <si>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</si>
  <si>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</si>
  <si>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</si>
  <si>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</si>
  <si>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</si>
  <si>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</si>
  <si>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</si>
  <si>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</si>
  <si>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</si>
  <si>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</si>
  <si>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</si>
  <si>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</si>
  <si>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</si>
  <si>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</si>
  <si>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</si>
  <si>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</si>
  <si>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</si>
  <si>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</si>
  <si>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</si>
  <si>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</si>
  <si>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</si>
  <si>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</si>
  <si>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</si>
  <si>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</si>
  <si>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</si>
  <si>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</si>
  <si>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</si>
  <si>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</si>
  <si>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</si>
  <si>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</si>
  <si>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</si>
  <si>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</si>
  <si>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</si>
  <si>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</si>
  <si>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</si>
  <si>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</si>
  <si>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</si>
  <si>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</si>
  <si>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</si>
  <si>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</si>
  <si>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</si>
  <si>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</si>
  <si>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</si>
  <si>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</si>
  <si>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</si>
  <si>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</si>
  <si>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</si>
  <si>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</si>
  <si>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</si>
  <si>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</si>
  <si>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</si>
  <si>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</si>
  <si>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</si>
  <si>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</si>
  <si>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</si>
  <si>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</si>
  <si>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</si>
  <si>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</si>
  <si>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</si>
  <si>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</si>
  <si>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</si>
  <si>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</si>
  <si>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</si>
  <si>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</si>
  <si>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</si>
  <si>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</si>
  <si>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</si>
  <si>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</si>
  <si>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</si>
  <si>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</si>
  <si>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</si>
  <si>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</si>
  <si>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</si>
  <si>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</si>
  <si>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</si>
  <si>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</si>
  <si>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</si>
  <si>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</si>
  <si>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</si>
  <si>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</si>
  <si>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</si>
  <si>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</si>
  <si>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</si>
  <si>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</si>
  <si>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</si>
  <si>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</si>
  <si>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</si>
  <si>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</si>
  <si>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</si>
  <si>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</si>
  <si>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</si>
  <si>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</si>
  <si>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</si>
  <si>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</si>
  <si>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</si>
  <si>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</si>
  <si>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</si>
  <si>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</si>
  <si>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</si>
  <si>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</si>
  <si>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</si>
  <si>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</si>
  <si>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</si>
  <si>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</si>
  <si>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</si>
  <si>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</si>
  <si>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</si>
  <si>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</si>
  <si>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</si>
  <si>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</si>
  <si>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</si>
  <si>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</si>
  <si>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</si>
  <si>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</si>
  <si>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</si>
  <si>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</si>
  <si>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</si>
  <si>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</si>
  <si>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</si>
  <si>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</si>
  <si>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</si>
  <si>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</si>
  <si>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</si>
  <si>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</si>
  <si>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</si>
  <si>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</si>
  <si>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</si>
  <si>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</si>
  <si>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</si>
  <si>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</si>
  <si>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</si>
  <si>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</si>
  <si>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</si>
  <si>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</si>
  <si>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</si>
  <si>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</si>
  <si>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</si>
  <si>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</si>
  <si>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</si>
  <si>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</si>
  <si>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</si>
  <si>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</si>
  <si>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</si>
  <si>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</si>
  <si>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</si>
  <si>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</si>
  <si>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</si>
  <si>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</si>
  <si>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</si>
  <si>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</si>
  <si>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</si>
  <si>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</si>
  <si>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</si>
  <si>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</si>
  <si>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</si>
  <si>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</si>
  <si>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</si>
  <si>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</si>
  <si>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</si>
  <si>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</si>
  <si>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</si>
  <si>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</si>
  <si>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</si>
  <si>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</si>
  <si>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</si>
  <si>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</si>
  <si>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</si>
  <si>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</si>
  <si>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</si>
  <si>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</si>
  <si>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</si>
  <si>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</si>
  <si>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</si>
  <si>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</si>
  <si>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</si>
  <si>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</si>
  <si>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</si>
  <si>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</si>
  <si>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</si>
  <si>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</si>
  <si>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</si>
  <si>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</si>
  <si>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</si>
  <si>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</si>
  <si>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</si>
  <si>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</si>
  <si>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</si>
  <si>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</si>
  <si>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</si>
  <si>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</si>
  <si>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</si>
  <si>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</si>
  <si>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</si>
  <si>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</si>
  <si>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</si>
  <si>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</si>
  <si>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</si>
  <si>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</si>
  <si>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</si>
  <si>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</si>
  <si>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</si>
  <si>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</si>
  <si>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</si>
  <si>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</si>
  <si>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</si>
  <si>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</si>
  <si>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</si>
  <si>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</si>
  <si>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</si>
  <si>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</si>
  <si>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</si>
  <si>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</si>
  <si>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</si>
  <si>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</si>
  <si>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</si>
  <si>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</si>
  <si>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</si>
  <si>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</si>
  <si>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</si>
  <si>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</si>
  <si>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</si>
  <si>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</si>
  <si>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</si>
  <si>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</si>
  <si>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</si>
  <si>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</si>
  <si>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</si>
  <si>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</si>
  <si>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</si>
  <si>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</si>
  <si>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</si>
  <si>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</si>
  <si>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</si>
  <si>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</si>
  <si>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</si>
  <si>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</si>
  <si>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</si>
  <si>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</si>
  <si>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</si>
  <si>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</si>
  <si>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</si>
  <si>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</si>
  <si>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</si>
  <si>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</si>
  <si>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</si>
  <si>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</si>
  <si>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</si>
  <si>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</si>
  <si>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</si>
  <si>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</si>
  <si>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</si>
  <si>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</si>
  <si>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</si>
  <si>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</si>
  <si>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</si>
  <si>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</si>
  <si>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</si>
  <si>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</si>
  <si>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</si>
  <si>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</si>
  <si>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</si>
  <si>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</si>
  <si>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</si>
  <si>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</si>
  <si>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</si>
  <si>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</si>
  <si>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</si>
  <si>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</si>
  <si>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</si>
  <si>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</si>
  <si>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</si>
  <si>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</si>
  <si>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</si>
  <si>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</si>
  <si>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</si>
  <si>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</si>
  <si>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</si>
  <si>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</si>
  <si>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</si>
  <si>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</si>
  <si>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</si>
  <si>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</si>
  <si>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</si>
  <si>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</si>
  <si>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</si>
  <si>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</si>
  <si>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</si>
  <si>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</si>
  <si>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</si>
  <si>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</si>
  <si>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</si>
  <si>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</si>
  <si>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</si>
  <si>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</si>
  <si>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</si>
  <si>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</si>
  <si>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</si>
  <si>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</si>
  <si>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</si>
  <si>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</si>
  <si>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</si>
  <si>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</si>
  <si>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</si>
  <si>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</si>
  <si>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</si>
  <si>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</si>
  <si>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</si>
  <si>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</si>
  <si>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</si>
  <si>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</si>
  <si>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</si>
  <si>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</si>
  <si>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</si>
  <si>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</si>
  <si>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</si>
  <si>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</si>
  <si>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</si>
  <si>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</si>
  <si>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</si>
  <si>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</si>
  <si>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</si>
  <si>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</si>
  <si>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</si>
  <si>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</si>
  <si>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</si>
  <si>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</si>
  <si>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</si>
  <si>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</si>
  <si>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</si>
  <si>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</si>
  <si>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</si>
  <si>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</si>
  <si>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</si>
  <si>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</si>
  <si>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</si>
  <si>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</si>
  <si>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</si>
  <si>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</si>
  <si>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</si>
  <si>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</si>
  <si>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</si>
  <si>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</si>
  <si>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</si>
  <si>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</si>
  <si>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</si>
  <si>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</si>
  <si>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</si>
  <si>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</si>
  <si>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</si>
  <si>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</si>
  <si>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</si>
  <si>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</si>
  <si>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</si>
  <si>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</si>
  <si>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</si>
  <si>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</si>
  <si>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</si>
  <si>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</si>
  <si>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</si>
  <si>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</si>
  <si>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</si>
  <si>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</si>
  <si>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</si>
  <si>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</si>
  <si>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</si>
  <si>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</si>
  <si>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</si>
  <si>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</si>
  <si>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</si>
  <si>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</si>
  <si>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</si>
  <si>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</si>
  <si>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</si>
  <si>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</si>
  <si>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</si>
  <si>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</si>
  <si>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</si>
  <si>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</si>
  <si>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</si>
  <si>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</si>
  <si>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</si>
  <si>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</si>
  <si>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</si>
  <si>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</si>
  <si>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</si>
  <si>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</si>
  <si>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</si>
  <si>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</si>
  <si>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</si>
  <si>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</si>
  <si>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</si>
  <si>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</si>
  <si>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</si>
  <si>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</si>
  <si>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</si>
  <si>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</si>
  <si>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</si>
  <si>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</si>
  <si>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</si>
  <si>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</si>
  <si>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</si>
  <si>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</si>
  <si>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</si>
  <si>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</si>
  <si>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</si>
  <si>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</si>
  <si>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</si>
  <si>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</si>
  <si>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</si>
  <si>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</si>
  <si>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</si>
  <si>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</si>
  <si>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</si>
  <si>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</si>
  <si>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</si>
  <si>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</si>
  <si>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</si>
  <si>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</si>
  <si>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</si>
  <si>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</si>
  <si>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</si>
  <si>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</si>
  <si>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</si>
  <si>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</si>
  <si>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</si>
  <si>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</si>
  <si>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</si>
  <si>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</si>
  <si>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</si>
  <si>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</si>
  <si>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</si>
  <si>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</si>
  <si>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</si>
  <si>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</si>
  <si>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</si>
  <si>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</si>
  <si>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</si>
  <si>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</si>
  <si>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</si>
  <si>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</si>
  <si>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</si>
  <si>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</si>
  <si>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</si>
  <si>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</si>
  <si>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</si>
  <si>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</si>
  <si>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</si>
  <si>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</si>
  <si>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</si>
  <si>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</si>
  <si>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</si>
  <si>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</si>
  <si>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</si>
  <si>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</si>
  <si>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</si>
  <si>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</si>
  <si>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</si>
  <si>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</si>
  <si>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</si>
  <si>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</si>
  <si>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</si>
  <si>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</si>
  <si>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</si>
  <si>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</si>
  <si>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</si>
  <si>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</si>
  <si>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</si>
  <si>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</si>
  <si>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</si>
  <si>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</si>
  <si>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</si>
  <si>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</si>
  <si>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</si>
  <si>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</si>
  <si>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</si>
  <si>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</si>
  <si>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</si>
  <si>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</si>
  <si>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</si>
  <si>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</si>
  <si>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</si>
  <si>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</si>
  <si>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</si>
  <si>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</si>
  <si>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</si>
  <si>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</si>
  <si>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</si>
  <si>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</si>
  <si>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</si>
  <si>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</si>
  <si>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</si>
  <si>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</si>
  <si>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</si>
  <si>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</si>
  <si>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</si>
  <si>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</si>
  <si>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</si>
  <si>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</si>
  <si>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</si>
  <si>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</si>
  <si>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</si>
  <si>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</si>
  <si>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</si>
  <si>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</si>
  <si>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</si>
  <si>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</si>
  <si>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</si>
  <si>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</si>
  <si>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</si>
  <si>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</si>
  <si>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</si>
  <si>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</si>
  <si>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</si>
  <si>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</si>
  <si>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</si>
  <si>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</si>
  <si>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</si>
  <si>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</si>
  <si>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</si>
  <si>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</si>
  <si>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</si>
  <si>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</si>
  <si>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</si>
  <si>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</si>
  <si>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</si>
  <si>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</si>
  <si>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</si>
  <si>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</si>
  <si>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</si>
  <si>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</si>
  <si>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</si>
  <si>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</si>
  <si>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</si>
  <si>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</si>
  <si>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</si>
  <si>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</si>
  <si>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</si>
  <si>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</si>
  <si>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</si>
  <si>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</si>
  <si>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</si>
  <si>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</si>
  <si>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</si>
  <si>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</si>
  <si>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</si>
  <si>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</si>
  <si>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</si>
  <si>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</si>
  <si>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</si>
  <si>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</si>
  <si>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</si>
  <si>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</si>
  <si>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</si>
  <si>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</si>
  <si>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</si>
  <si>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</si>
  <si>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</si>
  <si>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</si>
  <si>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</si>
  <si>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</si>
  <si>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</si>
  <si>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</si>
  <si>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</si>
  <si>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</si>
  <si>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</si>
  <si>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</si>
  <si>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</si>
  <si>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</si>
  <si>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</si>
  <si>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</si>
  <si>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</si>
  <si>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</si>
  <si>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</si>
  <si>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</si>
  <si>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</si>
  <si>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</si>
  <si>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</si>
  <si>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</si>
  <si>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</si>
  <si>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</si>
  <si>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</si>
  <si>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</si>
  <si>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</si>
  <si>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</si>
  <si>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</si>
  <si>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</si>
  <si>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</si>
  <si>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</si>
  <si>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</si>
  <si>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</si>
  <si>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</si>
  <si>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</si>
  <si>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</si>
  <si>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</si>
  <si>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</si>
  <si>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</si>
  <si>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</si>
  <si>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</si>
  <si>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</si>
  <si>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</si>
  <si>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</si>
  <si>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</si>
  <si>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</si>
  <si>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</si>
  <si>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</si>
  <si>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</si>
  <si>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</si>
  <si>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</si>
  <si>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</si>
  <si>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</si>
  <si>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</si>
  <si>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</si>
  <si>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</si>
  <si>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</si>
  <si>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</si>
  <si>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</si>
  <si>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</si>
  <si>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</si>
  <si>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</si>
  <si>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</si>
  <si>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</si>
  <si>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</si>
  <si>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</si>
  <si>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</si>
  <si>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</si>
  <si>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</si>
  <si>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</si>
  <si>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</si>
  <si>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</si>
  <si>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</si>
  <si>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</si>
  <si>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</si>
  <si>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</si>
  <si>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</si>
  <si>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</si>
  <si>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</si>
  <si>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</si>
  <si>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</si>
  <si>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</si>
  <si>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</si>
  <si>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</si>
  <si>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</si>
  <si>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</si>
  <si>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</si>
  <si>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</si>
  <si>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</si>
  <si>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</si>
  <si>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</si>
  <si>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</si>
  <si>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</si>
  <si>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</si>
  <si>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</si>
  <si>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</si>
  <si>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</si>
  <si>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</si>
  <si>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</si>
  <si>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</si>
  <si>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</si>
  <si>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</si>
  <si>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</si>
  <si>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</si>
  <si>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</si>
  <si>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</si>
  <si>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</si>
  <si>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</si>
  <si>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</si>
  <si>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</si>
  <si>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</si>
  <si>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</si>
  <si>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</si>
  <si>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</si>
  <si>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</si>
  <si>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</si>
  <si>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</si>
  <si>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</si>
  <si>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</si>
  <si>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</si>
  <si>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</si>
  <si>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</si>
  <si>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</si>
  <si>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</si>
  <si>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</si>
  <si>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</si>
  <si>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</si>
  <si>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</si>
  <si>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</si>
  <si>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</si>
  <si>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</si>
  <si>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</si>
  <si>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</si>
  <si>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</si>
  <si>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</si>
  <si>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</si>
  <si>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</si>
  <si>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</si>
  <si>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</si>
  <si>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</si>
  <si>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</si>
  <si>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</si>
  <si>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</si>
  <si>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</si>
  <si>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</si>
  <si>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</si>
  <si>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</si>
  <si>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</si>
  <si>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</si>
  <si>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</si>
  <si>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</si>
  <si>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</si>
  <si>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</si>
  <si>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</si>
  <si>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</si>
  <si>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</si>
  <si>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</si>
  <si>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</si>
  <si>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</si>
  <si>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</si>
  <si>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</si>
  <si>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</si>
  <si>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</si>
  <si>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</si>
  <si>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</si>
  <si>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</si>
  <si>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</si>
  <si>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</si>
  <si>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</si>
  <si>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</si>
  <si>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</si>
  <si>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</si>
  <si>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</si>
  <si>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</si>
  <si>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</si>
  <si>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</si>
  <si>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</si>
  <si>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</si>
  <si>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</si>
  <si>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</si>
  <si>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</si>
  <si>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</si>
  <si>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</si>
  <si>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</si>
  <si>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</si>
  <si>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</si>
  <si>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</si>
  <si>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</si>
  <si>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</si>
  <si>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</si>
  <si>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</si>
  <si>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</si>
  <si>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</si>
  <si>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</si>
  <si>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</si>
  <si>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</si>
  <si>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</si>
  <si>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</si>
  <si>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</si>
  <si>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</si>
  <si>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</si>
  <si>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</si>
  <si>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</si>
  <si>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</si>
  <si>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</si>
  <si>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</si>
  <si>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</si>
  <si>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</si>
  <si>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</si>
  <si>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</si>
  <si>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</si>
  <si>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</si>
  <si>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</si>
  <si>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</si>
  <si>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</si>
  <si>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</si>
  <si>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</si>
  <si>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</si>
  <si>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</si>
  <si>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</si>
  <si>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</si>
  <si>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</si>
  <si>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</si>
  <si>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</si>
  <si>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</si>
  <si>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</si>
  <si>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</si>
  <si>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</si>
  <si>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</si>
  <si>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</si>
  <si>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</si>
  <si>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</si>
  <si>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</si>
  <si>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</si>
  <si>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</si>
  <si>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</si>
  <si>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</si>
  <si>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</si>
  <si>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</si>
  <si>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</si>
  <si>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</si>
  <si>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</si>
  <si>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</si>
  <si>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</si>
  <si>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</si>
  <si>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</si>
  <si>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</si>
  <si>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</si>
  <si>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</si>
  <si>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</si>
  <si>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</si>
  <si>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</si>
  <si>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</si>
  <si>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</si>
  <si>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</si>
  <si>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</si>
  <si>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</si>
  <si>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</si>
  <si>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</si>
  <si>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</si>
  <si>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</si>
  <si>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</si>
  <si>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</si>
  <si>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</si>
  <si>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</si>
  <si>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</si>
  <si>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</si>
  <si>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</si>
  <si>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</si>
  <si>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</si>
  <si>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</si>
  <si>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</si>
  <si>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</si>
  <si>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</si>
  <si>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</si>
  <si>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</si>
  <si>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</si>
  <si>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</si>
  <si>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</si>
  <si>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</si>
  <si>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</si>
  <si>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</si>
  <si>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SFD/2:18(2012-2-132)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</si>
  <si>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</si>
  <si>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</si>
  <si>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</si>
  <si>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</si>
  <si>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</si>
  <si>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</si>
  <si>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</si>
  <si>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</si>
  <si>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</si>
  <si>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SFD/2:18(2013-1-23)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</si>
  <si>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</si>
  <si>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</si>
  <si>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</si>
  <si>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</si>
  <si>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</si>
  <si>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</si>
  <si>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</si>
  <si>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</si>
  <si>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</si>
  <si>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</si>
  <si>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</si>
  <si>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</si>
  <si>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</si>
  <si>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</si>
  <si>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</si>
  <si>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</si>
  <si>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</si>
  <si>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</si>
  <si>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</si>
  <si>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</si>
  <si>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</si>
  <si>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</si>
  <si>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</si>
  <si>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</si>
  <si>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</si>
  <si>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</si>
  <si>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</si>
  <si>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</si>
  <si>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</si>
  <si>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</si>
  <si>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</si>
  <si>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</si>
  <si>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</si>
  <si>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</si>
  <si>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</si>
  <si>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</si>
  <si>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</si>
  <si>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</si>
  <si>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</si>
  <si>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</si>
  <si>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</si>
  <si>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</si>
  <si>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</si>
  <si>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</si>
  <si>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</si>
  <si>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</si>
  <si>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</si>
  <si>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</si>
  <si>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</si>
  <si>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</si>
  <si>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</si>
  <si>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</si>
  <si>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</si>
  <si>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SFD/2:18(2013-1-36)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</si>
  <si>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</si>
  <si>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</si>
  <si>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</si>
  <si>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</si>
  <si>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</si>
  <si>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</si>
  <si>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</si>
  <si>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</si>
  <si>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</si>
  <si>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</si>
  <si>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</si>
  <si>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SFD/2:18(2013-1-37)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</si>
  <si>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</si>
  <si>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</si>
  <si>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</si>
  <si>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</si>
  <si>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</si>
  <si>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</si>
  <si>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</si>
  <si>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</si>
  <si>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</si>
  <si>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</si>
  <si>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</si>
  <si>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</si>
  <si>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</si>
  <si>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</si>
  <si>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</si>
  <si>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</si>
  <si>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</si>
  <si>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</si>
  <si>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</si>
  <si>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</si>
  <si>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</si>
  <si>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</si>
  <si>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</si>
  <si>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</si>
  <si>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</si>
  <si>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</si>
  <si>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</si>
  <si>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</si>
  <si>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</si>
  <si>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</si>
  <si>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</si>
  <si>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</si>
  <si>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</si>
  <si>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</si>
  <si>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</si>
  <si>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</si>
  <si>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</si>
  <si>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</si>
  <si>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</si>
  <si>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</si>
  <si>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</si>
  <si>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</si>
  <si>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</si>
  <si>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</si>
  <si>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</si>
  <si>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</si>
  <si>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SFD/2:18(2013-2-2)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</si>
  <si>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</si>
  <si>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</si>
  <si>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</si>
  <si>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</si>
  <si>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</si>
  <si>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</si>
  <si>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</si>
  <si>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</si>
  <si>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</si>
  <si>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</si>
  <si>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</si>
  <si>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</si>
  <si>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</si>
  <si>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</si>
  <si>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</si>
  <si>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</si>
  <si>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</si>
  <si>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</si>
  <si>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</si>
  <si>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</si>
  <si>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</si>
  <si>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</si>
  <si>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</si>
  <si>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</si>
  <si>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</si>
  <si>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</si>
  <si>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</si>
  <si>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</si>
  <si>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</si>
  <si>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</si>
  <si>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</si>
  <si>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</si>
  <si>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</si>
  <si>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</si>
  <si>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</si>
  <si>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</si>
  <si>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</si>
  <si>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</si>
  <si>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</si>
  <si>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</si>
  <si>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</si>
  <si>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</si>
  <si>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</si>
  <si>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</si>
  <si>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</si>
  <si>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</si>
  <si>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</si>
  <si>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</si>
  <si>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</si>
  <si>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</si>
  <si>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</si>
  <si>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</si>
  <si>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</si>
  <si>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</si>
  <si>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</si>
  <si>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</si>
  <si>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9 строк.</t>
  </si>
  <si>
    <t>&lt; WARNING &gt; Адаптер&gt; ссылка SFacc/3:4/W(001D000000ewKZ7)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</si>
  <si>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</si>
  <si>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</si>
  <si>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</si>
  <si>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</si>
  <si>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</si>
  <si>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</si>
  <si>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</si>
  <si>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</si>
  <si>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</si>
  <si>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</si>
  <si>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</si>
  <si>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</si>
  <si>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</si>
  <si>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</si>
  <si>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</si>
  <si>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</si>
  <si>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</si>
  <si>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Адаптер&gt; ссылка SFD/2:18(2013-1-21) не работает, результат &lt;пусто&gt;</t>
  </si>
  <si>
    <t>&lt; WARNING &gt; Адаптер&gt; ссылка SFD/2:18(2013-1-19) не работает, результат &lt;пусто&gt;</t>
  </si>
  <si>
    <t>&lt; WARNING &gt; Адаптер&gt; ссылка SFD/2:18(2013-1-20) не работает, результат &lt;пусто&gt;</t>
  </si>
  <si>
    <t>&lt; WARNING &gt; Адаптер&gt; ссылка SFD/2:18(2012-4-16) не работает, результат &lt;пусто&gt;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</si>
  <si>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</si>
  <si>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WrCSV&gt; в 'Dogovor.txt' записано 8 строк.</t>
  </si>
  <si>
    <t>MoveToMatch: В файл 'SFDC.xlsx' загружен новый отчет 'SFD'; EOL=1009 строк, в прежнем 1002</t>
  </si>
  <si>
    <t>adapt profile: total = 5,09_x000D_
By steps =  4,91 0,01</t>
  </si>
  <si>
    <t>adapt profile: total = 4,99_x000D_
By steps =  0,88 2,84 0,41 0,00 0,00 0,00 0,50 0,00 0,00 0,00 0,00 0,00 0,00 0,00 0,01 0,00 0,00 0,00 0,00 0,00 0,00 0,00 0,00 0,00 0,00 0,00</t>
  </si>
  <si>
    <t>&lt; WARNING &gt; Адаптер&gt; ссылка SFD/2:18(2013-1-5) не работает, результат &lt;пусто&gt;</t>
  </si>
  <si>
    <t>WrCSV&gt; в 'Payment.txt' записано 7 строк.</t>
  </si>
  <si>
    <t>MoveToMatch: В файл 'SFDC.xlsx' загружен новый отчет 'SF'; EOL=4276 строк, в прежнем 4275</t>
  </si>
  <si>
    <t>adapt profile: total = 14,67_x000D_
By steps =  14,02 0,02</t>
  </si>
  <si>
    <t>adapt profile: total = 77,55_x000D_
By steps =  15,57 0,03 18,76 2,36 0,03 0,02 0,01 0,01 0,01 0,01 0,01 0,00 0,01 0,02 0,00 0,01 0,01 0,00 0,02 0,01 0,00 0,01 0,01 0,01 0,01 0,01 0,01 0,01 0,01 0,72 2,65 2,79 2,71 2,67 2,70 12,75 12,25</t>
  </si>
  <si>
    <t>MoveToMatch: В файл 'SFDC.xlsx' загружен новый отчет 'SF'; EOL=4279 строк, в прежнем 4276</t>
  </si>
  <si>
    <t>adapt profile: total = 15,09_x000D_
By steps =  14,33 0,03</t>
  </si>
  <si>
    <t>adapt profile: total = 91,90_x000D_
By steps =  15,99 0,03 20,43 4,27 0,03 0,00 0,02 0,02 0,01 0,01 0,01 0,01 0,02 0,01 0,00 0,00 0,02 0,01 0,01 0,01 0,01 0,02 0,01 0,01 0,02 0,01 0,02 0,01 0,01 0,63 2,79 3,95 4,24 4,48 4,45 14,93 13,92</t>
  </si>
  <si>
    <t>adapt profile: total = 2,68_x000D_
By steps =  0,03 0,01 0,01 0,00 0,01 0,01 0,03 0,00</t>
  </si>
  <si>
    <t>WrCSV&gt; в 'Payment.txt' записано 15 строк.</t>
  </si>
  <si>
    <t>adapt profile: total = 2,69_x000D_
By steps =  0,03 0,00 0,02 0,00 0,01 0,01 0,02 0,00</t>
  </si>
  <si>
    <t>MoveToMatch: В файл 'SFDC.xlsx' загружен новый отчет 'SF'; EOL=4281 строк, в прежнем 4279</t>
  </si>
  <si>
    <t>adapt profile: total = 14,75_x000D_
By steps =  14,13 0,03</t>
  </si>
  <si>
    <t>adapt profile: total = 77,88_x000D_
By steps =  15,76 0,04 18,71 2,39 0,04 0,01 0,01 0,01 0,01 0,02 0,00 0,01 0,02 0,01 0,01 0,01 0,01 0,01 0,01 0,01 0,01 0,02 0,01 0,02 0,01 0,01 0,02 0,01 0,01 0,71 2,58 2,79 2,80 2,59 2,69 12,76 12,46</t>
  </si>
  <si>
    <t>MoveToMatch: В файл 'SFDC.xlsx' загружен новый отчет 'SFopp'; EOL=3271 строк, в прежнем 3269</t>
  </si>
  <si>
    <t>MoveToMatch: В файл 'SFDC.xlsx' загружен новый отчет 'SFD'; EOL=1009 строк, в прежнем 1009</t>
  </si>
  <si>
    <t>adapt profile: total = 3,32_x000D_
By steps =  3,08 0,01</t>
  </si>
  <si>
    <t>adapt profile: total = 5,46_x000D_
By steps =  0,84 3,20 0,42 0,01 0,00 0,00 0,55 0,00 0,00 0,00 0,00 0,00 0,00 0,00 0,00 0,00 0,00 0,00 0,00 0,00 0,00 0,00 0,00 0,00 0,00 0,00</t>
  </si>
  <si>
    <t>MoveToMatch: В файл 'SFDC.xlsx' загружен новый отчет 'SF'; EOL=4281 строк, в прежнем 4281</t>
  </si>
  <si>
    <t>adapt profile: total = 17,52_x000D_
By steps =  16,89 0,02</t>
  </si>
  <si>
    <t>adapt profile: total = 70,82_x000D_
By steps =  5,20 0,03 21,48 1,90 0,01 0,02 0,00 0,00 0,02 0,01 0,02 0,01 0,00 0,01 0,01 0,01 0,01 0,03 0,02 0,01 0,01 0,01 0,02 0,01 0,01 0,00 0,01 0,01 0,02 0,68 2,74 2,71 2,98 2,87 2,92 12,89 12,83</t>
  </si>
  <si>
    <t>MoveToMatch: В файл 'SFDC.xlsx' загружен новый отчет 'SFopp'; EOL=3271 строк, в прежнем 3271</t>
  </si>
  <si>
    <t>adapt profile: total = 2,35_x000D_
By steps =  2,19 0,02</t>
  </si>
  <si>
    <t>adapt profile: total = 5,13_x000D_
By steps =  0,87 3,03 0,37 0,00 0,00 0,00 0,50 0,01 0,00 0,00 0,00 0,00 0,00 0,00 0,00 0,01 0,00 0,00 0,00 0,00 0,00 0,00 0,00 0,00 0,00 0,00</t>
  </si>
  <si>
    <t>MoveToMatch: В файл 'SFDC.xlsx' загружен новый отчет 'SF'; EOL=4284 строк, в прежнем 4281</t>
  </si>
  <si>
    <t>adapt profile: total = 14,86_x000D_
By steps =  14,19 0,02</t>
  </si>
  <si>
    <t>adapt profile: total = 77,09_x000D_
By steps =  15,44 0,04 18,73 2,41 0,00 0,01 0,00 0,01 0,01 0,01 0,01 0,00 0,00 0,00 0,00 0,00 0,01 0,02 0,01 0,01 0,02 0,01 0,02 0,00 0,00 0,00 0,01 0,01 0,01 0,64 2,65 2,64 2,98 2,82 2,70 12,30 12,11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</si>
</sst>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3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  <xf numFmtId="0" fontId="249" fillId="0" borderId="0"/>
    <xf numFmtId="43" fontId="1" fillId="0" borderId="0" applyFont="0" applyFill="0" applyBorder="0" applyAlignment="0" applyProtection="0"/>
  </cellStyleXfs>
  <cellXfs count="820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8" fontId="0" fillId="0" borderId="0" xfId="0" applyNumberFormat="1" applyFill="1" applyBorder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168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8" fontId="0" fillId="8" borderId="31" xfId="0" applyNumberFormat="1" applyFill="1" applyBorder="1" applyAlignment="1">
      <alignment horizontal="center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6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0" fontId="302" fillId="0" borderId="1" xfId="734" applyNumberFormat="1" applyFont="1" applyFill="1" applyBorder="1" applyAlignment="1">
      <alignment horizontal="center" vertical="top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168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/>
    </xf>
    <xf numFmtId="49" fontId="0" fillId="0" borderId="41" xfId="0" applyNumberFormat="1" applyFill="1" applyBorder="1" applyAlignment="1">
      <alignment horizontal="center" vertical="center" wrapText="1"/>
    </xf>
    <xf numFmtId="169" fontId="0" fillId="0" borderId="0" xfId="0" applyFont="1" applyFill="1" applyAlignment="1">
      <alignment horizontal="left"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zoomScale="80" zoomScaleNormal="80" workbookViewId="0">
      <selection activeCell="G41" sqref="G41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41346.389664351853</v>
      </c>
      <c r="C1" s="125" t="s">
        <v>583</v>
      </c>
      <c r="J1" s="456" t="s">
        <v>1003</v>
      </c>
      <c r="K1" s="167"/>
      <c r="L1" s="57"/>
      <c r="M1" s="57"/>
      <c r="N1" s="57"/>
      <c r="O1" s="793" t="s">
        <v>592</v>
      </c>
      <c r="P1" s="793" t="s">
        <v>836</v>
      </c>
      <c r="Q1" s="793"/>
      <c r="R1" s="793"/>
      <c r="S1" s="793"/>
    </row>
    <row r="2" spans="1:23" ht="20.25" customHeight="1" x14ac:dyDescent="0.25">
      <c r="O2" s="794"/>
      <c r="P2" s="794"/>
      <c r="Q2" s="794"/>
      <c r="R2" s="794"/>
      <c r="S2" s="794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627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626</v>
      </c>
      <c r="C5" s="170" t="s">
        <v>931</v>
      </c>
      <c r="H5" s="169" t="s">
        <v>609</v>
      </c>
      <c r="I5" s="169" t="s">
        <v>626</v>
      </c>
      <c r="J5" s="169" t="s">
        <v>626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677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7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41346.389664351853</v>
      </c>
      <c r="B8" s="136" t="s">
        <v>561</v>
      </c>
      <c r="C8" s="141">
        <v>5465</v>
      </c>
      <c r="D8" s="141">
        <v>5</v>
      </c>
      <c r="E8" s="141">
        <v>2</v>
      </c>
      <c r="F8" t="s">
        <v>654</v>
      </c>
      <c r="G8" s="141" t="s">
        <v>112</v>
      </c>
      <c r="H8" s="136" t="s">
        <v>680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656</v>
      </c>
      <c r="N8" s="135">
        <v>41346</v>
      </c>
      <c r="O8" s="146" t="s">
        <v>314</v>
      </c>
      <c r="P8" s="146"/>
      <c r="Q8" s="146"/>
      <c r="T8" s="136" t="s">
        <v>637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661</v>
      </c>
      <c r="N9" s="148"/>
      <c r="O9" s="154"/>
      <c r="P9" s="154"/>
      <c r="Q9" s="154"/>
      <c r="T9" s="160"/>
    </row>
    <row r="10" spans="1:23" x14ac:dyDescent="0.25">
      <c r="A10" s="248">
        <v>41346.387245370373</v>
      </c>
      <c r="B10" t="s">
        <v>566</v>
      </c>
      <c r="C10" s="145">
        <v>1249</v>
      </c>
      <c r="D10" s="139">
        <v>8</v>
      </c>
      <c r="E10" s="139">
        <v>2</v>
      </c>
      <c r="F10" t="s">
        <v>654</v>
      </c>
      <c r="G10" s="150" t="s">
        <v>112</v>
      </c>
      <c r="H10" t="s">
        <v>680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887</v>
      </c>
      <c r="N10" s="124">
        <v>41346</v>
      </c>
      <c r="O10" s="138" t="s">
        <v>314</v>
      </c>
      <c r="P10" s="138"/>
      <c r="Q10" s="138"/>
      <c r="T10" t="s">
        <v>638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886</v>
      </c>
      <c r="N11" s="124"/>
      <c r="O11" s="161"/>
      <c r="P11" s="161"/>
      <c r="Q11" s="161"/>
    </row>
    <row r="12" spans="1:23" x14ac:dyDescent="0.25">
      <c r="A12" s="248">
        <v>41346.322233796294</v>
      </c>
      <c r="B12" t="s">
        <v>567</v>
      </c>
      <c r="C12" s="145">
        <v>2788</v>
      </c>
      <c r="D12" s="145">
        <v>1</v>
      </c>
      <c r="E12" s="145">
        <v>0</v>
      </c>
      <c r="F12" t="s">
        <v>654</v>
      </c>
      <c r="G12" s="150" t="s">
        <v>71</v>
      </c>
      <c r="H12" t="s">
        <v>680</v>
      </c>
      <c r="I12" s="164" t="s">
        <v>567</v>
      </c>
      <c r="J12" s="128" t="s">
        <v>596</v>
      </c>
      <c r="K12" s="129" t="s">
        <v>587</v>
      </c>
      <c r="L12" s="153" t="s">
        <v>655</v>
      </c>
      <c r="M12" s="153" t="s">
        <v>657</v>
      </c>
      <c r="N12" s="124">
        <v>41233</v>
      </c>
      <c r="O12" s="138" t="s">
        <v>314</v>
      </c>
      <c r="P12" s="138"/>
      <c r="Q12" s="138"/>
      <c r="T12" t="s">
        <v>639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655</v>
      </c>
      <c r="M13" s="153" t="s">
        <v>658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41346.388715277775</v>
      </c>
      <c r="B14" s="136" t="s">
        <v>568</v>
      </c>
      <c r="C14" s="141">
        <v>4284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659</v>
      </c>
      <c r="N14" s="270">
        <v>41346.387499999997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41346.387175925927</v>
      </c>
      <c r="B15" t="s">
        <v>571</v>
      </c>
      <c r="C15" s="145">
        <v>1009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659</v>
      </c>
      <c r="N15" s="124">
        <v>41346.386111111111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41346.386099537034</v>
      </c>
      <c r="B16" t="s">
        <v>573</v>
      </c>
      <c r="C16" s="145">
        <v>3271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41346.384722222225</v>
      </c>
      <c r="O16" s="138"/>
      <c r="Q16" s="138"/>
    </row>
    <row r="17" spans="1:20" ht="15.75" x14ac:dyDescent="0.3">
      <c r="A17" s="248">
        <v>41346.321087962962</v>
      </c>
      <c r="B17" t="s">
        <v>136</v>
      </c>
      <c r="C17" s="145">
        <v>4105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41346.301388888889</v>
      </c>
      <c r="O17" s="138"/>
      <c r="Q17" s="138"/>
      <c r="T17" t="str">
        <f>Process!F38</f>
        <v>LOAD_SFacc</v>
      </c>
    </row>
    <row r="18" spans="1:20" ht="15.75" x14ac:dyDescent="0.3">
      <c r="A18" s="248">
        <v>41346.318506944444</v>
      </c>
      <c r="B18" t="s">
        <v>576</v>
      </c>
      <c r="C18" s="145">
        <v>8104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41346.304166666669</v>
      </c>
      <c r="O18" s="138"/>
      <c r="Q18" s="138"/>
    </row>
    <row r="19" spans="1:20" ht="15.75" x14ac:dyDescent="0.3">
      <c r="A19" s="248">
        <v>41320.922337962962</v>
      </c>
      <c r="B19" t="s">
        <v>578</v>
      </c>
      <c r="C19" s="145">
        <v>1748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41320.921527777777</v>
      </c>
      <c r="O19" s="138"/>
      <c r="Q19" s="138"/>
    </row>
    <row r="20" spans="1:20" ht="15.75" x14ac:dyDescent="0.3">
      <c r="A20" s="248">
        <v>41346.317650462966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41346.305555555555</v>
      </c>
      <c r="O20" s="138"/>
      <c r="Q20" s="138"/>
    </row>
    <row r="21" spans="1:20" ht="15.75" x14ac:dyDescent="0.3">
      <c r="A21" s="248">
        <v>41346.32298611111</v>
      </c>
      <c r="B21" t="s">
        <v>581</v>
      </c>
      <c r="C21" s="145">
        <v>360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2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41346.322222222225</v>
      </c>
      <c r="O21" s="551"/>
      <c r="P21" s="297"/>
      <c r="Q21" s="551"/>
      <c r="R21" s="297"/>
      <c r="S21" s="297"/>
    </row>
    <row r="22" spans="1:20" s="136" customFormat="1" x14ac:dyDescent="0.25">
      <c r="A22" s="715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780</v>
      </c>
      <c r="G22" s="522">
        <v>10</v>
      </c>
      <c r="H22" s="136" t="s">
        <v>681</v>
      </c>
      <c r="I22" s="278" t="str">
        <f>B22</f>
        <v>Склад</v>
      </c>
      <c r="J22" s="137" t="s">
        <v>65</v>
      </c>
      <c r="K22" s="152" t="s">
        <v>610</v>
      </c>
      <c r="L22" s="142" t="s">
        <v>659</v>
      </c>
      <c r="M22" s="142" t="s">
        <v>988</v>
      </c>
      <c r="N22" s="135">
        <v>41232.113368055558</v>
      </c>
      <c r="O22" s="154" t="s">
        <v>314</v>
      </c>
      <c r="P22" s="160"/>
      <c r="Q22" s="550" t="s">
        <v>861</v>
      </c>
      <c r="R22" s="277"/>
      <c r="S22" s="160"/>
      <c r="T22" s="136" t="s">
        <v>643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682</v>
      </c>
      <c r="K23" s="152" t="s">
        <v>587</v>
      </c>
      <c r="L23" s="153" t="s">
        <v>659</v>
      </c>
      <c r="M23" s="153" t="s">
        <v>989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683</v>
      </c>
      <c r="K24" s="152" t="s">
        <v>587</v>
      </c>
      <c r="L24" s="153" t="s">
        <v>659</v>
      </c>
      <c r="M24" s="153" t="s">
        <v>990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684</v>
      </c>
      <c r="K25" s="152" t="s">
        <v>587</v>
      </c>
      <c r="L25" s="153" t="s">
        <v>659</v>
      </c>
      <c r="M25" s="153" t="s">
        <v>991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685</v>
      </c>
      <c r="K26" s="152" t="s">
        <v>587</v>
      </c>
      <c r="L26" s="153" t="s">
        <v>659</v>
      </c>
      <c r="M26" s="153" t="s">
        <v>992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686</v>
      </c>
      <c r="K27" s="283" t="s">
        <v>587</v>
      </c>
      <c r="L27" s="284" t="s">
        <v>659</v>
      </c>
      <c r="M27" s="284" t="s">
        <v>993</v>
      </c>
      <c r="N27" s="285"/>
      <c r="O27" s="286"/>
      <c r="Q27" s="286"/>
      <c r="R27" s="287"/>
    </row>
    <row r="28" spans="1:20" s="288" customFormat="1" x14ac:dyDescent="0.25">
      <c r="A28" s="695">
        <v>41221.716736111113</v>
      </c>
      <c r="B28" s="288" t="s">
        <v>602</v>
      </c>
      <c r="C28" s="289">
        <v>1271</v>
      </c>
      <c r="D28" s="523">
        <v>8</v>
      </c>
      <c r="E28" s="523">
        <v>19</v>
      </c>
      <c r="F28" s="288" t="s">
        <v>857</v>
      </c>
      <c r="G28" s="523">
        <v>10</v>
      </c>
      <c r="H28" s="288" t="s">
        <v>681</v>
      </c>
      <c r="I28" s="276" t="str">
        <f>B28</f>
        <v>Заказы</v>
      </c>
      <c r="J28" s="290" t="s">
        <v>687</v>
      </c>
      <c r="K28" s="291" t="s">
        <v>587</v>
      </c>
      <c r="L28" s="292" t="s">
        <v>659</v>
      </c>
      <c r="M28" s="292" t="s">
        <v>871</v>
      </c>
      <c r="N28" s="293">
        <v>41211.864074074074</v>
      </c>
      <c r="O28" s="288" t="s">
        <v>314</v>
      </c>
      <c r="P28" s="524">
        <v>2</v>
      </c>
      <c r="Q28" s="549" t="s">
        <v>860</v>
      </c>
      <c r="R28" s="149"/>
      <c r="S28" s="149"/>
      <c r="T28" s="288" t="s">
        <v>644</v>
      </c>
    </row>
    <row r="29" spans="1:20" s="149" customFormat="1" x14ac:dyDescent="0.25">
      <c r="A29" s="294"/>
      <c r="C29" s="275"/>
      <c r="J29" s="151" t="s">
        <v>688</v>
      </c>
      <c r="K29" s="152" t="s">
        <v>587</v>
      </c>
      <c r="L29" s="153" t="s">
        <v>659</v>
      </c>
      <c r="M29" s="153" t="s">
        <v>872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659</v>
      </c>
      <c r="M30" s="153" t="s">
        <v>873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659</v>
      </c>
      <c r="M31" s="153" t="s">
        <v>874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689</v>
      </c>
      <c r="K32" s="152" t="s">
        <v>587</v>
      </c>
      <c r="L32" s="153" t="s">
        <v>659</v>
      </c>
      <c r="M32" s="153" t="s">
        <v>875</v>
      </c>
      <c r="N32" s="148"/>
      <c r="O32" t="s">
        <v>314</v>
      </c>
      <c r="P32" s="525">
        <v>2</v>
      </c>
    </row>
    <row r="33" spans="1:20" x14ac:dyDescent="0.25">
      <c r="A33" s="263"/>
      <c r="C33" s="269"/>
      <c r="H33" s="149"/>
      <c r="I33" s="149"/>
      <c r="J33" s="151" t="s">
        <v>690</v>
      </c>
      <c r="K33" s="152" t="s">
        <v>587</v>
      </c>
      <c r="L33" s="153" t="s">
        <v>659</v>
      </c>
      <c r="M33" s="153" t="s">
        <v>876</v>
      </c>
      <c r="N33" s="148"/>
      <c r="O33" t="s">
        <v>314</v>
      </c>
      <c r="P33" s="525">
        <v>2</v>
      </c>
    </row>
    <row r="34" spans="1:20" x14ac:dyDescent="0.25">
      <c r="A34" s="263"/>
      <c r="C34" s="269"/>
      <c r="H34" s="149"/>
      <c r="I34" s="149"/>
      <c r="J34" s="151" t="s">
        <v>691</v>
      </c>
      <c r="K34" s="295" t="s">
        <v>587</v>
      </c>
      <c r="L34" s="153" t="s">
        <v>659</v>
      </c>
      <c r="M34" s="153" t="s">
        <v>877</v>
      </c>
      <c r="N34" s="148"/>
      <c r="P34" s="526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5"/>
      <c r="H35" s="136" t="s">
        <v>607</v>
      </c>
      <c r="I35" s="273" t="s">
        <v>694</v>
      </c>
      <c r="J35" s="137" t="s">
        <v>692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645</v>
      </c>
    </row>
    <row r="36" spans="1:20" x14ac:dyDescent="0.25">
      <c r="A36" s="250"/>
      <c r="I36" s="149"/>
      <c r="J36" s="151" t="s">
        <v>693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4" customFormat="1" x14ac:dyDescent="0.25">
      <c r="A39" s="712">
        <v>0</v>
      </c>
      <c r="B39" s="704" t="s">
        <v>999</v>
      </c>
      <c r="C39" s="705">
        <v>1</v>
      </c>
      <c r="D39" s="705"/>
      <c r="E39" s="705"/>
      <c r="H39" s="704" t="s">
        <v>937</v>
      </c>
      <c r="I39" s="713" t="str">
        <f>B39</f>
        <v>DicAcc</v>
      </c>
      <c r="J39" s="706"/>
      <c r="K39" s="707" t="s">
        <v>938</v>
      </c>
      <c r="L39" s="708"/>
      <c r="M39" s="708"/>
      <c r="N39" s="709">
        <v>41237.062407407408</v>
      </c>
      <c r="O39" s="710"/>
      <c r="P39" s="704" t="s">
        <v>998</v>
      </c>
      <c r="Q39" s="710"/>
      <c r="R39" s="711"/>
    </row>
    <row r="40" spans="1:20" s="149" customFormat="1" x14ac:dyDescent="0.25">
      <c r="A40" s="651">
        <v>41346.380925925929</v>
      </c>
      <c r="B40" s="149" t="s">
        <v>804</v>
      </c>
      <c r="C40" s="275">
        <v>9</v>
      </c>
      <c r="D40" s="275"/>
      <c r="E40" s="275"/>
      <c r="F40" s="149" t="s">
        <v>631</v>
      </c>
      <c r="H40" s="149" t="s">
        <v>937</v>
      </c>
      <c r="I40" s="630" t="s">
        <v>804</v>
      </c>
      <c r="J40" s="151"/>
      <c r="K40" s="152" t="s">
        <v>938</v>
      </c>
      <c r="L40" s="153"/>
      <c r="M40" s="153"/>
      <c r="N40" s="148">
        <v>41346.380914351852</v>
      </c>
      <c r="O40" s="154"/>
      <c r="P40" s="149" t="s">
        <v>932</v>
      </c>
      <c r="Q40" s="154"/>
      <c r="R40" s="277"/>
    </row>
    <row r="41" spans="1:20" s="149" customFormat="1" x14ac:dyDescent="0.25">
      <c r="A41" s="651">
        <v>41346.356944444444</v>
      </c>
      <c r="B41" s="149" t="s">
        <v>679</v>
      </c>
      <c r="C41" s="275">
        <v>1</v>
      </c>
      <c r="D41" s="275"/>
      <c r="E41" s="275"/>
      <c r="F41" s="149" t="s">
        <v>631</v>
      </c>
      <c r="H41" s="149" t="s">
        <v>937</v>
      </c>
      <c r="I41" s="630" t="s">
        <v>679</v>
      </c>
      <c r="J41" s="151"/>
      <c r="K41" s="152" t="s">
        <v>938</v>
      </c>
      <c r="L41" s="153"/>
      <c r="M41" s="153"/>
      <c r="N41" s="148">
        <v>41346.356944444444</v>
      </c>
      <c r="O41" s="154"/>
      <c r="P41" s="149" t="s">
        <v>933</v>
      </c>
      <c r="Q41" s="154"/>
      <c r="R41" s="277"/>
    </row>
    <row r="42" spans="1:20" s="149" customFormat="1" x14ac:dyDescent="0.25">
      <c r="A42" s="651">
        <v>41344.979027777779</v>
      </c>
      <c r="B42" s="149" t="s">
        <v>814</v>
      </c>
      <c r="C42" s="275">
        <v>1</v>
      </c>
      <c r="D42" s="275"/>
      <c r="E42" s="275"/>
      <c r="F42" s="149" t="s">
        <v>780</v>
      </c>
      <c r="H42" s="149" t="s">
        <v>937</v>
      </c>
      <c r="I42" s="630" t="s">
        <v>814</v>
      </c>
      <c r="J42" s="151"/>
      <c r="K42" s="152" t="s">
        <v>938</v>
      </c>
      <c r="L42" s="153"/>
      <c r="M42" s="153"/>
      <c r="N42" s="148">
        <v>41344.97896990741</v>
      </c>
      <c r="O42" s="154"/>
      <c r="P42" s="149" t="s">
        <v>935</v>
      </c>
      <c r="Q42" s="154"/>
      <c r="R42" s="277"/>
    </row>
    <row r="43" spans="1:20" s="149" customFormat="1" x14ac:dyDescent="0.25">
      <c r="A43" s="274"/>
      <c r="B43" s="149" t="s">
        <v>929</v>
      </c>
      <c r="C43" s="275" t="s">
        <v>91</v>
      </c>
      <c r="D43" s="275"/>
      <c r="E43" s="275"/>
      <c r="H43" s="149" t="s">
        <v>937</v>
      </c>
      <c r="I43" s="630" t="s">
        <v>929</v>
      </c>
      <c r="J43" s="151"/>
      <c r="K43" s="152" t="s">
        <v>938</v>
      </c>
      <c r="L43" s="153"/>
      <c r="M43" s="153"/>
      <c r="N43" s="148"/>
      <c r="O43" s="154"/>
      <c r="P43" s="640"/>
      <c r="Q43" s="641"/>
      <c r="R43" s="642"/>
      <c r="S43" s="640"/>
      <c r="T43" s="640"/>
    </row>
    <row r="44" spans="1:20" s="632" customFormat="1" x14ac:dyDescent="0.25">
      <c r="A44" s="652"/>
      <c r="B44" s="632" t="s">
        <v>963</v>
      </c>
      <c r="C44" s="633" t="s">
        <v>915</v>
      </c>
      <c r="D44" s="633"/>
      <c r="E44" s="633"/>
      <c r="H44" s="632" t="s">
        <v>937</v>
      </c>
      <c r="I44" s="634" t="s">
        <v>930</v>
      </c>
      <c r="J44" s="635"/>
      <c r="K44" s="636" t="s">
        <v>938</v>
      </c>
      <c r="L44" s="637"/>
      <c r="M44" s="637"/>
      <c r="N44" s="638"/>
      <c r="O44" s="639"/>
      <c r="P44" s="643" t="s">
        <v>964</v>
      </c>
      <c r="Q44" s="644"/>
      <c r="R44" s="645"/>
      <c r="S44" s="643"/>
      <c r="T44" s="643"/>
    </row>
    <row r="45" spans="1:20" s="297" customFormat="1" x14ac:dyDescent="0.25">
      <c r="A45" s="653"/>
      <c r="B45" s="297" t="s">
        <v>928</v>
      </c>
      <c r="C45" s="627" t="s">
        <v>115</v>
      </c>
      <c r="D45" s="627"/>
      <c r="E45" s="627"/>
      <c r="H45" s="297" t="s">
        <v>937</v>
      </c>
      <c r="I45" s="631" t="s">
        <v>928</v>
      </c>
      <c r="J45" s="299"/>
      <c r="K45" s="295" t="s">
        <v>938</v>
      </c>
      <c r="L45" s="300"/>
      <c r="M45" s="300"/>
      <c r="N45" s="628"/>
      <c r="O45" s="551"/>
      <c r="P45" s="297" t="s">
        <v>936</v>
      </c>
      <c r="Q45" s="551"/>
      <c r="R45" s="629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tabSelected="1" zoomScale="70" zoomScaleNormal="70" workbookViewId="0">
      <pane xSplit="2" ySplit="4" topLeftCell="C13" activePane="bottomRight" state="frozen"/>
      <selection pane="topRight" activeCell="C1" sqref="C1"/>
      <selection pane="bottomLeft" activeCell="A5" sqref="A5"/>
      <selection pane="bottomRight" activeCell="B71" sqref="B71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41346.389664351853</v>
      </c>
      <c r="C1" s="125" t="s">
        <v>614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795" t="s">
        <v>618</v>
      </c>
      <c r="F3" s="797" t="s">
        <v>619</v>
      </c>
      <c r="G3" s="798"/>
      <c r="H3" s="798"/>
      <c r="I3" s="798"/>
      <c r="J3" s="799"/>
      <c r="K3" s="797" t="s">
        <v>620</v>
      </c>
      <c r="L3" s="798"/>
      <c r="M3" s="798"/>
      <c r="N3" s="798"/>
      <c r="O3" s="799"/>
    </row>
    <row r="4" spans="1:15" s="123" customFormat="1" ht="15.75" thickBot="1" x14ac:dyDescent="0.3">
      <c r="B4" s="158" t="s">
        <v>615</v>
      </c>
      <c r="C4" s="123" t="s">
        <v>616</v>
      </c>
      <c r="E4" s="796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84"/>
      <c r="B6" s="785" t="s">
        <v>624</v>
      </c>
      <c r="C6" s="784"/>
      <c r="E6" s="190"/>
      <c r="F6" s="189" t="s">
        <v>637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759">
        <v>41346.325289351851</v>
      </c>
      <c r="B7" s="760" t="s">
        <v>606</v>
      </c>
      <c r="C7" s="302" t="s">
        <v>604</v>
      </c>
      <c r="D7" s="196"/>
      <c r="E7" s="197" t="s">
        <v>70</v>
      </c>
      <c r="F7" s="425" t="s">
        <v>772</v>
      </c>
      <c r="G7" s="426" t="s">
        <v>773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9">
        <v>41346.389606481483</v>
      </c>
      <c r="B8" s="760" t="s">
        <v>780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9">
        <v>41346.389618055553</v>
      </c>
      <c r="B9" s="760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4">
        <v>41346.389652777776</v>
      </c>
      <c r="B10" s="762" t="s">
        <v>628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9">
        <v>41346.389664351853</v>
      </c>
      <c r="B11" s="760" t="s">
        <v>654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63"/>
      <c r="B12" s="764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624</v>
      </c>
      <c r="C13" s="464"/>
      <c r="D13" s="465"/>
      <c r="E13" s="466" t="s">
        <v>201</v>
      </c>
      <c r="F13" s="467" t="s">
        <v>638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9">
        <v>41346.324699074074</v>
      </c>
      <c r="B14" s="760" t="s">
        <v>606</v>
      </c>
      <c r="C14" s="302" t="s">
        <v>604</v>
      </c>
      <c r="D14" s="196"/>
      <c r="E14" s="197" t="s">
        <v>70</v>
      </c>
      <c r="F14" s="425" t="s">
        <v>778</v>
      </c>
      <c r="G14" s="426" t="s">
        <v>779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9">
        <v>41346.387233796297</v>
      </c>
      <c r="B15" s="760" t="s">
        <v>780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4">
        <v>41346.387233796297</v>
      </c>
      <c r="B16" s="760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4">
        <v>41346.387245370373</v>
      </c>
      <c r="B17" s="762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9">
        <v>41346.387245370373</v>
      </c>
      <c r="B18" s="760" t="s">
        <v>654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3"/>
      <c r="B19" s="764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9"/>
      <c r="B20" s="760" t="s">
        <v>624</v>
      </c>
      <c r="C20" s="761"/>
      <c r="D20" s="212"/>
      <c r="E20" s="197"/>
      <c r="F20" s="220" t="s">
        <v>639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653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0" t="str">
        <f>B21</f>
        <v>Acc1C_Bottom</v>
      </c>
      <c r="D22" s="196"/>
      <c r="E22" s="197" t="s">
        <v>70</v>
      </c>
      <c r="F22" s="200" t="s">
        <v>660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9">
        <v>41346.322222222225</v>
      </c>
      <c r="B23" s="760" t="s">
        <v>780</v>
      </c>
      <c r="C23" s="660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9">
        <v>41346.322233796294</v>
      </c>
      <c r="B24" s="760" t="s">
        <v>654</v>
      </c>
      <c r="C24" s="660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5"/>
      <c r="B25" s="726" t="s">
        <v>625</v>
      </c>
      <c r="C25" s="547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8"/>
      <c r="B26" s="699" t="s">
        <v>624</v>
      </c>
      <c r="C26" s="700"/>
      <c r="D26" s="309"/>
      <c r="E26" s="310" t="s">
        <v>201</v>
      </c>
      <c r="F26" s="311" t="s">
        <v>640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59">
        <v>41346.388541666667</v>
      </c>
      <c r="B27" s="760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59">
        <v>41346.388715277775</v>
      </c>
      <c r="B28" s="760" t="s">
        <v>780</v>
      </c>
      <c r="C28" s="302" t="s">
        <v>648</v>
      </c>
      <c r="D28" s="215"/>
      <c r="E28" s="218" t="s">
        <v>70</v>
      </c>
      <c r="F28" s="200" t="s">
        <v>622</v>
      </c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9">
        <v>41346.388715277775</v>
      </c>
      <c r="B29" s="760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759">
        <v>41346.389664351853</v>
      </c>
      <c r="B30" s="762" t="s">
        <v>662</v>
      </c>
      <c r="C30" s="660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763"/>
      <c r="B31" s="764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86"/>
      <c r="B32" s="787" t="s">
        <v>624</v>
      </c>
      <c r="C32" s="788"/>
      <c r="D32" s="303"/>
      <c r="E32" s="304" t="s">
        <v>201</v>
      </c>
      <c r="F32" s="305" t="s">
        <v>641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59">
        <v>41346.387141203704</v>
      </c>
      <c r="B33" s="760" t="s">
        <v>606</v>
      </c>
      <c r="C33" s="302" t="s">
        <v>604</v>
      </c>
      <c r="D33" s="196"/>
      <c r="E33" s="197" t="s">
        <v>70</v>
      </c>
      <c r="F33" s="200" t="s">
        <v>649</v>
      </c>
      <c r="G33" s="201" t="s">
        <v>650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59">
        <v>41346.387175925927</v>
      </c>
      <c r="B34" s="760" t="s">
        <v>780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9">
        <v>41346.387175925927</v>
      </c>
      <c r="B35" s="760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59">
        <v>41346.387245370373</v>
      </c>
      <c r="B36" s="762" t="s">
        <v>662</v>
      </c>
      <c r="C36" s="660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63"/>
      <c r="B37" s="764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624</v>
      </c>
      <c r="C38" s="464"/>
      <c r="D38" s="465"/>
      <c r="E38" s="466" t="s">
        <v>201</v>
      </c>
      <c r="F38" s="467" t="s">
        <v>642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9">
        <v>41346.322118055556</v>
      </c>
      <c r="B39" s="760" t="s">
        <v>662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9">
        <v>41346.322187500002</v>
      </c>
      <c r="B40" s="760" t="s">
        <v>662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9">
        <v>41346.322233796294</v>
      </c>
      <c r="B41" s="760" t="s">
        <v>662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5"/>
      <c r="B42" s="726" t="s">
        <v>625</v>
      </c>
      <c r="C42" s="547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644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854</v>
      </c>
      <c r="C44" s="302" t="s">
        <v>604</v>
      </c>
      <c r="D44" s="196"/>
      <c r="E44" s="197" t="s">
        <v>70</v>
      </c>
      <c r="F44" s="214" t="s">
        <v>858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3" t="str">
        <f>B44</f>
        <v>RowDel</v>
      </c>
      <c r="D45" s="196"/>
      <c r="E45" s="197" t="s">
        <v>70</v>
      </c>
      <c r="F45" s="200" t="s">
        <v>859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857</v>
      </c>
      <c r="C46" s="657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807</v>
      </c>
      <c r="J46" s="546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629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48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780</v>
      </c>
      <c r="C48" s="657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76" t="s">
        <v>590</v>
      </c>
      <c r="F50" s="189" t="s">
        <v>643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854</v>
      </c>
      <c r="C51" s="302" t="s">
        <v>604</v>
      </c>
      <c r="D51" s="196"/>
      <c r="E51" s="197" t="s">
        <v>70</v>
      </c>
      <c r="F51" s="214" t="s">
        <v>855</v>
      </c>
      <c r="G51" s="221"/>
      <c r="H51" s="198"/>
      <c r="I51" s="198"/>
      <c r="J51" s="199"/>
      <c r="K51" s="548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3" t="str">
        <f>B51</f>
        <v>RowDel</v>
      </c>
      <c r="D52" s="196"/>
      <c r="E52" s="197" t="s">
        <v>70</v>
      </c>
      <c r="F52" s="200" t="s">
        <v>856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629</v>
      </c>
      <c r="C53" s="236"/>
      <c r="D53" s="196"/>
      <c r="E53" s="197" t="s">
        <v>201</v>
      </c>
      <c r="F53" s="214" t="s">
        <v>70</v>
      </c>
      <c r="G53" s="221" t="s">
        <v>982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780</v>
      </c>
      <c r="C54" s="657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698"/>
      <c r="B56" s="699" t="s">
        <v>624</v>
      </c>
      <c r="C56" s="700"/>
      <c r="D56" s="309"/>
      <c r="E56" s="310" t="s">
        <v>201</v>
      </c>
      <c r="F56" s="311" t="s">
        <v>646</v>
      </c>
      <c r="G56" s="309"/>
      <c r="H56" s="309"/>
      <c r="I56" s="309"/>
      <c r="J56" s="312"/>
      <c r="K56" s="471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629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663</v>
      </c>
      <c r="C58" s="235" t="s">
        <v>664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631</v>
      </c>
      <c r="C59" s="239" t="s">
        <v>630</v>
      </c>
      <c r="D59" s="5"/>
      <c r="E59" s="218"/>
      <c r="F59" s="200" t="s">
        <v>632</v>
      </c>
      <c r="G59" s="201" t="s">
        <v>633</v>
      </c>
      <c r="H59" s="215" t="s">
        <v>634</v>
      </c>
      <c r="I59" s="215" t="s">
        <v>635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76" t="s">
        <v>201</v>
      </c>
      <c r="F61" s="213" t="s">
        <v>803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629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678</v>
      </c>
      <c r="C63" s="266"/>
      <c r="D63" s="212"/>
      <c r="E63" s="197" t="s">
        <v>70</v>
      </c>
      <c r="F63" s="267" t="s">
        <v>804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805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631</v>
      </c>
      <c r="C65" s="461" t="str">
        <f>B64</f>
        <v>NewPaidOpp</v>
      </c>
      <c r="D65" s="196"/>
      <c r="E65" s="197" t="s">
        <v>201</v>
      </c>
      <c r="F65" s="267" t="s">
        <v>804</v>
      </c>
      <c r="G65" s="201" t="s">
        <v>802</v>
      </c>
      <c r="H65" s="215" t="s">
        <v>809</v>
      </c>
      <c r="I65" s="215" t="s">
        <v>810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624</v>
      </c>
      <c r="C67" s="238"/>
      <c r="D67" s="212"/>
      <c r="E67" s="476" t="s">
        <v>590</v>
      </c>
      <c r="F67" s="213" t="s">
        <v>1071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8"/>
    </row>
    <row r="68" spans="1:16" s="173" customFormat="1" ht="15.75" thickTop="1" x14ac:dyDescent="0.25">
      <c r="A68" s="195">
        <v>41346.357534722221</v>
      </c>
      <c r="B68" s="196" t="s">
        <v>780</v>
      </c>
      <c r="C68" s="790" t="str">
        <f>F6&amp;"/"&amp;B10</f>
        <v>LOAD_1C_P/PaymentPaint</v>
      </c>
      <c r="D68" s="196"/>
      <c r="E68" s="197" t="s">
        <v>201</v>
      </c>
      <c r="F68" s="770" t="s">
        <v>1072</v>
      </c>
      <c r="G68" s="771" t="str">
        <f>K68</f>
        <v>Платежи</v>
      </c>
      <c r="H68" s="772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8"/>
    </row>
    <row r="69" spans="1:16" s="173" customFormat="1" x14ac:dyDescent="0.25">
      <c r="A69" s="195">
        <v>41346.357534722221</v>
      </c>
      <c r="B69" s="202" t="s">
        <v>631</v>
      </c>
      <c r="C69" s="461" t="str">
        <f>B68</f>
        <v>Adapt</v>
      </c>
      <c r="D69" s="196"/>
      <c r="E69" s="197" t="s">
        <v>201</v>
      </c>
      <c r="F69" s="267" t="s">
        <v>804</v>
      </c>
      <c r="G69" s="201" t="s">
        <v>802</v>
      </c>
      <c r="H69" s="215" t="s">
        <v>809</v>
      </c>
      <c r="I69" s="215" t="s">
        <v>810</v>
      </c>
      <c r="J69" s="199"/>
      <c r="K69" s="267" t="str">
        <f>F69</f>
        <v>NewPayment</v>
      </c>
      <c r="M69" s="198"/>
      <c r="N69" s="201"/>
      <c r="O69" s="199"/>
      <c r="P69" s="768"/>
    </row>
    <row r="70" spans="1:16" s="187" customFormat="1" ht="15.75" thickBot="1" x14ac:dyDescent="0.3">
      <c r="A70" s="204"/>
      <c r="B70" s="205" t="s">
        <v>625</v>
      </c>
      <c r="C70" s="791">
        <v>8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9"/>
    </row>
    <row r="71" spans="1:16" s="173" customFormat="1" ht="16.5" thickTop="1" thickBot="1" x14ac:dyDescent="0.3">
      <c r="A71" s="195"/>
      <c r="B71" s="196" t="s">
        <v>624</v>
      </c>
      <c r="C71" s="238"/>
      <c r="D71" s="212"/>
      <c r="E71" s="476" t="s">
        <v>201</v>
      </c>
      <c r="F71" s="213" t="s">
        <v>806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41346.380914351852</v>
      </c>
      <c r="B72" s="196" t="s">
        <v>997</v>
      </c>
      <c r="C72" s="790" t="str">
        <f>F6&amp;"/"&amp;B10</f>
        <v>LOAD_1C_P/PaymentPaint</v>
      </c>
      <c r="D72" s="196"/>
      <c r="E72" s="197" t="s">
        <v>201</v>
      </c>
      <c r="F72" s="267" t="s">
        <v>804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41346.380925925929</v>
      </c>
      <c r="B73" s="202" t="s">
        <v>631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802</v>
      </c>
      <c r="H73" s="215" t="s">
        <v>809</v>
      </c>
      <c r="I73" s="215" t="s">
        <v>810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625</v>
      </c>
      <c r="C74" s="791">
        <v>8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624</v>
      </c>
      <c r="C75" s="238"/>
      <c r="D75" s="212"/>
      <c r="E75" s="476" t="s">
        <v>201</v>
      </c>
      <c r="F75" s="475" t="s">
        <v>669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41346.356944444444</v>
      </c>
      <c r="B76" s="196" t="s">
        <v>668</v>
      </c>
      <c r="C76" s="790" t="str">
        <f>F13&amp;"/"&amp;B14</f>
        <v>LOAD_1C_DOG/InsMyCol</v>
      </c>
      <c r="D76" s="196"/>
      <c r="E76" s="197" t="s">
        <v>201</v>
      </c>
      <c r="F76" s="267" t="s">
        <v>679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41346.356944444444</v>
      </c>
      <c r="B77" s="202" t="s">
        <v>631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802</v>
      </c>
      <c r="H77" s="215" t="s">
        <v>670</v>
      </c>
      <c r="I77" s="215" t="s">
        <v>671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625</v>
      </c>
      <c r="C78" s="791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624</v>
      </c>
      <c r="C79" s="238"/>
      <c r="D79" s="212"/>
      <c r="E79" s="476" t="s">
        <v>201</v>
      </c>
      <c r="F79" s="475" t="s">
        <v>1032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7"/>
    </row>
    <row r="80" spans="1:16" s="173" customFormat="1" ht="30.75" thickTop="1" x14ac:dyDescent="0.25">
      <c r="A80" s="195">
        <v>41344.979027777779</v>
      </c>
      <c r="B80" s="196" t="s">
        <v>780</v>
      </c>
      <c r="C80" s="792" t="str">
        <f>F75&amp;"/"&amp;B77</f>
        <v>HANDL_NewContract/WrCSV</v>
      </c>
      <c r="D80" s="196"/>
      <c r="E80" s="197" t="s">
        <v>201</v>
      </c>
      <c r="F80" s="739" t="s">
        <v>1037</v>
      </c>
      <c r="G80" s="461" t="str">
        <f>TOCmatch!B8</f>
        <v>Платежи</v>
      </c>
      <c r="H80" s="753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7"/>
    </row>
    <row r="81" spans="1:16" s="173" customFormat="1" x14ac:dyDescent="0.25">
      <c r="A81" s="195">
        <v>41344.938113425924</v>
      </c>
      <c r="B81" s="202" t="s">
        <v>631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802</v>
      </c>
      <c r="H81" s="215" t="s">
        <v>883</v>
      </c>
      <c r="I81" s="215" t="s">
        <v>961</v>
      </c>
      <c r="J81" s="199"/>
      <c r="K81" s="267" t="str">
        <f>F81</f>
        <v>NewOpp</v>
      </c>
      <c r="M81" s="198"/>
      <c r="N81" s="201"/>
      <c r="O81" s="199"/>
      <c r="P81" s="737"/>
    </row>
    <row r="82" spans="1:16" s="187" customFormat="1" x14ac:dyDescent="0.25">
      <c r="A82" s="204"/>
      <c r="B82" s="205" t="s">
        <v>625</v>
      </c>
      <c r="C82" s="791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8"/>
    </row>
    <row r="83" spans="1:16" s="173" customFormat="1" x14ac:dyDescent="0.25">
      <c r="A83" s="759"/>
      <c r="B83" s="760" t="s">
        <v>624</v>
      </c>
      <c r="C83" s="761"/>
      <c r="D83" s="212"/>
      <c r="E83" s="197" t="s">
        <v>201</v>
      </c>
      <c r="F83" s="213" t="s">
        <v>665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666</v>
      </c>
      <c r="C84" s="235" t="s">
        <v>668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631</v>
      </c>
      <c r="C85" s="239" t="s">
        <v>666</v>
      </c>
      <c r="D85" s="5"/>
      <c r="E85" s="218"/>
      <c r="F85" s="200" t="s">
        <v>667</v>
      </c>
      <c r="G85" s="201" t="s">
        <v>633</v>
      </c>
      <c r="H85" s="215" t="s">
        <v>634</v>
      </c>
      <c r="I85" s="215" t="s">
        <v>635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3"/>
      <c r="B86" s="240" t="s">
        <v>625</v>
      </c>
      <c r="C86" s="703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624</v>
      </c>
      <c r="C87" s="238"/>
      <c r="D87" s="212"/>
      <c r="E87" s="197" t="s">
        <v>201</v>
      </c>
      <c r="F87" s="213" t="s">
        <v>1000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1001</v>
      </c>
      <c r="C88" s="160" t="str">
        <f>F20&amp;"/"&amp;B22</f>
        <v>LOAD_1C_ACC/InsMyCol</v>
      </c>
      <c r="D88" s="5"/>
      <c r="E88" s="218" t="s">
        <v>201</v>
      </c>
      <c r="F88" s="200" t="s">
        <v>999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625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4" customFormat="1" ht="16.5" thickTop="1" thickBot="1" x14ac:dyDescent="0.3">
      <c r="A90" s="765">
        <v>41201.045671296299</v>
      </c>
      <c r="B90" s="766" t="s">
        <v>624</v>
      </c>
      <c r="C90" s="767"/>
      <c r="D90" s="508"/>
      <c r="E90" s="509" t="s">
        <v>201</v>
      </c>
      <c r="F90" s="510" t="s">
        <v>831</v>
      </c>
      <c r="G90" s="508"/>
      <c r="H90" s="508"/>
      <c r="I90" s="508"/>
      <c r="J90" s="511"/>
      <c r="K90" s="512" t="str">
        <f>K6</f>
        <v>Платежи</v>
      </c>
      <c r="L90" s="513"/>
      <c r="M90" s="508"/>
      <c r="N90" s="513"/>
      <c r="O90" s="511"/>
    </row>
    <row r="91" spans="1:16" s="173" customFormat="1" ht="16.5" thickTop="1" thickBot="1" x14ac:dyDescent="0.3">
      <c r="A91" s="264">
        <v>41289.96565972222</v>
      </c>
      <c r="B91" s="458" t="s">
        <v>834</v>
      </c>
      <c r="C91" s="459"/>
      <c r="D91" s="196"/>
      <c r="E91" s="450" t="s">
        <v>70</v>
      </c>
      <c r="F91" s="200" t="str">
        <f>F75</f>
        <v>HANDL_NewContract</v>
      </c>
      <c r="G91" s="688" t="str">
        <f>F90</f>
        <v>WP_PaidOpp</v>
      </c>
      <c r="H91" s="688" t="str">
        <f>B97</f>
        <v>WP_Paid</v>
      </c>
      <c r="I91" s="689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833</v>
      </c>
      <c r="C92" s="575" t="str">
        <f>B91</f>
        <v>ProcReset</v>
      </c>
      <c r="D92" s="196"/>
      <c r="E92" s="197" t="s">
        <v>70</v>
      </c>
      <c r="F92" s="515">
        <f>C78</f>
        <v>0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58" t="s">
        <v>834</v>
      </c>
      <c r="C93" s="459"/>
      <c r="D93" s="196"/>
      <c r="E93" s="450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833</v>
      </c>
      <c r="C94" s="461" t="str">
        <f>B92</f>
        <v>CheckProc0</v>
      </c>
      <c r="D94" s="196"/>
      <c r="E94" s="197" t="s">
        <v>201</v>
      </c>
      <c r="F94" s="702">
        <f>C74</f>
        <v>8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678</v>
      </c>
      <c r="C95" s="238"/>
      <c r="D95" s="212"/>
      <c r="E95" s="197" t="s">
        <v>201</v>
      </c>
      <c r="F95" s="267" t="s">
        <v>814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678</v>
      </c>
      <c r="C96" s="238"/>
      <c r="D96" s="212"/>
      <c r="E96" s="197" t="s">
        <v>201</v>
      </c>
      <c r="F96" s="267" t="s">
        <v>804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69"/>
      <c r="B97" s="670" t="s">
        <v>979</v>
      </c>
      <c r="C97" s="671" t="str">
        <f>B92</f>
        <v>CheckProc0</v>
      </c>
      <c r="D97" s="670"/>
      <c r="E97" s="672" t="s">
        <v>201</v>
      </c>
      <c r="F97" s="673" t="s">
        <v>832</v>
      </c>
      <c r="G97" s="687" t="s">
        <v>201</v>
      </c>
      <c r="H97" s="675"/>
      <c r="I97" s="675"/>
      <c r="J97" s="676"/>
      <c r="K97" s="677" t="str">
        <f>K90</f>
        <v>Платежи</v>
      </c>
      <c r="L97" s="678" t="str">
        <f>TOCmatch!B17</f>
        <v>SFacc</v>
      </c>
      <c r="M97" s="678" t="str">
        <f>TOCmatch!B16</f>
        <v>SFopp</v>
      </c>
      <c r="N97" s="678" t="str">
        <f>TOCmatch!B15</f>
        <v>SFD</v>
      </c>
      <c r="O97" s="676"/>
    </row>
    <row r="98" spans="1:15" s="173" customFormat="1" ht="15.75" thickTop="1" x14ac:dyDescent="0.25">
      <c r="A98" s="195"/>
      <c r="B98" s="202" t="s">
        <v>631</v>
      </c>
      <c r="C98" s="461" t="str">
        <f>B97</f>
        <v>WP_Paid</v>
      </c>
      <c r="D98" s="196"/>
      <c r="E98" s="197" t="s">
        <v>201</v>
      </c>
      <c r="F98" s="267" t="s">
        <v>814</v>
      </c>
      <c r="G98" s="201" t="s">
        <v>802</v>
      </c>
      <c r="H98" s="215" t="s">
        <v>883</v>
      </c>
      <c r="I98" s="215" t="s">
        <v>961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631</v>
      </c>
      <c r="C99" s="461" t="str">
        <f>B97</f>
        <v>WP_Paid</v>
      </c>
      <c r="D99" s="196"/>
      <c r="E99" s="197" t="s">
        <v>201</v>
      </c>
      <c r="F99" s="267" t="s">
        <v>804</v>
      </c>
      <c r="G99" s="201" t="s">
        <v>802</v>
      </c>
      <c r="H99" s="215" t="s">
        <v>809</v>
      </c>
      <c r="I99" s="215" t="s">
        <v>810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0"/>
      <c r="B100" s="202" t="s">
        <v>625</v>
      </c>
      <c r="C100" s="721">
        <v>0</v>
      </c>
      <c r="D100" s="202"/>
      <c r="E100" s="203" t="s">
        <v>201</v>
      </c>
      <c r="F100" s="507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2" customFormat="1" ht="15.75" thickBot="1" x14ac:dyDescent="0.3">
      <c r="A101" s="718">
        <v>41201.045671296299</v>
      </c>
      <c r="B101" s="228" t="s">
        <v>624</v>
      </c>
      <c r="C101" s="719"/>
      <c r="D101" s="303"/>
      <c r="E101" s="679" t="s">
        <v>201</v>
      </c>
      <c r="F101" s="680" t="s">
        <v>974</v>
      </c>
      <c r="G101" s="303"/>
      <c r="H101" s="303"/>
      <c r="I101" s="303"/>
      <c r="J101" s="306"/>
      <c r="K101" s="681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678</v>
      </c>
      <c r="C102" s="266"/>
      <c r="D102" s="212"/>
      <c r="E102" s="197"/>
      <c r="F102" s="267" t="s">
        <v>929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977</v>
      </c>
      <c r="C103" s="461" t="str">
        <f>B102</f>
        <v>NewSheet</v>
      </c>
      <c r="D103" s="212"/>
      <c r="E103" s="197"/>
      <c r="F103" s="685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629</v>
      </c>
      <c r="C104" s="236"/>
      <c r="D104" s="196"/>
      <c r="E104" s="197" t="s">
        <v>201</v>
      </c>
      <c r="F104" s="214" t="s">
        <v>590</v>
      </c>
      <c r="G104" s="221" t="s">
        <v>982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69">
        <v>41218.824293981481</v>
      </c>
      <c r="B105" s="670" t="s">
        <v>979</v>
      </c>
      <c r="C105" s="671" t="str">
        <f>B103</f>
        <v>SFaccDicBuild</v>
      </c>
      <c r="D105" s="670"/>
      <c r="E105" s="672" t="s">
        <v>201</v>
      </c>
      <c r="F105" s="673" t="s">
        <v>975</v>
      </c>
      <c r="G105" s="674"/>
      <c r="H105" s="675"/>
      <c r="I105" s="675"/>
      <c r="J105" s="676"/>
      <c r="K105" s="677" t="str">
        <f>K101</f>
        <v>Платежи</v>
      </c>
      <c r="L105" s="678">
        <f>TOCmatch!B27</f>
        <v>0</v>
      </c>
      <c r="M105" s="678">
        <f>TOCmatch!B26</f>
        <v>0</v>
      </c>
      <c r="N105" s="678">
        <f>TOCmatch!B25</f>
        <v>0</v>
      </c>
      <c r="O105" s="676"/>
    </row>
    <row r="106" spans="1:15" s="173" customFormat="1" ht="15.75" thickTop="1" x14ac:dyDescent="0.25">
      <c r="A106" s="195">
        <v>41218.824293981481</v>
      </c>
      <c r="B106" s="202" t="s">
        <v>631</v>
      </c>
      <c r="C106" s="461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802</v>
      </c>
      <c r="H106" s="215" t="s">
        <v>883</v>
      </c>
      <c r="I106" s="215" t="s">
        <v>961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625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624</v>
      </c>
      <c r="C108" s="238"/>
      <c r="D108" s="212"/>
      <c r="E108" s="197" t="s">
        <v>201</v>
      </c>
      <c r="F108" s="213" t="s">
        <v>647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629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636</v>
      </c>
      <c r="C110" s="235" t="s">
        <v>664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625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601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600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600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601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607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629</v>
      </c>
      <c r="C116" s="236"/>
      <c r="D116" s="196"/>
      <c r="E116" s="197" t="s">
        <v>201</v>
      </c>
      <c r="F116" s="214" t="s">
        <v>590</v>
      </c>
      <c r="G116" s="221" t="s">
        <v>982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652</v>
      </c>
      <c r="C118" s="235" t="s">
        <v>651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606</v>
      </c>
      <c r="C121" s="235" t="s">
        <v>604</v>
      </c>
      <c r="D121" s="196"/>
      <c r="E121" s="197" t="s">
        <v>201</v>
      </c>
      <c r="F121" s="425" t="s">
        <v>778</v>
      </c>
      <c r="G121" s="426" t="s">
        <v>779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857</v>
      </c>
      <c r="C124" s="657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807</v>
      </c>
      <c r="J124" s="546"/>
      <c r="K124" s="548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39" workbookViewId="0">
      <selection activeCell="B50" sqref="B50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8" t="s">
        <v>1070</v>
      </c>
      <c r="B3" s="25" t="s">
        <v>84</v>
      </c>
      <c r="C3" s="21" t="s">
        <v>11</v>
      </c>
    </row>
    <row r="4" spans="1:7" x14ac:dyDescent="0.25">
      <c r="A4" s="758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1023</v>
      </c>
      <c r="B16" s="69" t="s">
        <v>1022</v>
      </c>
      <c r="C16" s="727" t="s">
        <v>1024</v>
      </c>
      <c r="D16" s="27" t="s">
        <v>1025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1027</v>
      </c>
      <c r="B27" s="69" t="s">
        <v>1026</v>
      </c>
      <c r="C27" s="727" t="s">
        <v>1024</v>
      </c>
      <c r="D27" s="27" t="s">
        <v>1025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00" t="s">
        <v>354</v>
      </c>
      <c r="I41" s="801"/>
      <c r="J41" s="801"/>
      <c r="K41" s="794"/>
      <c r="L41" s="27"/>
    </row>
    <row r="42" spans="1:17" ht="15.75" x14ac:dyDescent="0.25">
      <c r="A42" s="27" t="s">
        <v>1038</v>
      </c>
      <c r="H42" s="730"/>
      <c r="I42" s="731"/>
      <c r="J42" s="731"/>
      <c r="K42" s="729"/>
      <c r="L42" s="27"/>
      <c r="M42" s="802" t="s">
        <v>354</v>
      </c>
      <c r="N42" s="803"/>
      <c r="O42" s="803"/>
      <c r="P42" s="803"/>
      <c r="Q42" s="804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953</v>
      </c>
      <c r="K43" s="650" t="s">
        <v>952</v>
      </c>
      <c r="M43" s="744" t="s">
        <v>1042</v>
      </c>
      <c r="N43" s="742" t="s">
        <v>350</v>
      </c>
      <c r="O43" s="742" t="s">
        <v>1041</v>
      </c>
      <c r="P43" s="742" t="s">
        <v>953</v>
      </c>
      <c r="Q43" s="743" t="s">
        <v>952</v>
      </c>
    </row>
    <row r="44" spans="1:17" ht="15.75" x14ac:dyDescent="0.3">
      <c r="A44" s="27" t="s">
        <v>137</v>
      </c>
      <c r="B44" s="71" t="s">
        <v>1010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1040</v>
      </c>
      <c r="N44" s="27" t="s">
        <v>349</v>
      </c>
      <c r="O44" s="27" t="s">
        <v>1041</v>
      </c>
      <c r="P44" s="27" t="s">
        <v>1065</v>
      </c>
    </row>
    <row r="45" spans="1:17" ht="45" x14ac:dyDescent="0.3">
      <c r="A45" s="27" t="s">
        <v>106</v>
      </c>
      <c r="B45" s="71" t="s">
        <v>1009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5" t="s">
        <v>1048</v>
      </c>
      <c r="N45" s="755" t="s">
        <v>1063</v>
      </c>
      <c r="O45" s="755"/>
      <c r="P45" s="755" t="s">
        <v>1064</v>
      </c>
    </row>
    <row r="46" spans="1:17" ht="15.75" x14ac:dyDescent="0.3">
      <c r="A46" s="27" t="s">
        <v>18</v>
      </c>
      <c r="B46" s="71" t="s">
        <v>1018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6"/>
      <c r="N46" s="755" t="s">
        <v>1052</v>
      </c>
      <c r="O46" s="756"/>
      <c r="P46" s="756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6"/>
      <c r="N47" s="756"/>
      <c r="O47" s="756"/>
      <c r="P47" s="755" t="s">
        <v>1062</v>
      </c>
    </row>
    <row r="48" spans="1:17" ht="15.75" x14ac:dyDescent="0.3">
      <c r="A48" s="27" t="s">
        <v>144</v>
      </c>
      <c r="B48" s="71" t="s">
        <v>1029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1021</v>
      </c>
      <c r="H48" s="27" t="s">
        <v>350</v>
      </c>
      <c r="I48" s="27" t="s">
        <v>351</v>
      </c>
      <c r="J48" s="27"/>
      <c r="M48" s="756" t="str">
        <f>N46</f>
        <v>$.*</v>
      </c>
      <c r="N48" s="756"/>
      <c r="O48" s="756"/>
      <c r="P48" s="756"/>
    </row>
    <row r="49" spans="1:17" ht="15.75" x14ac:dyDescent="0.3">
      <c r="A49" s="27" t="s">
        <v>224</v>
      </c>
      <c r="B49" s="71" t="s">
        <v>1068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955</v>
      </c>
      <c r="M49" s="756"/>
      <c r="N49" s="756"/>
      <c r="O49" s="756"/>
      <c r="P49" s="755" t="str">
        <f>N46</f>
        <v>$.*</v>
      </c>
    </row>
    <row r="50" spans="1:17" x14ac:dyDescent="0.25">
      <c r="A50" s="27" t="s">
        <v>198</v>
      </c>
      <c r="B50" s="71" t="s">
        <v>1300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1021</v>
      </c>
      <c r="H50" s="27" t="s">
        <v>350</v>
      </c>
      <c r="I50" s="27" t="s">
        <v>351</v>
      </c>
      <c r="J50" s="27"/>
      <c r="M50" s="756" t="str">
        <f>N46</f>
        <v>$.*</v>
      </c>
      <c r="N50" s="756"/>
      <c r="O50" s="756"/>
      <c r="P50" s="756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1021</v>
      </c>
      <c r="H51" s="27" t="s">
        <v>350</v>
      </c>
      <c r="I51" s="27" t="s">
        <v>351</v>
      </c>
      <c r="J51" s="27"/>
      <c r="M51" s="756" t="str">
        <f>M50</f>
        <v>$.*</v>
      </c>
      <c r="N51" s="756"/>
      <c r="O51" s="756"/>
      <c r="P51" s="756"/>
    </row>
    <row r="52" spans="1:17" ht="180" x14ac:dyDescent="0.3">
      <c r="A52" s="27" t="s">
        <v>225</v>
      </c>
      <c r="B52" s="728" t="s">
        <v>1075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956</v>
      </c>
      <c r="M52" s="755" t="s">
        <v>1043</v>
      </c>
      <c r="N52" s="756"/>
      <c r="O52" s="756"/>
      <c r="P52" s="755" t="s">
        <v>1046</v>
      </c>
    </row>
    <row r="53" spans="1:17" ht="15.75" x14ac:dyDescent="0.3">
      <c r="A53" s="27" t="s">
        <v>953</v>
      </c>
      <c r="B53" s="71" t="s">
        <v>1069</v>
      </c>
      <c r="C53" s="50" t="s">
        <v>1016</v>
      </c>
      <c r="D53" s="49"/>
      <c r="E53" s="48"/>
      <c r="F53" s="44"/>
      <c r="G53" s="56"/>
      <c r="H53" s="27"/>
      <c r="I53" s="27"/>
      <c r="J53" s="27"/>
      <c r="K53" s="27" t="s">
        <v>955</v>
      </c>
      <c r="M53" s="756"/>
      <c r="N53" s="756"/>
      <c r="O53" s="756"/>
      <c r="P53" s="756" t="str">
        <f>P49</f>
        <v>$.*</v>
      </c>
    </row>
    <row r="54" spans="1:17" ht="15.75" x14ac:dyDescent="0.3">
      <c r="A54" s="27" t="s">
        <v>203</v>
      </c>
      <c r="B54" s="71" t="s">
        <v>1059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7" t="str">
        <f>N46</f>
        <v>$.*</v>
      </c>
      <c r="N54" s="755" t="s">
        <v>711</v>
      </c>
      <c r="O54" s="756"/>
      <c r="P54" s="756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1021</v>
      </c>
      <c r="H55" s="27" t="s">
        <v>350</v>
      </c>
      <c r="I55" s="27" t="s">
        <v>351</v>
      </c>
      <c r="J55" s="27"/>
      <c r="M55" s="756" t="str">
        <f>M54</f>
        <v>$.*</v>
      </c>
      <c r="N55" s="756"/>
      <c r="O55" s="756"/>
      <c r="P55" s="756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1021</v>
      </c>
      <c r="H56" s="27" t="s">
        <v>350</v>
      </c>
      <c r="I56" s="27" t="s">
        <v>351</v>
      </c>
      <c r="J56" s="27"/>
      <c r="M56" s="755" t="s">
        <v>1067</v>
      </c>
      <c r="N56" s="755" t="s">
        <v>1066</v>
      </c>
      <c r="O56" s="756"/>
      <c r="P56" s="756"/>
    </row>
    <row r="57" spans="1:17" x14ac:dyDescent="0.25">
      <c r="A57" s="55" t="s">
        <v>247</v>
      </c>
      <c r="B57" s="71" t="s">
        <v>1017</v>
      </c>
      <c r="C57" s="50"/>
      <c r="D57" s="28"/>
      <c r="E57" s="48"/>
      <c r="F57" s="44"/>
      <c r="M57" s="755" t="s">
        <v>1055</v>
      </c>
      <c r="N57" s="755" t="s">
        <v>1055</v>
      </c>
      <c r="O57" s="756"/>
      <c r="P57" s="755" t="s">
        <v>1055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6"/>
      <c r="N58" s="756"/>
      <c r="O58" s="756"/>
      <c r="P58" s="756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6"/>
      <c r="N59" s="756"/>
      <c r="O59" s="756"/>
      <c r="P59" s="756"/>
    </row>
    <row r="60" spans="1:17" x14ac:dyDescent="0.25">
      <c r="C60" s="50"/>
      <c r="D60" s="50" t="s">
        <v>1013</v>
      </c>
      <c r="E60" s="48"/>
      <c r="F60" s="44"/>
      <c r="M60" s="756"/>
      <c r="N60" s="756"/>
      <c r="O60" s="756"/>
      <c r="P60" s="756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6"/>
      <c r="N61" s="756"/>
      <c r="O61" s="756"/>
      <c r="P61" s="756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6"/>
      <c r="N62" s="756"/>
      <c r="O62" s="756"/>
      <c r="P62" s="756"/>
    </row>
    <row r="63" spans="1:17" x14ac:dyDescent="0.25">
      <c r="A63" s="27" t="s">
        <v>957</v>
      </c>
      <c r="C63" s="28"/>
      <c r="D63" s="50"/>
      <c r="F63" s="44"/>
      <c r="Q63" s="27" t="s">
        <v>1054</v>
      </c>
    </row>
    <row r="64" spans="1:17" x14ac:dyDescent="0.25">
      <c r="A64" s="27" t="s">
        <v>955</v>
      </c>
      <c r="B64" s="68" t="s">
        <v>958</v>
      </c>
      <c r="C64" s="28"/>
      <c r="D64" s="50"/>
      <c r="F64" s="44"/>
      <c r="Q64" s="747" t="s">
        <v>351</v>
      </c>
    </row>
    <row r="65" spans="1:17" x14ac:dyDescent="0.25">
      <c r="A65" s="27" t="s">
        <v>350</v>
      </c>
      <c r="B65" s="68" t="s">
        <v>959</v>
      </c>
      <c r="C65" s="28"/>
      <c r="D65" s="50"/>
      <c r="F65" s="44"/>
      <c r="Q65" s="747" t="s">
        <v>350</v>
      </c>
    </row>
    <row r="66" spans="1:17" x14ac:dyDescent="0.25">
      <c r="A66" s="27"/>
      <c r="B66" s="68"/>
      <c r="C66" s="28"/>
      <c r="D66" s="50"/>
      <c r="F66" s="44"/>
      <c r="Q66" s="747" t="s">
        <v>953</v>
      </c>
    </row>
    <row r="67" spans="1:17" x14ac:dyDescent="0.25">
      <c r="A67" s="27"/>
      <c r="B67" s="28"/>
      <c r="C67" s="28"/>
      <c r="D67" s="50"/>
      <c r="F67" s="44"/>
      <c r="Q67" s="747" t="s">
        <v>203</v>
      </c>
    </row>
    <row r="68" spans="1:17" x14ac:dyDescent="0.25">
      <c r="A68" s="27"/>
      <c r="B68" s="28"/>
      <c r="C68" s="28"/>
      <c r="D68" s="50"/>
      <c r="F68" s="44"/>
      <c r="Q68" s="747" t="s">
        <v>956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34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41346</v>
      </c>
      <c r="C1" s="58" t="s">
        <v>215</v>
      </c>
      <c r="D1" s="40">
        <v>634</v>
      </c>
    </row>
    <row r="2" spans="1:4" x14ac:dyDescent="0.25">
      <c r="A2" s="36">
        <v>41346</v>
      </c>
      <c r="B2" s="122">
        <v>0.32648148148148148</v>
      </c>
      <c r="C2" s="26" t="s">
        <v>1084</v>
      </c>
    </row>
    <row r="3" spans="1:4" x14ac:dyDescent="0.25">
      <c r="A3" s="36">
        <v>41346</v>
      </c>
      <c r="B3" s="122">
        <v>0.32785879629629627</v>
      </c>
      <c r="C3" s="26" t="s">
        <v>1085</v>
      </c>
    </row>
    <row r="4" spans="1:4" x14ac:dyDescent="0.25">
      <c r="A4" s="36">
        <v>41346</v>
      </c>
      <c r="B4" s="122">
        <v>0.32785879629629627</v>
      </c>
      <c r="C4" s="26" t="s">
        <v>1086</v>
      </c>
    </row>
    <row r="5" spans="1:4" x14ac:dyDescent="0.25">
      <c r="A5" s="36">
        <v>41346</v>
      </c>
      <c r="B5" s="122">
        <v>0.32785879629629627</v>
      </c>
      <c r="C5" s="26" t="s">
        <v>1087</v>
      </c>
    </row>
    <row r="6" spans="1:4" x14ac:dyDescent="0.25">
      <c r="A6" s="36">
        <v>41346</v>
      </c>
      <c r="B6" s="122">
        <v>0.32785879629629627</v>
      </c>
      <c r="C6" s="26" t="s">
        <v>1088</v>
      </c>
    </row>
    <row r="7" spans="1:4" x14ac:dyDescent="0.25">
      <c r="A7" s="36">
        <v>41346</v>
      </c>
      <c r="B7" s="122">
        <v>0.32785879629629627</v>
      </c>
      <c r="C7" s="26" t="s">
        <v>1089</v>
      </c>
    </row>
    <row r="8" spans="1:4" x14ac:dyDescent="0.25">
      <c r="A8" s="36">
        <v>41346</v>
      </c>
      <c r="B8" s="122">
        <v>0.32785879629629627</v>
      </c>
      <c r="C8" s="26" t="s">
        <v>1087</v>
      </c>
    </row>
    <row r="9" spans="1:4" x14ac:dyDescent="0.25">
      <c r="A9" s="36">
        <v>41346</v>
      </c>
      <c r="B9" s="122">
        <v>0.32785879629629627</v>
      </c>
      <c r="C9" s="26" t="s">
        <v>1090</v>
      </c>
    </row>
    <row r="10" spans="1:4" x14ac:dyDescent="0.25">
      <c r="A10" s="36">
        <v>41346</v>
      </c>
      <c r="B10" s="122">
        <v>0.32787037037037037</v>
      </c>
      <c r="C10" s="26" t="s">
        <v>1090</v>
      </c>
    </row>
    <row r="11" spans="1:4" x14ac:dyDescent="0.25">
      <c r="A11" s="36">
        <v>41346</v>
      </c>
      <c r="B11" s="122">
        <v>0.32787037037037037</v>
      </c>
      <c r="C11" s="26" t="s">
        <v>1091</v>
      </c>
    </row>
    <row r="12" spans="1:4" x14ac:dyDescent="0.25">
      <c r="A12" s="36">
        <v>41346</v>
      </c>
      <c r="B12" s="122">
        <v>0.32787037037037037</v>
      </c>
      <c r="C12" s="26" t="s">
        <v>1092</v>
      </c>
    </row>
    <row r="13" spans="1:4" x14ac:dyDescent="0.25">
      <c r="A13" s="36">
        <v>41346</v>
      </c>
      <c r="B13" s="122">
        <v>0.32787037037037037</v>
      </c>
      <c r="C13" s="26" t="s">
        <v>1093</v>
      </c>
    </row>
    <row r="14" spans="1:4" x14ac:dyDescent="0.25">
      <c r="A14" s="36">
        <v>41346</v>
      </c>
      <c r="B14" s="122">
        <v>0.32787037037037037</v>
      </c>
      <c r="C14" s="26" t="s">
        <v>1094</v>
      </c>
    </row>
    <row r="15" spans="1:4" x14ac:dyDescent="0.25">
      <c r="A15" s="36">
        <v>41346</v>
      </c>
      <c r="B15" s="122">
        <v>0.32787037037037037</v>
      </c>
      <c r="C15" s="26" t="s">
        <v>1095</v>
      </c>
    </row>
    <row r="16" spans="1:4" x14ac:dyDescent="0.25">
      <c r="A16" s="36">
        <v>41346</v>
      </c>
      <c r="B16" s="122">
        <v>0.32787037037037037</v>
      </c>
      <c r="C16" s="26" t="s">
        <v>1087</v>
      </c>
    </row>
    <row r="17" spans="1:3" x14ac:dyDescent="0.25">
      <c r="A17" s="36">
        <v>41346</v>
      </c>
      <c r="B17" s="122">
        <v>0.32787037037037037</v>
      </c>
      <c r="C17" s="26" t="s">
        <v>1085</v>
      </c>
    </row>
    <row r="18" spans="1:3" x14ac:dyDescent="0.25">
      <c r="A18" s="36">
        <v>41346</v>
      </c>
      <c r="B18" s="122">
        <v>0.32787037037037037</v>
      </c>
      <c r="C18" s="26" t="s">
        <v>1085</v>
      </c>
    </row>
    <row r="19" spans="1:3" x14ac:dyDescent="0.25">
      <c r="A19" s="36">
        <v>41346</v>
      </c>
      <c r="B19" s="122">
        <v>0.32787037037037037</v>
      </c>
      <c r="C19" s="26" t="s">
        <v>1096</v>
      </c>
    </row>
    <row r="20" spans="1:3" x14ac:dyDescent="0.25">
      <c r="A20" s="36">
        <v>41346</v>
      </c>
      <c r="B20" s="122">
        <v>0.32787037037037037</v>
      </c>
      <c r="C20" s="26" t="s">
        <v>1278</v>
      </c>
    </row>
    <row r="21" spans="1:3" x14ac:dyDescent="0.25">
      <c r="A21" s="36">
        <v>41346</v>
      </c>
      <c r="B21" s="122">
        <v>0.32787037037037037</v>
      </c>
      <c r="C21" s="26" t="s">
        <v>1301</v>
      </c>
    </row>
    <row r="22" spans="1:3" x14ac:dyDescent="0.25">
      <c r="A22" s="36">
        <v>41346</v>
      </c>
      <c r="B22" s="122">
        <v>0.32990740740740737</v>
      </c>
      <c r="C22" s="26" t="s">
        <v>1302</v>
      </c>
    </row>
    <row r="23" spans="1:3" ht="30" x14ac:dyDescent="0.25">
      <c r="A23" s="36">
        <v>41346</v>
      </c>
      <c r="B23" s="122">
        <v>0.32997685185185183</v>
      </c>
      <c r="C23" s="789" t="s">
        <v>1303</v>
      </c>
    </row>
    <row r="24" spans="1:3" ht="45" x14ac:dyDescent="0.25">
      <c r="A24" s="36">
        <v>41346</v>
      </c>
      <c r="B24" s="122">
        <v>0.33004629629629628</v>
      </c>
      <c r="C24" s="789" t="s">
        <v>1304</v>
      </c>
    </row>
    <row r="25" spans="1:3" x14ac:dyDescent="0.25">
      <c r="A25" s="36">
        <v>41346</v>
      </c>
      <c r="B25" s="122">
        <v>0.33633101851851849</v>
      </c>
      <c r="C25" s="26" t="s">
        <v>1261</v>
      </c>
    </row>
    <row r="26" spans="1:3" x14ac:dyDescent="0.25">
      <c r="A26" s="36">
        <v>41346</v>
      </c>
      <c r="B26" s="122">
        <v>0.33633101851851849</v>
      </c>
      <c r="C26" s="26" t="s">
        <v>1217</v>
      </c>
    </row>
    <row r="27" spans="1:3" x14ac:dyDescent="0.25">
      <c r="A27" s="36">
        <v>41346</v>
      </c>
      <c r="B27" s="122">
        <v>0.33633101851851849</v>
      </c>
      <c r="C27" s="26" t="s">
        <v>1171</v>
      </c>
    </row>
    <row r="28" spans="1:3" x14ac:dyDescent="0.25">
      <c r="A28" s="36">
        <v>41346</v>
      </c>
      <c r="B28" s="122">
        <v>0.33633101851851849</v>
      </c>
      <c r="C28" s="26" t="s">
        <v>1186</v>
      </c>
    </row>
    <row r="29" spans="1:3" x14ac:dyDescent="0.25">
      <c r="A29" s="36">
        <v>41346</v>
      </c>
      <c r="B29" s="122">
        <v>0.33633101851851849</v>
      </c>
      <c r="C29" s="26" t="s">
        <v>1242</v>
      </c>
    </row>
    <row r="30" spans="1:3" x14ac:dyDescent="0.25">
      <c r="A30" s="36">
        <v>41346</v>
      </c>
      <c r="B30" s="122">
        <v>0.33633101851851849</v>
      </c>
      <c r="C30" s="26" t="s">
        <v>1222</v>
      </c>
    </row>
    <row r="31" spans="1:3" x14ac:dyDescent="0.25">
      <c r="A31" s="36">
        <v>41346</v>
      </c>
      <c r="B31" s="122">
        <v>0.33633101851851849</v>
      </c>
      <c r="C31" s="26" t="s">
        <v>1184</v>
      </c>
    </row>
    <row r="32" spans="1:3" x14ac:dyDescent="0.25">
      <c r="A32" s="36">
        <v>41346</v>
      </c>
      <c r="B32" s="122">
        <v>0.33633101851851849</v>
      </c>
      <c r="C32" s="26" t="s">
        <v>1264</v>
      </c>
    </row>
    <row r="33" spans="1:3" x14ac:dyDescent="0.25">
      <c r="A33" s="36">
        <v>41346</v>
      </c>
      <c r="B33" s="122">
        <v>0.33633101851851849</v>
      </c>
      <c r="C33" s="26" t="s">
        <v>1213</v>
      </c>
    </row>
    <row r="34" spans="1:3" x14ac:dyDescent="0.25">
      <c r="A34" s="36">
        <v>41346</v>
      </c>
      <c r="B34" s="122">
        <v>0.33633101851851849</v>
      </c>
      <c r="C34" s="26" t="s">
        <v>1230</v>
      </c>
    </row>
    <row r="35" spans="1:3" x14ac:dyDescent="0.25">
      <c r="A35" s="36">
        <v>41346</v>
      </c>
      <c r="B35" s="122">
        <v>0.33633101851851849</v>
      </c>
      <c r="C35" s="26" t="s">
        <v>1178</v>
      </c>
    </row>
    <row r="36" spans="1:3" x14ac:dyDescent="0.25">
      <c r="A36" s="36">
        <v>41346</v>
      </c>
      <c r="B36" s="122">
        <v>0.33633101851851849</v>
      </c>
      <c r="C36" s="26" t="s">
        <v>1267</v>
      </c>
    </row>
    <row r="37" spans="1:3" x14ac:dyDescent="0.25">
      <c r="A37" s="36">
        <v>41346</v>
      </c>
      <c r="B37" s="122">
        <v>0.33633101851851849</v>
      </c>
      <c r="C37" s="26" t="s">
        <v>1236</v>
      </c>
    </row>
    <row r="38" spans="1:3" x14ac:dyDescent="0.25">
      <c r="A38" s="36">
        <v>41346</v>
      </c>
      <c r="B38" s="122">
        <v>0.33633101851851849</v>
      </c>
      <c r="C38" s="26" t="s">
        <v>1272</v>
      </c>
    </row>
    <row r="39" spans="1:3" x14ac:dyDescent="0.25">
      <c r="A39" s="36">
        <v>41346</v>
      </c>
      <c r="B39" s="122">
        <v>0.33633101851851849</v>
      </c>
      <c r="C39" s="26" t="s">
        <v>1263</v>
      </c>
    </row>
    <row r="40" spans="1:3" x14ac:dyDescent="0.25">
      <c r="A40" s="36">
        <v>41346</v>
      </c>
      <c r="B40" s="122">
        <v>0.33633101851851849</v>
      </c>
      <c r="C40" s="26" t="s">
        <v>1273</v>
      </c>
    </row>
    <row r="41" spans="1:3" x14ac:dyDescent="0.25">
      <c r="A41" s="36">
        <v>41346</v>
      </c>
      <c r="B41" s="122">
        <v>0.33633101851851849</v>
      </c>
      <c r="C41" s="26" t="s">
        <v>1201</v>
      </c>
    </row>
    <row r="42" spans="1:3" x14ac:dyDescent="0.25">
      <c r="A42" s="36">
        <v>41346</v>
      </c>
      <c r="B42" s="122">
        <v>0.33633101851851849</v>
      </c>
      <c r="C42" s="26" t="s">
        <v>1253</v>
      </c>
    </row>
    <row r="43" spans="1:3" x14ac:dyDescent="0.25">
      <c r="A43" s="36">
        <v>41346</v>
      </c>
      <c r="B43" s="122">
        <v>0.33633101851851849</v>
      </c>
      <c r="C43" s="26" t="s">
        <v>1242</v>
      </c>
    </row>
    <row r="44" spans="1:3" x14ac:dyDescent="0.25">
      <c r="A44" s="36">
        <v>41346</v>
      </c>
      <c r="B44" s="122">
        <v>0.33633101851851849</v>
      </c>
      <c r="C44" s="26" t="s">
        <v>1154</v>
      </c>
    </row>
    <row r="45" spans="1:3" x14ac:dyDescent="0.25">
      <c r="A45" s="36">
        <v>41346</v>
      </c>
      <c r="B45" s="122">
        <v>0.33633101851851849</v>
      </c>
      <c r="C45" s="26" t="s">
        <v>1223</v>
      </c>
    </row>
    <row r="46" spans="1:3" x14ac:dyDescent="0.25">
      <c r="A46" s="36">
        <v>41346</v>
      </c>
      <c r="B46" s="122">
        <v>0.33633101851851849</v>
      </c>
      <c r="C46" s="26" t="s">
        <v>1155</v>
      </c>
    </row>
    <row r="47" spans="1:3" x14ac:dyDescent="0.25">
      <c r="A47" s="36">
        <v>41346</v>
      </c>
      <c r="B47" s="122">
        <v>0.33633101851851849</v>
      </c>
      <c r="C47" s="26" t="s">
        <v>1195</v>
      </c>
    </row>
    <row r="48" spans="1:3" x14ac:dyDescent="0.25">
      <c r="A48" s="36">
        <v>41346</v>
      </c>
      <c r="B48" s="122">
        <v>0.33633101851851849</v>
      </c>
      <c r="C48" s="26" t="s">
        <v>1269</v>
      </c>
    </row>
    <row r="49" spans="1:3" x14ac:dyDescent="0.25">
      <c r="A49" s="36">
        <v>41346</v>
      </c>
      <c r="B49" s="122">
        <v>0.33633101851851849</v>
      </c>
      <c r="C49" s="26" t="s">
        <v>1241</v>
      </c>
    </row>
    <row r="50" spans="1:3" x14ac:dyDescent="0.25">
      <c r="A50" s="36">
        <v>41346</v>
      </c>
      <c r="B50" s="122">
        <v>0.33633101851851849</v>
      </c>
      <c r="C50" s="26" t="s">
        <v>1202</v>
      </c>
    </row>
    <row r="51" spans="1:3" x14ac:dyDescent="0.25">
      <c r="A51" s="36">
        <v>41346</v>
      </c>
      <c r="B51" s="122">
        <v>0.33633101851851849</v>
      </c>
      <c r="C51" s="26" t="s">
        <v>1199</v>
      </c>
    </row>
    <row r="52" spans="1:3" x14ac:dyDescent="0.25">
      <c r="A52" s="36">
        <v>41346</v>
      </c>
      <c r="B52" s="122">
        <v>0.33633101851851849</v>
      </c>
      <c r="C52" s="26" t="s">
        <v>1162</v>
      </c>
    </row>
    <row r="53" spans="1:3" x14ac:dyDescent="0.25">
      <c r="A53" s="36">
        <v>41346</v>
      </c>
      <c r="B53" s="122">
        <v>0.33633101851851849</v>
      </c>
      <c r="C53" s="26" t="s">
        <v>1233</v>
      </c>
    </row>
    <row r="54" spans="1:3" x14ac:dyDescent="0.25">
      <c r="A54" s="36">
        <v>41346</v>
      </c>
      <c r="B54" s="122">
        <v>0.33633101851851849</v>
      </c>
      <c r="C54" s="26" t="s">
        <v>1259</v>
      </c>
    </row>
    <row r="55" spans="1:3" x14ac:dyDescent="0.25">
      <c r="A55" s="36">
        <v>41346</v>
      </c>
      <c r="B55" s="122">
        <v>0.33633101851851849</v>
      </c>
      <c r="C55" s="26" t="s">
        <v>1260</v>
      </c>
    </row>
    <row r="56" spans="1:3" x14ac:dyDescent="0.25">
      <c r="A56" s="36">
        <v>41346</v>
      </c>
      <c r="B56" s="122">
        <v>0.33633101851851849</v>
      </c>
      <c r="C56" s="26" t="s">
        <v>1199</v>
      </c>
    </row>
    <row r="57" spans="1:3" x14ac:dyDescent="0.25">
      <c r="A57" s="36">
        <v>41346</v>
      </c>
      <c r="B57" s="122">
        <v>0.33633101851851849</v>
      </c>
      <c r="C57" s="26" t="s">
        <v>1264</v>
      </c>
    </row>
    <row r="58" spans="1:3" x14ac:dyDescent="0.25">
      <c r="A58" s="36">
        <v>41346</v>
      </c>
      <c r="B58" s="122">
        <v>0.33633101851851849</v>
      </c>
      <c r="C58" s="26" t="s">
        <v>1156</v>
      </c>
    </row>
    <row r="59" spans="1:3" x14ac:dyDescent="0.25">
      <c r="A59" s="36">
        <v>41346</v>
      </c>
      <c r="B59" s="122">
        <v>0.33633101851851849</v>
      </c>
      <c r="C59" s="26" t="s">
        <v>1204</v>
      </c>
    </row>
    <row r="60" spans="1:3" x14ac:dyDescent="0.25">
      <c r="A60" s="36">
        <v>41346</v>
      </c>
      <c r="B60" s="122">
        <v>0.33633101851851849</v>
      </c>
      <c r="C60" s="26" t="s">
        <v>1210</v>
      </c>
    </row>
    <row r="61" spans="1:3" x14ac:dyDescent="0.25">
      <c r="A61" s="36">
        <v>41346</v>
      </c>
      <c r="B61" s="122">
        <v>0.33633101851851849</v>
      </c>
      <c r="C61" s="26" t="s">
        <v>1168</v>
      </c>
    </row>
    <row r="62" spans="1:3" x14ac:dyDescent="0.25">
      <c r="A62" s="36">
        <v>41346</v>
      </c>
      <c r="B62" s="122">
        <v>0.33633101851851849</v>
      </c>
      <c r="C62" s="26" t="s">
        <v>1188</v>
      </c>
    </row>
    <row r="63" spans="1:3" x14ac:dyDescent="0.25">
      <c r="A63" s="36">
        <v>41346</v>
      </c>
      <c r="B63" s="122">
        <v>0.33633101851851849</v>
      </c>
      <c r="C63" s="26" t="s">
        <v>1196</v>
      </c>
    </row>
    <row r="64" spans="1:3" x14ac:dyDescent="0.25">
      <c r="A64" s="36">
        <v>41346</v>
      </c>
      <c r="B64" s="122">
        <v>0.33633101851851849</v>
      </c>
      <c r="C64" s="26" t="s">
        <v>1191</v>
      </c>
    </row>
    <row r="65" spans="1:3" x14ac:dyDescent="0.25">
      <c r="A65" s="36">
        <v>41346</v>
      </c>
      <c r="B65" s="122">
        <v>0.33633101851851849</v>
      </c>
      <c r="C65" s="26" t="s">
        <v>1191</v>
      </c>
    </row>
    <row r="66" spans="1:3" x14ac:dyDescent="0.25">
      <c r="A66" s="36">
        <v>41346</v>
      </c>
      <c r="B66" s="122">
        <v>0.33633101851851849</v>
      </c>
      <c r="C66" s="26" t="s">
        <v>1229</v>
      </c>
    </row>
    <row r="67" spans="1:3" x14ac:dyDescent="0.25">
      <c r="A67" s="36">
        <v>41346</v>
      </c>
      <c r="B67" s="122">
        <v>0.33633101851851849</v>
      </c>
      <c r="C67" s="26" t="s">
        <v>1254</v>
      </c>
    </row>
    <row r="68" spans="1:3" x14ac:dyDescent="0.25">
      <c r="A68" s="36">
        <v>41346</v>
      </c>
      <c r="B68" s="122">
        <v>0.33633101851851849</v>
      </c>
      <c r="C68" s="26" t="s">
        <v>1238</v>
      </c>
    </row>
    <row r="69" spans="1:3" x14ac:dyDescent="0.25">
      <c r="A69" s="36">
        <v>41346</v>
      </c>
      <c r="B69" s="122">
        <v>0.33633101851851849</v>
      </c>
      <c r="C69" s="26" t="s">
        <v>1208</v>
      </c>
    </row>
    <row r="70" spans="1:3" x14ac:dyDescent="0.25">
      <c r="A70" s="36">
        <v>41346</v>
      </c>
      <c r="B70" s="122">
        <v>0.33633101851851849</v>
      </c>
      <c r="C70" s="26" t="s">
        <v>1265</v>
      </c>
    </row>
    <row r="71" spans="1:3" x14ac:dyDescent="0.25">
      <c r="A71" s="36">
        <v>41346</v>
      </c>
      <c r="B71" s="122">
        <v>0.33633101851851849</v>
      </c>
      <c r="C71" s="26" t="s">
        <v>1194</v>
      </c>
    </row>
    <row r="72" spans="1:3" x14ac:dyDescent="0.25">
      <c r="A72" s="36">
        <v>41346</v>
      </c>
      <c r="B72" s="122">
        <v>0.33633101851851849</v>
      </c>
      <c r="C72" s="26" t="s">
        <v>1229</v>
      </c>
    </row>
    <row r="73" spans="1:3" x14ac:dyDescent="0.25">
      <c r="A73" s="36">
        <v>41346</v>
      </c>
      <c r="B73" s="122">
        <v>0.33633101851851849</v>
      </c>
      <c r="C73" s="26" t="s">
        <v>1218</v>
      </c>
    </row>
    <row r="74" spans="1:3" x14ac:dyDescent="0.25">
      <c r="A74" s="36">
        <v>41346</v>
      </c>
      <c r="B74" s="122">
        <v>0.33633101851851849</v>
      </c>
      <c r="C74" s="26" t="s">
        <v>1275</v>
      </c>
    </row>
    <row r="75" spans="1:3" x14ac:dyDescent="0.25">
      <c r="A75" s="36">
        <v>41346</v>
      </c>
      <c r="B75" s="122">
        <v>0.33633101851851849</v>
      </c>
      <c r="C75" s="26" t="s">
        <v>1224</v>
      </c>
    </row>
    <row r="76" spans="1:3" x14ac:dyDescent="0.25">
      <c r="A76" s="36">
        <v>41346</v>
      </c>
      <c r="B76" s="122">
        <v>0.33633101851851849</v>
      </c>
      <c r="C76" s="26" t="s">
        <v>1169</v>
      </c>
    </row>
    <row r="77" spans="1:3" x14ac:dyDescent="0.25">
      <c r="A77" s="36">
        <v>41346</v>
      </c>
      <c r="B77" s="122">
        <v>0.33633101851851849</v>
      </c>
      <c r="C77" s="26" t="s">
        <v>1158</v>
      </c>
    </row>
    <row r="78" spans="1:3" x14ac:dyDescent="0.25">
      <c r="A78" s="36">
        <v>41346</v>
      </c>
      <c r="B78" s="122">
        <v>0.33633101851851849</v>
      </c>
      <c r="C78" s="26" t="s">
        <v>1203</v>
      </c>
    </row>
    <row r="79" spans="1:3" x14ac:dyDescent="0.25">
      <c r="A79" s="36">
        <v>41346</v>
      </c>
      <c r="B79" s="122">
        <v>0.33633101851851849</v>
      </c>
      <c r="C79" s="26" t="s">
        <v>1219</v>
      </c>
    </row>
    <row r="80" spans="1:3" x14ac:dyDescent="0.25">
      <c r="A80" s="36">
        <v>41346</v>
      </c>
      <c r="B80" s="122">
        <v>0.33633101851851849</v>
      </c>
      <c r="C80" s="26" t="s">
        <v>1176</v>
      </c>
    </row>
    <row r="81" spans="1:3" x14ac:dyDescent="0.25">
      <c r="A81" s="36">
        <v>41346</v>
      </c>
      <c r="B81" s="122">
        <v>0.33633101851851849</v>
      </c>
      <c r="C81" s="26" t="s">
        <v>1214</v>
      </c>
    </row>
    <row r="82" spans="1:3" x14ac:dyDescent="0.25">
      <c r="A82" s="36">
        <v>41346</v>
      </c>
      <c r="B82" s="122">
        <v>0.33633101851851849</v>
      </c>
      <c r="C82" s="26" t="s">
        <v>1275</v>
      </c>
    </row>
    <row r="83" spans="1:3" x14ac:dyDescent="0.25">
      <c r="A83" s="36">
        <v>41346</v>
      </c>
      <c r="B83" s="122">
        <v>0.33633101851851849</v>
      </c>
      <c r="C83" s="26" t="s">
        <v>1248</v>
      </c>
    </row>
    <row r="84" spans="1:3" x14ac:dyDescent="0.25">
      <c r="A84" s="36">
        <v>41346</v>
      </c>
      <c r="B84" s="122">
        <v>0.33633101851851849</v>
      </c>
      <c r="C84" s="26" t="s">
        <v>1268</v>
      </c>
    </row>
    <row r="85" spans="1:3" x14ac:dyDescent="0.25">
      <c r="A85" s="36">
        <v>41346</v>
      </c>
      <c r="B85" s="122">
        <v>0.33633101851851849</v>
      </c>
      <c r="C85" s="26" t="s">
        <v>1224</v>
      </c>
    </row>
    <row r="86" spans="1:3" x14ac:dyDescent="0.25">
      <c r="A86" s="36">
        <v>41346</v>
      </c>
      <c r="B86" s="122">
        <v>0.33633101851851849</v>
      </c>
      <c r="C86" s="26" t="s">
        <v>1136</v>
      </c>
    </row>
    <row r="87" spans="1:3" x14ac:dyDescent="0.25">
      <c r="A87" s="36">
        <v>41346</v>
      </c>
      <c r="B87" s="122">
        <v>0.33633101851851849</v>
      </c>
      <c r="C87" s="26" t="s">
        <v>1227</v>
      </c>
    </row>
    <row r="88" spans="1:3" x14ac:dyDescent="0.25">
      <c r="A88" s="36">
        <v>41346</v>
      </c>
      <c r="B88" s="122">
        <v>0.33633101851851849</v>
      </c>
      <c r="C88" s="26" t="s">
        <v>1214</v>
      </c>
    </row>
    <row r="89" spans="1:3" x14ac:dyDescent="0.25">
      <c r="A89" s="36">
        <v>41346</v>
      </c>
      <c r="B89" s="122">
        <v>0.33634259259259264</v>
      </c>
      <c r="C89" s="26" t="s">
        <v>1115</v>
      </c>
    </row>
    <row r="90" spans="1:3" x14ac:dyDescent="0.25">
      <c r="A90" s="36">
        <v>41346</v>
      </c>
      <c r="B90" s="122">
        <v>0.33634259259259264</v>
      </c>
      <c r="C90" s="26" t="s">
        <v>1275</v>
      </c>
    </row>
    <row r="91" spans="1:3" x14ac:dyDescent="0.25">
      <c r="A91" s="36">
        <v>41346</v>
      </c>
      <c r="B91" s="122">
        <v>0.33634259259259264</v>
      </c>
      <c r="C91" s="26" t="s">
        <v>1192</v>
      </c>
    </row>
    <row r="92" spans="1:3" x14ac:dyDescent="0.25">
      <c r="A92" s="36">
        <v>41346</v>
      </c>
      <c r="B92" s="122">
        <v>0.33634259259259264</v>
      </c>
      <c r="C92" s="26" t="s">
        <v>1177</v>
      </c>
    </row>
    <row r="93" spans="1:3" x14ac:dyDescent="0.25">
      <c r="A93" s="36">
        <v>41346</v>
      </c>
      <c r="B93" s="122">
        <v>0.33634259259259264</v>
      </c>
      <c r="C93" s="26" t="s">
        <v>1126</v>
      </c>
    </row>
    <row r="94" spans="1:3" x14ac:dyDescent="0.25">
      <c r="A94" s="36">
        <v>41346</v>
      </c>
      <c r="B94" s="122">
        <v>0.33634259259259264</v>
      </c>
      <c r="C94" s="26" t="s">
        <v>1205</v>
      </c>
    </row>
    <row r="95" spans="1:3" x14ac:dyDescent="0.25">
      <c r="A95" s="36">
        <v>41346</v>
      </c>
      <c r="B95" s="122">
        <v>0.33634259259259264</v>
      </c>
      <c r="C95" s="26" t="s">
        <v>1153</v>
      </c>
    </row>
    <row r="96" spans="1:3" x14ac:dyDescent="0.25">
      <c r="A96" s="36">
        <v>41346</v>
      </c>
      <c r="B96" s="122">
        <v>0.33634259259259264</v>
      </c>
      <c r="C96" s="26" t="s">
        <v>1275</v>
      </c>
    </row>
    <row r="97" spans="1:3" x14ac:dyDescent="0.25">
      <c r="A97" s="36">
        <v>41346</v>
      </c>
      <c r="B97" s="122">
        <v>0.33634259259259264</v>
      </c>
      <c r="C97" s="26" t="s">
        <v>1105</v>
      </c>
    </row>
    <row r="98" spans="1:3" x14ac:dyDescent="0.25">
      <c r="A98" s="36">
        <v>41346</v>
      </c>
      <c r="B98" s="122">
        <v>0.33634259259259264</v>
      </c>
      <c r="C98" s="26" t="s">
        <v>1264</v>
      </c>
    </row>
    <row r="99" spans="1:3" x14ac:dyDescent="0.25">
      <c r="A99" s="36">
        <v>41346</v>
      </c>
      <c r="B99" s="122">
        <v>0.33634259259259264</v>
      </c>
      <c r="C99" s="26" t="s">
        <v>1182</v>
      </c>
    </row>
    <row r="100" spans="1:3" x14ac:dyDescent="0.25">
      <c r="A100" s="36">
        <v>41346</v>
      </c>
      <c r="B100" s="122">
        <v>0.33634259259259264</v>
      </c>
      <c r="C100" s="26" t="s">
        <v>1252</v>
      </c>
    </row>
    <row r="101" spans="1:3" x14ac:dyDescent="0.25">
      <c r="A101" s="36">
        <v>41346</v>
      </c>
      <c r="B101" s="122">
        <v>0.33634259259259264</v>
      </c>
      <c r="C101" s="26" t="s">
        <v>1192</v>
      </c>
    </row>
    <row r="102" spans="1:3" x14ac:dyDescent="0.25">
      <c r="A102" s="36">
        <v>41346</v>
      </c>
      <c r="B102" s="122">
        <v>0.33634259259259264</v>
      </c>
      <c r="C102" s="26" t="s">
        <v>1237</v>
      </c>
    </row>
    <row r="103" spans="1:3" x14ac:dyDescent="0.25">
      <c r="A103" s="36">
        <v>41346</v>
      </c>
      <c r="B103" s="122">
        <v>0.33634259259259264</v>
      </c>
      <c r="C103" s="26" t="s">
        <v>1192</v>
      </c>
    </row>
    <row r="104" spans="1:3" x14ac:dyDescent="0.25">
      <c r="A104" s="36">
        <v>41346</v>
      </c>
      <c r="B104" s="122">
        <v>0.33634259259259264</v>
      </c>
      <c r="C104" s="26" t="s">
        <v>1101</v>
      </c>
    </row>
    <row r="105" spans="1:3" x14ac:dyDescent="0.25">
      <c r="A105" s="36">
        <v>41346</v>
      </c>
      <c r="B105" s="122">
        <v>0.33634259259259264</v>
      </c>
      <c r="C105" s="26" t="s">
        <v>1101</v>
      </c>
    </row>
    <row r="106" spans="1:3" x14ac:dyDescent="0.25">
      <c r="A106" s="36">
        <v>41346</v>
      </c>
      <c r="B106" s="122">
        <v>0.33634259259259264</v>
      </c>
      <c r="C106" s="26" t="s">
        <v>1152</v>
      </c>
    </row>
    <row r="107" spans="1:3" x14ac:dyDescent="0.25">
      <c r="A107" s="36">
        <v>41346</v>
      </c>
      <c r="B107" s="122">
        <v>0.33634259259259264</v>
      </c>
      <c r="C107" s="26" t="s">
        <v>1152</v>
      </c>
    </row>
    <row r="108" spans="1:3" x14ac:dyDescent="0.25">
      <c r="A108" s="36">
        <v>41346</v>
      </c>
      <c r="B108" s="122">
        <v>0.33634259259259264</v>
      </c>
      <c r="C108" s="26" t="s">
        <v>1152</v>
      </c>
    </row>
    <row r="109" spans="1:3" x14ac:dyDescent="0.25">
      <c r="A109" s="36">
        <v>41346</v>
      </c>
      <c r="B109" s="122">
        <v>0.33634259259259264</v>
      </c>
      <c r="C109" s="26" t="s">
        <v>1152</v>
      </c>
    </row>
    <row r="110" spans="1:3" x14ac:dyDescent="0.25">
      <c r="A110" s="36">
        <v>41346</v>
      </c>
      <c r="B110" s="122">
        <v>0.33634259259259264</v>
      </c>
      <c r="C110" s="26" t="s">
        <v>1152</v>
      </c>
    </row>
    <row r="111" spans="1:3" x14ac:dyDescent="0.25">
      <c r="A111" s="36">
        <v>41346</v>
      </c>
      <c r="B111" s="122">
        <v>0.33634259259259264</v>
      </c>
      <c r="C111" s="26" t="s">
        <v>1152</v>
      </c>
    </row>
    <row r="112" spans="1:3" x14ac:dyDescent="0.25">
      <c r="A112" s="36">
        <v>41346</v>
      </c>
      <c r="B112" s="122">
        <v>0.33634259259259264</v>
      </c>
      <c r="C112" s="26" t="s">
        <v>1148</v>
      </c>
    </row>
    <row r="113" spans="1:3" x14ac:dyDescent="0.25">
      <c r="A113" s="36">
        <v>41346</v>
      </c>
      <c r="B113" s="122">
        <v>0.33634259259259264</v>
      </c>
      <c r="C113" s="26" t="s">
        <v>1111</v>
      </c>
    </row>
    <row r="114" spans="1:3" x14ac:dyDescent="0.25">
      <c r="A114" s="36">
        <v>41346</v>
      </c>
      <c r="B114" s="122">
        <v>0.33634259259259264</v>
      </c>
      <c r="C114" s="26" t="s">
        <v>1163</v>
      </c>
    </row>
    <row r="115" spans="1:3" x14ac:dyDescent="0.25">
      <c r="A115" s="36">
        <v>41346</v>
      </c>
      <c r="B115" s="122">
        <v>0.33634259259259264</v>
      </c>
      <c r="C115" s="26" t="s">
        <v>1128</v>
      </c>
    </row>
    <row r="116" spans="1:3" x14ac:dyDescent="0.25">
      <c r="A116" s="36">
        <v>41346</v>
      </c>
      <c r="B116" s="122">
        <v>0.33634259259259264</v>
      </c>
      <c r="C116" s="26" t="s">
        <v>1120</v>
      </c>
    </row>
    <row r="117" spans="1:3" x14ac:dyDescent="0.25">
      <c r="A117" s="36">
        <v>41346</v>
      </c>
      <c r="B117" s="122">
        <v>0.33634259259259264</v>
      </c>
      <c r="C117" s="26" t="s">
        <v>1233</v>
      </c>
    </row>
    <row r="118" spans="1:3" x14ac:dyDescent="0.25">
      <c r="A118" s="36">
        <v>41346</v>
      </c>
      <c r="B118" s="122">
        <v>0.33634259259259264</v>
      </c>
      <c r="C118" s="26" t="s">
        <v>1233</v>
      </c>
    </row>
    <row r="119" spans="1:3" x14ac:dyDescent="0.25">
      <c r="A119" s="36">
        <v>41346</v>
      </c>
      <c r="B119" s="122">
        <v>0.33634259259259264</v>
      </c>
      <c r="C119" s="26" t="s">
        <v>1122</v>
      </c>
    </row>
    <row r="120" spans="1:3" x14ac:dyDescent="0.25">
      <c r="A120" s="36">
        <v>41346</v>
      </c>
      <c r="B120" s="122">
        <v>0.33634259259259264</v>
      </c>
      <c r="C120" s="26" t="s">
        <v>1193</v>
      </c>
    </row>
    <row r="121" spans="1:3" x14ac:dyDescent="0.25">
      <c r="A121" s="36">
        <v>41346</v>
      </c>
      <c r="B121" s="122">
        <v>0.33634259259259264</v>
      </c>
      <c r="C121" s="26" t="s">
        <v>1233</v>
      </c>
    </row>
    <row r="122" spans="1:3" x14ac:dyDescent="0.25">
      <c r="A122" s="36">
        <v>41346</v>
      </c>
      <c r="B122" s="122">
        <v>0.33634259259259264</v>
      </c>
      <c r="C122" s="26" t="s">
        <v>1270</v>
      </c>
    </row>
    <row r="123" spans="1:3" x14ac:dyDescent="0.25">
      <c r="A123" s="36">
        <v>41346</v>
      </c>
      <c r="B123" s="122">
        <v>0.33634259259259264</v>
      </c>
      <c r="C123" s="26" t="s">
        <v>1121</v>
      </c>
    </row>
    <row r="124" spans="1:3" x14ac:dyDescent="0.25">
      <c r="A124" s="36">
        <v>41346</v>
      </c>
      <c r="B124" s="122">
        <v>0.33634259259259264</v>
      </c>
      <c r="C124" s="26" t="s">
        <v>1226</v>
      </c>
    </row>
    <row r="125" spans="1:3" x14ac:dyDescent="0.25">
      <c r="A125" s="36">
        <v>41346</v>
      </c>
      <c r="B125" s="122">
        <v>0.33634259259259264</v>
      </c>
      <c r="C125" s="26" t="s">
        <v>1241</v>
      </c>
    </row>
    <row r="126" spans="1:3" x14ac:dyDescent="0.25">
      <c r="A126" s="36">
        <v>41346</v>
      </c>
      <c r="B126" s="122">
        <v>0.33634259259259264</v>
      </c>
      <c r="C126" s="26" t="s">
        <v>1247</v>
      </c>
    </row>
    <row r="127" spans="1:3" x14ac:dyDescent="0.25">
      <c r="A127" s="36">
        <v>41346</v>
      </c>
      <c r="B127" s="122">
        <v>0.33634259259259264</v>
      </c>
      <c r="C127" s="26" t="s">
        <v>1262</v>
      </c>
    </row>
    <row r="128" spans="1:3" x14ac:dyDescent="0.25">
      <c r="A128" s="36">
        <v>41346</v>
      </c>
      <c r="B128" s="122">
        <v>0.33634259259259264</v>
      </c>
      <c r="C128" s="26" t="s">
        <v>1275</v>
      </c>
    </row>
    <row r="129" spans="1:3" x14ac:dyDescent="0.25">
      <c r="A129" s="36">
        <v>41346</v>
      </c>
      <c r="B129" s="122">
        <v>0.33634259259259264</v>
      </c>
      <c r="C129" s="26" t="s">
        <v>1138</v>
      </c>
    </row>
    <row r="130" spans="1:3" x14ac:dyDescent="0.25">
      <c r="A130" s="36">
        <v>41346</v>
      </c>
      <c r="B130" s="122">
        <v>0.33634259259259264</v>
      </c>
      <c r="C130" s="26" t="s">
        <v>1185</v>
      </c>
    </row>
    <row r="131" spans="1:3" x14ac:dyDescent="0.25">
      <c r="A131" s="36">
        <v>41346</v>
      </c>
      <c r="B131" s="122">
        <v>0.33634259259259264</v>
      </c>
      <c r="C131" s="26" t="s">
        <v>1167</v>
      </c>
    </row>
    <row r="132" spans="1:3" x14ac:dyDescent="0.25">
      <c r="A132" s="36">
        <v>41346</v>
      </c>
      <c r="B132" s="122">
        <v>0.33634259259259264</v>
      </c>
      <c r="C132" s="26" t="s">
        <v>1225</v>
      </c>
    </row>
    <row r="133" spans="1:3" x14ac:dyDescent="0.25">
      <c r="A133" s="36">
        <v>41346</v>
      </c>
      <c r="B133" s="122">
        <v>0.33634259259259264</v>
      </c>
      <c r="C133" s="26" t="s">
        <v>1271</v>
      </c>
    </row>
    <row r="134" spans="1:3" x14ac:dyDescent="0.25">
      <c r="A134" s="36">
        <v>41346</v>
      </c>
      <c r="B134" s="122">
        <v>0.33634259259259264</v>
      </c>
      <c r="C134" s="26" t="s">
        <v>1205</v>
      </c>
    </row>
    <row r="135" spans="1:3" x14ac:dyDescent="0.25">
      <c r="A135" s="36">
        <v>41346</v>
      </c>
      <c r="B135" s="122">
        <v>0.33634259259259264</v>
      </c>
      <c r="C135" s="26" t="s">
        <v>1141</v>
      </c>
    </row>
    <row r="136" spans="1:3" x14ac:dyDescent="0.25">
      <c r="A136" s="36">
        <v>41346</v>
      </c>
      <c r="B136" s="122">
        <v>0.33634259259259264</v>
      </c>
      <c r="C136" s="26" t="s">
        <v>1145</v>
      </c>
    </row>
    <row r="137" spans="1:3" x14ac:dyDescent="0.25">
      <c r="A137" s="36">
        <v>41346</v>
      </c>
      <c r="B137" s="122">
        <v>0.33634259259259264</v>
      </c>
      <c r="C137" s="26" t="s">
        <v>1275</v>
      </c>
    </row>
    <row r="138" spans="1:3" x14ac:dyDescent="0.25">
      <c r="A138" s="36">
        <v>41346</v>
      </c>
      <c r="B138" s="122">
        <v>0.33634259259259264</v>
      </c>
      <c r="C138" s="26" t="s">
        <v>1239</v>
      </c>
    </row>
    <row r="139" spans="1:3" x14ac:dyDescent="0.25">
      <c r="A139" s="36">
        <v>41346</v>
      </c>
      <c r="B139" s="122">
        <v>0.33634259259259264</v>
      </c>
      <c r="C139" s="26" t="s">
        <v>1180</v>
      </c>
    </row>
    <row r="140" spans="1:3" x14ac:dyDescent="0.25">
      <c r="A140" s="36">
        <v>41346</v>
      </c>
      <c r="B140" s="122">
        <v>0.33634259259259264</v>
      </c>
      <c r="C140" s="26" t="s">
        <v>1143</v>
      </c>
    </row>
    <row r="141" spans="1:3" x14ac:dyDescent="0.25">
      <c r="A141" s="36">
        <v>41346</v>
      </c>
      <c r="B141" s="122">
        <v>0.33634259259259264</v>
      </c>
      <c r="C141" s="26" t="s">
        <v>1234</v>
      </c>
    </row>
    <row r="142" spans="1:3" x14ac:dyDescent="0.25">
      <c r="A142" s="36">
        <v>41346</v>
      </c>
      <c r="B142" s="122">
        <v>0.33634259259259264</v>
      </c>
      <c r="C142" s="26" t="s">
        <v>1130</v>
      </c>
    </row>
    <row r="143" spans="1:3" x14ac:dyDescent="0.25">
      <c r="A143" s="36">
        <v>41346</v>
      </c>
      <c r="B143" s="122">
        <v>0.33634259259259264</v>
      </c>
      <c r="C143" s="26" t="s">
        <v>1123</v>
      </c>
    </row>
    <row r="144" spans="1:3" x14ac:dyDescent="0.25">
      <c r="A144" s="36">
        <v>41346</v>
      </c>
      <c r="B144" s="122">
        <v>0.33634259259259264</v>
      </c>
      <c r="C144" s="26" t="s">
        <v>1251</v>
      </c>
    </row>
    <row r="145" spans="1:3" x14ac:dyDescent="0.25">
      <c r="A145" s="36">
        <v>41346</v>
      </c>
      <c r="B145" s="122">
        <v>0.33634259259259264</v>
      </c>
      <c r="C145" s="26" t="s">
        <v>1174</v>
      </c>
    </row>
    <row r="146" spans="1:3" x14ac:dyDescent="0.25">
      <c r="A146" s="36">
        <v>41346</v>
      </c>
      <c r="B146" s="122">
        <v>0.33634259259259264</v>
      </c>
      <c r="C146" s="26" t="s">
        <v>1132</v>
      </c>
    </row>
    <row r="147" spans="1:3" x14ac:dyDescent="0.25">
      <c r="A147" s="36">
        <v>41346</v>
      </c>
      <c r="B147" s="122">
        <v>0.33634259259259264</v>
      </c>
      <c r="C147" s="26" t="s">
        <v>1125</v>
      </c>
    </row>
    <row r="148" spans="1:3" x14ac:dyDescent="0.25">
      <c r="A148" s="36">
        <v>41346</v>
      </c>
      <c r="B148" s="122">
        <v>0.33634259259259264</v>
      </c>
      <c r="C148" s="26" t="s">
        <v>1276</v>
      </c>
    </row>
    <row r="149" spans="1:3" x14ac:dyDescent="0.25">
      <c r="A149" s="36">
        <v>41346</v>
      </c>
      <c r="B149" s="122">
        <v>0.33634259259259264</v>
      </c>
      <c r="C149" s="26" t="s">
        <v>1245</v>
      </c>
    </row>
    <row r="150" spans="1:3" x14ac:dyDescent="0.25">
      <c r="A150" s="36">
        <v>41346</v>
      </c>
      <c r="B150" s="122">
        <v>0.33634259259259264</v>
      </c>
      <c r="C150" s="26" t="s">
        <v>1231</v>
      </c>
    </row>
    <row r="151" spans="1:3" x14ac:dyDescent="0.25">
      <c r="A151" s="36">
        <v>41346</v>
      </c>
      <c r="B151" s="122">
        <v>0.33634259259259264</v>
      </c>
      <c r="C151" s="26" t="s">
        <v>1181</v>
      </c>
    </row>
    <row r="152" spans="1:3" x14ac:dyDescent="0.25">
      <c r="A152" s="36">
        <v>41346</v>
      </c>
      <c r="B152" s="122">
        <v>0.33634259259259264</v>
      </c>
      <c r="C152" s="26" t="s">
        <v>1200</v>
      </c>
    </row>
    <row r="153" spans="1:3" x14ac:dyDescent="0.25">
      <c r="A153" s="36">
        <v>41346</v>
      </c>
      <c r="B153" s="122">
        <v>0.33634259259259264</v>
      </c>
      <c r="C153" s="26" t="s">
        <v>1139</v>
      </c>
    </row>
    <row r="154" spans="1:3" x14ac:dyDescent="0.25">
      <c r="A154" s="36">
        <v>41346</v>
      </c>
      <c r="B154" s="122">
        <v>0.33634259259259264</v>
      </c>
      <c r="C154" s="26" t="s">
        <v>1212</v>
      </c>
    </row>
    <row r="155" spans="1:3" x14ac:dyDescent="0.25">
      <c r="A155" s="36">
        <v>41346</v>
      </c>
      <c r="B155" s="122">
        <v>0.33634259259259264</v>
      </c>
      <c r="C155" s="26" t="s">
        <v>1256</v>
      </c>
    </row>
    <row r="156" spans="1:3" x14ac:dyDescent="0.25">
      <c r="A156" s="36">
        <v>41346</v>
      </c>
      <c r="B156" s="122">
        <v>0.33634259259259264</v>
      </c>
      <c r="C156" s="26" t="s">
        <v>1240</v>
      </c>
    </row>
    <row r="157" spans="1:3" x14ac:dyDescent="0.25">
      <c r="A157" s="36">
        <v>41346</v>
      </c>
      <c r="B157" s="122">
        <v>0.33634259259259264</v>
      </c>
      <c r="C157" s="26" t="s">
        <v>1134</v>
      </c>
    </row>
    <row r="158" spans="1:3" x14ac:dyDescent="0.25">
      <c r="A158" s="36">
        <v>41346</v>
      </c>
      <c r="B158" s="122">
        <v>0.33634259259259264</v>
      </c>
      <c r="C158" s="26" t="s">
        <v>1185</v>
      </c>
    </row>
    <row r="159" spans="1:3" x14ac:dyDescent="0.25">
      <c r="A159" s="36">
        <v>41346</v>
      </c>
      <c r="B159" s="122">
        <v>0.33634259259259264</v>
      </c>
      <c r="C159" s="26" t="s">
        <v>1275</v>
      </c>
    </row>
    <row r="160" spans="1:3" x14ac:dyDescent="0.25">
      <c r="A160" s="36">
        <v>41346</v>
      </c>
      <c r="B160" s="122">
        <v>0.33634259259259264</v>
      </c>
      <c r="C160" s="26" t="s">
        <v>1134</v>
      </c>
    </row>
    <row r="161" spans="1:3" x14ac:dyDescent="0.25">
      <c r="A161" s="36">
        <v>41346</v>
      </c>
      <c r="B161" s="122">
        <v>0.33634259259259264</v>
      </c>
      <c r="C161" s="26" t="s">
        <v>1109</v>
      </c>
    </row>
    <row r="162" spans="1:3" x14ac:dyDescent="0.25">
      <c r="A162" s="36">
        <v>41346</v>
      </c>
      <c r="B162" s="122">
        <v>0.33634259259259264</v>
      </c>
      <c r="C162" s="26" t="s">
        <v>1134</v>
      </c>
    </row>
    <row r="163" spans="1:3" x14ac:dyDescent="0.25">
      <c r="A163" s="36">
        <v>41346</v>
      </c>
      <c r="B163" s="122">
        <v>0.33634259259259264</v>
      </c>
      <c r="C163" s="26" t="s">
        <v>1134</v>
      </c>
    </row>
    <row r="164" spans="1:3" x14ac:dyDescent="0.25">
      <c r="A164" s="36">
        <v>41346</v>
      </c>
      <c r="B164" s="122">
        <v>0.33634259259259264</v>
      </c>
      <c r="C164" s="26" t="s">
        <v>1266</v>
      </c>
    </row>
    <row r="165" spans="1:3" x14ac:dyDescent="0.25">
      <c r="A165" s="36">
        <v>41346</v>
      </c>
      <c r="B165" s="122">
        <v>0.33634259259259264</v>
      </c>
      <c r="C165" s="26" t="s">
        <v>1113</v>
      </c>
    </row>
    <row r="166" spans="1:3" x14ac:dyDescent="0.25">
      <c r="A166" s="36">
        <v>41346</v>
      </c>
      <c r="B166" s="122">
        <v>0.33634259259259264</v>
      </c>
      <c r="C166" s="26" t="s">
        <v>1255</v>
      </c>
    </row>
    <row r="167" spans="1:3" x14ac:dyDescent="0.25">
      <c r="A167" s="36">
        <v>41346</v>
      </c>
      <c r="B167" s="122">
        <v>0.33634259259259264</v>
      </c>
      <c r="C167" s="26" t="s">
        <v>1127</v>
      </c>
    </row>
    <row r="168" spans="1:3" x14ac:dyDescent="0.25">
      <c r="A168" s="36">
        <v>41346</v>
      </c>
      <c r="B168" s="122">
        <v>0.33634259259259264</v>
      </c>
      <c r="C168" s="26" t="s">
        <v>1244</v>
      </c>
    </row>
    <row r="169" spans="1:3" x14ac:dyDescent="0.25">
      <c r="A169" s="36">
        <v>41346</v>
      </c>
      <c r="B169" s="122">
        <v>0.33634259259259264</v>
      </c>
      <c r="C169" s="26" t="s">
        <v>1110</v>
      </c>
    </row>
    <row r="170" spans="1:3" x14ac:dyDescent="0.25">
      <c r="A170" s="36">
        <v>41346</v>
      </c>
      <c r="B170" s="122">
        <v>0.33634259259259264</v>
      </c>
      <c r="C170" s="26" t="s">
        <v>1110</v>
      </c>
    </row>
    <row r="171" spans="1:3" x14ac:dyDescent="0.25">
      <c r="A171" s="36">
        <v>41346</v>
      </c>
      <c r="B171" s="122">
        <v>0.33634259259259264</v>
      </c>
      <c r="C171" s="26" t="s">
        <v>1179</v>
      </c>
    </row>
    <row r="172" spans="1:3" x14ac:dyDescent="0.25">
      <c r="A172" s="36">
        <v>41346</v>
      </c>
      <c r="B172" s="122">
        <v>0.33634259259259264</v>
      </c>
      <c r="C172" s="26" t="s">
        <v>1198</v>
      </c>
    </row>
    <row r="173" spans="1:3" x14ac:dyDescent="0.25">
      <c r="A173" s="36">
        <v>41346</v>
      </c>
      <c r="B173" s="122">
        <v>0.33634259259259264</v>
      </c>
      <c r="C173" s="26" t="s">
        <v>1114</v>
      </c>
    </row>
    <row r="174" spans="1:3" x14ac:dyDescent="0.25">
      <c r="A174" s="36">
        <v>41346</v>
      </c>
      <c r="B174" s="122">
        <v>0.33634259259259264</v>
      </c>
      <c r="C174" s="26" t="s">
        <v>1209</v>
      </c>
    </row>
    <row r="175" spans="1:3" x14ac:dyDescent="0.25">
      <c r="A175" s="36">
        <v>41346</v>
      </c>
      <c r="B175" s="122">
        <v>0.33634259259259264</v>
      </c>
      <c r="C175" s="26" t="s">
        <v>1122</v>
      </c>
    </row>
    <row r="176" spans="1:3" x14ac:dyDescent="0.25">
      <c r="A176" s="36">
        <v>41346</v>
      </c>
      <c r="B176" s="122">
        <v>0.33634259259259264</v>
      </c>
      <c r="C176" s="26" t="s">
        <v>1206</v>
      </c>
    </row>
    <row r="177" spans="1:3" x14ac:dyDescent="0.25">
      <c r="A177" s="36">
        <v>41346</v>
      </c>
      <c r="B177" s="122">
        <v>0.33634259259259264</v>
      </c>
      <c r="C177" s="26" t="s">
        <v>1112</v>
      </c>
    </row>
    <row r="178" spans="1:3" x14ac:dyDescent="0.25">
      <c r="A178" s="36">
        <v>41346</v>
      </c>
      <c r="B178" s="122">
        <v>0.33634259259259264</v>
      </c>
      <c r="C178" s="26" t="s">
        <v>1150</v>
      </c>
    </row>
    <row r="179" spans="1:3" x14ac:dyDescent="0.25">
      <c r="A179" s="36">
        <v>41346</v>
      </c>
      <c r="B179" s="122">
        <v>0.33634259259259264</v>
      </c>
      <c r="C179" s="26" t="s">
        <v>1197</v>
      </c>
    </row>
    <row r="180" spans="1:3" x14ac:dyDescent="0.25">
      <c r="A180" s="36">
        <v>41346</v>
      </c>
      <c r="B180" s="122">
        <v>0.33634259259259264</v>
      </c>
      <c r="C180" s="26" t="s">
        <v>1243</v>
      </c>
    </row>
    <row r="181" spans="1:3" x14ac:dyDescent="0.25">
      <c r="A181" s="36">
        <v>41346</v>
      </c>
      <c r="B181" s="122">
        <v>0.33634259259259264</v>
      </c>
      <c r="C181" s="26" t="s">
        <v>1140</v>
      </c>
    </row>
    <row r="182" spans="1:3" x14ac:dyDescent="0.25">
      <c r="A182" s="36">
        <v>41346</v>
      </c>
      <c r="B182" s="122">
        <v>0.33634259259259264</v>
      </c>
      <c r="C182" s="26" t="s">
        <v>1257</v>
      </c>
    </row>
    <row r="183" spans="1:3" x14ac:dyDescent="0.25">
      <c r="A183" s="36">
        <v>41346</v>
      </c>
      <c r="B183" s="122">
        <v>0.33634259259259264</v>
      </c>
      <c r="C183" s="26" t="s">
        <v>1103</v>
      </c>
    </row>
    <row r="184" spans="1:3" x14ac:dyDescent="0.25">
      <c r="A184" s="36">
        <v>41346</v>
      </c>
      <c r="B184" s="122">
        <v>0.33634259259259264</v>
      </c>
      <c r="C184" s="26" t="s">
        <v>1258</v>
      </c>
    </row>
    <row r="185" spans="1:3" x14ac:dyDescent="0.25">
      <c r="A185" s="36">
        <v>41346</v>
      </c>
      <c r="B185" s="122">
        <v>0.33634259259259264</v>
      </c>
      <c r="C185" s="26" t="s">
        <v>1129</v>
      </c>
    </row>
    <row r="186" spans="1:3" x14ac:dyDescent="0.25">
      <c r="A186" s="36">
        <v>41346</v>
      </c>
      <c r="B186" s="122">
        <v>0.33634259259259264</v>
      </c>
      <c r="C186" s="26" t="s">
        <v>1185</v>
      </c>
    </row>
    <row r="187" spans="1:3" x14ac:dyDescent="0.25">
      <c r="A187" s="36">
        <v>41346</v>
      </c>
      <c r="B187" s="122">
        <v>0.33634259259259264</v>
      </c>
      <c r="C187" s="26" t="s">
        <v>1157</v>
      </c>
    </row>
    <row r="188" spans="1:3" x14ac:dyDescent="0.25">
      <c r="A188" s="36">
        <v>41346</v>
      </c>
      <c r="B188" s="122">
        <v>0.33634259259259264</v>
      </c>
      <c r="C188" s="26" t="s">
        <v>1180</v>
      </c>
    </row>
    <row r="189" spans="1:3" x14ac:dyDescent="0.25">
      <c r="A189" s="36">
        <v>41346</v>
      </c>
      <c r="B189" s="122">
        <v>0.33634259259259264</v>
      </c>
      <c r="C189" s="26" t="s">
        <v>1189</v>
      </c>
    </row>
    <row r="190" spans="1:3" x14ac:dyDescent="0.25">
      <c r="A190" s="36">
        <v>41346</v>
      </c>
      <c r="B190" s="122">
        <v>0.33634259259259264</v>
      </c>
      <c r="C190" s="26" t="s">
        <v>1144</v>
      </c>
    </row>
    <row r="191" spans="1:3" x14ac:dyDescent="0.25">
      <c r="A191" s="36">
        <v>41346</v>
      </c>
      <c r="B191" s="122">
        <v>0.33634259259259264</v>
      </c>
      <c r="C191" s="26" t="s">
        <v>1137</v>
      </c>
    </row>
    <row r="192" spans="1:3" x14ac:dyDescent="0.25">
      <c r="A192" s="36">
        <v>41346</v>
      </c>
      <c r="B192" s="122">
        <v>0.33634259259259264</v>
      </c>
      <c r="C192" s="26" t="s">
        <v>1099</v>
      </c>
    </row>
    <row r="193" spans="1:3" x14ac:dyDescent="0.25">
      <c r="A193" s="36">
        <v>41346</v>
      </c>
      <c r="B193" s="122">
        <v>0.33634259259259264</v>
      </c>
      <c r="C193" s="26" t="s">
        <v>1160</v>
      </c>
    </row>
    <row r="194" spans="1:3" x14ac:dyDescent="0.25">
      <c r="A194" s="36">
        <v>41346</v>
      </c>
      <c r="B194" s="122">
        <v>0.33634259259259264</v>
      </c>
      <c r="C194" s="26" t="s">
        <v>1135</v>
      </c>
    </row>
    <row r="195" spans="1:3" x14ac:dyDescent="0.25">
      <c r="A195" s="36">
        <v>41346</v>
      </c>
      <c r="B195" s="122">
        <v>0.33634259259259264</v>
      </c>
      <c r="C195" s="26" t="s">
        <v>1165</v>
      </c>
    </row>
    <row r="196" spans="1:3" x14ac:dyDescent="0.25">
      <c r="A196" s="36">
        <v>41346</v>
      </c>
      <c r="B196" s="122">
        <v>0.33634259259259264</v>
      </c>
      <c r="C196" s="26" t="s">
        <v>1119</v>
      </c>
    </row>
    <row r="197" spans="1:3" x14ac:dyDescent="0.25">
      <c r="A197" s="36">
        <v>41346</v>
      </c>
      <c r="B197" s="122">
        <v>0.33634259259259264</v>
      </c>
      <c r="C197" s="26" t="s">
        <v>1241</v>
      </c>
    </row>
    <row r="198" spans="1:3" x14ac:dyDescent="0.25">
      <c r="A198" s="36">
        <v>41346</v>
      </c>
      <c r="B198" s="122">
        <v>0.33634259259259264</v>
      </c>
      <c r="C198" s="26" t="s">
        <v>1228</v>
      </c>
    </row>
    <row r="199" spans="1:3" x14ac:dyDescent="0.25">
      <c r="A199" s="36">
        <v>41346</v>
      </c>
      <c r="B199" s="122">
        <v>0.33634259259259264</v>
      </c>
      <c r="C199" s="26" t="s">
        <v>1151</v>
      </c>
    </row>
    <row r="200" spans="1:3" x14ac:dyDescent="0.25">
      <c r="A200" s="36">
        <v>41346</v>
      </c>
      <c r="B200" s="122">
        <v>0.33634259259259264</v>
      </c>
      <c r="C200" s="26" t="s">
        <v>1274</v>
      </c>
    </row>
    <row r="201" spans="1:3" x14ac:dyDescent="0.25">
      <c r="A201" s="36">
        <v>41346</v>
      </c>
      <c r="B201" s="122">
        <v>0.33634259259259264</v>
      </c>
      <c r="C201" s="26" t="s">
        <v>1126</v>
      </c>
    </row>
    <row r="202" spans="1:3" x14ac:dyDescent="0.25">
      <c r="A202" s="36">
        <v>41346</v>
      </c>
      <c r="B202" s="122">
        <v>0.33634259259259264</v>
      </c>
      <c r="C202" s="26" t="s">
        <v>1098</v>
      </c>
    </row>
    <row r="203" spans="1:3" x14ac:dyDescent="0.25">
      <c r="A203" s="36">
        <v>41346</v>
      </c>
      <c r="B203" s="122">
        <v>0.33634259259259264</v>
      </c>
      <c r="C203" s="26" t="s">
        <v>1190</v>
      </c>
    </row>
    <row r="204" spans="1:3" x14ac:dyDescent="0.25">
      <c r="A204" s="36">
        <v>41346</v>
      </c>
      <c r="B204" s="122">
        <v>0.33634259259259264</v>
      </c>
      <c r="C204" s="26" t="s">
        <v>1206</v>
      </c>
    </row>
    <row r="205" spans="1:3" x14ac:dyDescent="0.25">
      <c r="A205" s="36">
        <v>41346</v>
      </c>
      <c r="B205" s="122">
        <v>0.33634259259259264</v>
      </c>
      <c r="C205" s="26" t="s">
        <v>1183</v>
      </c>
    </row>
    <row r="206" spans="1:3" x14ac:dyDescent="0.25">
      <c r="A206" s="36">
        <v>41346</v>
      </c>
      <c r="B206" s="122">
        <v>0.33634259259259264</v>
      </c>
      <c r="C206" s="26" t="s">
        <v>1106</v>
      </c>
    </row>
    <row r="207" spans="1:3" x14ac:dyDescent="0.25">
      <c r="A207" s="36">
        <v>41346</v>
      </c>
      <c r="B207" s="122">
        <v>0.33634259259259264</v>
      </c>
      <c r="C207" s="26" t="s">
        <v>1106</v>
      </c>
    </row>
    <row r="208" spans="1:3" x14ac:dyDescent="0.25">
      <c r="A208" s="36">
        <v>41346</v>
      </c>
      <c r="B208" s="122">
        <v>0.33634259259259264</v>
      </c>
      <c r="C208" s="26" t="s">
        <v>1270</v>
      </c>
    </row>
    <row r="209" spans="1:3" x14ac:dyDescent="0.25">
      <c r="A209" s="36">
        <v>41346</v>
      </c>
      <c r="B209" s="122">
        <v>0.33634259259259264</v>
      </c>
      <c r="C209" s="26" t="s">
        <v>1216</v>
      </c>
    </row>
    <row r="210" spans="1:3" x14ac:dyDescent="0.25">
      <c r="A210" s="36">
        <v>41346</v>
      </c>
      <c r="B210" s="122">
        <v>0.33634259259259264</v>
      </c>
      <c r="C210" s="26" t="s">
        <v>1149</v>
      </c>
    </row>
    <row r="211" spans="1:3" x14ac:dyDescent="0.25">
      <c r="A211" s="36">
        <v>41346</v>
      </c>
      <c r="B211" s="122">
        <v>0.33634259259259264</v>
      </c>
      <c r="C211" s="26" t="s">
        <v>1118</v>
      </c>
    </row>
    <row r="212" spans="1:3" x14ac:dyDescent="0.25">
      <c r="A212" s="36">
        <v>41346</v>
      </c>
      <c r="B212" s="122">
        <v>0.33634259259259264</v>
      </c>
      <c r="C212" s="26" t="s">
        <v>1118</v>
      </c>
    </row>
    <row r="213" spans="1:3" x14ac:dyDescent="0.25">
      <c r="A213" s="36">
        <v>41346</v>
      </c>
      <c r="B213" s="122">
        <v>0.33634259259259264</v>
      </c>
      <c r="C213" s="26" t="s">
        <v>1160</v>
      </c>
    </row>
    <row r="214" spans="1:3" x14ac:dyDescent="0.25">
      <c r="A214" s="36">
        <v>41346</v>
      </c>
      <c r="B214" s="122">
        <v>0.33634259259259264</v>
      </c>
      <c r="C214" s="26" t="s">
        <v>1221</v>
      </c>
    </row>
    <row r="215" spans="1:3" x14ac:dyDescent="0.25">
      <c r="A215" s="36">
        <v>41346</v>
      </c>
      <c r="B215" s="122">
        <v>0.33634259259259264</v>
      </c>
      <c r="C215" s="26" t="s">
        <v>1147</v>
      </c>
    </row>
    <row r="216" spans="1:3" x14ac:dyDescent="0.25">
      <c r="A216" s="36">
        <v>41346</v>
      </c>
      <c r="B216" s="122">
        <v>0.33634259259259264</v>
      </c>
      <c r="C216" s="26" t="s">
        <v>1211</v>
      </c>
    </row>
    <row r="217" spans="1:3" x14ac:dyDescent="0.25">
      <c r="A217" s="36">
        <v>41346</v>
      </c>
      <c r="B217" s="122">
        <v>0.33634259259259264</v>
      </c>
      <c r="C217" s="26" t="s">
        <v>1117</v>
      </c>
    </row>
    <row r="218" spans="1:3" x14ac:dyDescent="0.25">
      <c r="A218" s="36">
        <v>41346</v>
      </c>
      <c r="B218" s="122">
        <v>0.33634259259259264</v>
      </c>
      <c r="C218" s="26" t="s">
        <v>1207</v>
      </c>
    </row>
    <row r="219" spans="1:3" x14ac:dyDescent="0.25">
      <c r="A219" s="36">
        <v>41346</v>
      </c>
      <c r="B219" s="122">
        <v>0.33634259259259264</v>
      </c>
      <c r="C219" s="26" t="s">
        <v>1185</v>
      </c>
    </row>
    <row r="220" spans="1:3" x14ac:dyDescent="0.25">
      <c r="A220" s="36">
        <v>41346</v>
      </c>
      <c r="B220" s="122">
        <v>0.33634259259259264</v>
      </c>
      <c r="C220" s="26" t="s">
        <v>1215</v>
      </c>
    </row>
    <row r="221" spans="1:3" x14ac:dyDescent="0.25">
      <c r="A221" s="36">
        <v>41346</v>
      </c>
      <c r="B221" s="122">
        <v>0.33634259259259264</v>
      </c>
      <c r="C221" s="26" t="s">
        <v>1170</v>
      </c>
    </row>
    <row r="222" spans="1:3" x14ac:dyDescent="0.25">
      <c r="A222" s="36">
        <v>41346</v>
      </c>
      <c r="B222" s="122">
        <v>0.33634259259259264</v>
      </c>
      <c r="C222" s="26" t="s">
        <v>1251</v>
      </c>
    </row>
    <row r="223" spans="1:3" x14ac:dyDescent="0.25">
      <c r="A223" s="36">
        <v>41346</v>
      </c>
      <c r="B223" s="122">
        <v>0.33634259259259264</v>
      </c>
      <c r="C223" s="26" t="s">
        <v>1124</v>
      </c>
    </row>
    <row r="224" spans="1:3" x14ac:dyDescent="0.25">
      <c r="A224" s="36">
        <v>41346</v>
      </c>
      <c r="B224" s="122">
        <v>0.33634259259259264</v>
      </c>
      <c r="C224" s="26" t="s">
        <v>1231</v>
      </c>
    </row>
    <row r="225" spans="1:3" x14ac:dyDescent="0.25">
      <c r="A225" s="36">
        <v>41346</v>
      </c>
      <c r="B225" s="122">
        <v>0.33634259259259264</v>
      </c>
      <c r="C225" s="26" t="s">
        <v>1205</v>
      </c>
    </row>
    <row r="226" spans="1:3" x14ac:dyDescent="0.25">
      <c r="A226" s="36">
        <v>41346</v>
      </c>
      <c r="B226" s="122">
        <v>0.33634259259259264</v>
      </c>
      <c r="C226" s="26" t="s">
        <v>1172</v>
      </c>
    </row>
    <row r="227" spans="1:3" x14ac:dyDescent="0.25">
      <c r="A227" s="36">
        <v>41346</v>
      </c>
      <c r="B227" s="122">
        <v>0.33634259259259264</v>
      </c>
      <c r="C227" s="26" t="s">
        <v>1100</v>
      </c>
    </row>
    <row r="228" spans="1:3" x14ac:dyDescent="0.25">
      <c r="A228" s="36">
        <v>41346</v>
      </c>
      <c r="B228" s="122">
        <v>0.33634259259259264</v>
      </c>
      <c r="C228" s="26" t="s">
        <v>1133</v>
      </c>
    </row>
    <row r="229" spans="1:3" x14ac:dyDescent="0.25">
      <c r="A229" s="36">
        <v>41346</v>
      </c>
      <c r="B229" s="122">
        <v>0.33634259259259264</v>
      </c>
      <c r="C229" s="26" t="s">
        <v>1187</v>
      </c>
    </row>
    <row r="230" spans="1:3" x14ac:dyDescent="0.25">
      <c r="A230" s="36">
        <v>41346</v>
      </c>
      <c r="B230" s="122">
        <v>0.33634259259259264</v>
      </c>
      <c r="C230" s="26" t="s">
        <v>1232</v>
      </c>
    </row>
    <row r="231" spans="1:3" x14ac:dyDescent="0.25">
      <c r="A231" s="36">
        <v>41346</v>
      </c>
      <c r="B231" s="122">
        <v>0.33634259259259264</v>
      </c>
      <c r="C231" s="26" t="s">
        <v>1147</v>
      </c>
    </row>
    <row r="232" spans="1:3" x14ac:dyDescent="0.25">
      <c r="A232" s="36">
        <v>41346</v>
      </c>
      <c r="B232" s="122">
        <v>0.33634259259259264</v>
      </c>
      <c r="C232" s="26" t="s">
        <v>1108</v>
      </c>
    </row>
    <row r="233" spans="1:3" x14ac:dyDescent="0.25">
      <c r="A233" s="36">
        <v>41346</v>
      </c>
      <c r="B233" s="122">
        <v>0.33634259259259264</v>
      </c>
      <c r="C233" s="26" t="s">
        <v>1250</v>
      </c>
    </row>
    <row r="234" spans="1:3" x14ac:dyDescent="0.25">
      <c r="A234" s="36">
        <v>41346</v>
      </c>
      <c r="B234" s="122">
        <v>0.33634259259259264</v>
      </c>
      <c r="C234" s="26" t="s">
        <v>1233</v>
      </c>
    </row>
    <row r="235" spans="1:3" x14ac:dyDescent="0.25">
      <c r="A235" s="36">
        <v>41346</v>
      </c>
      <c r="B235" s="122">
        <v>0.33634259259259264</v>
      </c>
      <c r="C235" s="26" t="s">
        <v>1233</v>
      </c>
    </row>
    <row r="236" spans="1:3" x14ac:dyDescent="0.25">
      <c r="A236" s="36">
        <v>41346</v>
      </c>
      <c r="B236" s="122">
        <v>0.33634259259259264</v>
      </c>
      <c r="C236" s="26" t="s">
        <v>1233</v>
      </c>
    </row>
    <row r="237" spans="1:3" x14ac:dyDescent="0.25">
      <c r="A237" s="36">
        <v>41346</v>
      </c>
      <c r="B237" s="122">
        <v>0.33634259259259264</v>
      </c>
      <c r="C237" s="26" t="s">
        <v>1164</v>
      </c>
    </row>
    <row r="238" spans="1:3" x14ac:dyDescent="0.25">
      <c r="A238" s="36">
        <v>41346</v>
      </c>
      <c r="B238" s="122">
        <v>0.33634259259259264</v>
      </c>
      <c r="C238" s="26" t="s">
        <v>1119</v>
      </c>
    </row>
    <row r="239" spans="1:3" x14ac:dyDescent="0.25">
      <c r="A239" s="36">
        <v>41346</v>
      </c>
      <c r="B239" s="122">
        <v>0.33634259259259264</v>
      </c>
      <c r="C239" s="26" t="s">
        <v>1246</v>
      </c>
    </row>
    <row r="240" spans="1:3" x14ac:dyDescent="0.25">
      <c r="A240" s="36">
        <v>41346</v>
      </c>
      <c r="B240" s="122">
        <v>0.33634259259259264</v>
      </c>
      <c r="C240" s="26" t="s">
        <v>1271</v>
      </c>
    </row>
    <row r="241" spans="1:3" x14ac:dyDescent="0.25">
      <c r="A241" s="36">
        <v>41346</v>
      </c>
      <c r="B241" s="122">
        <v>0.33634259259259264</v>
      </c>
      <c r="C241" s="26" t="s">
        <v>1102</v>
      </c>
    </row>
    <row r="242" spans="1:3" x14ac:dyDescent="0.25">
      <c r="A242" s="36">
        <v>41346</v>
      </c>
      <c r="B242" s="122">
        <v>0.33634259259259264</v>
      </c>
      <c r="C242" s="26" t="s">
        <v>1142</v>
      </c>
    </row>
    <row r="243" spans="1:3" x14ac:dyDescent="0.25">
      <c r="A243" s="36">
        <v>41346</v>
      </c>
      <c r="B243" s="122">
        <v>0.33634259259259264</v>
      </c>
      <c r="C243" s="26" t="s">
        <v>1146</v>
      </c>
    </row>
    <row r="244" spans="1:3" x14ac:dyDescent="0.25">
      <c r="A244" s="36">
        <v>41346</v>
      </c>
      <c r="B244" s="122">
        <v>0.33634259259259264</v>
      </c>
      <c r="C244" s="26" t="s">
        <v>1235</v>
      </c>
    </row>
    <row r="245" spans="1:3" x14ac:dyDescent="0.25">
      <c r="A245" s="36">
        <v>41346</v>
      </c>
      <c r="B245" s="122">
        <v>0.33634259259259264</v>
      </c>
      <c r="C245" s="26" t="s">
        <v>1180</v>
      </c>
    </row>
    <row r="246" spans="1:3" x14ac:dyDescent="0.25">
      <c r="A246" s="36">
        <v>41346</v>
      </c>
      <c r="B246" s="122">
        <v>0.33634259259259264</v>
      </c>
      <c r="C246" s="26" t="s">
        <v>1116</v>
      </c>
    </row>
    <row r="247" spans="1:3" x14ac:dyDescent="0.25">
      <c r="A247" s="36">
        <v>41346</v>
      </c>
      <c r="B247" s="122">
        <v>0.33634259259259264</v>
      </c>
      <c r="C247" s="26" t="s">
        <v>1131</v>
      </c>
    </row>
    <row r="248" spans="1:3" x14ac:dyDescent="0.25">
      <c r="A248" s="36">
        <v>41346</v>
      </c>
      <c r="B248" s="122">
        <v>0.33634259259259264</v>
      </c>
      <c r="C248" s="26" t="s">
        <v>1104</v>
      </c>
    </row>
    <row r="249" spans="1:3" x14ac:dyDescent="0.25">
      <c r="A249" s="36">
        <v>41346</v>
      </c>
      <c r="B249" s="122">
        <v>0.33634259259259264</v>
      </c>
      <c r="C249" s="26" t="s">
        <v>1119</v>
      </c>
    </row>
    <row r="250" spans="1:3" x14ac:dyDescent="0.25">
      <c r="A250" s="36">
        <v>41346</v>
      </c>
      <c r="B250" s="122">
        <v>0.33634259259259264</v>
      </c>
      <c r="C250" s="26" t="s">
        <v>1166</v>
      </c>
    </row>
    <row r="251" spans="1:3" x14ac:dyDescent="0.25">
      <c r="A251" s="36">
        <v>41346</v>
      </c>
      <c r="B251" s="122">
        <v>0.33634259259259264</v>
      </c>
      <c r="C251" s="26" t="s">
        <v>1107</v>
      </c>
    </row>
    <row r="252" spans="1:3" x14ac:dyDescent="0.25">
      <c r="A252" s="36">
        <v>41346</v>
      </c>
      <c r="B252" s="122">
        <v>0.33634259259259264</v>
      </c>
      <c r="C252" s="26" t="s">
        <v>1159</v>
      </c>
    </row>
    <row r="253" spans="1:3" x14ac:dyDescent="0.25">
      <c r="A253" s="36">
        <v>41346</v>
      </c>
      <c r="B253" s="122">
        <v>0.33634259259259264</v>
      </c>
      <c r="C253" s="26" t="s">
        <v>1175</v>
      </c>
    </row>
    <row r="254" spans="1:3" x14ac:dyDescent="0.25">
      <c r="A254" s="36">
        <v>41346</v>
      </c>
      <c r="B254" s="122">
        <v>0.33634259259259264</v>
      </c>
      <c r="C254" s="26" t="s">
        <v>1161</v>
      </c>
    </row>
    <row r="255" spans="1:3" x14ac:dyDescent="0.25">
      <c r="A255" s="36">
        <v>41346</v>
      </c>
      <c r="B255" s="122">
        <v>0.33634259259259264</v>
      </c>
      <c r="C255" s="26" t="s">
        <v>1173</v>
      </c>
    </row>
    <row r="256" spans="1:3" x14ac:dyDescent="0.25">
      <c r="A256" s="36">
        <v>41346</v>
      </c>
      <c r="B256" s="122">
        <v>0.33634259259259264</v>
      </c>
      <c r="C256" s="26" t="s">
        <v>1220</v>
      </c>
    </row>
    <row r="257" spans="1:3" x14ac:dyDescent="0.25">
      <c r="A257" s="36">
        <v>41346</v>
      </c>
      <c r="B257" s="122">
        <v>0.33634259259259264</v>
      </c>
      <c r="C257" s="26" t="s">
        <v>1097</v>
      </c>
    </row>
    <row r="258" spans="1:3" x14ac:dyDescent="0.25">
      <c r="A258" s="36">
        <v>41346</v>
      </c>
      <c r="B258" s="122">
        <v>0.33634259259259264</v>
      </c>
      <c r="C258" s="26" t="s">
        <v>1249</v>
      </c>
    </row>
    <row r="259" spans="1:3" x14ac:dyDescent="0.25">
      <c r="A259" s="36">
        <v>41346</v>
      </c>
      <c r="B259" s="122">
        <v>0.33634259259259264</v>
      </c>
      <c r="C259" s="26" t="s">
        <v>1249</v>
      </c>
    </row>
    <row r="260" spans="1:3" x14ac:dyDescent="0.25">
      <c r="A260" s="36">
        <v>41346</v>
      </c>
      <c r="B260" s="122">
        <v>0.33634259259259264</v>
      </c>
      <c r="C260" s="26" t="s">
        <v>1100</v>
      </c>
    </row>
    <row r="261" spans="1:3" x14ac:dyDescent="0.25">
      <c r="A261" s="36">
        <v>41346</v>
      </c>
      <c r="B261" s="122">
        <v>0.33634259259259264</v>
      </c>
      <c r="C261" s="26" t="s">
        <v>1107</v>
      </c>
    </row>
    <row r="262" spans="1:3" x14ac:dyDescent="0.25">
      <c r="A262" s="36">
        <v>41346</v>
      </c>
      <c r="B262" s="122">
        <v>0.33634259259259264</v>
      </c>
      <c r="C262" s="26" t="s">
        <v>1296</v>
      </c>
    </row>
    <row r="263" spans="1:3" x14ac:dyDescent="0.25">
      <c r="A263" s="36">
        <v>41346</v>
      </c>
      <c r="B263" s="122">
        <v>0.33634259259259264</v>
      </c>
      <c r="C263" s="26" t="s">
        <v>1297</v>
      </c>
    </row>
    <row r="264" spans="1:3" x14ac:dyDescent="0.25">
      <c r="A264" s="36">
        <v>41346</v>
      </c>
      <c r="B264" s="122">
        <v>0.33634259259259264</v>
      </c>
      <c r="C264" s="26" t="s">
        <v>1298</v>
      </c>
    </row>
    <row r="265" spans="1:3" x14ac:dyDescent="0.25">
      <c r="A265" s="36">
        <v>41346</v>
      </c>
      <c r="B265" s="122">
        <v>0.33634259259259264</v>
      </c>
      <c r="C265" s="26" t="s">
        <v>1226</v>
      </c>
    </row>
    <row r="266" spans="1:3" x14ac:dyDescent="0.25">
      <c r="A266" s="36">
        <v>41346</v>
      </c>
      <c r="B266" s="122">
        <v>0.33634259259259264</v>
      </c>
      <c r="C266" s="26" t="s">
        <v>1299</v>
      </c>
    </row>
    <row r="267" spans="1:3" x14ac:dyDescent="0.25">
      <c r="A267" s="36">
        <v>41346</v>
      </c>
      <c r="B267" s="122">
        <v>0.33634259259259264</v>
      </c>
      <c r="C267" s="26" t="s">
        <v>1252</v>
      </c>
    </row>
    <row r="268" spans="1:3" x14ac:dyDescent="0.25">
      <c r="A268" s="36">
        <v>41346</v>
      </c>
      <c r="B268" s="122">
        <v>0.33634259259259264</v>
      </c>
      <c r="C268" s="26" t="s">
        <v>1305</v>
      </c>
    </row>
    <row r="269" spans="1:3" x14ac:dyDescent="0.25">
      <c r="A269" s="36">
        <v>41346</v>
      </c>
      <c r="B269" s="122">
        <v>0.33634259259259264</v>
      </c>
      <c r="C269" s="26" t="s">
        <v>1306</v>
      </c>
    </row>
    <row r="270" spans="1:3" x14ac:dyDescent="0.25">
      <c r="A270" s="36">
        <v>41346</v>
      </c>
      <c r="B270" s="122">
        <v>0.33857638888888886</v>
      </c>
      <c r="C270" s="26" t="s">
        <v>1307</v>
      </c>
    </row>
    <row r="271" spans="1:3" ht="30" x14ac:dyDescent="0.25">
      <c r="A271" s="36">
        <v>41346</v>
      </c>
      <c r="B271" s="122">
        <v>0.33880787037037036</v>
      </c>
      <c r="C271" s="789" t="s">
        <v>1308</v>
      </c>
    </row>
    <row r="272" spans="1:3" ht="45" x14ac:dyDescent="0.25">
      <c r="A272" s="36">
        <v>41346</v>
      </c>
      <c r="B272" s="122">
        <v>0.3397222222222222</v>
      </c>
      <c r="C272" s="789" t="s">
        <v>1309</v>
      </c>
    </row>
    <row r="273" spans="1:3" x14ac:dyDescent="0.25">
      <c r="A273" s="36">
        <v>41346</v>
      </c>
      <c r="B273" s="122">
        <v>0.35493055555555553</v>
      </c>
      <c r="C273" s="26" t="s">
        <v>1310</v>
      </c>
    </row>
    <row r="274" spans="1:3" ht="30" x14ac:dyDescent="0.25">
      <c r="A274" s="36">
        <v>41346</v>
      </c>
      <c r="B274" s="122">
        <v>0.35513888888888889</v>
      </c>
      <c r="C274" s="789" t="s">
        <v>1311</v>
      </c>
    </row>
    <row r="275" spans="1:3" ht="45" x14ac:dyDescent="0.25">
      <c r="A275" s="36">
        <v>41346</v>
      </c>
      <c r="B275" s="122">
        <v>0.35621527777777778</v>
      </c>
      <c r="C275" s="789" t="s">
        <v>1312</v>
      </c>
    </row>
    <row r="276" spans="1:3" x14ac:dyDescent="0.25">
      <c r="A276" s="36">
        <v>41346</v>
      </c>
      <c r="B276" s="122">
        <v>0.35694444444444445</v>
      </c>
      <c r="C276" s="26" t="s">
        <v>1085</v>
      </c>
    </row>
    <row r="277" spans="1:3" x14ac:dyDescent="0.25">
      <c r="A277" s="36">
        <v>41346</v>
      </c>
      <c r="B277" s="122">
        <v>0.35694444444444445</v>
      </c>
      <c r="C277" s="26" t="s">
        <v>1086</v>
      </c>
    </row>
    <row r="278" spans="1:3" x14ac:dyDescent="0.25">
      <c r="A278" s="36">
        <v>41346</v>
      </c>
      <c r="B278" s="122">
        <v>0.35694444444444445</v>
      </c>
      <c r="C278" s="26" t="s">
        <v>1087</v>
      </c>
    </row>
    <row r="279" spans="1:3" x14ac:dyDescent="0.25">
      <c r="A279" s="36">
        <v>41346</v>
      </c>
      <c r="B279" s="122">
        <v>0.35694444444444445</v>
      </c>
      <c r="C279" s="26" t="s">
        <v>1088</v>
      </c>
    </row>
    <row r="280" spans="1:3" x14ac:dyDescent="0.25">
      <c r="A280" s="36">
        <v>41346</v>
      </c>
      <c r="B280" s="122">
        <v>0.35694444444444445</v>
      </c>
      <c r="C280" s="26" t="s">
        <v>1089</v>
      </c>
    </row>
    <row r="281" spans="1:3" x14ac:dyDescent="0.25">
      <c r="A281" s="36">
        <v>41346</v>
      </c>
      <c r="B281" s="122">
        <v>0.35694444444444445</v>
      </c>
      <c r="C281" s="26" t="s">
        <v>1087</v>
      </c>
    </row>
    <row r="282" spans="1:3" x14ac:dyDescent="0.25">
      <c r="A282" s="36">
        <v>41346</v>
      </c>
      <c r="B282" s="122">
        <v>0.35694444444444445</v>
      </c>
      <c r="C282" s="26" t="s">
        <v>1090</v>
      </c>
    </row>
    <row r="283" spans="1:3" x14ac:dyDescent="0.25">
      <c r="A283" s="36">
        <v>41346</v>
      </c>
      <c r="B283" s="122">
        <v>0.35694444444444445</v>
      </c>
      <c r="C283" s="26" t="s">
        <v>1090</v>
      </c>
    </row>
    <row r="284" spans="1:3" x14ac:dyDescent="0.25">
      <c r="A284" s="36">
        <v>41346</v>
      </c>
      <c r="B284" s="122">
        <v>0.35694444444444445</v>
      </c>
      <c r="C284" s="26" t="s">
        <v>1091</v>
      </c>
    </row>
    <row r="285" spans="1:3" x14ac:dyDescent="0.25">
      <c r="A285" s="36">
        <v>41346</v>
      </c>
      <c r="B285" s="122">
        <v>0.35694444444444445</v>
      </c>
      <c r="C285" s="26" t="s">
        <v>1092</v>
      </c>
    </row>
    <row r="286" spans="1:3" x14ac:dyDescent="0.25">
      <c r="A286" s="36">
        <v>41346</v>
      </c>
      <c r="B286" s="122">
        <v>0.35694444444444445</v>
      </c>
      <c r="C286" s="26" t="s">
        <v>1093</v>
      </c>
    </row>
    <row r="287" spans="1:3" x14ac:dyDescent="0.25">
      <c r="A287" s="36">
        <v>41346</v>
      </c>
      <c r="B287" s="122">
        <v>0.35694444444444445</v>
      </c>
      <c r="C287" s="26" t="s">
        <v>1094</v>
      </c>
    </row>
    <row r="288" spans="1:3" x14ac:dyDescent="0.25">
      <c r="A288" s="36">
        <v>41346</v>
      </c>
      <c r="B288" s="122">
        <v>0.35694444444444445</v>
      </c>
      <c r="C288" s="26" t="s">
        <v>1095</v>
      </c>
    </row>
    <row r="289" spans="1:3" x14ac:dyDescent="0.25">
      <c r="A289" s="36">
        <v>41346</v>
      </c>
      <c r="B289" s="122">
        <v>0.35694444444444445</v>
      </c>
      <c r="C289" s="26" t="s">
        <v>1087</v>
      </c>
    </row>
    <row r="290" spans="1:3" x14ac:dyDescent="0.25">
      <c r="A290" s="36">
        <v>41346</v>
      </c>
      <c r="B290" s="122">
        <v>0.35694444444444445</v>
      </c>
      <c r="C290" s="26" t="s">
        <v>1085</v>
      </c>
    </row>
    <row r="291" spans="1:3" x14ac:dyDescent="0.25">
      <c r="A291" s="36">
        <v>41346</v>
      </c>
      <c r="B291" s="122">
        <v>0.35694444444444445</v>
      </c>
      <c r="C291" s="26" t="s">
        <v>1085</v>
      </c>
    </row>
    <row r="292" spans="1:3" x14ac:dyDescent="0.25">
      <c r="A292" s="36">
        <v>41346</v>
      </c>
      <c r="B292" s="122">
        <v>0.35694444444444445</v>
      </c>
      <c r="C292" s="26" t="s">
        <v>1096</v>
      </c>
    </row>
    <row r="293" spans="1:3" x14ac:dyDescent="0.25">
      <c r="A293" s="36">
        <v>41346</v>
      </c>
      <c r="B293" s="122">
        <v>0.35694444444444445</v>
      </c>
      <c r="C293" s="26" t="s">
        <v>1278</v>
      </c>
    </row>
    <row r="294" spans="1:3" x14ac:dyDescent="0.25">
      <c r="A294" s="36">
        <v>41346</v>
      </c>
      <c r="B294" s="122">
        <v>0.35726851851851849</v>
      </c>
      <c r="C294" s="26" t="s">
        <v>1279</v>
      </c>
    </row>
    <row r="295" spans="1:3" x14ac:dyDescent="0.25">
      <c r="A295" s="36">
        <v>41346</v>
      </c>
      <c r="B295" s="122">
        <v>0.35726851851851849</v>
      </c>
      <c r="C295" s="26" t="s">
        <v>1279</v>
      </c>
    </row>
    <row r="296" spans="1:3" x14ac:dyDescent="0.25">
      <c r="A296" s="36">
        <v>41346</v>
      </c>
      <c r="B296" s="122">
        <v>0.35726851851851849</v>
      </c>
      <c r="C296" s="26" t="s">
        <v>1280</v>
      </c>
    </row>
    <row r="297" spans="1:3" x14ac:dyDescent="0.25">
      <c r="A297" s="36">
        <v>41346</v>
      </c>
      <c r="B297" s="122">
        <v>0.35726851851851849</v>
      </c>
      <c r="C297" s="26" t="s">
        <v>1281</v>
      </c>
    </row>
    <row r="298" spans="1:3" x14ac:dyDescent="0.25">
      <c r="A298" s="36">
        <v>41346</v>
      </c>
      <c r="B298" s="122">
        <v>0.35726851851851849</v>
      </c>
      <c r="C298" s="26" t="s">
        <v>1282</v>
      </c>
    </row>
    <row r="299" spans="1:3" x14ac:dyDescent="0.25">
      <c r="A299" s="36">
        <v>41346</v>
      </c>
      <c r="B299" s="122">
        <v>0.35726851851851849</v>
      </c>
      <c r="C299" s="26" t="s">
        <v>1280</v>
      </c>
    </row>
    <row r="300" spans="1:3" x14ac:dyDescent="0.25">
      <c r="A300" s="36">
        <v>41346</v>
      </c>
      <c r="B300" s="122">
        <v>0.35726851851851849</v>
      </c>
      <c r="C300" s="26" t="s">
        <v>1280</v>
      </c>
    </row>
    <row r="301" spans="1:3" x14ac:dyDescent="0.25">
      <c r="A301" s="36">
        <v>41346</v>
      </c>
      <c r="B301" s="122">
        <v>0.35726851851851849</v>
      </c>
      <c r="C301" s="26" t="s">
        <v>1282</v>
      </c>
    </row>
    <row r="302" spans="1:3" x14ac:dyDescent="0.25">
      <c r="A302" s="36">
        <v>41346</v>
      </c>
      <c r="B302" s="122">
        <v>0.35728009259259258</v>
      </c>
      <c r="C302" s="26" t="s">
        <v>1283</v>
      </c>
    </row>
    <row r="303" spans="1:3" x14ac:dyDescent="0.25">
      <c r="A303" s="36">
        <v>41346</v>
      </c>
      <c r="B303" s="122">
        <v>0.35728009259259258</v>
      </c>
      <c r="C303" s="26" t="s">
        <v>1284</v>
      </c>
    </row>
    <row r="304" spans="1:3" x14ac:dyDescent="0.25">
      <c r="A304" s="36">
        <v>41346</v>
      </c>
      <c r="B304" s="122">
        <v>0.35728009259259258</v>
      </c>
      <c r="C304" s="26" t="s">
        <v>1285</v>
      </c>
    </row>
    <row r="305" spans="1:3" x14ac:dyDescent="0.25">
      <c r="A305" s="36">
        <v>41346</v>
      </c>
      <c r="B305" s="122">
        <v>0.35728009259259258</v>
      </c>
      <c r="C305" s="26" t="s">
        <v>1284</v>
      </c>
    </row>
    <row r="306" spans="1:3" x14ac:dyDescent="0.25">
      <c r="A306" s="36">
        <v>41346</v>
      </c>
      <c r="B306" s="122">
        <v>0.35728009259259258</v>
      </c>
      <c r="C306" s="26" t="s">
        <v>1284</v>
      </c>
    </row>
    <row r="307" spans="1:3" x14ac:dyDescent="0.25">
      <c r="A307" s="36">
        <v>41346</v>
      </c>
      <c r="B307" s="122">
        <v>0.35728009259259258</v>
      </c>
      <c r="C307" s="26" t="s">
        <v>1286</v>
      </c>
    </row>
    <row r="308" spans="1:3" x14ac:dyDescent="0.25">
      <c r="A308" s="36">
        <v>41346</v>
      </c>
      <c r="B308" s="122">
        <v>0.35728009259259258</v>
      </c>
      <c r="C308" s="26" t="s">
        <v>1287</v>
      </c>
    </row>
    <row r="309" spans="1:3" x14ac:dyDescent="0.25">
      <c r="A309" s="36">
        <v>41346</v>
      </c>
      <c r="B309" s="122">
        <v>0.35728009259259258</v>
      </c>
      <c r="C309" s="26" t="s">
        <v>1287</v>
      </c>
    </row>
    <row r="310" spans="1:3" x14ac:dyDescent="0.25">
      <c r="A310" s="36">
        <v>41346</v>
      </c>
      <c r="B310" s="122">
        <v>0.35728009259259258</v>
      </c>
      <c r="C310" s="26" t="s">
        <v>1288</v>
      </c>
    </row>
    <row r="311" spans="1:3" x14ac:dyDescent="0.25">
      <c r="A311" s="36">
        <v>41346</v>
      </c>
      <c r="B311" s="122">
        <v>0.35728009259259258</v>
      </c>
      <c r="C311" s="26" t="s">
        <v>1289</v>
      </c>
    </row>
    <row r="312" spans="1:3" x14ac:dyDescent="0.25">
      <c r="A312" s="36">
        <v>41346</v>
      </c>
      <c r="B312" s="122">
        <v>0.35728009259259258</v>
      </c>
      <c r="C312" s="26" t="s">
        <v>1290</v>
      </c>
    </row>
    <row r="313" spans="1:3" x14ac:dyDescent="0.25">
      <c r="A313" s="36">
        <v>41346</v>
      </c>
      <c r="B313" s="122">
        <v>0.35728009259259258</v>
      </c>
      <c r="C313" s="26" t="s">
        <v>1291</v>
      </c>
    </row>
    <row r="314" spans="1:3" x14ac:dyDescent="0.25">
      <c r="A314" s="36">
        <v>41346</v>
      </c>
      <c r="B314" s="122">
        <v>0.35728009259259258</v>
      </c>
      <c r="C314" s="26" t="s">
        <v>1284</v>
      </c>
    </row>
    <row r="315" spans="1:3" x14ac:dyDescent="0.25">
      <c r="A315" s="36">
        <v>41346</v>
      </c>
      <c r="B315" s="122">
        <v>0.35729166666666662</v>
      </c>
      <c r="C315" s="26" t="s">
        <v>1287</v>
      </c>
    </row>
    <row r="316" spans="1:3" x14ac:dyDescent="0.25">
      <c r="A316" s="36">
        <v>41346</v>
      </c>
      <c r="B316" s="122">
        <v>0.35729166666666662</v>
      </c>
      <c r="C316" s="26" t="s">
        <v>1290</v>
      </c>
    </row>
    <row r="317" spans="1:3" x14ac:dyDescent="0.25">
      <c r="A317" s="36">
        <v>41346</v>
      </c>
      <c r="B317" s="122">
        <v>0.35729166666666662</v>
      </c>
      <c r="C317" s="26" t="s">
        <v>1287</v>
      </c>
    </row>
    <row r="318" spans="1:3" x14ac:dyDescent="0.25">
      <c r="A318" s="36">
        <v>41346</v>
      </c>
      <c r="B318" s="122">
        <v>0.35729166666666662</v>
      </c>
      <c r="C318" s="26" t="s">
        <v>1290</v>
      </c>
    </row>
    <row r="319" spans="1:3" x14ac:dyDescent="0.25">
      <c r="A319" s="36">
        <v>41346</v>
      </c>
      <c r="B319" s="122">
        <v>0.35729166666666662</v>
      </c>
      <c r="C319" s="26" t="s">
        <v>1290</v>
      </c>
    </row>
    <row r="320" spans="1:3" x14ac:dyDescent="0.25">
      <c r="A320" s="36">
        <v>41346</v>
      </c>
      <c r="B320" s="122">
        <v>0.35729166666666662</v>
      </c>
      <c r="C320" s="26" t="s">
        <v>1289</v>
      </c>
    </row>
    <row r="321" spans="1:3" x14ac:dyDescent="0.25">
      <c r="A321" s="36">
        <v>41346</v>
      </c>
      <c r="B321" s="122">
        <v>0.35729166666666662</v>
      </c>
      <c r="C321" s="26" t="s">
        <v>1280</v>
      </c>
    </row>
    <row r="322" spans="1:3" x14ac:dyDescent="0.25">
      <c r="A322" s="36">
        <v>41346</v>
      </c>
      <c r="B322" s="122">
        <v>0.35729166666666662</v>
      </c>
      <c r="C322" s="26" t="s">
        <v>1287</v>
      </c>
    </row>
    <row r="323" spans="1:3" x14ac:dyDescent="0.25">
      <c r="A323" s="36">
        <v>41346</v>
      </c>
      <c r="B323" s="122">
        <v>0.35729166666666662</v>
      </c>
      <c r="C323" s="26" t="s">
        <v>1291</v>
      </c>
    </row>
    <row r="324" spans="1:3" x14ac:dyDescent="0.25">
      <c r="A324" s="36">
        <v>41346</v>
      </c>
      <c r="B324" s="122">
        <v>0.35729166666666662</v>
      </c>
      <c r="C324" s="26" t="s">
        <v>1291</v>
      </c>
    </row>
    <row r="325" spans="1:3" x14ac:dyDescent="0.25">
      <c r="A325" s="36">
        <v>41346</v>
      </c>
      <c r="B325" s="122">
        <v>0.35729166666666662</v>
      </c>
      <c r="C325" s="26" t="s">
        <v>1287</v>
      </c>
    </row>
    <row r="326" spans="1:3" x14ac:dyDescent="0.25">
      <c r="A326" s="36">
        <v>41346</v>
      </c>
      <c r="B326" s="122">
        <v>0.35729166666666662</v>
      </c>
      <c r="C326" s="26" t="s">
        <v>1292</v>
      </c>
    </row>
    <row r="327" spans="1:3" x14ac:dyDescent="0.25">
      <c r="A327" s="36">
        <v>41346</v>
      </c>
      <c r="B327" s="122">
        <v>0.35729166666666662</v>
      </c>
      <c r="C327" s="26" t="s">
        <v>1293</v>
      </c>
    </row>
    <row r="328" spans="1:3" x14ac:dyDescent="0.25">
      <c r="A328" s="36">
        <v>41346</v>
      </c>
      <c r="B328" s="122">
        <v>0.35729166666666662</v>
      </c>
      <c r="C328" s="26" t="s">
        <v>1290</v>
      </c>
    </row>
    <row r="329" spans="1:3" x14ac:dyDescent="0.25">
      <c r="A329" s="36">
        <v>41346</v>
      </c>
      <c r="B329" s="122">
        <v>0.35729166666666662</v>
      </c>
      <c r="C329" s="26" t="s">
        <v>1294</v>
      </c>
    </row>
    <row r="330" spans="1:3" x14ac:dyDescent="0.25">
      <c r="A330" s="36">
        <v>41346</v>
      </c>
      <c r="B330" s="122">
        <v>0.35729166666666662</v>
      </c>
      <c r="C330" s="26" t="s">
        <v>1294</v>
      </c>
    </row>
    <row r="331" spans="1:3" x14ac:dyDescent="0.25">
      <c r="A331" s="36">
        <v>41346</v>
      </c>
      <c r="B331" s="122">
        <v>0.35729166666666662</v>
      </c>
      <c r="C331" s="26" t="s">
        <v>1295</v>
      </c>
    </row>
    <row r="332" spans="1:3" x14ac:dyDescent="0.25">
      <c r="A332" s="36">
        <v>41346</v>
      </c>
      <c r="B332" s="122">
        <v>0.35729166666666662</v>
      </c>
      <c r="C332" s="26" t="s">
        <v>1282</v>
      </c>
    </row>
    <row r="333" spans="1:3" ht="30" x14ac:dyDescent="0.25">
      <c r="A333" s="36">
        <v>41346</v>
      </c>
      <c r="B333" s="122">
        <v>0.35729166666666662</v>
      </c>
      <c r="C333" s="789" t="s">
        <v>1313</v>
      </c>
    </row>
    <row r="334" spans="1:3" x14ac:dyDescent="0.25">
      <c r="A334" s="36">
        <v>41346</v>
      </c>
      <c r="B334" s="122">
        <v>0.35729166666666662</v>
      </c>
      <c r="C334" s="26" t="s">
        <v>1314</v>
      </c>
    </row>
    <row r="335" spans="1:3" x14ac:dyDescent="0.25">
      <c r="A335" s="36">
        <v>41346</v>
      </c>
      <c r="B335" s="122">
        <v>0.35751157407407402</v>
      </c>
      <c r="C335" s="26" t="s">
        <v>1279</v>
      </c>
    </row>
    <row r="336" spans="1:3" x14ac:dyDescent="0.25">
      <c r="A336" s="36">
        <v>41346</v>
      </c>
      <c r="B336" s="122">
        <v>0.35751157407407402</v>
      </c>
      <c r="C336" s="26" t="s">
        <v>1279</v>
      </c>
    </row>
    <row r="337" spans="1:3" x14ac:dyDescent="0.25">
      <c r="A337" s="36">
        <v>41346</v>
      </c>
      <c r="B337" s="122">
        <v>0.35751157407407402</v>
      </c>
      <c r="C337" s="26" t="s">
        <v>1280</v>
      </c>
    </row>
    <row r="338" spans="1:3" x14ac:dyDescent="0.25">
      <c r="A338" s="36">
        <v>41346</v>
      </c>
      <c r="B338" s="122">
        <v>0.35751157407407402</v>
      </c>
      <c r="C338" s="26" t="s">
        <v>1281</v>
      </c>
    </row>
    <row r="339" spans="1:3" x14ac:dyDescent="0.25">
      <c r="A339" s="36">
        <v>41346</v>
      </c>
      <c r="B339" s="122">
        <v>0.35751157407407402</v>
      </c>
      <c r="C339" s="26" t="s">
        <v>1282</v>
      </c>
    </row>
    <row r="340" spans="1:3" x14ac:dyDescent="0.25">
      <c r="A340" s="36">
        <v>41346</v>
      </c>
      <c r="B340" s="122">
        <v>0.35751157407407402</v>
      </c>
      <c r="C340" s="26" t="s">
        <v>1280</v>
      </c>
    </row>
    <row r="341" spans="1:3" x14ac:dyDescent="0.25">
      <c r="A341" s="36">
        <v>41346</v>
      </c>
      <c r="B341" s="122">
        <v>0.35751157407407402</v>
      </c>
      <c r="C341" s="26" t="s">
        <v>1280</v>
      </c>
    </row>
    <row r="342" spans="1:3" x14ac:dyDescent="0.25">
      <c r="A342" s="36">
        <v>41346</v>
      </c>
      <c r="B342" s="122">
        <v>0.35752314814814817</v>
      </c>
      <c r="C342" s="26" t="s">
        <v>1282</v>
      </c>
    </row>
    <row r="343" spans="1:3" x14ac:dyDescent="0.25">
      <c r="A343" s="36">
        <v>41346</v>
      </c>
      <c r="B343" s="122">
        <v>0.35752314814814817</v>
      </c>
      <c r="C343" s="26" t="s">
        <v>1283</v>
      </c>
    </row>
    <row r="344" spans="1:3" x14ac:dyDescent="0.25">
      <c r="A344" s="36">
        <v>41346</v>
      </c>
      <c r="B344" s="122">
        <v>0.35752314814814817</v>
      </c>
      <c r="C344" s="26" t="s">
        <v>1284</v>
      </c>
    </row>
    <row r="345" spans="1:3" x14ac:dyDescent="0.25">
      <c r="A345" s="36">
        <v>41346</v>
      </c>
      <c r="B345" s="122">
        <v>0.35752314814814817</v>
      </c>
      <c r="C345" s="26" t="s">
        <v>1285</v>
      </c>
    </row>
    <row r="346" spans="1:3" x14ac:dyDescent="0.25">
      <c r="A346" s="36">
        <v>41346</v>
      </c>
      <c r="B346" s="122">
        <v>0.35752314814814817</v>
      </c>
      <c r="C346" s="26" t="s">
        <v>1284</v>
      </c>
    </row>
    <row r="347" spans="1:3" x14ac:dyDescent="0.25">
      <c r="A347" s="36">
        <v>41346</v>
      </c>
      <c r="B347" s="122">
        <v>0.35752314814814817</v>
      </c>
      <c r="C347" s="26" t="s">
        <v>1284</v>
      </c>
    </row>
    <row r="348" spans="1:3" x14ac:dyDescent="0.25">
      <c r="A348" s="36">
        <v>41346</v>
      </c>
      <c r="B348" s="122">
        <v>0.35752314814814817</v>
      </c>
      <c r="C348" s="26" t="s">
        <v>1286</v>
      </c>
    </row>
    <row r="349" spans="1:3" x14ac:dyDescent="0.25">
      <c r="A349" s="36">
        <v>41346</v>
      </c>
      <c r="B349" s="122">
        <v>0.35752314814814817</v>
      </c>
      <c r="C349" s="26" t="s">
        <v>1287</v>
      </c>
    </row>
    <row r="350" spans="1:3" x14ac:dyDescent="0.25">
      <c r="A350" s="36">
        <v>41346</v>
      </c>
      <c r="B350" s="122">
        <v>0.35753472222222221</v>
      </c>
      <c r="C350" s="26" t="s">
        <v>1287</v>
      </c>
    </row>
    <row r="351" spans="1:3" x14ac:dyDescent="0.25">
      <c r="A351" s="36">
        <v>41346</v>
      </c>
      <c r="B351" s="122">
        <v>0.35753472222222221</v>
      </c>
      <c r="C351" s="26" t="s">
        <v>1288</v>
      </c>
    </row>
    <row r="352" spans="1:3" x14ac:dyDescent="0.25">
      <c r="A352" s="36">
        <v>41346</v>
      </c>
      <c r="B352" s="122">
        <v>0.35753472222222221</v>
      </c>
      <c r="C352" s="26" t="s">
        <v>1289</v>
      </c>
    </row>
    <row r="353" spans="1:3" x14ac:dyDescent="0.25">
      <c r="A353" s="36">
        <v>41346</v>
      </c>
      <c r="B353" s="122">
        <v>0.35753472222222221</v>
      </c>
      <c r="C353" s="26" t="s">
        <v>1290</v>
      </c>
    </row>
    <row r="354" spans="1:3" x14ac:dyDescent="0.25">
      <c r="A354" s="36">
        <v>41346</v>
      </c>
      <c r="B354" s="122">
        <v>0.35753472222222221</v>
      </c>
      <c r="C354" s="26" t="s">
        <v>1291</v>
      </c>
    </row>
    <row r="355" spans="1:3" x14ac:dyDescent="0.25">
      <c r="A355" s="36">
        <v>41346</v>
      </c>
      <c r="B355" s="122">
        <v>0.35753472222222221</v>
      </c>
      <c r="C355" s="26" t="s">
        <v>1284</v>
      </c>
    </row>
    <row r="356" spans="1:3" x14ac:dyDescent="0.25">
      <c r="A356" s="36">
        <v>41346</v>
      </c>
      <c r="B356" s="122">
        <v>0.35753472222222221</v>
      </c>
      <c r="C356" s="26" t="s">
        <v>1287</v>
      </c>
    </row>
    <row r="357" spans="1:3" x14ac:dyDescent="0.25">
      <c r="A357" s="36">
        <v>41346</v>
      </c>
      <c r="B357" s="122">
        <v>0.35753472222222221</v>
      </c>
      <c r="C357" s="26" t="s">
        <v>1290</v>
      </c>
    </row>
    <row r="358" spans="1:3" x14ac:dyDescent="0.25">
      <c r="A358" s="36">
        <v>41346</v>
      </c>
      <c r="B358" s="122">
        <v>0.35753472222222221</v>
      </c>
      <c r="C358" s="26" t="s">
        <v>1287</v>
      </c>
    </row>
    <row r="359" spans="1:3" x14ac:dyDescent="0.25">
      <c r="A359" s="36">
        <v>41346</v>
      </c>
      <c r="B359" s="122">
        <v>0.35753472222222221</v>
      </c>
      <c r="C359" s="26" t="s">
        <v>1290</v>
      </c>
    </row>
    <row r="360" spans="1:3" x14ac:dyDescent="0.25">
      <c r="A360" s="36">
        <v>41346</v>
      </c>
      <c r="B360" s="122">
        <v>0.35753472222222221</v>
      </c>
      <c r="C360" s="26" t="s">
        <v>1290</v>
      </c>
    </row>
    <row r="361" spans="1:3" x14ac:dyDescent="0.25">
      <c r="A361" s="36">
        <v>41346</v>
      </c>
      <c r="B361" s="122">
        <v>0.35753472222222221</v>
      </c>
      <c r="C361" s="26" t="s">
        <v>1289</v>
      </c>
    </row>
    <row r="362" spans="1:3" x14ac:dyDescent="0.25">
      <c r="A362" s="36">
        <v>41346</v>
      </c>
      <c r="B362" s="122">
        <v>0.35753472222222221</v>
      </c>
      <c r="C362" s="26" t="s">
        <v>1280</v>
      </c>
    </row>
    <row r="363" spans="1:3" x14ac:dyDescent="0.25">
      <c r="A363" s="36">
        <v>41346</v>
      </c>
      <c r="B363" s="122">
        <v>0.35753472222222221</v>
      </c>
      <c r="C363" s="26" t="s">
        <v>1287</v>
      </c>
    </row>
    <row r="364" spans="1:3" x14ac:dyDescent="0.25">
      <c r="A364" s="36">
        <v>41346</v>
      </c>
      <c r="B364" s="122">
        <v>0.35753472222222221</v>
      </c>
      <c r="C364" s="26" t="s">
        <v>1291</v>
      </c>
    </row>
    <row r="365" spans="1:3" x14ac:dyDescent="0.25">
      <c r="A365" s="36">
        <v>41346</v>
      </c>
      <c r="B365" s="122">
        <v>0.35753472222222221</v>
      </c>
      <c r="C365" s="26" t="s">
        <v>1291</v>
      </c>
    </row>
    <row r="366" spans="1:3" x14ac:dyDescent="0.25">
      <c r="A366" s="36">
        <v>41346</v>
      </c>
      <c r="B366" s="122">
        <v>0.35753472222222221</v>
      </c>
      <c r="C366" s="26" t="s">
        <v>1287</v>
      </c>
    </row>
    <row r="367" spans="1:3" x14ac:dyDescent="0.25">
      <c r="A367" s="36">
        <v>41346</v>
      </c>
      <c r="B367" s="122">
        <v>0.35753472222222221</v>
      </c>
      <c r="C367" s="26" t="s">
        <v>1292</v>
      </c>
    </row>
    <row r="368" spans="1:3" x14ac:dyDescent="0.25">
      <c r="A368" s="36">
        <v>41346</v>
      </c>
      <c r="B368" s="122">
        <v>0.35753472222222221</v>
      </c>
      <c r="C368" s="26" t="s">
        <v>1293</v>
      </c>
    </row>
    <row r="369" spans="1:3" x14ac:dyDescent="0.25">
      <c r="A369" s="36">
        <v>41346</v>
      </c>
      <c r="B369" s="122">
        <v>0.35753472222222221</v>
      </c>
      <c r="C369" s="26" t="s">
        <v>1290</v>
      </c>
    </row>
    <row r="370" spans="1:3" x14ac:dyDescent="0.25">
      <c r="A370" s="36">
        <v>41346</v>
      </c>
      <c r="B370" s="122">
        <v>0.35753472222222221</v>
      </c>
      <c r="C370" s="26" t="s">
        <v>1294</v>
      </c>
    </row>
    <row r="371" spans="1:3" x14ac:dyDescent="0.25">
      <c r="A371" s="36">
        <v>41346</v>
      </c>
      <c r="B371" s="122">
        <v>0.35753472222222221</v>
      </c>
      <c r="C371" s="26" t="s">
        <v>1294</v>
      </c>
    </row>
    <row r="372" spans="1:3" x14ac:dyDescent="0.25">
      <c r="A372" s="36">
        <v>41346</v>
      </c>
      <c r="B372" s="122">
        <v>0.35753472222222221</v>
      </c>
      <c r="C372" s="26" t="s">
        <v>1295</v>
      </c>
    </row>
    <row r="373" spans="1:3" x14ac:dyDescent="0.25">
      <c r="A373" s="36">
        <v>41346</v>
      </c>
      <c r="B373" s="122">
        <v>0.35753472222222221</v>
      </c>
      <c r="C373" s="26" t="s">
        <v>1282</v>
      </c>
    </row>
    <row r="374" spans="1:3" ht="30" x14ac:dyDescent="0.25">
      <c r="A374" s="36">
        <v>41346</v>
      </c>
      <c r="B374" s="122">
        <v>0.35753472222222221</v>
      </c>
      <c r="C374" s="789" t="s">
        <v>1315</v>
      </c>
    </row>
    <row r="375" spans="1:3" x14ac:dyDescent="0.25">
      <c r="A375" s="36">
        <v>41346</v>
      </c>
      <c r="B375" s="122">
        <v>0.35753472222222221</v>
      </c>
      <c r="C375" s="26" t="s">
        <v>1277</v>
      </c>
    </row>
    <row r="376" spans="1:3" x14ac:dyDescent="0.25">
      <c r="A376" s="36">
        <v>41346</v>
      </c>
      <c r="B376" s="122">
        <v>0.35903935185185182</v>
      </c>
      <c r="C376" s="26" t="s">
        <v>1316</v>
      </c>
    </row>
    <row r="377" spans="1:3" ht="30" x14ac:dyDescent="0.25">
      <c r="A377" s="36">
        <v>41346</v>
      </c>
      <c r="B377" s="122">
        <v>0.35925925925925922</v>
      </c>
      <c r="C377" s="789" t="s">
        <v>1317</v>
      </c>
    </row>
    <row r="378" spans="1:3" ht="45" x14ac:dyDescent="0.25">
      <c r="A378" s="36">
        <v>41346</v>
      </c>
      <c r="B378" s="122">
        <v>0.36016203703703703</v>
      </c>
      <c r="C378" s="789" t="s">
        <v>1318</v>
      </c>
    </row>
    <row r="379" spans="1:3" x14ac:dyDescent="0.25">
      <c r="A379" s="36">
        <v>41346</v>
      </c>
      <c r="B379" s="122">
        <v>0.37678240740740737</v>
      </c>
      <c r="C379" s="26" t="s">
        <v>1319</v>
      </c>
    </row>
    <row r="380" spans="1:3" x14ac:dyDescent="0.25">
      <c r="A380" s="36">
        <v>41346</v>
      </c>
      <c r="B380" s="122">
        <v>0.3772800925925926</v>
      </c>
      <c r="C380" s="26" t="s">
        <v>1320</v>
      </c>
    </row>
    <row r="381" spans="1:3" ht="30" x14ac:dyDescent="0.25">
      <c r="A381" s="36">
        <v>41346</v>
      </c>
      <c r="B381" s="122">
        <v>0.37732638888888892</v>
      </c>
      <c r="C381" s="789" t="s">
        <v>1321</v>
      </c>
    </row>
    <row r="382" spans="1:3" ht="45" x14ac:dyDescent="0.25">
      <c r="A382" s="36">
        <v>41346</v>
      </c>
      <c r="B382" s="122">
        <v>0.37739583333333332</v>
      </c>
      <c r="C382" s="789" t="s">
        <v>1322</v>
      </c>
    </row>
    <row r="383" spans="1:3" x14ac:dyDescent="0.25">
      <c r="A383" s="36">
        <v>41346</v>
      </c>
      <c r="B383" s="122">
        <v>0.37898148148148153</v>
      </c>
      <c r="C383" s="26" t="s">
        <v>1323</v>
      </c>
    </row>
    <row r="384" spans="1:3" ht="30" x14ac:dyDescent="0.25">
      <c r="A384" s="36">
        <v>41346</v>
      </c>
      <c r="B384" s="122">
        <v>0.37922453703703707</v>
      </c>
      <c r="C384" s="789" t="s">
        <v>1324</v>
      </c>
    </row>
    <row r="385" spans="1:3" ht="45" x14ac:dyDescent="0.25">
      <c r="A385" s="36">
        <v>41346</v>
      </c>
      <c r="B385" s="122">
        <v>0.38005787037037037</v>
      </c>
      <c r="C385" s="789" t="s">
        <v>1325</v>
      </c>
    </row>
    <row r="386" spans="1:3" x14ac:dyDescent="0.25">
      <c r="A386" s="36">
        <v>41346</v>
      </c>
      <c r="B386" s="122">
        <v>0.38091435185185185</v>
      </c>
      <c r="C386" s="26" t="s">
        <v>1261</v>
      </c>
    </row>
    <row r="387" spans="1:3" x14ac:dyDescent="0.25">
      <c r="A387" s="36">
        <v>41346</v>
      </c>
      <c r="B387" s="122">
        <v>0.38091435185185185</v>
      </c>
      <c r="C387" s="26" t="s">
        <v>1217</v>
      </c>
    </row>
    <row r="388" spans="1:3" x14ac:dyDescent="0.25">
      <c r="A388" s="36">
        <v>41346</v>
      </c>
      <c r="B388" s="122">
        <v>0.38091435185185185</v>
      </c>
      <c r="C388" s="26" t="s">
        <v>1171</v>
      </c>
    </row>
    <row r="389" spans="1:3" x14ac:dyDescent="0.25">
      <c r="A389" s="36">
        <v>41346</v>
      </c>
      <c r="B389" s="122">
        <v>0.38091435185185185</v>
      </c>
      <c r="C389" s="26" t="s">
        <v>1186</v>
      </c>
    </row>
    <row r="390" spans="1:3" x14ac:dyDescent="0.25">
      <c r="A390" s="36">
        <v>41346</v>
      </c>
      <c r="B390" s="122">
        <v>0.38091435185185185</v>
      </c>
      <c r="C390" s="26" t="s">
        <v>1242</v>
      </c>
    </row>
    <row r="391" spans="1:3" x14ac:dyDescent="0.25">
      <c r="A391" s="36">
        <v>41346</v>
      </c>
      <c r="B391" s="122">
        <v>0.38091435185185185</v>
      </c>
      <c r="C391" s="26" t="s">
        <v>1222</v>
      </c>
    </row>
    <row r="392" spans="1:3" x14ac:dyDescent="0.25">
      <c r="A392" s="36">
        <v>41346</v>
      </c>
      <c r="B392" s="122">
        <v>0.38091435185185185</v>
      </c>
      <c r="C392" s="26" t="s">
        <v>1184</v>
      </c>
    </row>
    <row r="393" spans="1:3" x14ac:dyDescent="0.25">
      <c r="A393" s="36">
        <v>41346</v>
      </c>
      <c r="B393" s="122">
        <v>0.38091435185185185</v>
      </c>
      <c r="C393" s="26" t="s">
        <v>1264</v>
      </c>
    </row>
    <row r="394" spans="1:3" x14ac:dyDescent="0.25">
      <c r="A394" s="36">
        <v>41346</v>
      </c>
      <c r="B394" s="122">
        <v>0.38091435185185185</v>
      </c>
      <c r="C394" s="26" t="s">
        <v>1213</v>
      </c>
    </row>
    <row r="395" spans="1:3" x14ac:dyDescent="0.25">
      <c r="A395" s="36">
        <v>41346</v>
      </c>
      <c r="B395" s="122">
        <v>0.38091435185185185</v>
      </c>
      <c r="C395" s="26" t="s">
        <v>1230</v>
      </c>
    </row>
    <row r="396" spans="1:3" x14ac:dyDescent="0.25">
      <c r="A396" s="36">
        <v>41346</v>
      </c>
      <c r="B396" s="122">
        <v>0.38091435185185185</v>
      </c>
      <c r="C396" s="26" t="s">
        <v>1178</v>
      </c>
    </row>
    <row r="397" spans="1:3" x14ac:dyDescent="0.25">
      <c r="A397" s="36">
        <v>41346</v>
      </c>
      <c r="B397" s="122">
        <v>0.38091435185185185</v>
      </c>
      <c r="C397" s="26" t="s">
        <v>1236</v>
      </c>
    </row>
    <row r="398" spans="1:3" x14ac:dyDescent="0.25">
      <c r="A398" s="36">
        <v>41346</v>
      </c>
      <c r="B398" s="122">
        <v>0.38091435185185185</v>
      </c>
      <c r="C398" s="26" t="s">
        <v>1267</v>
      </c>
    </row>
    <row r="399" spans="1:3" x14ac:dyDescent="0.25">
      <c r="A399" s="36">
        <v>41346</v>
      </c>
      <c r="B399" s="122">
        <v>0.38091435185185185</v>
      </c>
      <c r="C399" s="26" t="s">
        <v>1272</v>
      </c>
    </row>
    <row r="400" spans="1:3" x14ac:dyDescent="0.25">
      <c r="A400" s="36">
        <v>41346</v>
      </c>
      <c r="B400" s="122">
        <v>0.38091435185185185</v>
      </c>
      <c r="C400" s="26" t="s">
        <v>1263</v>
      </c>
    </row>
    <row r="401" spans="1:3" x14ac:dyDescent="0.25">
      <c r="A401" s="36">
        <v>41346</v>
      </c>
      <c r="B401" s="122">
        <v>0.38091435185185185</v>
      </c>
      <c r="C401" s="26" t="s">
        <v>1201</v>
      </c>
    </row>
    <row r="402" spans="1:3" x14ac:dyDescent="0.25">
      <c r="A402" s="36">
        <v>41346</v>
      </c>
      <c r="B402" s="122">
        <v>0.38091435185185185</v>
      </c>
      <c r="C402" s="26" t="s">
        <v>1273</v>
      </c>
    </row>
    <row r="403" spans="1:3" x14ac:dyDescent="0.25">
      <c r="A403" s="36">
        <v>41346</v>
      </c>
      <c r="B403" s="122">
        <v>0.38091435185185185</v>
      </c>
      <c r="C403" s="26" t="s">
        <v>1253</v>
      </c>
    </row>
    <row r="404" spans="1:3" x14ac:dyDescent="0.25">
      <c r="A404" s="36">
        <v>41346</v>
      </c>
      <c r="B404" s="122">
        <v>0.38091435185185185</v>
      </c>
      <c r="C404" s="26" t="s">
        <v>1242</v>
      </c>
    </row>
    <row r="405" spans="1:3" x14ac:dyDescent="0.25">
      <c r="A405" s="36">
        <v>41346</v>
      </c>
      <c r="B405" s="122">
        <v>0.38091435185185185</v>
      </c>
      <c r="C405" s="26" t="s">
        <v>1154</v>
      </c>
    </row>
    <row r="406" spans="1:3" x14ac:dyDescent="0.25">
      <c r="A406" s="36">
        <v>41346</v>
      </c>
      <c r="B406" s="122">
        <v>0.38091435185185185</v>
      </c>
      <c r="C406" s="26" t="s">
        <v>1155</v>
      </c>
    </row>
    <row r="407" spans="1:3" x14ac:dyDescent="0.25">
      <c r="A407" s="36">
        <v>41346</v>
      </c>
      <c r="B407" s="122">
        <v>0.38091435185185185</v>
      </c>
      <c r="C407" s="26" t="s">
        <v>1223</v>
      </c>
    </row>
    <row r="408" spans="1:3" x14ac:dyDescent="0.25">
      <c r="A408" s="36">
        <v>41346</v>
      </c>
      <c r="B408" s="122">
        <v>0.38091435185185185</v>
      </c>
      <c r="C408" s="26" t="s">
        <v>1195</v>
      </c>
    </row>
    <row r="409" spans="1:3" x14ac:dyDescent="0.25">
      <c r="A409" s="36">
        <v>41346</v>
      </c>
      <c r="B409" s="122">
        <v>0.38091435185185185</v>
      </c>
      <c r="C409" s="26" t="s">
        <v>1269</v>
      </c>
    </row>
    <row r="410" spans="1:3" x14ac:dyDescent="0.25">
      <c r="A410" s="36">
        <v>41346</v>
      </c>
      <c r="B410" s="122">
        <v>0.38091435185185185</v>
      </c>
      <c r="C410" s="26" t="s">
        <v>1241</v>
      </c>
    </row>
    <row r="411" spans="1:3" x14ac:dyDescent="0.25">
      <c r="A411" s="36">
        <v>41346</v>
      </c>
      <c r="B411" s="122">
        <v>0.38091435185185185</v>
      </c>
      <c r="C411" s="26" t="s">
        <v>1202</v>
      </c>
    </row>
    <row r="412" spans="1:3" x14ac:dyDescent="0.25">
      <c r="A412" s="36">
        <v>41346</v>
      </c>
      <c r="B412" s="122">
        <v>0.38091435185185185</v>
      </c>
      <c r="C412" s="26" t="s">
        <v>1199</v>
      </c>
    </row>
    <row r="413" spans="1:3" x14ac:dyDescent="0.25">
      <c r="A413" s="36">
        <v>41346</v>
      </c>
      <c r="B413" s="122">
        <v>0.38091435185185185</v>
      </c>
      <c r="C413" s="26" t="s">
        <v>1162</v>
      </c>
    </row>
    <row r="414" spans="1:3" x14ac:dyDescent="0.25">
      <c r="A414" s="36">
        <v>41346</v>
      </c>
      <c r="B414" s="122">
        <v>0.38091435185185185</v>
      </c>
      <c r="C414" s="26" t="s">
        <v>1233</v>
      </c>
    </row>
    <row r="415" spans="1:3" x14ac:dyDescent="0.25">
      <c r="A415" s="36">
        <v>41346</v>
      </c>
      <c r="B415" s="122">
        <v>0.38091435185185185</v>
      </c>
      <c r="C415" s="26" t="s">
        <v>1199</v>
      </c>
    </row>
    <row r="416" spans="1:3" x14ac:dyDescent="0.25">
      <c r="A416" s="36">
        <v>41346</v>
      </c>
      <c r="B416" s="122">
        <v>0.38091435185185185</v>
      </c>
      <c r="C416" s="26" t="s">
        <v>1259</v>
      </c>
    </row>
    <row r="417" spans="1:3" x14ac:dyDescent="0.25">
      <c r="A417" s="36">
        <v>41346</v>
      </c>
      <c r="B417" s="122">
        <v>0.38091435185185185</v>
      </c>
      <c r="C417" s="26" t="s">
        <v>1260</v>
      </c>
    </row>
    <row r="418" spans="1:3" x14ac:dyDescent="0.25">
      <c r="A418" s="36">
        <v>41346</v>
      </c>
      <c r="B418" s="122">
        <v>0.38091435185185185</v>
      </c>
      <c r="C418" s="26" t="s">
        <v>1264</v>
      </c>
    </row>
    <row r="419" spans="1:3" x14ac:dyDescent="0.25">
      <c r="A419" s="36">
        <v>41346</v>
      </c>
      <c r="B419" s="122">
        <v>0.38091435185185185</v>
      </c>
      <c r="C419" s="26" t="s">
        <v>1156</v>
      </c>
    </row>
    <row r="420" spans="1:3" x14ac:dyDescent="0.25">
      <c r="A420" s="36">
        <v>41346</v>
      </c>
      <c r="B420" s="122">
        <v>0.38091435185185185</v>
      </c>
      <c r="C420" s="26" t="s">
        <v>1204</v>
      </c>
    </row>
    <row r="421" spans="1:3" x14ac:dyDescent="0.25">
      <c r="A421" s="36">
        <v>41346</v>
      </c>
      <c r="B421" s="122">
        <v>0.38091435185185185</v>
      </c>
      <c r="C421" s="26" t="s">
        <v>1210</v>
      </c>
    </row>
    <row r="422" spans="1:3" x14ac:dyDescent="0.25">
      <c r="A422" s="36">
        <v>41346</v>
      </c>
      <c r="B422" s="122">
        <v>0.38091435185185185</v>
      </c>
      <c r="C422" s="26" t="s">
        <v>1168</v>
      </c>
    </row>
    <row r="423" spans="1:3" x14ac:dyDescent="0.25">
      <c r="A423" s="36">
        <v>41346</v>
      </c>
      <c r="B423" s="122">
        <v>0.38091435185185185</v>
      </c>
      <c r="C423" s="26" t="s">
        <v>1188</v>
      </c>
    </row>
    <row r="424" spans="1:3" x14ac:dyDescent="0.25">
      <c r="A424" s="36">
        <v>41346</v>
      </c>
      <c r="B424" s="122">
        <v>0.38091435185185185</v>
      </c>
      <c r="C424" s="26" t="s">
        <v>1196</v>
      </c>
    </row>
    <row r="425" spans="1:3" x14ac:dyDescent="0.25">
      <c r="A425" s="36">
        <v>41346</v>
      </c>
      <c r="B425" s="122">
        <v>0.38091435185185185</v>
      </c>
      <c r="C425" s="26" t="s">
        <v>1191</v>
      </c>
    </row>
    <row r="426" spans="1:3" x14ac:dyDescent="0.25">
      <c r="A426" s="36">
        <v>41346</v>
      </c>
      <c r="B426" s="122">
        <v>0.38091435185185185</v>
      </c>
      <c r="C426" s="26" t="s">
        <v>1191</v>
      </c>
    </row>
    <row r="427" spans="1:3" x14ac:dyDescent="0.25">
      <c r="A427" s="36">
        <v>41346</v>
      </c>
      <c r="B427" s="122">
        <v>0.38091435185185185</v>
      </c>
      <c r="C427" s="26" t="s">
        <v>1229</v>
      </c>
    </row>
    <row r="428" spans="1:3" x14ac:dyDescent="0.25">
      <c r="A428" s="36">
        <v>41346</v>
      </c>
      <c r="B428" s="122">
        <v>0.38091435185185185</v>
      </c>
      <c r="C428" s="26" t="s">
        <v>1254</v>
      </c>
    </row>
    <row r="429" spans="1:3" x14ac:dyDescent="0.25">
      <c r="A429" s="36">
        <v>41346</v>
      </c>
      <c r="B429" s="122">
        <v>0.38091435185185185</v>
      </c>
      <c r="C429" s="26" t="s">
        <v>1238</v>
      </c>
    </row>
    <row r="430" spans="1:3" x14ac:dyDescent="0.25">
      <c r="A430" s="36">
        <v>41346</v>
      </c>
      <c r="B430" s="122">
        <v>0.38091435185185185</v>
      </c>
      <c r="C430" s="26" t="s">
        <v>1208</v>
      </c>
    </row>
    <row r="431" spans="1:3" x14ac:dyDescent="0.25">
      <c r="A431" s="36">
        <v>41346</v>
      </c>
      <c r="B431" s="122">
        <v>0.38091435185185185</v>
      </c>
      <c r="C431" s="26" t="s">
        <v>1265</v>
      </c>
    </row>
    <row r="432" spans="1:3" x14ac:dyDescent="0.25">
      <c r="A432" s="36">
        <v>41346</v>
      </c>
      <c r="B432" s="122">
        <v>0.38091435185185185</v>
      </c>
      <c r="C432" s="26" t="s">
        <v>1194</v>
      </c>
    </row>
    <row r="433" spans="1:3" x14ac:dyDescent="0.25">
      <c r="A433" s="36">
        <v>41346</v>
      </c>
      <c r="B433" s="122">
        <v>0.38091435185185185</v>
      </c>
      <c r="C433" s="26" t="s">
        <v>1229</v>
      </c>
    </row>
    <row r="434" spans="1:3" x14ac:dyDescent="0.25">
      <c r="A434" s="36">
        <v>41346</v>
      </c>
      <c r="B434" s="122">
        <v>0.38091435185185185</v>
      </c>
      <c r="C434" s="26" t="s">
        <v>1218</v>
      </c>
    </row>
    <row r="435" spans="1:3" x14ac:dyDescent="0.25">
      <c r="A435" s="36">
        <v>41346</v>
      </c>
      <c r="B435" s="122">
        <v>0.38091435185185185</v>
      </c>
      <c r="C435" s="26" t="s">
        <v>1224</v>
      </c>
    </row>
    <row r="436" spans="1:3" x14ac:dyDescent="0.25">
      <c r="A436" s="36">
        <v>41346</v>
      </c>
      <c r="B436" s="122">
        <v>0.38091435185185185</v>
      </c>
      <c r="C436" s="26" t="s">
        <v>1275</v>
      </c>
    </row>
    <row r="437" spans="1:3" x14ac:dyDescent="0.25">
      <c r="A437" s="36">
        <v>41346</v>
      </c>
      <c r="B437" s="122">
        <v>0.38091435185185185</v>
      </c>
      <c r="C437" s="26" t="s">
        <v>1169</v>
      </c>
    </row>
    <row r="438" spans="1:3" x14ac:dyDescent="0.25">
      <c r="A438" s="36">
        <v>41346</v>
      </c>
      <c r="B438" s="122">
        <v>0.38091435185185185</v>
      </c>
      <c r="C438" s="26" t="s">
        <v>1158</v>
      </c>
    </row>
    <row r="439" spans="1:3" x14ac:dyDescent="0.25">
      <c r="A439" s="36">
        <v>41346</v>
      </c>
      <c r="B439" s="122">
        <v>0.38091435185185185</v>
      </c>
      <c r="C439" s="26" t="s">
        <v>1203</v>
      </c>
    </row>
    <row r="440" spans="1:3" x14ac:dyDescent="0.25">
      <c r="A440" s="36">
        <v>41346</v>
      </c>
      <c r="B440" s="122">
        <v>0.38091435185185185</v>
      </c>
      <c r="C440" s="26" t="s">
        <v>1219</v>
      </c>
    </row>
    <row r="441" spans="1:3" x14ac:dyDescent="0.25">
      <c r="A441" s="36">
        <v>41346</v>
      </c>
      <c r="B441" s="122">
        <v>0.38091435185185185</v>
      </c>
      <c r="C441" s="26" t="s">
        <v>1176</v>
      </c>
    </row>
    <row r="442" spans="1:3" x14ac:dyDescent="0.25">
      <c r="A442" s="36">
        <v>41346</v>
      </c>
      <c r="B442" s="122">
        <v>0.38091435185185185</v>
      </c>
      <c r="C442" s="26" t="s">
        <v>1214</v>
      </c>
    </row>
    <row r="443" spans="1:3" x14ac:dyDescent="0.25">
      <c r="A443" s="36">
        <v>41346</v>
      </c>
      <c r="B443" s="122">
        <v>0.38091435185185185</v>
      </c>
      <c r="C443" s="26" t="s">
        <v>1248</v>
      </c>
    </row>
    <row r="444" spans="1:3" x14ac:dyDescent="0.25">
      <c r="A444" s="36">
        <v>41346</v>
      </c>
      <c r="B444" s="122">
        <v>0.38091435185185185</v>
      </c>
      <c r="C444" s="26" t="s">
        <v>1275</v>
      </c>
    </row>
    <row r="445" spans="1:3" x14ac:dyDescent="0.25">
      <c r="A445" s="36">
        <v>41346</v>
      </c>
      <c r="B445" s="122">
        <v>0.38091435185185185</v>
      </c>
      <c r="C445" s="26" t="s">
        <v>1268</v>
      </c>
    </row>
    <row r="446" spans="1:3" x14ac:dyDescent="0.25">
      <c r="A446" s="36">
        <v>41346</v>
      </c>
      <c r="B446" s="122">
        <v>0.38091435185185185</v>
      </c>
      <c r="C446" s="26" t="s">
        <v>1224</v>
      </c>
    </row>
    <row r="447" spans="1:3" x14ac:dyDescent="0.25">
      <c r="A447" s="36">
        <v>41346</v>
      </c>
      <c r="B447" s="122">
        <v>0.38091435185185185</v>
      </c>
      <c r="C447" s="26" t="s">
        <v>1136</v>
      </c>
    </row>
    <row r="448" spans="1:3" x14ac:dyDescent="0.25">
      <c r="A448" s="36">
        <v>41346</v>
      </c>
      <c r="B448" s="122">
        <v>0.38091435185185185</v>
      </c>
      <c r="C448" s="26" t="s">
        <v>1227</v>
      </c>
    </row>
    <row r="449" spans="1:3" x14ac:dyDescent="0.25">
      <c r="A449" s="36">
        <v>41346</v>
      </c>
      <c r="B449" s="122">
        <v>0.38091435185185185</v>
      </c>
      <c r="C449" s="26" t="s">
        <v>1214</v>
      </c>
    </row>
    <row r="450" spans="1:3" x14ac:dyDescent="0.25">
      <c r="A450" s="36">
        <v>41346</v>
      </c>
      <c r="B450" s="122">
        <v>0.38091435185185185</v>
      </c>
      <c r="C450" s="26" t="s">
        <v>1115</v>
      </c>
    </row>
    <row r="451" spans="1:3" x14ac:dyDescent="0.25">
      <c r="A451" s="36">
        <v>41346</v>
      </c>
      <c r="B451" s="122">
        <v>0.38091435185185185</v>
      </c>
      <c r="C451" s="26" t="s">
        <v>1192</v>
      </c>
    </row>
    <row r="452" spans="1:3" x14ac:dyDescent="0.25">
      <c r="A452" s="36">
        <v>41346</v>
      </c>
      <c r="B452" s="122">
        <v>0.38091435185185185</v>
      </c>
      <c r="C452" s="26" t="s">
        <v>1275</v>
      </c>
    </row>
    <row r="453" spans="1:3" x14ac:dyDescent="0.25">
      <c r="A453" s="36">
        <v>41346</v>
      </c>
      <c r="B453" s="122">
        <v>0.38091435185185185</v>
      </c>
      <c r="C453" s="26" t="s">
        <v>1177</v>
      </c>
    </row>
    <row r="454" spans="1:3" x14ac:dyDescent="0.25">
      <c r="A454" s="36">
        <v>41346</v>
      </c>
      <c r="B454" s="122">
        <v>0.38091435185185185</v>
      </c>
      <c r="C454" s="26" t="s">
        <v>1126</v>
      </c>
    </row>
    <row r="455" spans="1:3" x14ac:dyDescent="0.25">
      <c r="A455" s="36">
        <v>41346</v>
      </c>
      <c r="B455" s="122">
        <v>0.38091435185185185</v>
      </c>
      <c r="C455" s="26" t="s">
        <v>1205</v>
      </c>
    </row>
    <row r="456" spans="1:3" x14ac:dyDescent="0.25">
      <c r="A456" s="36">
        <v>41346</v>
      </c>
      <c r="B456" s="122">
        <v>0.38091435185185185</v>
      </c>
      <c r="C456" s="26" t="s">
        <v>1153</v>
      </c>
    </row>
    <row r="457" spans="1:3" x14ac:dyDescent="0.25">
      <c r="A457" s="36">
        <v>41346</v>
      </c>
      <c r="B457" s="122">
        <v>0.38091435185185185</v>
      </c>
      <c r="C457" s="26" t="s">
        <v>1275</v>
      </c>
    </row>
    <row r="458" spans="1:3" x14ac:dyDescent="0.25">
      <c r="A458" s="36">
        <v>41346</v>
      </c>
      <c r="B458" s="122">
        <v>0.38091435185185185</v>
      </c>
      <c r="C458" s="26" t="s">
        <v>1105</v>
      </c>
    </row>
    <row r="459" spans="1:3" x14ac:dyDescent="0.25">
      <c r="A459" s="36">
        <v>41346</v>
      </c>
      <c r="B459" s="122">
        <v>0.38091435185185185</v>
      </c>
      <c r="C459" s="26" t="s">
        <v>1264</v>
      </c>
    </row>
    <row r="460" spans="1:3" x14ac:dyDescent="0.25">
      <c r="A460" s="36">
        <v>41346</v>
      </c>
      <c r="B460" s="122">
        <v>0.38091435185185185</v>
      </c>
      <c r="C460" s="26" t="s">
        <v>1182</v>
      </c>
    </row>
    <row r="461" spans="1:3" x14ac:dyDescent="0.25">
      <c r="A461" s="36">
        <v>41346</v>
      </c>
      <c r="B461" s="122">
        <v>0.38091435185185185</v>
      </c>
      <c r="C461" s="26" t="s">
        <v>1252</v>
      </c>
    </row>
    <row r="462" spans="1:3" x14ac:dyDescent="0.25">
      <c r="A462" s="36">
        <v>41346</v>
      </c>
      <c r="B462" s="122">
        <v>0.38091435185185185</v>
      </c>
      <c r="C462" s="26" t="s">
        <v>1192</v>
      </c>
    </row>
    <row r="463" spans="1:3" x14ac:dyDescent="0.25">
      <c r="A463" s="36">
        <v>41346</v>
      </c>
      <c r="B463" s="122">
        <v>0.38091435185185185</v>
      </c>
      <c r="C463" s="26" t="s">
        <v>1237</v>
      </c>
    </row>
    <row r="464" spans="1:3" x14ac:dyDescent="0.25">
      <c r="A464" s="36">
        <v>41346</v>
      </c>
      <c r="B464" s="122">
        <v>0.38091435185185185</v>
      </c>
      <c r="C464" s="26" t="s">
        <v>1192</v>
      </c>
    </row>
    <row r="465" spans="1:3" x14ac:dyDescent="0.25">
      <c r="A465" s="36">
        <v>41346</v>
      </c>
      <c r="B465" s="122">
        <v>0.38091435185185185</v>
      </c>
      <c r="C465" s="26" t="s">
        <v>1101</v>
      </c>
    </row>
    <row r="466" spans="1:3" x14ac:dyDescent="0.25">
      <c r="A466" s="36">
        <v>41346</v>
      </c>
      <c r="B466" s="122">
        <v>0.38091435185185185</v>
      </c>
      <c r="C466" s="26" t="s">
        <v>1101</v>
      </c>
    </row>
    <row r="467" spans="1:3" x14ac:dyDescent="0.25">
      <c r="A467" s="36">
        <v>41346</v>
      </c>
      <c r="B467" s="122">
        <v>0.38091435185185185</v>
      </c>
      <c r="C467" s="26" t="s">
        <v>1152</v>
      </c>
    </row>
    <row r="468" spans="1:3" x14ac:dyDescent="0.25">
      <c r="A468" s="36">
        <v>41346</v>
      </c>
      <c r="B468" s="122">
        <v>0.38091435185185185</v>
      </c>
      <c r="C468" s="26" t="s">
        <v>1152</v>
      </c>
    </row>
    <row r="469" spans="1:3" x14ac:dyDescent="0.25">
      <c r="A469" s="36">
        <v>41346</v>
      </c>
      <c r="B469" s="122">
        <v>0.38091435185185185</v>
      </c>
      <c r="C469" s="26" t="s">
        <v>1152</v>
      </c>
    </row>
    <row r="470" spans="1:3" x14ac:dyDescent="0.25">
      <c r="A470" s="36">
        <v>41346</v>
      </c>
      <c r="B470" s="122">
        <v>0.38091435185185185</v>
      </c>
      <c r="C470" s="26" t="s">
        <v>1152</v>
      </c>
    </row>
    <row r="471" spans="1:3" x14ac:dyDescent="0.25">
      <c r="A471" s="36">
        <v>41346</v>
      </c>
      <c r="B471" s="122">
        <v>0.38091435185185185</v>
      </c>
      <c r="C471" s="26" t="s">
        <v>1152</v>
      </c>
    </row>
    <row r="472" spans="1:3" x14ac:dyDescent="0.25">
      <c r="A472" s="36">
        <v>41346</v>
      </c>
      <c r="B472" s="122">
        <v>0.38091435185185185</v>
      </c>
      <c r="C472" s="26" t="s">
        <v>1152</v>
      </c>
    </row>
    <row r="473" spans="1:3" x14ac:dyDescent="0.25">
      <c r="A473" s="36">
        <v>41346</v>
      </c>
      <c r="B473" s="122">
        <v>0.38091435185185185</v>
      </c>
      <c r="C473" s="26" t="s">
        <v>1148</v>
      </c>
    </row>
    <row r="474" spans="1:3" x14ac:dyDescent="0.25">
      <c r="A474" s="36">
        <v>41346</v>
      </c>
      <c r="B474" s="122">
        <v>0.38091435185185185</v>
      </c>
      <c r="C474" s="26" t="s">
        <v>1111</v>
      </c>
    </row>
    <row r="475" spans="1:3" x14ac:dyDescent="0.25">
      <c r="A475" s="36">
        <v>41346</v>
      </c>
      <c r="B475" s="122">
        <v>0.38091435185185185</v>
      </c>
      <c r="C475" s="26" t="s">
        <v>1163</v>
      </c>
    </row>
    <row r="476" spans="1:3" x14ac:dyDescent="0.25">
      <c r="A476" s="36">
        <v>41346</v>
      </c>
      <c r="B476" s="122">
        <v>0.38091435185185185</v>
      </c>
      <c r="C476" s="26" t="s">
        <v>1120</v>
      </c>
    </row>
    <row r="477" spans="1:3" x14ac:dyDescent="0.25">
      <c r="A477" s="36">
        <v>41346</v>
      </c>
      <c r="B477" s="122">
        <v>0.38091435185185185</v>
      </c>
      <c r="C477" s="26" t="s">
        <v>1128</v>
      </c>
    </row>
    <row r="478" spans="1:3" x14ac:dyDescent="0.25">
      <c r="A478" s="36">
        <v>41346</v>
      </c>
      <c r="B478" s="122">
        <v>0.38091435185185185</v>
      </c>
      <c r="C478" s="26" t="s">
        <v>1233</v>
      </c>
    </row>
    <row r="479" spans="1:3" x14ac:dyDescent="0.25">
      <c r="A479" s="36">
        <v>41346</v>
      </c>
      <c r="B479" s="122">
        <v>0.38091435185185185</v>
      </c>
      <c r="C479" s="26" t="s">
        <v>1233</v>
      </c>
    </row>
    <row r="480" spans="1:3" x14ac:dyDescent="0.25">
      <c r="A480" s="36">
        <v>41346</v>
      </c>
      <c r="B480" s="122">
        <v>0.38091435185185185</v>
      </c>
      <c r="C480" s="26" t="s">
        <v>1122</v>
      </c>
    </row>
    <row r="481" spans="1:3" x14ac:dyDescent="0.25">
      <c r="A481" s="36">
        <v>41346</v>
      </c>
      <c r="B481" s="122">
        <v>0.38091435185185185</v>
      </c>
      <c r="C481" s="26" t="s">
        <v>1193</v>
      </c>
    </row>
    <row r="482" spans="1:3" x14ac:dyDescent="0.25">
      <c r="A482" s="36">
        <v>41346</v>
      </c>
      <c r="B482" s="122">
        <v>0.38091435185185185</v>
      </c>
      <c r="C482" s="26" t="s">
        <v>1233</v>
      </c>
    </row>
    <row r="483" spans="1:3" x14ac:dyDescent="0.25">
      <c r="A483" s="36">
        <v>41346</v>
      </c>
      <c r="B483" s="122">
        <v>0.38091435185185185</v>
      </c>
      <c r="C483" s="26" t="s">
        <v>1270</v>
      </c>
    </row>
    <row r="484" spans="1:3" x14ac:dyDescent="0.25">
      <c r="A484" s="36">
        <v>41346</v>
      </c>
      <c r="B484" s="122">
        <v>0.38091435185185185</v>
      </c>
      <c r="C484" s="26" t="s">
        <v>1121</v>
      </c>
    </row>
    <row r="485" spans="1:3" x14ac:dyDescent="0.25">
      <c r="A485" s="36">
        <v>41346</v>
      </c>
      <c r="B485" s="122">
        <v>0.38091435185185185</v>
      </c>
      <c r="C485" s="26" t="s">
        <v>1226</v>
      </c>
    </row>
    <row r="486" spans="1:3" x14ac:dyDescent="0.25">
      <c r="A486" s="36">
        <v>41346</v>
      </c>
      <c r="B486" s="122">
        <v>0.38091435185185185</v>
      </c>
      <c r="C486" s="26" t="s">
        <v>1241</v>
      </c>
    </row>
    <row r="487" spans="1:3" x14ac:dyDescent="0.25">
      <c r="A487" s="36">
        <v>41346</v>
      </c>
      <c r="B487" s="122">
        <v>0.38091435185185185</v>
      </c>
      <c r="C487" s="26" t="s">
        <v>1247</v>
      </c>
    </row>
    <row r="488" spans="1:3" x14ac:dyDescent="0.25">
      <c r="A488" s="36">
        <v>41346</v>
      </c>
      <c r="B488" s="122">
        <v>0.38091435185185185</v>
      </c>
      <c r="C488" s="26" t="s">
        <v>1262</v>
      </c>
    </row>
    <row r="489" spans="1:3" x14ac:dyDescent="0.25">
      <c r="A489" s="36">
        <v>41346</v>
      </c>
      <c r="B489" s="122">
        <v>0.38091435185185185</v>
      </c>
      <c r="C489" s="26" t="s">
        <v>1138</v>
      </c>
    </row>
    <row r="490" spans="1:3" x14ac:dyDescent="0.25">
      <c r="A490" s="36">
        <v>41346</v>
      </c>
      <c r="B490" s="122">
        <v>0.38091435185185185</v>
      </c>
      <c r="C490" s="26" t="s">
        <v>1275</v>
      </c>
    </row>
    <row r="491" spans="1:3" x14ac:dyDescent="0.25">
      <c r="A491" s="36">
        <v>41346</v>
      </c>
      <c r="B491" s="122">
        <v>0.38091435185185185</v>
      </c>
      <c r="C491" s="26" t="s">
        <v>1167</v>
      </c>
    </row>
    <row r="492" spans="1:3" x14ac:dyDescent="0.25">
      <c r="A492" s="36">
        <v>41346</v>
      </c>
      <c r="B492" s="122">
        <v>0.38091435185185185</v>
      </c>
      <c r="C492" s="26" t="s">
        <v>1185</v>
      </c>
    </row>
    <row r="493" spans="1:3" x14ac:dyDescent="0.25">
      <c r="A493" s="36">
        <v>41346</v>
      </c>
      <c r="B493" s="122">
        <v>0.38091435185185185</v>
      </c>
      <c r="C493" s="26" t="s">
        <v>1225</v>
      </c>
    </row>
    <row r="494" spans="1:3" x14ac:dyDescent="0.25">
      <c r="A494" s="36">
        <v>41346</v>
      </c>
      <c r="B494" s="122">
        <v>0.38091435185185185</v>
      </c>
      <c r="C494" s="26" t="s">
        <v>1271</v>
      </c>
    </row>
    <row r="495" spans="1:3" x14ac:dyDescent="0.25">
      <c r="A495" s="36">
        <v>41346</v>
      </c>
      <c r="B495" s="122">
        <v>0.38091435185185185</v>
      </c>
      <c r="C495" s="26" t="s">
        <v>1141</v>
      </c>
    </row>
    <row r="496" spans="1:3" x14ac:dyDescent="0.25">
      <c r="A496" s="36">
        <v>41346</v>
      </c>
      <c r="B496" s="122">
        <v>0.38091435185185185</v>
      </c>
      <c r="C496" s="26" t="s">
        <v>1145</v>
      </c>
    </row>
    <row r="497" spans="1:3" x14ac:dyDescent="0.25">
      <c r="A497" s="36">
        <v>41346</v>
      </c>
      <c r="B497" s="122">
        <v>0.38091435185185185</v>
      </c>
      <c r="C497" s="26" t="s">
        <v>1205</v>
      </c>
    </row>
    <row r="498" spans="1:3" x14ac:dyDescent="0.25">
      <c r="A498" s="36">
        <v>41346</v>
      </c>
      <c r="B498" s="122">
        <v>0.38091435185185185</v>
      </c>
      <c r="C498" s="26" t="s">
        <v>1239</v>
      </c>
    </row>
    <row r="499" spans="1:3" x14ac:dyDescent="0.25">
      <c r="A499" s="36">
        <v>41346</v>
      </c>
      <c r="B499" s="122">
        <v>0.38091435185185185</v>
      </c>
      <c r="C499" s="26" t="s">
        <v>1275</v>
      </c>
    </row>
    <row r="500" spans="1:3" x14ac:dyDescent="0.25">
      <c r="A500" s="36">
        <v>41346</v>
      </c>
      <c r="B500" s="122">
        <v>0.38091435185185185</v>
      </c>
      <c r="C500" s="26" t="s">
        <v>1180</v>
      </c>
    </row>
    <row r="501" spans="1:3" x14ac:dyDescent="0.25">
      <c r="A501" s="36">
        <v>41346</v>
      </c>
      <c r="B501" s="122">
        <v>0.38091435185185185</v>
      </c>
      <c r="C501" s="26" t="s">
        <v>1143</v>
      </c>
    </row>
    <row r="502" spans="1:3" x14ac:dyDescent="0.25">
      <c r="A502" s="36">
        <v>41346</v>
      </c>
      <c r="B502" s="122">
        <v>0.38091435185185185</v>
      </c>
      <c r="C502" s="26" t="s">
        <v>1234</v>
      </c>
    </row>
    <row r="503" spans="1:3" x14ac:dyDescent="0.25">
      <c r="A503" s="36">
        <v>41346</v>
      </c>
      <c r="B503" s="122">
        <v>0.38091435185185185</v>
      </c>
      <c r="C503" s="26" t="s">
        <v>1123</v>
      </c>
    </row>
    <row r="504" spans="1:3" x14ac:dyDescent="0.25">
      <c r="A504" s="36">
        <v>41346</v>
      </c>
      <c r="B504" s="122">
        <v>0.38091435185185185</v>
      </c>
      <c r="C504" s="26" t="s">
        <v>1130</v>
      </c>
    </row>
    <row r="505" spans="1:3" x14ac:dyDescent="0.25">
      <c r="A505" s="36">
        <v>41346</v>
      </c>
      <c r="B505" s="122">
        <v>0.38091435185185185</v>
      </c>
      <c r="C505" s="26" t="s">
        <v>1251</v>
      </c>
    </row>
    <row r="506" spans="1:3" x14ac:dyDescent="0.25">
      <c r="A506" s="36">
        <v>41346</v>
      </c>
      <c r="B506" s="122">
        <v>0.38091435185185185</v>
      </c>
      <c r="C506" s="26" t="s">
        <v>1174</v>
      </c>
    </row>
    <row r="507" spans="1:3" x14ac:dyDescent="0.25">
      <c r="A507" s="36">
        <v>41346</v>
      </c>
      <c r="B507" s="122">
        <v>0.38091435185185185</v>
      </c>
      <c r="C507" s="26" t="s">
        <v>1125</v>
      </c>
    </row>
    <row r="508" spans="1:3" x14ac:dyDescent="0.25">
      <c r="A508" s="36">
        <v>41346</v>
      </c>
      <c r="B508" s="122">
        <v>0.38091435185185185</v>
      </c>
      <c r="C508" s="26" t="s">
        <v>1132</v>
      </c>
    </row>
    <row r="509" spans="1:3" x14ac:dyDescent="0.25">
      <c r="A509" s="36">
        <v>41346</v>
      </c>
      <c r="B509" s="122">
        <v>0.38091435185185185</v>
      </c>
      <c r="C509" s="26" t="s">
        <v>1245</v>
      </c>
    </row>
    <row r="510" spans="1:3" x14ac:dyDescent="0.25">
      <c r="A510" s="36">
        <v>41346</v>
      </c>
      <c r="B510" s="122">
        <v>0.38091435185185185</v>
      </c>
      <c r="C510" s="26" t="s">
        <v>1276</v>
      </c>
    </row>
    <row r="511" spans="1:3" x14ac:dyDescent="0.25">
      <c r="A511" s="36">
        <v>41346</v>
      </c>
      <c r="B511" s="122">
        <v>0.38091435185185185</v>
      </c>
      <c r="C511" s="26" t="s">
        <v>1231</v>
      </c>
    </row>
    <row r="512" spans="1:3" x14ac:dyDescent="0.25">
      <c r="A512" s="36">
        <v>41346</v>
      </c>
      <c r="B512" s="122">
        <v>0.38091435185185185</v>
      </c>
      <c r="C512" s="26" t="s">
        <v>1181</v>
      </c>
    </row>
    <row r="513" spans="1:3" x14ac:dyDescent="0.25">
      <c r="A513" s="36">
        <v>41346</v>
      </c>
      <c r="B513" s="122">
        <v>0.38091435185185185</v>
      </c>
      <c r="C513" s="26" t="s">
        <v>1200</v>
      </c>
    </row>
    <row r="514" spans="1:3" x14ac:dyDescent="0.25">
      <c r="A514" s="36">
        <v>41346</v>
      </c>
      <c r="B514" s="122">
        <v>0.38091435185185185</v>
      </c>
      <c r="C514" s="26" t="s">
        <v>1139</v>
      </c>
    </row>
    <row r="515" spans="1:3" x14ac:dyDescent="0.25">
      <c r="A515" s="36">
        <v>41346</v>
      </c>
      <c r="B515" s="122">
        <v>0.38091435185185185</v>
      </c>
      <c r="C515" s="26" t="s">
        <v>1212</v>
      </c>
    </row>
    <row r="516" spans="1:3" x14ac:dyDescent="0.25">
      <c r="A516" s="36">
        <v>41346</v>
      </c>
      <c r="B516" s="122">
        <v>0.38091435185185185</v>
      </c>
      <c r="C516" s="26" t="s">
        <v>1256</v>
      </c>
    </row>
    <row r="517" spans="1:3" x14ac:dyDescent="0.25">
      <c r="A517" s="36">
        <v>41346</v>
      </c>
      <c r="B517" s="122">
        <v>0.38091435185185185</v>
      </c>
      <c r="C517" s="26" t="s">
        <v>1134</v>
      </c>
    </row>
    <row r="518" spans="1:3" x14ac:dyDescent="0.25">
      <c r="A518" s="36">
        <v>41346</v>
      </c>
      <c r="B518" s="122">
        <v>0.38091435185185185</v>
      </c>
      <c r="C518" s="26" t="s">
        <v>1240</v>
      </c>
    </row>
    <row r="519" spans="1:3" x14ac:dyDescent="0.25">
      <c r="A519" s="36">
        <v>41346</v>
      </c>
      <c r="B519" s="122">
        <v>0.38091435185185185</v>
      </c>
      <c r="C519" s="26" t="s">
        <v>1185</v>
      </c>
    </row>
    <row r="520" spans="1:3" x14ac:dyDescent="0.25">
      <c r="A520" s="36">
        <v>41346</v>
      </c>
      <c r="B520" s="122">
        <v>0.38091435185185185</v>
      </c>
      <c r="C520" s="26" t="s">
        <v>1275</v>
      </c>
    </row>
    <row r="521" spans="1:3" x14ac:dyDescent="0.25">
      <c r="A521" s="36">
        <v>41346</v>
      </c>
      <c r="B521" s="122">
        <v>0.38091435185185185</v>
      </c>
      <c r="C521" s="26" t="s">
        <v>1109</v>
      </c>
    </row>
    <row r="522" spans="1:3" x14ac:dyDescent="0.25">
      <c r="A522" s="36">
        <v>41346</v>
      </c>
      <c r="B522" s="122">
        <v>0.38091435185185185</v>
      </c>
      <c r="C522" s="26" t="s">
        <v>1134</v>
      </c>
    </row>
    <row r="523" spans="1:3" x14ac:dyDescent="0.25">
      <c r="A523" s="36">
        <v>41346</v>
      </c>
      <c r="B523" s="122">
        <v>0.38091435185185185</v>
      </c>
      <c r="C523" s="26" t="s">
        <v>1134</v>
      </c>
    </row>
    <row r="524" spans="1:3" x14ac:dyDescent="0.25">
      <c r="A524" s="36">
        <v>41346</v>
      </c>
      <c r="B524" s="122">
        <v>0.38091435185185185</v>
      </c>
      <c r="C524" s="26" t="s">
        <v>1134</v>
      </c>
    </row>
    <row r="525" spans="1:3" x14ac:dyDescent="0.25">
      <c r="A525" s="36">
        <v>41346</v>
      </c>
      <c r="B525" s="122">
        <v>0.38091435185185185</v>
      </c>
      <c r="C525" s="26" t="s">
        <v>1266</v>
      </c>
    </row>
    <row r="526" spans="1:3" x14ac:dyDescent="0.25">
      <c r="A526" s="36">
        <v>41346</v>
      </c>
      <c r="B526" s="122">
        <v>0.38091435185185185</v>
      </c>
      <c r="C526" s="26" t="s">
        <v>1110</v>
      </c>
    </row>
    <row r="527" spans="1:3" x14ac:dyDescent="0.25">
      <c r="A527" s="36">
        <v>41346</v>
      </c>
      <c r="B527" s="122">
        <v>0.38091435185185185</v>
      </c>
      <c r="C527" s="26" t="s">
        <v>1113</v>
      </c>
    </row>
    <row r="528" spans="1:3" x14ac:dyDescent="0.25">
      <c r="A528" s="36">
        <v>41346</v>
      </c>
      <c r="B528" s="122">
        <v>0.38091435185185185</v>
      </c>
      <c r="C528" s="26" t="s">
        <v>1127</v>
      </c>
    </row>
    <row r="529" spans="1:3" x14ac:dyDescent="0.25">
      <c r="A529" s="36">
        <v>41346</v>
      </c>
      <c r="B529" s="122">
        <v>0.38091435185185185</v>
      </c>
      <c r="C529" s="26" t="s">
        <v>1110</v>
      </c>
    </row>
    <row r="530" spans="1:3" x14ac:dyDescent="0.25">
      <c r="A530" s="36">
        <v>41346</v>
      </c>
      <c r="B530" s="122">
        <v>0.38091435185185185</v>
      </c>
      <c r="C530" s="26" t="s">
        <v>1244</v>
      </c>
    </row>
    <row r="531" spans="1:3" x14ac:dyDescent="0.25">
      <c r="A531" s="36">
        <v>41346</v>
      </c>
      <c r="B531" s="122">
        <v>0.38091435185185185</v>
      </c>
      <c r="C531" s="26" t="s">
        <v>1255</v>
      </c>
    </row>
    <row r="532" spans="1:3" x14ac:dyDescent="0.25">
      <c r="A532" s="36">
        <v>41346</v>
      </c>
      <c r="B532" s="122">
        <v>0.38091435185185185</v>
      </c>
      <c r="C532" s="26" t="s">
        <v>1179</v>
      </c>
    </row>
    <row r="533" spans="1:3" x14ac:dyDescent="0.25">
      <c r="A533" s="36">
        <v>41346</v>
      </c>
      <c r="B533" s="122">
        <v>0.38091435185185185</v>
      </c>
      <c r="C533" s="26" t="s">
        <v>1198</v>
      </c>
    </row>
    <row r="534" spans="1:3" x14ac:dyDescent="0.25">
      <c r="A534" s="36">
        <v>41346</v>
      </c>
      <c r="B534" s="122">
        <v>0.38091435185185185</v>
      </c>
      <c r="C534" s="26" t="s">
        <v>1114</v>
      </c>
    </row>
    <row r="535" spans="1:3" x14ac:dyDescent="0.25">
      <c r="A535" s="36">
        <v>41346</v>
      </c>
      <c r="B535" s="122">
        <v>0.38091435185185185</v>
      </c>
      <c r="C535" s="26" t="s">
        <v>1209</v>
      </c>
    </row>
    <row r="536" spans="1:3" x14ac:dyDescent="0.25">
      <c r="A536" s="36">
        <v>41346</v>
      </c>
      <c r="B536" s="122">
        <v>0.38091435185185185</v>
      </c>
      <c r="C536" s="26" t="s">
        <v>1112</v>
      </c>
    </row>
    <row r="537" spans="1:3" x14ac:dyDescent="0.25">
      <c r="A537" s="36">
        <v>41346</v>
      </c>
      <c r="B537" s="122">
        <v>0.38091435185185185</v>
      </c>
      <c r="C537" s="26" t="s">
        <v>1122</v>
      </c>
    </row>
    <row r="538" spans="1:3" x14ac:dyDescent="0.25">
      <c r="A538" s="36">
        <v>41346</v>
      </c>
      <c r="B538" s="122">
        <v>0.38091435185185185</v>
      </c>
      <c r="C538" s="26" t="s">
        <v>1150</v>
      </c>
    </row>
    <row r="539" spans="1:3" x14ac:dyDescent="0.25">
      <c r="A539" s="36">
        <v>41346</v>
      </c>
      <c r="B539" s="122">
        <v>0.38091435185185185</v>
      </c>
      <c r="C539" s="26" t="s">
        <v>1206</v>
      </c>
    </row>
    <row r="540" spans="1:3" x14ac:dyDescent="0.25">
      <c r="A540" s="36">
        <v>41346</v>
      </c>
      <c r="B540" s="122">
        <v>0.38091435185185185</v>
      </c>
      <c r="C540" s="26" t="s">
        <v>1197</v>
      </c>
    </row>
    <row r="541" spans="1:3" x14ac:dyDescent="0.25">
      <c r="A541" s="36">
        <v>41346</v>
      </c>
      <c r="B541" s="122">
        <v>0.38091435185185185</v>
      </c>
      <c r="C541" s="26" t="s">
        <v>1243</v>
      </c>
    </row>
    <row r="542" spans="1:3" x14ac:dyDescent="0.25">
      <c r="A542" s="36">
        <v>41346</v>
      </c>
      <c r="B542" s="122">
        <v>0.38091435185185185</v>
      </c>
      <c r="C542" s="26" t="s">
        <v>1140</v>
      </c>
    </row>
    <row r="543" spans="1:3" x14ac:dyDescent="0.25">
      <c r="A543" s="36">
        <v>41346</v>
      </c>
      <c r="B543" s="122">
        <v>0.38091435185185185</v>
      </c>
      <c r="C543" s="26" t="s">
        <v>1103</v>
      </c>
    </row>
    <row r="544" spans="1:3" x14ac:dyDescent="0.25">
      <c r="A544" s="36">
        <v>41346</v>
      </c>
      <c r="B544" s="122">
        <v>0.38091435185185185</v>
      </c>
      <c r="C544" s="26" t="s">
        <v>1257</v>
      </c>
    </row>
    <row r="545" spans="1:3" x14ac:dyDescent="0.25">
      <c r="A545" s="36">
        <v>41346</v>
      </c>
      <c r="B545" s="122">
        <v>0.38091435185185185</v>
      </c>
      <c r="C545" s="26" t="s">
        <v>1129</v>
      </c>
    </row>
    <row r="546" spans="1:3" x14ac:dyDescent="0.25">
      <c r="A546" s="36">
        <v>41346</v>
      </c>
      <c r="B546" s="122">
        <v>0.38091435185185185</v>
      </c>
      <c r="C546" s="26" t="s">
        <v>1258</v>
      </c>
    </row>
    <row r="547" spans="1:3" x14ac:dyDescent="0.25">
      <c r="A547" s="36">
        <v>41346</v>
      </c>
      <c r="B547" s="122">
        <v>0.38091435185185185</v>
      </c>
      <c r="C547" s="26" t="s">
        <v>1185</v>
      </c>
    </row>
    <row r="548" spans="1:3" x14ac:dyDescent="0.25">
      <c r="A548" s="36">
        <v>41346</v>
      </c>
      <c r="B548" s="122">
        <v>0.38091435185185185</v>
      </c>
      <c r="C548" s="26" t="s">
        <v>1157</v>
      </c>
    </row>
    <row r="549" spans="1:3" x14ac:dyDescent="0.25">
      <c r="A549" s="36">
        <v>41346</v>
      </c>
      <c r="B549" s="122">
        <v>0.38091435185185185</v>
      </c>
      <c r="C549" s="26" t="s">
        <v>1180</v>
      </c>
    </row>
    <row r="550" spans="1:3" x14ac:dyDescent="0.25">
      <c r="A550" s="36">
        <v>41346</v>
      </c>
      <c r="B550" s="122">
        <v>0.38091435185185185</v>
      </c>
      <c r="C550" s="26" t="s">
        <v>1189</v>
      </c>
    </row>
    <row r="551" spans="1:3" x14ac:dyDescent="0.25">
      <c r="A551" s="36">
        <v>41346</v>
      </c>
      <c r="B551" s="122">
        <v>0.38091435185185185</v>
      </c>
      <c r="C551" s="26" t="s">
        <v>1137</v>
      </c>
    </row>
    <row r="552" spans="1:3" x14ac:dyDescent="0.25">
      <c r="A552" s="36">
        <v>41346</v>
      </c>
      <c r="B552" s="122">
        <v>0.38091435185185185</v>
      </c>
      <c r="C552" s="26" t="s">
        <v>1144</v>
      </c>
    </row>
    <row r="553" spans="1:3" x14ac:dyDescent="0.25">
      <c r="A553" s="36">
        <v>41346</v>
      </c>
      <c r="B553" s="122">
        <v>0.38091435185185185</v>
      </c>
      <c r="C553" s="26" t="s">
        <v>1099</v>
      </c>
    </row>
    <row r="554" spans="1:3" x14ac:dyDescent="0.25">
      <c r="A554" s="36">
        <v>41346</v>
      </c>
      <c r="B554" s="122">
        <v>0.38091435185185185</v>
      </c>
      <c r="C554" s="26" t="s">
        <v>1135</v>
      </c>
    </row>
    <row r="555" spans="1:3" x14ac:dyDescent="0.25">
      <c r="A555" s="36">
        <v>41346</v>
      </c>
      <c r="B555" s="122">
        <v>0.38091435185185185</v>
      </c>
      <c r="C555" s="26" t="s">
        <v>1160</v>
      </c>
    </row>
    <row r="556" spans="1:3" x14ac:dyDescent="0.25">
      <c r="A556" s="36">
        <v>41346</v>
      </c>
      <c r="B556" s="122">
        <v>0.38091435185185185</v>
      </c>
      <c r="C556" s="26" t="s">
        <v>1165</v>
      </c>
    </row>
    <row r="557" spans="1:3" x14ac:dyDescent="0.25">
      <c r="A557" s="36">
        <v>41346</v>
      </c>
      <c r="B557" s="122">
        <v>0.38091435185185185</v>
      </c>
      <c r="C557" s="26" t="s">
        <v>1119</v>
      </c>
    </row>
    <row r="558" spans="1:3" x14ac:dyDescent="0.25">
      <c r="A558" s="36">
        <v>41346</v>
      </c>
      <c r="B558" s="122">
        <v>0.38091435185185185</v>
      </c>
      <c r="C558" s="26" t="s">
        <v>1241</v>
      </c>
    </row>
    <row r="559" spans="1:3" x14ac:dyDescent="0.25">
      <c r="A559" s="36">
        <v>41346</v>
      </c>
      <c r="B559" s="122">
        <v>0.38091435185185185</v>
      </c>
      <c r="C559" s="26" t="s">
        <v>1151</v>
      </c>
    </row>
    <row r="560" spans="1:3" x14ac:dyDescent="0.25">
      <c r="A560" s="36">
        <v>41346</v>
      </c>
      <c r="B560" s="122">
        <v>0.38091435185185185</v>
      </c>
      <c r="C560" s="26" t="s">
        <v>1228</v>
      </c>
    </row>
    <row r="561" spans="1:3" x14ac:dyDescent="0.25">
      <c r="A561" s="36">
        <v>41346</v>
      </c>
      <c r="B561" s="122">
        <v>0.38091435185185185</v>
      </c>
      <c r="C561" s="26" t="s">
        <v>1126</v>
      </c>
    </row>
    <row r="562" spans="1:3" x14ac:dyDescent="0.25">
      <c r="A562" s="36">
        <v>41346</v>
      </c>
      <c r="B562" s="122">
        <v>0.38091435185185185</v>
      </c>
      <c r="C562" s="26" t="s">
        <v>1274</v>
      </c>
    </row>
    <row r="563" spans="1:3" x14ac:dyDescent="0.25">
      <c r="A563" s="36">
        <v>41346</v>
      </c>
      <c r="B563" s="122">
        <v>0.38091435185185185</v>
      </c>
      <c r="C563" s="26" t="s">
        <v>1183</v>
      </c>
    </row>
    <row r="564" spans="1:3" x14ac:dyDescent="0.25">
      <c r="A564" s="36">
        <v>41346</v>
      </c>
      <c r="B564" s="122">
        <v>0.38091435185185185</v>
      </c>
      <c r="C564" s="26" t="s">
        <v>1190</v>
      </c>
    </row>
    <row r="565" spans="1:3" x14ac:dyDescent="0.25">
      <c r="A565" s="36">
        <v>41346</v>
      </c>
      <c r="B565" s="122">
        <v>0.38091435185185185</v>
      </c>
      <c r="C565" s="26" t="s">
        <v>1206</v>
      </c>
    </row>
    <row r="566" spans="1:3" x14ac:dyDescent="0.25">
      <c r="A566" s="36">
        <v>41346</v>
      </c>
      <c r="B566" s="122">
        <v>0.38091435185185185</v>
      </c>
      <c r="C566" s="26" t="s">
        <v>1106</v>
      </c>
    </row>
    <row r="567" spans="1:3" x14ac:dyDescent="0.25">
      <c r="A567" s="36">
        <v>41346</v>
      </c>
      <c r="B567" s="122">
        <v>0.38091435185185185</v>
      </c>
      <c r="C567" s="26" t="s">
        <v>1106</v>
      </c>
    </row>
    <row r="568" spans="1:3" x14ac:dyDescent="0.25">
      <c r="A568" s="36">
        <v>41346</v>
      </c>
      <c r="B568" s="122">
        <v>0.38091435185185185</v>
      </c>
      <c r="C568" s="26" t="s">
        <v>1216</v>
      </c>
    </row>
    <row r="569" spans="1:3" x14ac:dyDescent="0.25">
      <c r="A569" s="36">
        <v>41346</v>
      </c>
      <c r="B569" s="122">
        <v>0.38091435185185185</v>
      </c>
      <c r="C569" s="26" t="s">
        <v>1270</v>
      </c>
    </row>
    <row r="570" spans="1:3" x14ac:dyDescent="0.25">
      <c r="A570" s="36">
        <v>41346</v>
      </c>
      <c r="B570" s="122">
        <v>0.38091435185185185</v>
      </c>
      <c r="C570" s="26" t="s">
        <v>1118</v>
      </c>
    </row>
    <row r="571" spans="1:3" x14ac:dyDescent="0.25">
      <c r="A571" s="36">
        <v>41346</v>
      </c>
      <c r="B571" s="122">
        <v>0.38091435185185185</v>
      </c>
      <c r="C571" s="26" t="s">
        <v>1149</v>
      </c>
    </row>
    <row r="572" spans="1:3" x14ac:dyDescent="0.25">
      <c r="A572" s="36">
        <v>41346</v>
      </c>
      <c r="B572" s="122">
        <v>0.38091435185185185</v>
      </c>
      <c r="C572" s="26" t="s">
        <v>1118</v>
      </c>
    </row>
    <row r="573" spans="1:3" x14ac:dyDescent="0.25">
      <c r="A573" s="36">
        <v>41346</v>
      </c>
      <c r="B573" s="122">
        <v>0.38091435185185185</v>
      </c>
      <c r="C573" s="26" t="s">
        <v>1160</v>
      </c>
    </row>
    <row r="574" spans="1:3" x14ac:dyDescent="0.25">
      <c r="A574" s="36">
        <v>41346</v>
      </c>
      <c r="B574" s="122">
        <v>0.38091435185185185</v>
      </c>
      <c r="C574" s="26" t="s">
        <v>1147</v>
      </c>
    </row>
    <row r="575" spans="1:3" x14ac:dyDescent="0.25">
      <c r="A575" s="36">
        <v>41346</v>
      </c>
      <c r="B575" s="122">
        <v>0.38091435185185185</v>
      </c>
      <c r="C575" s="26" t="s">
        <v>1211</v>
      </c>
    </row>
    <row r="576" spans="1:3" x14ac:dyDescent="0.25">
      <c r="A576" s="36">
        <v>41346</v>
      </c>
      <c r="B576" s="122">
        <v>0.38091435185185185</v>
      </c>
      <c r="C576" s="26" t="s">
        <v>1221</v>
      </c>
    </row>
    <row r="577" spans="1:3" x14ac:dyDescent="0.25">
      <c r="A577" s="36">
        <v>41346</v>
      </c>
      <c r="B577" s="122">
        <v>0.38091435185185185</v>
      </c>
      <c r="C577" s="26" t="s">
        <v>1117</v>
      </c>
    </row>
    <row r="578" spans="1:3" x14ac:dyDescent="0.25">
      <c r="A578" s="36">
        <v>41346</v>
      </c>
      <c r="B578" s="122">
        <v>0.38091435185185185</v>
      </c>
      <c r="C578" s="26" t="s">
        <v>1207</v>
      </c>
    </row>
    <row r="579" spans="1:3" x14ac:dyDescent="0.25">
      <c r="A579" s="36">
        <v>41346</v>
      </c>
      <c r="B579" s="122">
        <v>0.38091435185185185</v>
      </c>
      <c r="C579" s="26" t="s">
        <v>1185</v>
      </c>
    </row>
    <row r="580" spans="1:3" x14ac:dyDescent="0.25">
      <c r="A580" s="36">
        <v>41346</v>
      </c>
      <c r="B580" s="122">
        <v>0.38091435185185185</v>
      </c>
      <c r="C580" s="26" t="s">
        <v>1215</v>
      </c>
    </row>
    <row r="581" spans="1:3" x14ac:dyDescent="0.25">
      <c r="A581" s="36">
        <v>41346</v>
      </c>
      <c r="B581" s="122">
        <v>0.38091435185185185</v>
      </c>
      <c r="C581" s="26" t="s">
        <v>1170</v>
      </c>
    </row>
    <row r="582" spans="1:3" x14ac:dyDescent="0.25">
      <c r="A582" s="36">
        <v>41346</v>
      </c>
      <c r="B582" s="122">
        <v>0.38091435185185185</v>
      </c>
      <c r="C582" s="26" t="s">
        <v>1251</v>
      </c>
    </row>
    <row r="583" spans="1:3" x14ac:dyDescent="0.25">
      <c r="A583" s="36">
        <v>41346</v>
      </c>
      <c r="B583" s="122">
        <v>0.38091435185185185</v>
      </c>
      <c r="C583" s="26" t="s">
        <v>1124</v>
      </c>
    </row>
    <row r="584" spans="1:3" x14ac:dyDescent="0.25">
      <c r="A584" s="36">
        <v>41346</v>
      </c>
      <c r="B584" s="122">
        <v>0.38091435185185185</v>
      </c>
      <c r="C584" s="26" t="s">
        <v>1231</v>
      </c>
    </row>
    <row r="585" spans="1:3" x14ac:dyDescent="0.25">
      <c r="A585" s="36">
        <v>41346</v>
      </c>
      <c r="B585" s="122">
        <v>0.38091435185185185</v>
      </c>
      <c r="C585" s="26" t="s">
        <v>1205</v>
      </c>
    </row>
    <row r="586" spans="1:3" x14ac:dyDescent="0.25">
      <c r="A586" s="36">
        <v>41346</v>
      </c>
      <c r="B586" s="122">
        <v>0.38091435185185185</v>
      </c>
      <c r="C586" s="26" t="s">
        <v>1133</v>
      </c>
    </row>
    <row r="587" spans="1:3" x14ac:dyDescent="0.25">
      <c r="A587" s="36">
        <v>41346</v>
      </c>
      <c r="B587" s="122">
        <v>0.38091435185185185</v>
      </c>
      <c r="C587" s="26" t="s">
        <v>1172</v>
      </c>
    </row>
    <row r="588" spans="1:3" x14ac:dyDescent="0.25">
      <c r="A588" s="36">
        <v>41346</v>
      </c>
      <c r="B588" s="122">
        <v>0.38091435185185185</v>
      </c>
      <c r="C588" s="26" t="s">
        <v>1187</v>
      </c>
    </row>
    <row r="589" spans="1:3" x14ac:dyDescent="0.25">
      <c r="A589" s="36">
        <v>41346</v>
      </c>
      <c r="B589" s="122">
        <v>0.38091435185185185</v>
      </c>
      <c r="C589" s="26" t="s">
        <v>1232</v>
      </c>
    </row>
    <row r="590" spans="1:3" x14ac:dyDescent="0.25">
      <c r="A590" s="36">
        <v>41346</v>
      </c>
      <c r="B590" s="122">
        <v>0.38091435185185185</v>
      </c>
      <c r="C590" s="26" t="s">
        <v>1108</v>
      </c>
    </row>
    <row r="591" spans="1:3" x14ac:dyDescent="0.25">
      <c r="A591" s="36">
        <v>41346</v>
      </c>
      <c r="B591" s="122">
        <v>0.38091435185185185</v>
      </c>
      <c r="C591" s="26" t="s">
        <v>1147</v>
      </c>
    </row>
    <row r="592" spans="1:3" x14ac:dyDescent="0.25">
      <c r="A592" s="36">
        <v>41346</v>
      </c>
      <c r="B592" s="122">
        <v>0.38091435185185185</v>
      </c>
      <c r="C592" s="26" t="s">
        <v>1233</v>
      </c>
    </row>
    <row r="593" spans="1:3" x14ac:dyDescent="0.25">
      <c r="A593" s="36">
        <v>41346</v>
      </c>
      <c r="B593" s="122">
        <v>0.38091435185185185</v>
      </c>
      <c r="C593" s="26" t="s">
        <v>1233</v>
      </c>
    </row>
    <row r="594" spans="1:3" x14ac:dyDescent="0.25">
      <c r="A594" s="36">
        <v>41346</v>
      </c>
      <c r="B594" s="122">
        <v>0.38091435185185185</v>
      </c>
      <c r="C594" s="26" t="s">
        <v>1250</v>
      </c>
    </row>
    <row r="595" spans="1:3" x14ac:dyDescent="0.25">
      <c r="A595" s="36">
        <v>41346</v>
      </c>
      <c r="B595" s="122">
        <v>0.38091435185185185</v>
      </c>
      <c r="C595" s="26" t="s">
        <v>1233</v>
      </c>
    </row>
    <row r="596" spans="1:3" x14ac:dyDescent="0.25">
      <c r="A596" s="36">
        <v>41346</v>
      </c>
      <c r="B596" s="122">
        <v>0.38091435185185185</v>
      </c>
      <c r="C596" s="26" t="s">
        <v>1119</v>
      </c>
    </row>
    <row r="597" spans="1:3" x14ac:dyDescent="0.25">
      <c r="A597" s="36">
        <v>41346</v>
      </c>
      <c r="B597" s="122">
        <v>0.38091435185185185</v>
      </c>
      <c r="C597" s="26" t="s">
        <v>1164</v>
      </c>
    </row>
    <row r="598" spans="1:3" x14ac:dyDescent="0.25">
      <c r="A598" s="36">
        <v>41346</v>
      </c>
      <c r="B598" s="122">
        <v>0.38091435185185185</v>
      </c>
      <c r="C598" s="26" t="s">
        <v>1246</v>
      </c>
    </row>
    <row r="599" spans="1:3" x14ac:dyDescent="0.25">
      <c r="A599" s="36">
        <v>41346</v>
      </c>
      <c r="B599" s="122">
        <v>0.38091435185185185</v>
      </c>
      <c r="C599" s="26" t="s">
        <v>1271</v>
      </c>
    </row>
    <row r="600" spans="1:3" x14ac:dyDescent="0.25">
      <c r="A600" s="36">
        <v>41346</v>
      </c>
      <c r="B600" s="122">
        <v>0.38091435185185185</v>
      </c>
      <c r="C600" s="26" t="s">
        <v>1102</v>
      </c>
    </row>
    <row r="601" spans="1:3" x14ac:dyDescent="0.25">
      <c r="A601" s="36">
        <v>41346</v>
      </c>
      <c r="B601" s="122">
        <v>0.38091435185185185</v>
      </c>
      <c r="C601" s="26" t="s">
        <v>1142</v>
      </c>
    </row>
    <row r="602" spans="1:3" x14ac:dyDescent="0.25">
      <c r="A602" s="36">
        <v>41346</v>
      </c>
      <c r="B602" s="122">
        <v>0.38091435185185185</v>
      </c>
      <c r="C602" s="26" t="s">
        <v>1146</v>
      </c>
    </row>
    <row r="603" spans="1:3" x14ac:dyDescent="0.25">
      <c r="A603" s="36">
        <v>41346</v>
      </c>
      <c r="B603" s="122">
        <v>0.38091435185185185</v>
      </c>
      <c r="C603" s="26" t="s">
        <v>1235</v>
      </c>
    </row>
    <row r="604" spans="1:3" x14ac:dyDescent="0.25">
      <c r="A604" s="36">
        <v>41346</v>
      </c>
      <c r="B604" s="122">
        <v>0.38091435185185185</v>
      </c>
      <c r="C604" s="26" t="s">
        <v>1116</v>
      </c>
    </row>
    <row r="605" spans="1:3" x14ac:dyDescent="0.25">
      <c r="A605" s="36">
        <v>41346</v>
      </c>
      <c r="B605" s="122">
        <v>0.38091435185185185</v>
      </c>
      <c r="C605" s="26" t="s">
        <v>1131</v>
      </c>
    </row>
    <row r="606" spans="1:3" x14ac:dyDescent="0.25">
      <c r="A606" s="36">
        <v>41346</v>
      </c>
      <c r="B606" s="122">
        <v>0.38091435185185185</v>
      </c>
      <c r="C606" s="26" t="s">
        <v>1180</v>
      </c>
    </row>
    <row r="607" spans="1:3" x14ac:dyDescent="0.25">
      <c r="A607" s="36">
        <v>41346</v>
      </c>
      <c r="B607" s="122">
        <v>0.38091435185185185</v>
      </c>
      <c r="C607" s="26" t="s">
        <v>1104</v>
      </c>
    </row>
    <row r="608" spans="1:3" x14ac:dyDescent="0.25">
      <c r="A608" s="36">
        <v>41346</v>
      </c>
      <c r="B608" s="122">
        <v>0.38091435185185185</v>
      </c>
      <c r="C608" s="26" t="s">
        <v>1119</v>
      </c>
    </row>
    <row r="609" spans="1:3" x14ac:dyDescent="0.25">
      <c r="A609" s="36">
        <v>41346</v>
      </c>
      <c r="B609" s="122">
        <v>0.38091435185185185</v>
      </c>
      <c r="C609" s="26" t="s">
        <v>1166</v>
      </c>
    </row>
    <row r="610" spans="1:3" x14ac:dyDescent="0.25">
      <c r="A610" s="36">
        <v>41346</v>
      </c>
      <c r="B610" s="122">
        <v>0.38091435185185185</v>
      </c>
      <c r="C610" s="26" t="s">
        <v>1107</v>
      </c>
    </row>
    <row r="611" spans="1:3" x14ac:dyDescent="0.25">
      <c r="A611" s="36">
        <v>41346</v>
      </c>
      <c r="B611" s="122">
        <v>0.38091435185185185</v>
      </c>
      <c r="C611" s="26" t="s">
        <v>1097</v>
      </c>
    </row>
    <row r="612" spans="1:3" x14ac:dyDescent="0.25">
      <c r="A612" s="36">
        <v>41346</v>
      </c>
      <c r="B612" s="122">
        <v>0.38091435185185185</v>
      </c>
      <c r="C612" s="26" t="s">
        <v>1159</v>
      </c>
    </row>
    <row r="613" spans="1:3" x14ac:dyDescent="0.25">
      <c r="A613" s="36">
        <v>41346</v>
      </c>
      <c r="B613" s="122">
        <v>0.38091435185185185</v>
      </c>
      <c r="C613" s="26" t="s">
        <v>1161</v>
      </c>
    </row>
    <row r="614" spans="1:3" x14ac:dyDescent="0.25">
      <c r="A614" s="36">
        <v>41346</v>
      </c>
      <c r="B614" s="122">
        <v>0.38091435185185185</v>
      </c>
      <c r="C614" s="26" t="s">
        <v>1173</v>
      </c>
    </row>
    <row r="615" spans="1:3" x14ac:dyDescent="0.25">
      <c r="A615" s="36">
        <v>41346</v>
      </c>
      <c r="B615" s="122">
        <v>0.38091435185185185</v>
      </c>
      <c r="C615" s="26" t="s">
        <v>1175</v>
      </c>
    </row>
    <row r="616" spans="1:3" x14ac:dyDescent="0.25">
      <c r="A616" s="36">
        <v>41346</v>
      </c>
      <c r="B616" s="122">
        <v>0.38091435185185185</v>
      </c>
      <c r="C616" s="26" t="s">
        <v>1220</v>
      </c>
    </row>
    <row r="617" spans="1:3" x14ac:dyDescent="0.25">
      <c r="A617" s="36">
        <v>41346</v>
      </c>
      <c r="B617" s="122">
        <v>0.38091435185185185</v>
      </c>
      <c r="C617" s="26" t="s">
        <v>1249</v>
      </c>
    </row>
    <row r="618" spans="1:3" x14ac:dyDescent="0.25">
      <c r="A618" s="36">
        <v>41346</v>
      </c>
      <c r="B618" s="122">
        <v>0.38091435185185185</v>
      </c>
      <c r="C618" s="26" t="s">
        <v>1249</v>
      </c>
    </row>
    <row r="619" spans="1:3" x14ac:dyDescent="0.25">
      <c r="A619" s="36">
        <v>41346</v>
      </c>
      <c r="B619" s="122">
        <v>0.38091435185185185</v>
      </c>
      <c r="C619" s="26" t="s">
        <v>1107</v>
      </c>
    </row>
    <row r="620" spans="1:3" x14ac:dyDescent="0.25">
      <c r="A620" s="36">
        <v>41346</v>
      </c>
      <c r="B620" s="122">
        <v>0.38091435185185185</v>
      </c>
      <c r="C620" s="26" t="s">
        <v>1297</v>
      </c>
    </row>
    <row r="621" spans="1:3" x14ac:dyDescent="0.25">
      <c r="A621" s="36">
        <v>41346</v>
      </c>
      <c r="B621" s="122">
        <v>0.38091435185185185</v>
      </c>
      <c r="C621" s="26" t="s">
        <v>1298</v>
      </c>
    </row>
    <row r="622" spans="1:3" x14ac:dyDescent="0.25">
      <c r="A622" s="36">
        <v>41346</v>
      </c>
      <c r="B622" s="122">
        <v>0.38091435185185185</v>
      </c>
      <c r="C622" s="26" t="s">
        <v>1296</v>
      </c>
    </row>
    <row r="623" spans="1:3" x14ac:dyDescent="0.25">
      <c r="A623" s="36">
        <v>41346</v>
      </c>
      <c r="B623" s="122">
        <v>0.38091435185185185</v>
      </c>
      <c r="C623" s="26" t="s">
        <v>1299</v>
      </c>
    </row>
    <row r="624" spans="1:3" x14ac:dyDescent="0.25">
      <c r="A624" s="36">
        <v>41346</v>
      </c>
      <c r="B624" s="122">
        <v>0.38091435185185185</v>
      </c>
      <c r="C624" s="26" t="s">
        <v>1226</v>
      </c>
    </row>
    <row r="625" spans="1:3" x14ac:dyDescent="0.25">
      <c r="A625" s="36">
        <v>41346</v>
      </c>
      <c r="B625" s="122">
        <v>0.38091435185185185</v>
      </c>
      <c r="C625" s="26" t="s">
        <v>1252</v>
      </c>
    </row>
    <row r="626" spans="1:3" x14ac:dyDescent="0.25">
      <c r="A626" s="36">
        <v>41346</v>
      </c>
      <c r="B626" s="122">
        <v>0.38091435185185185</v>
      </c>
      <c r="C626" s="26" t="s">
        <v>1305</v>
      </c>
    </row>
    <row r="627" spans="1:3" x14ac:dyDescent="0.25">
      <c r="A627" s="36">
        <v>41346</v>
      </c>
      <c r="B627" s="122">
        <v>0.38092592592592589</v>
      </c>
      <c r="C627" s="26" t="s">
        <v>1277</v>
      </c>
    </row>
    <row r="628" spans="1:3" x14ac:dyDescent="0.25">
      <c r="A628" s="36">
        <v>41346</v>
      </c>
      <c r="B628" s="122">
        <v>0.38609953703703703</v>
      </c>
      <c r="C628" s="26" t="s">
        <v>1326</v>
      </c>
    </row>
    <row r="629" spans="1:3" x14ac:dyDescent="0.25">
      <c r="A629" s="36">
        <v>41346</v>
      </c>
      <c r="B629" s="122">
        <v>0.3871412037037037</v>
      </c>
      <c r="C629" s="26" t="s">
        <v>1320</v>
      </c>
    </row>
    <row r="630" spans="1:3" ht="30" x14ac:dyDescent="0.25">
      <c r="A630" s="36">
        <v>41346</v>
      </c>
      <c r="B630" s="122">
        <v>0.38717592592592592</v>
      </c>
      <c r="C630" s="789" t="s">
        <v>1327</v>
      </c>
    </row>
    <row r="631" spans="1:3" ht="45" x14ac:dyDescent="0.25">
      <c r="A631" s="36">
        <v>41346</v>
      </c>
      <c r="B631" s="122">
        <v>0.38723379629629634</v>
      </c>
      <c r="C631" s="789" t="s">
        <v>1328</v>
      </c>
    </row>
    <row r="632" spans="1:3" x14ac:dyDescent="0.25">
      <c r="A632" s="36">
        <v>41346</v>
      </c>
      <c r="B632" s="122">
        <v>0.38849537037037035</v>
      </c>
      <c r="C632" s="26" t="s">
        <v>1329</v>
      </c>
    </row>
    <row r="633" spans="1:3" ht="30" x14ac:dyDescent="0.25">
      <c r="A633" s="36">
        <v>41346</v>
      </c>
      <c r="B633" s="122">
        <v>0.38871527777777781</v>
      </c>
      <c r="C633" s="789" t="s">
        <v>1330</v>
      </c>
    </row>
    <row r="634" spans="1:3" ht="45" x14ac:dyDescent="0.25">
      <c r="A634" s="36">
        <v>41346</v>
      </c>
      <c r="B634" s="122">
        <v>0.38960648148148147</v>
      </c>
      <c r="C634" s="789" t="s">
        <v>1331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3"/>
  <sheetViews>
    <sheetView zoomScale="85" zoomScaleNormal="85" workbookViewId="0">
      <pane xSplit="1" ySplit="5" topLeftCell="B99" activePane="bottomRight" state="frozen"/>
      <selection pane="topRight" activeCell="B1" sqref="B1"/>
      <selection pane="bottomLeft" activeCell="A6" sqref="A6"/>
      <selection pane="bottomRight" activeCell="D48" sqref="D4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41311</v>
      </c>
    </row>
    <row r="2" spans="1:38" s="315" customFormat="1" ht="19.5" x14ac:dyDescent="0.3">
      <c r="C2" s="316" t="s">
        <v>695</v>
      </c>
    </row>
    <row r="3" spans="1:38" s="315" customFormat="1" x14ac:dyDescent="0.25"/>
    <row r="4" spans="1:38" s="315" customFormat="1" ht="15.75" thickBot="1" x14ac:dyDescent="0.3">
      <c r="A4" s="315" t="s">
        <v>774</v>
      </c>
    </row>
    <row r="5" spans="1:38" s="315" customFormat="1" ht="23.25" thickBot="1" x14ac:dyDescent="0.3">
      <c r="A5" s="254" t="s">
        <v>781</v>
      </c>
      <c r="B5" s="317" t="s">
        <v>696</v>
      </c>
      <c r="C5" s="318" t="s">
        <v>568</v>
      </c>
      <c r="D5" s="318" t="s">
        <v>697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698</v>
      </c>
      <c r="L5" s="323" t="s">
        <v>699</v>
      </c>
      <c r="M5" s="323" t="s">
        <v>700</v>
      </c>
      <c r="N5" s="324" t="s">
        <v>701</v>
      </c>
      <c r="O5" s="324" t="s">
        <v>702</v>
      </c>
      <c r="P5" s="324" t="s">
        <v>703</v>
      </c>
      <c r="Q5" s="324" t="s">
        <v>704</v>
      </c>
      <c r="R5" s="324" t="s">
        <v>705</v>
      </c>
      <c r="S5" s="323" t="s">
        <v>0</v>
      </c>
      <c r="T5" s="322" t="s">
        <v>2</v>
      </c>
      <c r="U5" s="322" t="s">
        <v>706</v>
      </c>
      <c r="V5" s="322" t="s">
        <v>707</v>
      </c>
      <c r="W5" s="322" t="s">
        <v>1</v>
      </c>
      <c r="X5" s="322" t="s">
        <v>708</v>
      </c>
      <c r="Y5" s="322" t="s">
        <v>709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6" t="s">
        <v>57</v>
      </c>
      <c r="AE5" s="723" t="s">
        <v>994</v>
      </c>
      <c r="AF5" s="722" t="s">
        <v>354</v>
      </c>
      <c r="AG5" s="745" t="s">
        <v>1044</v>
      </c>
      <c r="AH5" s="745" t="s">
        <v>1045</v>
      </c>
      <c r="AI5" s="745" t="s">
        <v>1041</v>
      </c>
      <c r="AJ5" s="745" t="s">
        <v>953</v>
      </c>
      <c r="AK5" s="722" t="s">
        <v>117</v>
      </c>
      <c r="AL5" s="722" t="s">
        <v>206</v>
      </c>
    </row>
    <row r="6" spans="1:38" s="315" customFormat="1" x14ac:dyDescent="0.25">
      <c r="A6" s="255" t="s">
        <v>782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7" t="s">
        <v>863</v>
      </c>
      <c r="AF6" s="697" t="s">
        <v>863</v>
      </c>
      <c r="AG6" s="697" t="s">
        <v>863</v>
      </c>
      <c r="AH6" s="697" t="s">
        <v>863</v>
      </c>
      <c r="AI6" s="697" t="s">
        <v>863</v>
      </c>
      <c r="AJ6" s="697" t="s">
        <v>863</v>
      </c>
      <c r="AK6" s="697" t="s">
        <v>863</v>
      </c>
      <c r="AL6" s="697" t="s">
        <v>863</v>
      </c>
    </row>
    <row r="7" spans="1:38" s="315" customFormat="1" x14ac:dyDescent="0.25">
      <c r="A7" s="254" t="s">
        <v>783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1008</v>
      </c>
      <c r="AL7" s="328" t="s">
        <v>1008</v>
      </c>
    </row>
    <row r="8" spans="1:38" s="315" customFormat="1" x14ac:dyDescent="0.25">
      <c r="A8" s="254" t="s">
        <v>784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2" customFormat="1" ht="38.25" x14ac:dyDescent="0.25">
      <c r="A9" s="254" t="s">
        <v>785</v>
      </c>
      <c r="B9" s="349"/>
      <c r="C9" s="349"/>
      <c r="D9" s="349"/>
      <c r="E9" s="349"/>
      <c r="G9" s="349"/>
      <c r="H9" s="349"/>
      <c r="K9" s="349"/>
      <c r="L9" s="733"/>
      <c r="M9" s="733"/>
      <c r="N9" s="733"/>
      <c r="O9" s="733"/>
      <c r="P9" s="733"/>
      <c r="Q9" s="733"/>
      <c r="R9" s="733"/>
      <c r="S9" s="733"/>
      <c r="T9" s="733"/>
      <c r="U9" s="734"/>
      <c r="V9" s="733"/>
      <c r="W9" s="733"/>
      <c r="X9" s="733"/>
      <c r="Y9" s="733"/>
      <c r="Z9" s="733"/>
      <c r="AA9" s="733"/>
      <c r="AE9" s="349" t="s">
        <v>995</v>
      </c>
      <c r="AF9" s="735" t="s">
        <v>910</v>
      </c>
      <c r="AG9" s="746" t="s">
        <v>1047</v>
      </c>
      <c r="AH9" s="746" t="s">
        <v>1049</v>
      </c>
      <c r="AI9" s="746" t="s">
        <v>1050</v>
      </c>
      <c r="AJ9" s="746" t="s">
        <v>1051</v>
      </c>
      <c r="AK9" s="736"/>
      <c r="AL9" s="736" t="s">
        <v>1034</v>
      </c>
    </row>
    <row r="10" spans="1:38" s="315" customFormat="1" x14ac:dyDescent="0.25">
      <c r="A10" s="254" t="s">
        <v>786</v>
      </c>
      <c r="B10" s="472" t="s">
        <v>777</v>
      </c>
      <c r="C10" s="472"/>
      <c r="D10" s="472" t="s">
        <v>812</v>
      </c>
      <c r="E10" s="472" t="s">
        <v>813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1030</v>
      </c>
      <c r="AL10" s="472" t="s">
        <v>1030</v>
      </c>
    </row>
    <row r="11" spans="1:38" s="315" customFormat="1" x14ac:dyDescent="0.25">
      <c r="Z11" s="330"/>
    </row>
    <row r="12" spans="1:38" s="315" customFormat="1" x14ac:dyDescent="0.25">
      <c r="A12" s="315" t="s">
        <v>1083</v>
      </c>
      <c r="Z12" s="330"/>
    </row>
    <row r="13" spans="1:38" s="315" customFormat="1" ht="15.75" thickBot="1" x14ac:dyDescent="0.3">
      <c r="B13" s="315" t="s">
        <v>710</v>
      </c>
      <c r="C13" s="315" t="s">
        <v>711</v>
      </c>
      <c r="D13" s="315" t="s">
        <v>711</v>
      </c>
      <c r="E13" s="315" t="s">
        <v>711</v>
      </c>
      <c r="F13" s="315" t="s">
        <v>711</v>
      </c>
      <c r="H13" s="315" t="s">
        <v>711</v>
      </c>
      <c r="I13" s="315" t="s">
        <v>711</v>
      </c>
      <c r="J13" s="315" t="s">
        <v>711</v>
      </c>
      <c r="K13" s="315" t="s">
        <v>711</v>
      </c>
      <c r="R13" s="331" t="s">
        <v>710</v>
      </c>
    </row>
    <row r="14" spans="1:38" s="777" customFormat="1" ht="15.75" thickBot="1" x14ac:dyDescent="0.3">
      <c r="F14" s="778"/>
      <c r="G14" s="779"/>
      <c r="H14" s="778"/>
      <c r="I14" s="334" t="s">
        <v>712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80"/>
      <c r="V14" s="781" t="s">
        <v>1078</v>
      </c>
      <c r="W14" s="776"/>
      <c r="X14" s="776"/>
      <c r="Y14" s="782">
        <f>1 - COUNTIF(A$3:A12,"")/COUNTA(A$3:A12)</f>
        <v>0.75</v>
      </c>
      <c r="Z14" s="781" t="s">
        <v>1082</v>
      </c>
      <c r="AA14" s="332">
        <f>R14-SUMIF(B$1:B12,"1",R$1:R12)</f>
        <v>0</v>
      </c>
      <c r="AB14" s="783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775</v>
      </c>
    </row>
    <row r="17" spans="1:27" s="315" customFormat="1" ht="15.75" thickBot="1" x14ac:dyDescent="0.3">
      <c r="B17" s="315" t="s">
        <v>965</v>
      </c>
    </row>
    <row r="18" spans="1:27" s="349" customFormat="1" ht="60.75" thickBot="1" x14ac:dyDescent="0.3">
      <c r="A18" s="254" t="s">
        <v>781</v>
      </c>
      <c r="B18" s="338" t="s">
        <v>713</v>
      </c>
      <c r="C18" s="339" t="s">
        <v>714</v>
      </c>
      <c r="D18" s="339" t="s">
        <v>715</v>
      </c>
      <c r="E18" s="340" t="s">
        <v>716</v>
      </c>
      <c r="F18" s="341" t="s">
        <v>717</v>
      </c>
      <c r="G18" s="342" t="s">
        <v>718</v>
      </c>
      <c r="H18" s="343" t="s">
        <v>719</v>
      </c>
      <c r="I18" s="344"/>
      <c r="J18" s="345"/>
      <c r="K18" s="346" t="s">
        <v>594</v>
      </c>
      <c r="L18" s="346"/>
      <c r="M18" s="347" t="s">
        <v>595</v>
      </c>
      <c r="N18" s="345" t="s">
        <v>706</v>
      </c>
      <c r="O18" s="345" t="s">
        <v>1</v>
      </c>
      <c r="P18" s="345" t="s">
        <v>58</v>
      </c>
      <c r="Q18" s="345" t="s">
        <v>720</v>
      </c>
      <c r="R18" s="345" t="s">
        <v>721</v>
      </c>
      <c r="S18" s="345" t="s">
        <v>722</v>
      </c>
      <c r="T18" s="346" t="s">
        <v>723</v>
      </c>
      <c r="U18" s="348" t="s">
        <v>724</v>
      </c>
      <c r="V18" s="348" t="s">
        <v>725</v>
      </c>
      <c r="W18" s="348" t="s">
        <v>726</v>
      </c>
      <c r="X18" s="345" t="s">
        <v>727</v>
      </c>
      <c r="Y18" s="345" t="s">
        <v>728</v>
      </c>
      <c r="Z18" s="345" t="s">
        <v>57</v>
      </c>
      <c r="AA18" s="345" t="s">
        <v>729</v>
      </c>
    </row>
    <row r="19" spans="1:27" s="315" customFormat="1" ht="18" customHeight="1" x14ac:dyDescent="0.25">
      <c r="A19" s="255" t="s">
        <v>782</v>
      </c>
      <c r="B19" s="350" t="s">
        <v>70</v>
      </c>
      <c r="C19" s="351" t="s">
        <v>740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2"/>
      <c r="I19" s="661" t="str">
        <f>IF(S19="",TRIM(K19),TRIM(MID(S19,9,55))&amp;"/"&amp;TRIM(K19))</f>
        <v>2009-1-065</v>
      </c>
      <c r="J19" s="356"/>
      <c r="K19" s="357" t="s">
        <v>730</v>
      </c>
      <c r="L19" s="357"/>
      <c r="M19" s="358">
        <v>40058</v>
      </c>
      <c r="N19" s="356" t="s">
        <v>11</v>
      </c>
      <c r="O19" s="356" t="s">
        <v>80</v>
      </c>
      <c r="P19" s="356" t="s">
        <v>731</v>
      </c>
      <c r="Q19" s="356"/>
      <c r="R19" s="356" t="s">
        <v>732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733</v>
      </c>
      <c r="AA19" s="356" t="s">
        <v>734</v>
      </c>
    </row>
    <row r="20" spans="1:27" s="315" customFormat="1" x14ac:dyDescent="0.25">
      <c r="A20" s="254" t="s">
        <v>783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784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785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786</v>
      </c>
      <c r="B23" s="328" t="s">
        <v>777</v>
      </c>
      <c r="C23" s="328" t="s">
        <v>789</v>
      </c>
      <c r="D23" s="315" t="s">
        <v>787</v>
      </c>
      <c r="E23" s="328"/>
      <c r="F23" s="329"/>
      <c r="G23" s="328"/>
      <c r="H23" s="328" t="s">
        <v>788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776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735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712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736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737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738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739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740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741</v>
      </c>
    </row>
    <row r="35" spans="1:26" s="315" customFormat="1" ht="17.25" x14ac:dyDescent="0.4">
      <c r="A35" s="254" t="s">
        <v>781</v>
      </c>
      <c r="B35" s="402" t="s">
        <v>696</v>
      </c>
      <c r="C35" s="403"/>
    </row>
    <row r="36" spans="1:26" s="315" customFormat="1" ht="17.25" x14ac:dyDescent="0.4">
      <c r="A36" s="255" t="s">
        <v>782</v>
      </c>
      <c r="B36" s="404"/>
      <c r="C36" s="403"/>
    </row>
    <row r="37" spans="1:26" s="315" customFormat="1" x14ac:dyDescent="0.25">
      <c r="A37" s="254" t="s">
        <v>783</v>
      </c>
      <c r="B37" s="328">
        <v>0.5</v>
      </c>
      <c r="C37" s="328"/>
    </row>
    <row r="38" spans="1:26" s="315" customFormat="1" x14ac:dyDescent="0.25">
      <c r="A38" s="254" t="s">
        <v>784</v>
      </c>
      <c r="B38" s="328">
        <v>3</v>
      </c>
      <c r="C38" s="328"/>
    </row>
    <row r="39" spans="1:26" s="315" customFormat="1" x14ac:dyDescent="0.25">
      <c r="A39" s="254" t="s">
        <v>785</v>
      </c>
      <c r="B39" s="328"/>
      <c r="C39" s="328"/>
    </row>
    <row r="40" spans="1:26" s="315" customFormat="1" x14ac:dyDescent="0.25">
      <c r="A40" s="254" t="s">
        <v>786</v>
      </c>
      <c r="B40" s="328" t="s">
        <v>777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757</v>
      </c>
    </row>
    <row r="44" spans="1:26" s="408" customFormat="1" x14ac:dyDescent="0.25"/>
    <row r="45" spans="1:26" s="408" customFormat="1" ht="15.75" thickBot="1" x14ac:dyDescent="0.3">
      <c r="A45" s="408" t="s">
        <v>758</v>
      </c>
    </row>
    <row r="46" spans="1:26" s="408" customFormat="1" ht="17.25" x14ac:dyDescent="0.4">
      <c r="A46" s="805" t="s">
        <v>561</v>
      </c>
      <c r="B46" s="254" t="s">
        <v>781</v>
      </c>
      <c r="C46" s="403" t="s">
        <v>759</v>
      </c>
      <c r="D46" s="410" t="s">
        <v>760</v>
      </c>
      <c r="G46" s="408" t="s">
        <v>761</v>
      </c>
    </row>
    <row r="47" spans="1:26" s="408" customFormat="1" x14ac:dyDescent="0.25">
      <c r="A47" s="806"/>
      <c r="B47" s="255" t="s">
        <v>782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762</v>
      </c>
    </row>
    <row r="48" spans="1:26" s="408" customFormat="1" x14ac:dyDescent="0.25">
      <c r="A48" s="806"/>
      <c r="B48" s="254" t="s">
        <v>783</v>
      </c>
      <c r="C48" s="413">
        <v>8</v>
      </c>
      <c r="D48" s="413">
        <v>1</v>
      </c>
      <c r="G48" s="408" t="s">
        <v>763</v>
      </c>
    </row>
    <row r="49" spans="1:7" s="408" customFormat="1" x14ac:dyDescent="0.25">
      <c r="A49" s="806"/>
      <c r="B49" s="254" t="s">
        <v>784</v>
      </c>
      <c r="C49" s="413">
        <v>2</v>
      </c>
      <c r="D49" s="413"/>
    </row>
    <row r="50" spans="1:7" s="408" customFormat="1" x14ac:dyDescent="0.25">
      <c r="A50" s="806"/>
      <c r="B50" s="254" t="s">
        <v>785</v>
      </c>
      <c r="C50" s="413"/>
      <c r="D50" s="413"/>
    </row>
    <row r="51" spans="1:7" s="408" customFormat="1" ht="15.75" thickBot="1" x14ac:dyDescent="0.3">
      <c r="A51" s="807"/>
      <c r="B51" s="254" t="s">
        <v>786</v>
      </c>
      <c r="C51" s="413" t="s">
        <v>1076</v>
      </c>
      <c r="D51" s="413"/>
      <c r="G51" s="315" t="s">
        <v>1077</v>
      </c>
    </row>
    <row r="52" spans="1:7" s="408" customFormat="1" x14ac:dyDescent="0.25"/>
    <row r="53" spans="1:7" s="408" customFormat="1" ht="15.75" thickBot="1" x14ac:dyDescent="0.3">
      <c r="A53" s="408" t="s">
        <v>764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765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612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766</v>
      </c>
    </row>
    <row r="58" spans="1:7" s="408" customFormat="1" ht="15.75" thickBot="1" x14ac:dyDescent="0.3">
      <c r="B58" s="408" t="s">
        <v>967</v>
      </c>
    </row>
    <row r="59" spans="1:7" s="408" customFormat="1" ht="17.25" x14ac:dyDescent="0.4">
      <c r="A59" s="805" t="s">
        <v>566</v>
      </c>
      <c r="B59" s="254" t="s">
        <v>781</v>
      </c>
      <c r="C59" s="403" t="s">
        <v>759</v>
      </c>
      <c r="D59" s="403" t="s">
        <v>767</v>
      </c>
      <c r="G59" s="408" t="s">
        <v>761</v>
      </c>
    </row>
    <row r="60" spans="1:7" s="408" customFormat="1" x14ac:dyDescent="0.25">
      <c r="A60" s="806"/>
      <c r="B60" s="255" t="s">
        <v>782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768</v>
      </c>
    </row>
    <row r="61" spans="1:7" s="408" customFormat="1" x14ac:dyDescent="0.25">
      <c r="A61" s="806"/>
      <c r="B61" s="254" t="s">
        <v>783</v>
      </c>
      <c r="C61" s="408">
        <v>10</v>
      </c>
      <c r="D61" s="413">
        <v>1</v>
      </c>
      <c r="F61" s="664" t="str">
        <f>"/=""Не состоялся"":"&amp;F62</f>
        <v>/="Не состоялся":/="Договор расторгнут"</v>
      </c>
      <c r="G61" s="408" t="s">
        <v>769</v>
      </c>
    </row>
    <row r="62" spans="1:7" s="315" customFormat="1" x14ac:dyDescent="0.25">
      <c r="A62" s="806"/>
      <c r="B62" s="254" t="s">
        <v>784</v>
      </c>
      <c r="C62" s="328">
        <v>2</v>
      </c>
      <c r="D62" s="328"/>
      <c r="F62" s="663" t="s">
        <v>969</v>
      </c>
    </row>
    <row r="63" spans="1:7" s="315" customFormat="1" x14ac:dyDescent="0.25">
      <c r="A63" s="806"/>
      <c r="B63" s="254" t="s">
        <v>785</v>
      </c>
      <c r="C63" s="328"/>
      <c r="D63" s="328"/>
    </row>
    <row r="64" spans="1:7" s="315" customFormat="1" ht="15.75" thickBot="1" x14ac:dyDescent="0.3">
      <c r="A64" s="807"/>
      <c r="B64" s="254" t="s">
        <v>786</v>
      </c>
      <c r="C64" s="328" t="s">
        <v>966</v>
      </c>
      <c r="D64" s="328"/>
      <c r="F64" s="413" t="str">
        <f>"10/="""":"&amp;F61</f>
        <v>10/="":/="Не состоялся":/="Договор расторгнут"</v>
      </c>
      <c r="G64" s="315" t="s">
        <v>970</v>
      </c>
    </row>
    <row r="65" spans="1:35" s="408" customFormat="1" x14ac:dyDescent="0.25">
      <c r="E65" s="315"/>
      <c r="H65" s="315"/>
    </row>
    <row r="66" spans="1:35" s="408" customFormat="1" x14ac:dyDescent="0.25">
      <c r="A66" s="408" t="s">
        <v>770</v>
      </c>
      <c r="E66" s="315"/>
      <c r="H66" s="315"/>
    </row>
    <row r="67" spans="1:35" s="408" customFormat="1" ht="15.75" thickBot="1" x14ac:dyDescent="0.3">
      <c r="B67" s="408" t="s">
        <v>968</v>
      </c>
    </row>
    <row r="68" spans="1:35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5" s="408" customFormat="1" x14ac:dyDescent="0.25">
      <c r="B69" s="406"/>
    </row>
    <row r="70" spans="1:35" s="408" customFormat="1" x14ac:dyDescent="0.25">
      <c r="A70" s="408" t="s">
        <v>742</v>
      </c>
    </row>
    <row r="71" spans="1:35" s="408" customFormat="1" x14ac:dyDescent="0.25">
      <c r="A71" s="421" t="s">
        <v>743</v>
      </c>
      <c r="B71" s="421" t="s">
        <v>744</v>
      </c>
      <c r="C71" s="421" t="s">
        <v>745</v>
      </c>
      <c r="D71" s="421" t="s">
        <v>746</v>
      </c>
      <c r="E71" s="421" t="s">
        <v>747</v>
      </c>
      <c r="F71" s="421" t="s">
        <v>748</v>
      </c>
      <c r="G71" s="421" t="s">
        <v>749</v>
      </c>
      <c r="H71" s="421" t="s">
        <v>750</v>
      </c>
      <c r="I71" s="421" t="s">
        <v>751</v>
      </c>
    </row>
    <row r="72" spans="1:35" s="408" customFormat="1" x14ac:dyDescent="0.25">
      <c r="A72" s="408" t="s">
        <v>752</v>
      </c>
      <c r="B72" s="408" t="s">
        <v>753</v>
      </c>
      <c r="D72" s="413" t="s">
        <v>568</v>
      </c>
      <c r="E72" s="413">
        <v>1</v>
      </c>
      <c r="F72" s="408" t="s">
        <v>754</v>
      </c>
      <c r="G72" s="408" t="s">
        <v>755</v>
      </c>
      <c r="H72" s="408" t="s">
        <v>561</v>
      </c>
      <c r="I72" s="408" t="s">
        <v>756</v>
      </c>
    </row>
    <row r="73" spans="1:35" s="423" customFormat="1" ht="7.5" customHeight="1" x14ac:dyDescent="0.25">
      <c r="D73" s="424"/>
      <c r="E73" s="424"/>
    </row>
    <row r="74" spans="1:35" s="408" customFormat="1" ht="19.5" x14ac:dyDescent="0.3">
      <c r="A74" s="315"/>
      <c r="C74" s="409" t="s">
        <v>837</v>
      </c>
      <c r="I74" s="408">
        <f>G80</f>
        <v>6</v>
      </c>
    </row>
    <row r="75" spans="1:35" s="315" customFormat="1" x14ac:dyDescent="0.25"/>
    <row r="76" spans="1:35" s="315" customFormat="1" x14ac:dyDescent="0.25">
      <c r="A76" s="315" t="s">
        <v>878</v>
      </c>
    </row>
    <row r="77" spans="1:35" s="315" customFormat="1" ht="25.5" x14ac:dyDescent="0.25">
      <c r="A77" s="254" t="s">
        <v>781</v>
      </c>
      <c r="B77" s="562" t="s">
        <v>838</v>
      </c>
      <c r="C77" s="564" t="s">
        <v>359</v>
      </c>
      <c r="D77" s="565" t="s">
        <v>839</v>
      </c>
      <c r="E77" s="541" t="s">
        <v>840</v>
      </c>
      <c r="F77" s="541" t="s">
        <v>58</v>
      </c>
      <c r="G77" s="541" t="s">
        <v>791</v>
      </c>
      <c r="H77" s="541" t="s">
        <v>815</v>
      </c>
      <c r="I77" s="541" t="s">
        <v>881</v>
      </c>
      <c r="K77" s="538" t="s">
        <v>846</v>
      </c>
      <c r="L77" s="539" t="s">
        <v>841</v>
      </c>
      <c r="M77" s="540"/>
      <c r="N77" s="528" t="s">
        <v>687</v>
      </c>
      <c r="O77" s="528" t="s">
        <v>688</v>
      </c>
      <c r="P77" s="528" t="s">
        <v>65</v>
      </c>
      <c r="Q77" s="528" t="s">
        <v>1</v>
      </c>
      <c r="R77" s="529" t="s">
        <v>689</v>
      </c>
      <c r="S77" s="530" t="s">
        <v>842</v>
      </c>
      <c r="T77" s="531" t="s">
        <v>690</v>
      </c>
      <c r="U77" s="528" t="s">
        <v>691</v>
      </c>
      <c r="V77" s="532" t="s">
        <v>684</v>
      </c>
      <c r="W77" s="533" t="s">
        <v>684</v>
      </c>
      <c r="X77" s="533" t="s">
        <v>684</v>
      </c>
      <c r="Y77" s="533" t="s">
        <v>684</v>
      </c>
      <c r="Z77" s="528" t="s">
        <v>684</v>
      </c>
      <c r="AA77" s="528" t="s">
        <v>843</v>
      </c>
      <c r="AB77" s="528" t="s">
        <v>684</v>
      </c>
      <c r="AC77" s="528" t="s">
        <v>684</v>
      </c>
      <c r="AD77" s="534" t="s">
        <v>844</v>
      </c>
      <c r="AE77" s="535" t="s">
        <v>684</v>
      </c>
      <c r="AF77" s="528" t="s">
        <v>684</v>
      </c>
      <c r="AG77" s="528" t="s">
        <v>684</v>
      </c>
      <c r="AH77" s="536" t="s">
        <v>845</v>
      </c>
      <c r="AI77" s="537"/>
    </row>
    <row r="78" spans="1:35" s="315" customFormat="1" x14ac:dyDescent="0.25">
      <c r="A78" s="255" t="s">
        <v>782</v>
      </c>
      <c r="B78" s="563"/>
      <c r="C78" s="326"/>
      <c r="D78" s="566">
        <f>R78</f>
        <v>0</v>
      </c>
      <c r="E78" s="497"/>
      <c r="F78" s="329"/>
      <c r="G78" s="559"/>
    </row>
    <row r="79" spans="1:35" s="315" customFormat="1" x14ac:dyDescent="0.25">
      <c r="A79" s="254" t="s">
        <v>783</v>
      </c>
      <c r="B79" s="328">
        <v>8</v>
      </c>
      <c r="C79" s="328">
        <v>13</v>
      </c>
      <c r="D79" s="328">
        <v>7</v>
      </c>
      <c r="E79" s="328">
        <v>11</v>
      </c>
      <c r="F79" s="329">
        <v>20</v>
      </c>
      <c r="G79" s="330">
        <v>5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>
        <v>13</v>
      </c>
      <c r="P79" s="330">
        <v>16</v>
      </c>
      <c r="Q79" s="330">
        <v>10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</row>
    <row r="80" spans="1:35" s="315" customFormat="1" x14ac:dyDescent="0.25">
      <c r="A80" s="254" t="s">
        <v>784</v>
      </c>
      <c r="B80" s="328">
        <v>6</v>
      </c>
      <c r="C80" s="328">
        <v>6</v>
      </c>
      <c r="D80" s="328"/>
      <c r="E80" s="328">
        <v>6</v>
      </c>
      <c r="F80" s="315">
        <v>6</v>
      </c>
      <c r="G80" s="328">
        <v>6</v>
      </c>
      <c r="H80" s="315">
        <v>6</v>
      </c>
      <c r="I80" s="328">
        <v>6</v>
      </c>
      <c r="J80" s="329">
        <v>-1</v>
      </c>
      <c r="K80" s="328"/>
      <c r="N80" s="328"/>
      <c r="O80" s="330"/>
      <c r="P80" s="330"/>
      <c r="Q80" s="330"/>
      <c r="R80" s="330"/>
      <c r="S80" s="330"/>
      <c r="T80" s="330"/>
      <c r="U80" s="330"/>
      <c r="V80" s="330"/>
      <c r="W80" s="330"/>
      <c r="X80" s="361"/>
      <c r="Y80" s="330"/>
      <c r="Z80" s="330"/>
      <c r="AA80" s="330"/>
      <c r="AB80" s="330"/>
      <c r="AC80" s="330"/>
      <c r="AD80" s="330"/>
    </row>
    <row r="81" spans="1:36" s="315" customFormat="1" ht="44.25" customHeight="1" x14ac:dyDescent="0.25">
      <c r="A81" s="254" t="s">
        <v>785</v>
      </c>
      <c r="B81" s="560" t="s">
        <v>879</v>
      </c>
      <c r="C81" s="560" t="s">
        <v>880</v>
      </c>
      <c r="D81" s="328"/>
      <c r="E81" s="560" t="s">
        <v>865</v>
      </c>
      <c r="F81" s="560" t="s">
        <v>864</v>
      </c>
      <c r="G81" s="561"/>
      <c r="H81" s="561" t="s">
        <v>870</v>
      </c>
      <c r="I81" s="561" t="s">
        <v>882</v>
      </c>
      <c r="J81" s="328"/>
      <c r="K81" s="328"/>
      <c r="N81" s="558" t="s">
        <v>868</v>
      </c>
      <c r="O81" s="330"/>
      <c r="P81" s="330"/>
      <c r="Q81" s="330"/>
      <c r="R81" s="330"/>
      <c r="S81" s="330"/>
      <c r="T81" s="330"/>
      <c r="U81" s="330"/>
      <c r="V81" s="330"/>
      <c r="W81" s="330"/>
      <c r="X81" s="361"/>
      <c r="Y81" s="330"/>
      <c r="Z81" s="330"/>
      <c r="AA81" s="330"/>
      <c r="AB81" s="330"/>
      <c r="AC81" s="330"/>
      <c r="AD81" s="330"/>
    </row>
    <row r="82" spans="1:36" s="315" customFormat="1" x14ac:dyDescent="0.25">
      <c r="A82" s="254" t="s">
        <v>786</v>
      </c>
      <c r="B82" s="472"/>
      <c r="C82" s="472"/>
      <c r="D82" s="472"/>
      <c r="E82" s="472"/>
      <c r="F82" s="329"/>
      <c r="G82" s="328"/>
      <c r="H82" s="328"/>
      <c r="I82" s="328"/>
      <c r="J82" s="328"/>
      <c r="K82" s="328"/>
      <c r="N82" s="328"/>
      <c r="O82" s="330"/>
      <c r="P82" s="330"/>
      <c r="Q82" s="330"/>
      <c r="R82" s="330"/>
      <c r="S82" s="330"/>
      <c r="T82" s="330"/>
      <c r="U82" s="330"/>
      <c r="V82" s="330"/>
      <c r="W82" s="330"/>
      <c r="X82" s="361"/>
      <c r="Y82" s="330"/>
      <c r="Z82" s="330"/>
      <c r="AA82" s="330"/>
      <c r="AB82" s="330"/>
      <c r="AC82" s="330"/>
      <c r="AD82" s="330"/>
    </row>
    <row r="83" spans="1:36" s="315" customFormat="1" x14ac:dyDescent="0.25">
      <c r="N83" s="315" t="s">
        <v>869</v>
      </c>
    </row>
    <row r="84" spans="1:36" s="315" customFormat="1" ht="15.75" thickBot="1" x14ac:dyDescent="0.3">
      <c r="A84" s="315" t="s">
        <v>862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3" t="s">
        <v>598</v>
      </c>
      <c r="B85" s="580" t="s">
        <v>896</v>
      </c>
      <c r="C85" s="541" t="s">
        <v>66</v>
      </c>
      <c r="D85" s="541" t="s">
        <v>791</v>
      </c>
      <c r="E85" s="541" t="s">
        <v>369</v>
      </c>
      <c r="F85" s="553" t="s">
        <v>1</v>
      </c>
      <c r="G85" s="553" t="s">
        <v>866</v>
      </c>
      <c r="H85" s="557" t="s">
        <v>815</v>
      </c>
      <c r="I85" s="557" t="s">
        <v>149</v>
      </c>
      <c r="J85" s="557" t="s">
        <v>62</v>
      </c>
      <c r="K85" s="557"/>
      <c r="L85" s="557"/>
      <c r="M85" s="541" t="s">
        <v>847</v>
      </c>
      <c r="N85" s="542" t="s">
        <v>188</v>
      </c>
      <c r="O85" s="541" t="s">
        <v>848</v>
      </c>
      <c r="P85" s="541" t="s">
        <v>849</v>
      </c>
      <c r="Q85" s="544" t="s">
        <v>853</v>
      </c>
      <c r="R85" s="544" t="s">
        <v>682</v>
      </c>
      <c r="S85" s="543" t="s">
        <v>683</v>
      </c>
      <c r="T85" s="544" t="s">
        <v>686</v>
      </c>
      <c r="U85" s="545" t="s">
        <v>684</v>
      </c>
      <c r="V85" s="545" t="s">
        <v>685</v>
      </c>
      <c r="W85" s="545" t="s">
        <v>850</v>
      </c>
      <c r="X85" s="545" t="s">
        <v>851</v>
      </c>
      <c r="Y85" s="545" t="s">
        <v>852</v>
      </c>
    </row>
    <row r="86" spans="1:36" s="315" customFormat="1" x14ac:dyDescent="0.25">
      <c r="A86" s="694"/>
      <c r="B86" s="255" t="s">
        <v>782</v>
      </c>
      <c r="D86" s="554"/>
      <c r="M86" s="329"/>
      <c r="N86" s="326"/>
      <c r="O86" s="497"/>
      <c r="P86" s="497"/>
      <c r="Q86" s="328" t="s">
        <v>863</v>
      </c>
      <c r="R86" s="328" t="s">
        <v>863</v>
      </c>
      <c r="S86" s="328" t="s">
        <v>863</v>
      </c>
      <c r="T86" s="328" t="s">
        <v>863</v>
      </c>
      <c r="U86" s="328" t="s">
        <v>863</v>
      </c>
      <c r="V86" s="328" t="s">
        <v>863</v>
      </c>
      <c r="W86" s="328" t="s">
        <v>863</v>
      </c>
      <c r="X86" s="328" t="s">
        <v>863</v>
      </c>
      <c r="Y86" s="328" t="s">
        <v>863</v>
      </c>
    </row>
    <row r="87" spans="1:36" s="315" customFormat="1" x14ac:dyDescent="0.25">
      <c r="A87" s="694"/>
      <c r="B87" s="254" t="s">
        <v>783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4"/>
      <c r="B88" s="254" t="s">
        <v>784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4"/>
      <c r="B89" s="254" t="s">
        <v>785</v>
      </c>
      <c r="C89" s="328" t="s">
        <v>985</v>
      </c>
      <c r="D89" s="714" t="s">
        <v>1002</v>
      </c>
      <c r="E89" s="555" t="s">
        <v>864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4"/>
      <c r="B90" s="254" t="s">
        <v>786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5" t="s">
        <v>864</v>
      </c>
      <c r="E93" s="555" t="s">
        <v>865</v>
      </c>
      <c r="F93" s="328" t="s">
        <v>985</v>
      </c>
      <c r="K93" s="556" t="s">
        <v>867</v>
      </c>
      <c r="L93" s="556" t="s">
        <v>870</v>
      </c>
      <c r="M93" s="556"/>
      <c r="N93" s="556"/>
      <c r="O93" s="556"/>
      <c r="P93" s="556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771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5" customFormat="1" ht="7.5" customHeight="1" x14ac:dyDescent="0.25">
      <c r="D101" s="626"/>
      <c r="E101" s="626"/>
    </row>
    <row r="102" spans="1:27" s="315" customFormat="1" ht="19.5" x14ac:dyDescent="0.3">
      <c r="C102" s="316" t="s">
        <v>934</v>
      </c>
    </row>
    <row r="104" spans="1:27" ht="15.75" thickBot="1" x14ac:dyDescent="0.3">
      <c r="A104" s="30" t="s">
        <v>1080</v>
      </c>
    </row>
    <row r="105" spans="1:27" ht="15.75" thickBot="1" x14ac:dyDescent="0.3">
      <c r="A105" s="254" t="s">
        <v>673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811</v>
      </c>
    </row>
    <row r="106" spans="1:27" s="1" customFormat="1" x14ac:dyDescent="0.25">
      <c r="A106" s="255" t="s">
        <v>588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674</v>
      </c>
      <c r="B107" s="145" t="s">
        <v>1004</v>
      </c>
      <c r="C107" s="145" t="s">
        <v>1079</v>
      </c>
      <c r="D107" s="145" t="s">
        <v>1004</v>
      </c>
      <c r="E107" s="145" t="s">
        <v>113</v>
      </c>
      <c r="F107" s="145" t="s">
        <v>1008</v>
      </c>
      <c r="G107" s="145" t="s">
        <v>1004</v>
      </c>
      <c r="H107" s="145" t="s">
        <v>1007</v>
      </c>
      <c r="I107" s="145" t="s">
        <v>1007</v>
      </c>
      <c r="J107" s="145"/>
      <c r="K107" s="145"/>
      <c r="L107" s="145"/>
      <c r="M107" s="145"/>
    </row>
    <row r="108" spans="1:27" x14ac:dyDescent="0.25">
      <c r="A108" s="254" t="s">
        <v>675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807</v>
      </c>
      <c r="G108" s="460" t="s">
        <v>115</v>
      </c>
      <c r="H108" s="573" t="s">
        <v>885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676</v>
      </c>
      <c r="E109" t="s">
        <v>795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794</v>
      </c>
      <c r="E110" s="252"/>
      <c r="G110" s="252" t="s">
        <v>808</v>
      </c>
      <c r="H110" s="572" t="s">
        <v>884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1081</v>
      </c>
    </row>
    <row r="113" spans="1:23" ht="15.75" thickBot="1" x14ac:dyDescent="0.3">
      <c r="A113" s="254" t="s">
        <v>673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811</v>
      </c>
    </row>
    <row r="114" spans="1:23" s="1" customFormat="1" x14ac:dyDescent="0.25">
      <c r="A114" s="255" t="s">
        <v>588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674</v>
      </c>
      <c r="B115" s="145" t="s">
        <v>1004</v>
      </c>
      <c r="C115" s="145" t="s">
        <v>1079</v>
      </c>
      <c r="D115" s="145" t="s">
        <v>1004</v>
      </c>
      <c r="E115" s="145" t="s">
        <v>113</v>
      </c>
      <c r="F115" s="145" t="s">
        <v>1008</v>
      </c>
      <c r="G115" s="145" t="s">
        <v>1004</v>
      </c>
      <c r="H115" s="145" t="s">
        <v>1007</v>
      </c>
      <c r="I115" s="145" t="s">
        <v>1007</v>
      </c>
      <c r="J115" s="145"/>
      <c r="K115" s="145"/>
      <c r="L115" s="145"/>
      <c r="M115" s="145"/>
    </row>
    <row r="116" spans="1:23" x14ac:dyDescent="0.25">
      <c r="A116" s="254" t="s">
        <v>675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807</v>
      </c>
      <c r="G116" s="460" t="s">
        <v>115</v>
      </c>
      <c r="H116" s="773" t="s">
        <v>835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676</v>
      </c>
      <c r="B117" t="s">
        <v>1073</v>
      </c>
      <c r="E117" t="s">
        <v>795</v>
      </c>
      <c r="H117" s="774" t="s">
        <v>1074</v>
      </c>
      <c r="I117" s="92"/>
      <c r="M117" s="92"/>
      <c r="N117" s="92"/>
      <c r="O117" s="453"/>
      <c r="P117" s="92"/>
    </row>
    <row r="118" spans="1:23" x14ac:dyDescent="0.25">
      <c r="A118" s="254" t="s">
        <v>794</v>
      </c>
      <c r="E118" s="252"/>
      <c r="G118" s="252" t="s">
        <v>808</v>
      </c>
      <c r="H118" s="775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1012</v>
      </c>
    </row>
    <row r="121" spans="1:23" s="256" customFormat="1" ht="15.75" thickBot="1" x14ac:dyDescent="0.3">
      <c r="A121" s="254" t="s">
        <v>673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674</v>
      </c>
      <c r="B123" s="145" t="s">
        <v>1004</v>
      </c>
      <c r="C123" s="145" t="s">
        <v>1004</v>
      </c>
      <c r="D123" s="145" t="s">
        <v>1005</v>
      </c>
      <c r="E123" s="145" t="s">
        <v>1006</v>
      </c>
      <c r="F123" s="145" t="s">
        <v>1005</v>
      </c>
      <c r="G123" s="145" t="s">
        <v>1006</v>
      </c>
      <c r="H123" s="145" t="s">
        <v>1004</v>
      </c>
      <c r="I123" s="145" t="s">
        <v>1006</v>
      </c>
      <c r="J123" s="145" t="s">
        <v>1005</v>
      </c>
      <c r="K123" s="145" t="s">
        <v>1004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1005</v>
      </c>
      <c r="U123" s="145" t="s">
        <v>92</v>
      </c>
      <c r="V123" s="145" t="s">
        <v>92</v>
      </c>
    </row>
    <row r="124" spans="1:23" x14ac:dyDescent="0.25">
      <c r="A124" s="254" t="s">
        <v>675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672</v>
      </c>
      <c r="O124" s="145" t="s">
        <v>672</v>
      </c>
      <c r="P124" s="145" t="s">
        <v>672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676</v>
      </c>
      <c r="E125" s="252" t="s">
        <v>792</v>
      </c>
      <c r="G125" s="252" t="s">
        <v>793</v>
      </c>
      <c r="I125" s="92"/>
      <c r="K125" s="252" t="s">
        <v>159</v>
      </c>
      <c r="M125" s="92" t="s">
        <v>795</v>
      </c>
      <c r="N125" s="92"/>
      <c r="O125" s="453" t="s">
        <v>796</v>
      </c>
      <c r="P125" s="92" t="s">
        <v>801</v>
      </c>
    </row>
    <row r="126" spans="1:23" x14ac:dyDescent="0.25">
      <c r="A126" s="254" t="s">
        <v>794</v>
      </c>
      <c r="E126" s="252"/>
      <c r="G126" s="252"/>
      <c r="I126" s="328"/>
      <c r="K126" s="454" t="s">
        <v>808</v>
      </c>
      <c r="N126" s="253"/>
      <c r="R126" s="454" t="s">
        <v>799</v>
      </c>
      <c r="S126" s="454" t="s">
        <v>800</v>
      </c>
      <c r="T126" s="454" t="s">
        <v>1011</v>
      </c>
      <c r="U126" s="454" t="s">
        <v>797</v>
      </c>
      <c r="V126" s="454" t="s">
        <v>798</v>
      </c>
    </row>
    <row r="128" spans="1:23" ht="15.75" thickBot="1" x14ac:dyDescent="0.3">
      <c r="A128" s="30" t="s">
        <v>939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3" t="s">
        <v>928</v>
      </c>
      <c r="B129" s="254" t="s">
        <v>673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4"/>
      <c r="B130" s="255" t="s">
        <v>588</v>
      </c>
      <c r="C130" s="496" t="s">
        <v>940</v>
      </c>
      <c r="D130" s="7" t="s">
        <v>942</v>
      </c>
      <c r="E130" s="596" t="s">
        <v>943</v>
      </c>
      <c r="F130" s="9"/>
      <c r="G130" s="646">
        <v>2298687.7200000002</v>
      </c>
      <c r="H130" s="10"/>
      <c r="I130" s="654" t="s">
        <v>141</v>
      </c>
      <c r="J130" s="717" t="s">
        <v>960</v>
      </c>
      <c r="K130" s="654"/>
      <c r="L130" s="654"/>
      <c r="M130" s="655"/>
      <c r="N130" s="656"/>
      <c r="O130"/>
      <c r="P130" s="8" t="s">
        <v>141</v>
      </c>
      <c r="Q130" s="647"/>
      <c r="R130" s="8" t="s">
        <v>945</v>
      </c>
      <c r="S130" s="8" t="s">
        <v>141</v>
      </c>
      <c r="T130" s="6" t="s">
        <v>9</v>
      </c>
      <c r="U130" s="12" t="s">
        <v>948</v>
      </c>
      <c r="V130"/>
      <c r="W130"/>
      <c r="X130"/>
      <c r="Y130"/>
    </row>
    <row r="131" spans="1:25" x14ac:dyDescent="0.25">
      <c r="A131" s="694"/>
      <c r="B131" s="254" t="s">
        <v>674</v>
      </c>
      <c r="C131" s="145" t="s">
        <v>110</v>
      </c>
      <c r="D131" s="145" t="s">
        <v>941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90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4"/>
      <c r="B132" s="254" t="s">
        <v>675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889</v>
      </c>
      <c r="H132" s="145" t="s">
        <v>672</v>
      </c>
      <c r="I132" s="590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807</v>
      </c>
      <c r="U132" s="145" t="s">
        <v>41</v>
      </c>
    </row>
    <row r="133" spans="1:25" x14ac:dyDescent="0.25">
      <c r="A133" s="694"/>
      <c r="B133" s="254" t="s">
        <v>676</v>
      </c>
      <c r="D133" s="252" t="s">
        <v>1031</v>
      </c>
      <c r="F133" s="252" t="s">
        <v>951</v>
      </c>
      <c r="G133" s="716" t="s">
        <v>1014</v>
      </c>
      <c r="H133" s="252" t="s">
        <v>796</v>
      </c>
      <c r="I133" s="648" t="s">
        <v>1015</v>
      </c>
      <c r="K133" s="591"/>
      <c r="L133" s="648"/>
      <c r="M133" s="648"/>
      <c r="N133" s="649"/>
      <c r="P133" s="252" t="s">
        <v>954</v>
      </c>
      <c r="Q133" s="648" t="s">
        <v>944</v>
      </c>
      <c r="R133" s="591"/>
      <c r="S133" s="648" t="s">
        <v>946</v>
      </c>
      <c r="T133" s="648" t="s">
        <v>947</v>
      </c>
      <c r="U133" s="649"/>
    </row>
    <row r="134" spans="1:25" x14ac:dyDescent="0.25">
      <c r="A134" s="694"/>
      <c r="B134" s="254" t="s">
        <v>794</v>
      </c>
      <c r="C134" t="s">
        <v>1028</v>
      </c>
      <c r="D134" t="s">
        <v>950</v>
      </c>
      <c r="F134" s="252"/>
      <c r="H134" s="252"/>
      <c r="J134" s="567"/>
      <c r="L134" s="454"/>
      <c r="Q134" s="328"/>
      <c r="S134" s="454"/>
      <c r="U134" t="s">
        <v>949</v>
      </c>
    </row>
    <row r="136" spans="1:25" ht="15.75" thickBot="1" x14ac:dyDescent="0.3">
      <c r="A136" s="30" t="s">
        <v>1036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3" t="s">
        <v>561</v>
      </c>
      <c r="B137" s="254" t="s">
        <v>673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7" t="s">
        <v>351</v>
      </c>
    </row>
    <row r="138" spans="1:25" s="1" customFormat="1" x14ac:dyDescent="0.25">
      <c r="A138" s="694"/>
      <c r="B138" s="255" t="s">
        <v>588</v>
      </c>
      <c r="C138" s="496" t="s">
        <v>940</v>
      </c>
      <c r="D138" s="7" t="s">
        <v>942</v>
      </c>
      <c r="E138" s="596" t="s">
        <v>943</v>
      </c>
      <c r="F138" s="9"/>
      <c r="G138" s="646">
        <v>2298687.7200000002</v>
      </c>
      <c r="H138" s="10"/>
      <c r="I138" s="741" t="s">
        <v>106</v>
      </c>
      <c r="J138" s="717" t="s">
        <v>960</v>
      </c>
      <c r="K138" s="752" t="s">
        <v>1058</v>
      </c>
      <c r="L138" s="752" t="s">
        <v>137</v>
      </c>
      <c r="M138" s="750" t="s">
        <v>7</v>
      </c>
      <c r="N138" s="656"/>
      <c r="O138"/>
      <c r="P138"/>
      <c r="Q138" s="747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4"/>
      <c r="B139" s="254" t="s">
        <v>674</v>
      </c>
      <c r="C139" s="145" t="s">
        <v>110</v>
      </c>
      <c r="D139" s="145" t="s">
        <v>941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835</v>
      </c>
      <c r="J139" s="269"/>
      <c r="K139" s="145"/>
      <c r="L139" s="145"/>
      <c r="M139" s="145" t="s">
        <v>128</v>
      </c>
      <c r="N139" s="145"/>
      <c r="Q139" s="747" t="s">
        <v>953</v>
      </c>
    </row>
    <row r="140" spans="1:25" x14ac:dyDescent="0.25">
      <c r="A140" s="694"/>
      <c r="B140" s="254" t="s">
        <v>675</v>
      </c>
      <c r="C140" s="145" t="s">
        <v>70</v>
      </c>
      <c r="D140" s="145" t="s">
        <v>1060</v>
      </c>
      <c r="E140" s="269" t="s">
        <v>112</v>
      </c>
      <c r="F140" s="269" t="s">
        <v>889</v>
      </c>
      <c r="G140" s="145" t="s">
        <v>893</v>
      </c>
      <c r="H140" s="145" t="s">
        <v>894</v>
      </c>
      <c r="I140" s="145" t="s">
        <v>1039</v>
      </c>
      <c r="J140" s="269" t="s">
        <v>70</v>
      </c>
      <c r="K140" s="145" t="s">
        <v>1039</v>
      </c>
      <c r="L140" s="145" t="s">
        <v>1039</v>
      </c>
      <c r="M140" s="145" t="s">
        <v>889</v>
      </c>
      <c r="N140" s="145"/>
      <c r="Q140" s="747" t="s">
        <v>203</v>
      </c>
    </row>
    <row r="141" spans="1:25" ht="75" x14ac:dyDescent="0.25">
      <c r="A141" s="694"/>
      <c r="B141" s="254" t="s">
        <v>676</v>
      </c>
      <c r="C141" s="269" t="s">
        <v>1033</v>
      </c>
      <c r="D141" s="269" t="s">
        <v>1035</v>
      </c>
      <c r="E141" s="252"/>
      <c r="F141" s="740" t="s">
        <v>951</v>
      </c>
      <c r="G141" s="269" t="s">
        <v>1033</v>
      </c>
      <c r="H141" s="269" t="s">
        <v>796</v>
      </c>
      <c r="I141" s="748" t="s">
        <v>1053</v>
      </c>
      <c r="J141" s="754" t="s">
        <v>1061</v>
      </c>
      <c r="K141" s="749" t="s">
        <v>1057</v>
      </c>
      <c r="L141" s="748"/>
      <c r="M141" s="751" t="s">
        <v>1056</v>
      </c>
      <c r="N141" s="649"/>
      <c r="Q141" s="747" t="s">
        <v>956</v>
      </c>
    </row>
    <row r="142" spans="1:25" x14ac:dyDescent="0.25">
      <c r="A142" s="694"/>
      <c r="B142" s="254" t="s">
        <v>794</v>
      </c>
      <c r="E142" s="92"/>
      <c r="F142" s="252"/>
      <c r="H142" s="252"/>
      <c r="I142" s="252"/>
      <c r="J142" s="567"/>
      <c r="L142" s="454"/>
      <c r="M142" s="588"/>
    </row>
    <row r="143" spans="1:25" x14ac:dyDescent="0.25">
      <c r="I143" s="2"/>
    </row>
    <row r="144" spans="1:25" ht="15.75" thickBot="1" x14ac:dyDescent="0.3">
      <c r="A144" s="658" t="s">
        <v>962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3" t="s">
        <v>976</v>
      </c>
      <c r="B150" s="684"/>
      <c r="C150" s="684"/>
      <c r="D150" s="684"/>
      <c r="E150" s="684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553</v>
      </c>
      <c r="R151" s="118" t="s">
        <v>552</v>
      </c>
      <c r="S151" s="118" t="s">
        <v>554</v>
      </c>
      <c r="T151" s="118" t="s">
        <v>555</v>
      </c>
      <c r="U151" s="118" t="s">
        <v>556</v>
      </c>
      <c r="V151" s="120" t="s">
        <v>547</v>
      </c>
    </row>
    <row r="153" spans="1:22" ht="15.75" thickBot="1" x14ac:dyDescent="0.3">
      <c r="A153" s="30" t="s">
        <v>560</v>
      </c>
    </row>
    <row r="154" spans="1:22" ht="15.75" thickBot="1" x14ac:dyDescent="0.3">
      <c r="A154" s="118" t="s">
        <v>136</v>
      </c>
      <c r="B154" s="118" t="s">
        <v>369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553</v>
      </c>
      <c r="K154" s="118" t="s">
        <v>552</v>
      </c>
      <c r="L154" s="118" t="s">
        <v>554</v>
      </c>
      <c r="M154" s="118" t="s">
        <v>555</v>
      </c>
      <c r="N154" s="118" t="s">
        <v>556</v>
      </c>
    </row>
    <row r="156" spans="1:22" ht="15.75" thickBot="1" x14ac:dyDescent="0.3">
      <c r="A156" s="30" t="s">
        <v>558</v>
      </c>
    </row>
    <row r="157" spans="1:22" ht="15.75" thickBot="1" x14ac:dyDescent="0.3">
      <c r="A157" s="4" t="s">
        <v>345</v>
      </c>
      <c r="B157" s="4" t="s">
        <v>369</v>
      </c>
      <c r="C157" s="118" t="s">
        <v>559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357</v>
      </c>
      <c r="B160" s="26"/>
    </row>
    <row r="161" spans="1:47" ht="15.75" thickBot="1" x14ac:dyDescent="0.3">
      <c r="A161" s="4" t="s">
        <v>345</v>
      </c>
      <c r="B161" s="4" t="s">
        <v>167</v>
      </c>
      <c r="C161" s="59"/>
    </row>
    <row r="163" spans="1:47" ht="15.75" thickBot="1" x14ac:dyDescent="0.3">
      <c r="A163" s="65" t="s">
        <v>538</v>
      </c>
      <c r="B163" s="26"/>
    </row>
    <row r="164" spans="1:47" ht="15.75" thickBot="1" x14ac:dyDescent="0.3">
      <c r="A164" s="3" t="s">
        <v>512</v>
      </c>
      <c r="B164" s="3" t="s">
        <v>124</v>
      </c>
      <c r="C164" s="3" t="s">
        <v>496</v>
      </c>
    </row>
    <row r="166" spans="1:47" ht="15.75" thickBot="1" x14ac:dyDescent="0.3">
      <c r="A166" s="65" t="s">
        <v>544</v>
      </c>
      <c r="B166" s="119"/>
    </row>
    <row r="167" spans="1:47" ht="15.75" thickBot="1" x14ac:dyDescent="0.3">
      <c r="A167" s="117" t="s">
        <v>367</v>
      </c>
      <c r="B167" s="117" t="s">
        <v>188</v>
      </c>
      <c r="C167" s="117" t="s">
        <v>543</v>
      </c>
    </row>
    <row r="169" spans="1:47" ht="15.75" thickBot="1" x14ac:dyDescent="0.3">
      <c r="A169" s="65" t="s">
        <v>548</v>
      </c>
      <c r="B169" s="119"/>
    </row>
    <row r="170" spans="1:47" ht="29.25" customHeight="1" thickBot="1" x14ac:dyDescent="0.3">
      <c r="A170" s="117" t="s">
        <v>557</v>
      </c>
      <c r="B170" s="121" t="s">
        <v>356</v>
      </c>
      <c r="C170" s="121" t="s">
        <v>359</v>
      </c>
      <c r="D170" s="121" t="s">
        <v>549</v>
      </c>
      <c r="E170" s="121" t="s">
        <v>358</v>
      </c>
      <c r="F170" s="121" t="s">
        <v>1</v>
      </c>
      <c r="G170" s="121" t="s">
        <v>58</v>
      </c>
      <c r="H170" s="121" t="s">
        <v>367</v>
      </c>
      <c r="I170" s="121" t="s">
        <v>551</v>
      </c>
      <c r="J170" s="121" t="s">
        <v>550</v>
      </c>
    </row>
    <row r="171" spans="1:47" s="119" customFormat="1" x14ac:dyDescent="0.25">
      <c r="A171" s="119" t="s">
        <v>115</v>
      </c>
      <c r="B171" s="119" t="s">
        <v>112</v>
      </c>
      <c r="C171" s="119" t="s">
        <v>129</v>
      </c>
      <c r="D171" s="119" t="s">
        <v>129</v>
      </c>
      <c r="E171" s="119" t="s">
        <v>115</v>
      </c>
      <c r="F171" s="119" t="s">
        <v>242</v>
      </c>
      <c r="G171" s="119" t="s">
        <v>71</v>
      </c>
      <c r="H171" s="119" t="s">
        <v>132</v>
      </c>
      <c r="I171" s="119" t="s">
        <v>115</v>
      </c>
      <c r="J171" s="119" t="s">
        <v>115</v>
      </c>
    </row>
    <row r="173" spans="1:47" ht="15.75" thickBot="1" x14ac:dyDescent="0.3">
      <c r="A173" s="65" t="s">
        <v>520</v>
      </c>
    </row>
    <row r="174" spans="1:47" ht="71.25" thickBot="1" x14ac:dyDescent="0.3">
      <c r="A174" s="96" t="s">
        <v>516</v>
      </c>
      <c r="B174" s="97" t="s">
        <v>517</v>
      </c>
      <c r="C174" s="98">
        <v>40057</v>
      </c>
      <c r="D174" s="98">
        <v>40087</v>
      </c>
      <c r="E174" s="98">
        <v>40118</v>
      </c>
      <c r="F174" s="98">
        <v>40148</v>
      </c>
      <c r="G174" s="99" t="s">
        <v>114</v>
      </c>
      <c r="H174" s="98">
        <v>40179</v>
      </c>
      <c r="I174" s="98">
        <v>40210</v>
      </c>
      <c r="J174" s="98">
        <v>40238</v>
      </c>
      <c r="K174" s="98">
        <v>40269</v>
      </c>
      <c r="L174" s="98">
        <v>40299</v>
      </c>
      <c r="M174" s="98">
        <v>40330</v>
      </c>
      <c r="N174" s="98">
        <v>40360</v>
      </c>
      <c r="O174" s="98">
        <v>40391</v>
      </c>
      <c r="P174" s="98">
        <v>40422</v>
      </c>
      <c r="Q174" s="98">
        <v>40452</v>
      </c>
      <c r="R174" s="98">
        <v>40483</v>
      </c>
      <c r="S174" s="98">
        <v>40513</v>
      </c>
      <c r="T174" s="99" t="s">
        <v>135</v>
      </c>
      <c r="U174" s="98">
        <v>40544</v>
      </c>
      <c r="V174" s="98">
        <v>40575</v>
      </c>
      <c r="W174" s="98">
        <v>40603</v>
      </c>
      <c r="X174" s="98">
        <v>40634</v>
      </c>
      <c r="Y174" s="98">
        <v>40664</v>
      </c>
      <c r="Z174" s="98">
        <v>40695</v>
      </c>
      <c r="AA174" s="98">
        <v>40725</v>
      </c>
      <c r="AB174" s="98">
        <v>40756</v>
      </c>
      <c r="AC174" s="98">
        <v>40787</v>
      </c>
      <c r="AD174" s="98">
        <v>40817</v>
      </c>
      <c r="AE174" s="98">
        <v>40848</v>
      </c>
      <c r="AF174" s="98">
        <v>40878</v>
      </c>
      <c r="AG174" s="99" t="s">
        <v>108</v>
      </c>
      <c r="AH174" s="98">
        <v>40909</v>
      </c>
      <c r="AI174" s="98">
        <v>40940</v>
      </c>
      <c r="AJ174" s="98">
        <v>40969</v>
      </c>
      <c r="AK174" s="98">
        <v>41000</v>
      </c>
      <c r="AL174" s="98">
        <v>41030</v>
      </c>
      <c r="AM174" s="98">
        <v>41061</v>
      </c>
      <c r="AN174" s="98">
        <v>41091</v>
      </c>
      <c r="AO174" s="98">
        <v>41122</v>
      </c>
      <c r="AP174" s="98">
        <v>41153</v>
      </c>
      <c r="AQ174" s="98">
        <v>41183</v>
      </c>
      <c r="AR174" s="98">
        <v>41214</v>
      </c>
      <c r="AS174" s="98">
        <v>41244</v>
      </c>
      <c r="AT174" s="99" t="s">
        <v>109</v>
      </c>
      <c r="AU174" s="100" t="s">
        <v>519</v>
      </c>
    </row>
    <row r="175" spans="1:47" x14ac:dyDescent="0.25">
      <c r="A175" s="101" t="s">
        <v>489</v>
      </c>
      <c r="B175" s="93" t="s">
        <v>488</v>
      </c>
      <c r="C175" s="104"/>
      <c r="D175" s="104"/>
      <c r="E175" s="104"/>
      <c r="F175" s="105"/>
      <c r="G175" s="110">
        <f t="shared" ref="G175:G207" si="0">SUM(C175:F175)</f>
        <v>0</v>
      </c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10">
        <f t="shared" ref="T175:T207" si="1">SUM(H175:S175)</f>
        <v>0</v>
      </c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10">
        <f t="shared" ref="AG175:AG207" si="2">SUM(U175:AF175)</f>
        <v>0</v>
      </c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10">
        <f t="shared" ref="AT175:AT207" si="3">SUM(AH175:AS175)</f>
        <v>0</v>
      </c>
      <c r="AU175" s="111">
        <f t="shared" ref="AU175:AU207" si="4">G175+T175+AG175+AT175</f>
        <v>0</v>
      </c>
    </row>
    <row r="176" spans="1:47" x14ac:dyDescent="0.25">
      <c r="A176" s="101" t="s">
        <v>489</v>
      </c>
      <c r="B176" s="93" t="s">
        <v>457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455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489</v>
      </c>
      <c r="B178" s="93" t="s">
        <v>378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466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374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503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489</v>
      </c>
      <c r="B184" s="93" t="s">
        <v>504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489</v>
      </c>
      <c r="B185" s="93" t="s">
        <v>484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489</v>
      </c>
      <c r="B186" s="93" t="s">
        <v>506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513</v>
      </c>
      <c r="B187" s="93" t="s">
        <v>485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513</v>
      </c>
      <c r="B188" s="93" t="s">
        <v>486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2" t="s">
        <v>490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2" t="s">
        <v>490</v>
      </c>
      <c r="B190" s="93" t="s">
        <v>460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2" t="s">
        <v>490</v>
      </c>
      <c r="B191" s="93" t="s">
        <v>505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490</v>
      </c>
      <c r="B192" s="93" t="s">
        <v>458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514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510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490</v>
      </c>
      <c r="B195" s="93" t="s">
        <v>509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490</v>
      </c>
      <c r="B196" s="93" t="s">
        <v>373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490</v>
      </c>
      <c r="B197" s="93" t="s">
        <v>507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508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459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494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491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493</v>
      </c>
      <c r="B202" s="93" t="s">
        <v>492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493</v>
      </c>
      <c r="B203" s="93" t="s">
        <v>511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493</v>
      </c>
      <c r="B204" s="93" t="s">
        <v>495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42</v>
      </c>
      <c r="B205" s="93" t="s">
        <v>42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375</v>
      </c>
      <c r="B206" s="93" t="s">
        <v>375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ht="15.75" thickBot="1" x14ac:dyDescent="0.3">
      <c r="A207" s="103" t="s">
        <v>515</v>
      </c>
      <c r="B207" s="94" t="s">
        <v>515</v>
      </c>
      <c r="C207" s="108"/>
      <c r="D207" s="108"/>
      <c r="E207" s="108"/>
      <c r="F207" s="109"/>
      <c r="G207" s="113">
        <f t="shared" si="0"/>
        <v>0</v>
      </c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13">
        <f t="shared" si="1"/>
        <v>0</v>
      </c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13">
        <f t="shared" si="2"/>
        <v>0</v>
      </c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13">
        <f t="shared" si="3"/>
        <v>0</v>
      </c>
      <c r="AU207" s="114">
        <f t="shared" si="4"/>
        <v>0</v>
      </c>
    </row>
    <row r="208" spans="1:47" ht="15.75" thickBot="1" x14ac:dyDescent="0.3">
      <c r="A208" s="92"/>
      <c r="B208" s="95" t="s">
        <v>518</v>
      </c>
      <c r="C208" s="32">
        <f t="shared" ref="C208:AU208" si="5">SUM(C175:C207)</f>
        <v>0</v>
      </c>
      <c r="D208" s="32">
        <f t="shared" si="5"/>
        <v>0</v>
      </c>
      <c r="E208" s="32">
        <f t="shared" si="5"/>
        <v>0</v>
      </c>
      <c r="F208" s="32">
        <f t="shared" si="5"/>
        <v>0</v>
      </c>
      <c r="G208" s="116">
        <f t="shared" si="5"/>
        <v>0</v>
      </c>
      <c r="H208" s="32">
        <f t="shared" si="5"/>
        <v>0</v>
      </c>
      <c r="I208" s="32">
        <f t="shared" si="5"/>
        <v>0</v>
      </c>
      <c r="J208" s="32">
        <f t="shared" si="5"/>
        <v>0</v>
      </c>
      <c r="K208" s="32">
        <f t="shared" si="5"/>
        <v>0</v>
      </c>
      <c r="L208" s="32">
        <f t="shared" si="5"/>
        <v>0</v>
      </c>
      <c r="M208" s="32">
        <f t="shared" si="5"/>
        <v>0</v>
      </c>
      <c r="N208" s="32">
        <f t="shared" si="5"/>
        <v>0</v>
      </c>
      <c r="O208" s="32">
        <f t="shared" si="5"/>
        <v>0</v>
      </c>
      <c r="P208" s="32">
        <f t="shared" si="5"/>
        <v>0</v>
      </c>
      <c r="Q208" s="32">
        <f t="shared" si="5"/>
        <v>0</v>
      </c>
      <c r="R208" s="32">
        <f t="shared" si="5"/>
        <v>0</v>
      </c>
      <c r="S208" s="32">
        <f t="shared" si="5"/>
        <v>0</v>
      </c>
      <c r="T208" s="116">
        <f t="shared" si="5"/>
        <v>0</v>
      </c>
      <c r="U208" s="32">
        <f t="shared" si="5"/>
        <v>0</v>
      </c>
      <c r="V208" s="32">
        <f t="shared" si="5"/>
        <v>0</v>
      </c>
      <c r="W208" s="32">
        <f t="shared" si="5"/>
        <v>0</v>
      </c>
      <c r="X208" s="32">
        <f t="shared" si="5"/>
        <v>0</v>
      </c>
      <c r="Y208" s="32">
        <f t="shared" si="5"/>
        <v>0</v>
      </c>
      <c r="Z208" s="32">
        <f t="shared" si="5"/>
        <v>0</v>
      </c>
      <c r="AA208" s="32">
        <f t="shared" si="5"/>
        <v>0</v>
      </c>
      <c r="AB208" s="32">
        <f t="shared" si="5"/>
        <v>0</v>
      </c>
      <c r="AC208" s="32">
        <f t="shared" si="5"/>
        <v>0</v>
      </c>
      <c r="AD208" s="32">
        <f t="shared" si="5"/>
        <v>0</v>
      </c>
      <c r="AE208" s="32">
        <f t="shared" si="5"/>
        <v>0</v>
      </c>
      <c r="AF208" s="32">
        <f t="shared" si="5"/>
        <v>0</v>
      </c>
      <c r="AG208" s="116">
        <f t="shared" si="5"/>
        <v>0</v>
      </c>
      <c r="AH208" s="32">
        <f t="shared" si="5"/>
        <v>0</v>
      </c>
      <c r="AI208" s="32">
        <f t="shared" si="5"/>
        <v>0</v>
      </c>
      <c r="AJ208" s="32">
        <f t="shared" si="5"/>
        <v>0</v>
      </c>
      <c r="AK208" s="32">
        <f t="shared" si="5"/>
        <v>0</v>
      </c>
      <c r="AL208" s="32">
        <f t="shared" si="5"/>
        <v>0</v>
      </c>
      <c r="AM208" s="32">
        <f t="shared" si="5"/>
        <v>0</v>
      </c>
      <c r="AN208" s="32">
        <f t="shared" si="5"/>
        <v>0</v>
      </c>
      <c r="AO208" s="32">
        <f t="shared" si="5"/>
        <v>0</v>
      </c>
      <c r="AP208" s="32">
        <f t="shared" si="5"/>
        <v>0</v>
      </c>
      <c r="AQ208" s="32">
        <f t="shared" si="5"/>
        <v>0</v>
      </c>
      <c r="AR208" s="32">
        <f t="shared" si="5"/>
        <v>0</v>
      </c>
      <c r="AS208" s="32">
        <f t="shared" si="5"/>
        <v>0</v>
      </c>
      <c r="AT208" s="116">
        <f t="shared" si="5"/>
        <v>0</v>
      </c>
      <c r="AU208" s="115">
        <f t="shared" si="5"/>
        <v>0</v>
      </c>
    </row>
    <row r="1147" spans="1:23" ht="15.75" thickBot="1" x14ac:dyDescent="0.3">
      <c r="A1147" s="362"/>
      <c r="B1147" s="363"/>
      <c r="C1147" s="364"/>
      <c r="D1147" s="364"/>
      <c r="E1147" s="365"/>
      <c r="F1147" s="366"/>
      <c r="G1147" s="367"/>
      <c r="H1147" s="367"/>
      <c r="I1147" s="368"/>
      <c r="J1147" s="369"/>
      <c r="K1147" s="369"/>
      <c r="L1147" s="370"/>
      <c r="M1147" s="368"/>
      <c r="N1147" s="371"/>
      <c r="O1147" s="371"/>
      <c r="P1147" s="372"/>
      <c r="Q1147" s="372"/>
      <c r="R1147" s="372"/>
      <c r="S1147" s="373"/>
      <c r="T1147" s="374"/>
      <c r="U1147" s="374"/>
      <c r="V1147" s="374"/>
      <c r="W1147" s="372"/>
    </row>
    <row r="1148" spans="1:23" x14ac:dyDescent="0.25">
      <c r="A1148" s="362"/>
      <c r="B1148" s="377" t="s">
        <v>735</v>
      </c>
      <c r="C1148" s="427">
        <f>COUNTIF(B$1:B1145,B1148)</f>
        <v>1</v>
      </c>
      <c r="D1148" s="435">
        <f>C1148/C1153</f>
        <v>0.2</v>
      </c>
      <c r="E1148" s="378"/>
      <c r="F1148" s="366"/>
      <c r="G1148" s="367"/>
      <c r="H1148" s="367"/>
      <c r="I1148" s="379"/>
      <c r="J1148" s="428">
        <f>SUMIF(B$3:B1145,B1148,T$3:T1152)</f>
        <v>48</v>
      </c>
      <c r="K1148" s="439"/>
      <c r="L1148" s="440">
        <f>J1148/J1153</f>
        <v>1</v>
      </c>
      <c r="M1148" s="371"/>
      <c r="N1148" s="371"/>
      <c r="O1148" s="371"/>
      <c r="P1148" s="372"/>
      <c r="Q1148" s="372"/>
      <c r="R1148" s="372"/>
      <c r="S1148" s="373" t="s">
        <v>712</v>
      </c>
      <c r="T1148" s="381">
        <v>1261915799.52244</v>
      </c>
      <c r="U1148" s="381" t="e">
        <f>SUM(#REF!)</f>
        <v>#REF!</v>
      </c>
      <c r="V1148" s="381" t="e">
        <f>SUM(#REF!)</f>
        <v>#REF!</v>
      </c>
      <c r="W1148" s="372" t="s">
        <v>736</v>
      </c>
    </row>
    <row r="1149" spans="1:23" x14ac:dyDescent="0.25">
      <c r="A1149" s="362"/>
      <c r="B1149" s="382" t="s">
        <v>737</v>
      </c>
      <c r="C1149" s="429">
        <f>COUNTIF(B$1:B1145,B1149)</f>
        <v>1</v>
      </c>
      <c r="D1149" s="436">
        <f>C1149/C1153</f>
        <v>0.2</v>
      </c>
      <c r="E1149" s="378"/>
      <c r="F1149" s="366"/>
      <c r="G1149" s="367"/>
      <c r="H1149" s="367"/>
      <c r="I1149" s="379"/>
      <c r="J1149" s="430">
        <f>SUMIF(B$3:B1148,B1149,T$3:T1153)</f>
        <v>0</v>
      </c>
      <c r="K1149" s="441"/>
      <c r="L1149" s="442">
        <f>J1149/J1153</f>
        <v>0</v>
      </c>
      <c r="M1149" s="371"/>
      <c r="N1149" s="371"/>
      <c r="O1149" s="371"/>
      <c r="P1149" s="376"/>
      <c r="Q1149" s="376"/>
      <c r="R1149" s="376"/>
      <c r="S1149" s="383"/>
      <c r="T1149" s="384"/>
      <c r="U1149" s="384"/>
      <c r="V1149" s="384"/>
      <c r="W1149" s="376"/>
    </row>
    <row r="1150" spans="1:23" x14ac:dyDescent="0.25">
      <c r="A1150" s="362"/>
      <c r="B1150" s="386" t="s">
        <v>738</v>
      </c>
      <c r="C1150" s="431">
        <f>COUNTIF(B$1:B1145,B1150)</f>
        <v>1</v>
      </c>
      <c r="D1150" s="437">
        <f>C1150/C1153</f>
        <v>0.2</v>
      </c>
      <c r="E1150" s="378"/>
      <c r="F1150" s="366"/>
      <c r="G1150" s="367"/>
      <c r="H1150" s="367"/>
      <c r="I1150" s="379"/>
      <c r="J1150" s="432">
        <f>SUMIF(B$3:B1149,B1150,T$3:T1153)</f>
        <v>0</v>
      </c>
      <c r="K1150" s="443"/>
      <c r="L1150" s="444">
        <f>J1150/J1153</f>
        <v>0</v>
      </c>
      <c r="M1150" s="368"/>
      <c r="N1150" s="371"/>
      <c r="O1150" s="371"/>
      <c r="P1150" s="376"/>
      <c r="Q1150" s="376"/>
      <c r="R1150" s="376"/>
      <c r="S1150" s="383"/>
      <c r="T1150" s="384"/>
      <c r="U1150" s="384"/>
      <c r="V1150" s="384"/>
      <c r="W1150" s="376"/>
    </row>
    <row r="1151" spans="1:23" ht="15.75" thickBot="1" x14ac:dyDescent="0.3">
      <c r="A1151" s="362"/>
      <c r="B1151" s="387" t="s">
        <v>739</v>
      </c>
      <c r="C1151" s="433">
        <f>COUNTIF(B$1:B1148,B1151)</f>
        <v>1</v>
      </c>
      <c r="D1151" s="438">
        <f>C1151/C1153</f>
        <v>0.2</v>
      </c>
      <c r="E1151" s="378"/>
      <c r="F1151" s="366"/>
      <c r="G1151" s="367"/>
      <c r="H1151" s="367"/>
      <c r="I1151" s="379"/>
      <c r="J1151" s="434">
        <f>SUMIF(B$3:B1150,B1151,T$3:T1153)</f>
        <v>0</v>
      </c>
      <c r="K1151" s="445"/>
      <c r="L1151" s="446">
        <f>J1151/J1153</f>
        <v>0</v>
      </c>
      <c r="M1151" s="368"/>
      <c r="N1151" s="371"/>
      <c r="O1151" s="371"/>
      <c r="P1151" s="376"/>
      <c r="Q1151" s="376"/>
      <c r="R1151" s="376"/>
      <c r="S1151" s="383"/>
      <c r="T1151" s="384"/>
      <c r="U1151" s="384"/>
      <c r="V1151" s="384"/>
      <c r="W1151" s="376"/>
    </row>
    <row r="1152" spans="1:23" ht="16.5" thickTop="1" thickBot="1" x14ac:dyDescent="0.3">
      <c r="A1152" s="388"/>
      <c r="B1152" s="389" t="s">
        <v>740</v>
      </c>
      <c r="C1152" s="390">
        <f>COUNTIF(B$1:B1145,B1152)</f>
        <v>1</v>
      </c>
      <c r="D1152" s="391">
        <f>C1152/C1153</f>
        <v>0.2</v>
      </c>
      <c r="E1152" s="392"/>
      <c r="F1152" s="393"/>
      <c r="G1152" s="394"/>
      <c r="H1152" s="394"/>
      <c r="I1152" s="395"/>
      <c r="J1152" s="447">
        <f>SUMIF(B$3:B1151,B1152,T$3:T1153)</f>
        <v>0</v>
      </c>
      <c r="K1152" s="448"/>
      <c r="L1152" s="449">
        <f>J1152/J1153</f>
        <v>0</v>
      </c>
      <c r="M1152" s="396"/>
      <c r="N1152" s="396"/>
      <c r="O1152" s="396"/>
      <c r="P1152" s="376"/>
      <c r="Q1152" s="376"/>
      <c r="R1152" s="376"/>
      <c r="S1152" s="383"/>
      <c r="T1152" s="384"/>
      <c r="U1152" s="384"/>
      <c r="V1152" s="384"/>
      <c r="W1152" s="376"/>
    </row>
    <row r="1153" spans="1:23" x14ac:dyDescent="0.25">
      <c r="A1153" s="362"/>
      <c r="B1153" s="397"/>
      <c r="C1153" s="398">
        <f>SUM(C1148:C1152)</f>
        <v>5</v>
      </c>
      <c r="D1153" s="364"/>
      <c r="E1153" s="378"/>
      <c r="F1153" s="366"/>
      <c r="G1153" s="367"/>
      <c r="H1153" s="367"/>
      <c r="I1153" s="379"/>
      <c r="J1153" s="399">
        <f>SUM(J1148:J1152)</f>
        <v>48</v>
      </c>
      <c r="K1153" s="380"/>
      <c r="L1153" s="400"/>
      <c r="M1153" s="368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2"/>
    </row>
    <row r="2" spans="1:34" s="315" customFormat="1" ht="19.5" x14ac:dyDescent="0.3">
      <c r="C2" s="316" t="s">
        <v>790</v>
      </c>
      <c r="K2" s="592"/>
    </row>
    <row r="4" spans="1:34" ht="15.75" thickBot="1" x14ac:dyDescent="0.3">
      <c r="A4" s="30" t="s">
        <v>996</v>
      </c>
    </row>
    <row r="5" spans="1:34" s="1" customFormat="1" ht="15.75" thickBot="1" x14ac:dyDescent="0.3">
      <c r="A5"/>
      <c r="B5" s="478" t="s">
        <v>897</v>
      </c>
      <c r="C5" s="690">
        <f>MATCH("NewOpp",E5:N5,0)+4</f>
        <v>12</v>
      </c>
      <c r="D5" s="690">
        <f>MATCH("STOP",E5:N5,0)+4</f>
        <v>14</v>
      </c>
      <c r="K5" s="518"/>
      <c r="L5" s="479" t="s">
        <v>814</v>
      </c>
      <c r="M5" s="480" t="s">
        <v>816</v>
      </c>
      <c r="N5" s="574" t="s">
        <v>888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1">
        <v>0</v>
      </c>
      <c r="B7" s="487" t="s">
        <v>590</v>
      </c>
      <c r="C7" s="485" t="s">
        <v>590</v>
      </c>
      <c r="D7" s="486" t="s">
        <v>590</v>
      </c>
      <c r="E7" s="568">
        <v>0</v>
      </c>
      <c r="F7" s="568">
        <v>0</v>
      </c>
      <c r="G7" s="568">
        <v>0</v>
      </c>
      <c r="H7" s="568">
        <v>0</v>
      </c>
      <c r="I7" s="568">
        <v>0</v>
      </c>
      <c r="J7" s="568">
        <v>0</v>
      </c>
      <c r="K7" s="568">
        <v>17</v>
      </c>
      <c r="L7" s="569" t="s">
        <v>889</v>
      </c>
      <c r="M7" s="569" t="s">
        <v>130</v>
      </c>
      <c r="N7" s="569" t="s">
        <v>130</v>
      </c>
      <c r="O7" s="569" t="s">
        <v>127</v>
      </c>
      <c r="P7" s="569" t="s">
        <v>889</v>
      </c>
      <c r="Q7" s="569" t="s">
        <v>131</v>
      </c>
      <c r="R7" s="569" t="s">
        <v>113</v>
      </c>
      <c r="S7" s="569" t="s">
        <v>71</v>
      </c>
      <c r="T7" s="569" t="s">
        <v>113</v>
      </c>
      <c r="U7" s="569" t="s">
        <v>113</v>
      </c>
      <c r="V7" s="569" t="s">
        <v>113</v>
      </c>
      <c r="W7" s="569" t="s">
        <v>110</v>
      </c>
      <c r="X7" s="569" t="s">
        <v>91</v>
      </c>
      <c r="Y7" s="569" t="s">
        <v>110</v>
      </c>
      <c r="Z7" s="568">
        <v>0</v>
      </c>
      <c r="AA7" s="453"/>
      <c r="AB7" s="92"/>
    </row>
    <row r="8" spans="1:34" x14ac:dyDescent="0.25">
      <c r="A8" s="516"/>
      <c r="B8" s="487" t="s">
        <v>675</v>
      </c>
      <c r="C8" s="485"/>
      <c r="D8" s="486"/>
      <c r="E8" s="567"/>
      <c r="F8" s="567"/>
      <c r="G8" s="567"/>
      <c r="H8" s="567"/>
      <c r="I8" s="567"/>
      <c r="J8" s="567"/>
      <c r="K8" s="567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676</v>
      </c>
      <c r="C9" s="485"/>
      <c r="D9" s="486"/>
      <c r="E9" s="567"/>
      <c r="F9" s="567"/>
      <c r="G9" s="567"/>
      <c r="H9" s="567"/>
      <c r="I9" s="567"/>
      <c r="J9" s="567"/>
      <c r="K9" s="567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794</v>
      </c>
      <c r="C10" s="485"/>
      <c r="D10" s="486"/>
      <c r="E10" s="567"/>
      <c r="F10" s="567"/>
      <c r="G10" s="567"/>
      <c r="H10" s="567"/>
      <c r="I10" s="567"/>
      <c r="J10" s="567"/>
      <c r="K10" s="567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05" t="s">
        <v>561</v>
      </c>
      <c r="B11" s="579" t="s">
        <v>895</v>
      </c>
      <c r="C11" s="482" t="s">
        <v>817</v>
      </c>
      <c r="D11" s="483"/>
      <c r="E11" s="317" t="s">
        <v>696</v>
      </c>
      <c r="F11" s="589" t="s">
        <v>65</v>
      </c>
      <c r="G11" s="589" t="s">
        <v>917</v>
      </c>
      <c r="H11" s="582" t="s">
        <v>62</v>
      </c>
      <c r="I11" s="582"/>
      <c r="J11" s="318" t="s">
        <v>922</v>
      </c>
      <c r="K11" s="607" t="s">
        <v>354</v>
      </c>
      <c r="L11" s="610" t="s">
        <v>916</v>
      </c>
      <c r="M11" s="601" t="s">
        <v>68</v>
      </c>
      <c r="N11" s="601" t="s">
        <v>67</v>
      </c>
      <c r="O11" s="602" t="s">
        <v>66</v>
      </c>
      <c r="P11" s="601" t="s">
        <v>819</v>
      </c>
      <c r="Q11" s="604" t="s">
        <v>0</v>
      </c>
      <c r="R11" s="812" t="s">
        <v>2</v>
      </c>
      <c r="S11" s="813"/>
      <c r="T11" s="603" t="s">
        <v>1</v>
      </c>
      <c r="U11" s="602" t="s">
        <v>62</v>
      </c>
      <c r="V11" s="603" t="s">
        <v>64</v>
      </c>
      <c r="W11" s="605" t="s">
        <v>61</v>
      </c>
      <c r="X11" s="606" t="s">
        <v>63</v>
      </c>
      <c r="Y11" s="603" t="s">
        <v>57</v>
      </c>
      <c r="Z11"/>
    </row>
    <row r="12" spans="1:34" s="5" customFormat="1" ht="15.75" thickBot="1" x14ac:dyDescent="0.3">
      <c r="A12" s="806"/>
      <c r="B12" s="484" t="s">
        <v>122</v>
      </c>
      <c r="C12" s="485" t="s">
        <v>817</v>
      </c>
      <c r="D12" s="570"/>
      <c r="E12" s="496"/>
      <c r="F12" s="608"/>
      <c r="G12"/>
      <c r="H12"/>
      <c r="I12"/>
      <c r="J12" s="474"/>
      <c r="K12" s="600"/>
      <c r="L12" s="609">
        <f>HYPERLINK("https://eu1.salesforce.com/"&amp;E12,F12)</f>
        <v>0</v>
      </c>
      <c r="M12" s="596"/>
      <c r="N12" s="596"/>
      <c r="O12" s="597"/>
      <c r="P12" s="666">
        <v>1234567.8899999999</v>
      </c>
      <c r="Q12" s="666">
        <v>1234567.8899999999</v>
      </c>
      <c r="R12" s="814"/>
      <c r="S12" s="815"/>
      <c r="T12" s="598"/>
      <c r="U12" s="609">
        <f>HYPERLINK("https://eu1.salesforce.com/"&amp;G12,H12)</f>
        <v>0</v>
      </c>
      <c r="V12" s="599"/>
      <c r="W12" s="599"/>
      <c r="X12" s="599"/>
      <c r="Y12" s="599"/>
    </row>
    <row r="13" spans="1:34" x14ac:dyDescent="0.25">
      <c r="A13" s="806"/>
      <c r="B13" s="487" t="s">
        <v>674</v>
      </c>
      <c r="C13" s="485"/>
      <c r="D13" s="486"/>
      <c r="E13" s="567">
        <v>0.5</v>
      </c>
      <c r="F13" s="567"/>
      <c r="J13" s="567">
        <v>0.5</v>
      </c>
      <c r="K13" s="567">
        <v>17</v>
      </c>
      <c r="L13" s="269" t="s">
        <v>889</v>
      </c>
      <c r="M13" s="269" t="s">
        <v>130</v>
      </c>
      <c r="N13" s="269" t="s">
        <v>113</v>
      </c>
      <c r="O13" s="269" t="s">
        <v>111</v>
      </c>
      <c r="P13" s="269" t="s">
        <v>971</v>
      </c>
      <c r="Q13" s="269" t="s">
        <v>971</v>
      </c>
      <c r="R13" s="269" t="s">
        <v>890</v>
      </c>
      <c r="S13" s="269"/>
      <c r="T13" s="269" t="s">
        <v>113</v>
      </c>
      <c r="U13" s="269" t="s">
        <v>128</v>
      </c>
      <c r="V13" s="269" t="s">
        <v>128</v>
      </c>
      <c r="W13" s="269" t="s">
        <v>971</v>
      </c>
      <c r="X13" s="269" t="s">
        <v>91</v>
      </c>
      <c r="Y13" s="269" t="s">
        <v>110</v>
      </c>
      <c r="AA13" s="453"/>
      <c r="AB13" s="92"/>
    </row>
    <row r="14" spans="1:34" x14ac:dyDescent="0.25">
      <c r="A14" s="806"/>
      <c r="B14" s="487" t="s">
        <v>675</v>
      </c>
      <c r="C14" s="485"/>
      <c r="D14" s="486"/>
      <c r="E14" s="567">
        <v>1</v>
      </c>
      <c r="F14" s="567">
        <v>9</v>
      </c>
      <c r="G14" s="567">
        <v>25</v>
      </c>
      <c r="H14" s="474">
        <v>25</v>
      </c>
      <c r="I14" s="474"/>
      <c r="J14" s="567" t="s">
        <v>921</v>
      </c>
      <c r="K14" s="567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807</v>
      </c>
      <c r="S14" s="269"/>
      <c r="T14" s="269" t="s">
        <v>889</v>
      </c>
      <c r="U14" s="269"/>
      <c r="V14" s="269" t="s">
        <v>891</v>
      </c>
      <c r="W14" s="269" t="s">
        <v>893</v>
      </c>
      <c r="X14" s="269" t="s">
        <v>894</v>
      </c>
      <c r="Y14" s="269" t="s">
        <v>892</v>
      </c>
      <c r="AD14" s="454"/>
      <c r="AE14" s="454"/>
      <c r="AF14" s="454"/>
      <c r="AG14" s="454"/>
      <c r="AH14" s="454"/>
    </row>
    <row r="15" spans="1:34" x14ac:dyDescent="0.25">
      <c r="A15" s="806"/>
      <c r="B15" s="487" t="s">
        <v>676</v>
      </c>
      <c r="C15" s="485"/>
      <c r="D15" s="486"/>
      <c r="E15" s="567"/>
      <c r="F15" s="567"/>
      <c r="G15" s="567" t="s">
        <v>918</v>
      </c>
      <c r="H15" t="s">
        <v>920</v>
      </c>
      <c r="J15" s="567"/>
      <c r="K15" s="583" t="s">
        <v>910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07"/>
      <c r="B16" s="488" t="s">
        <v>794</v>
      </c>
      <c r="C16" s="491"/>
      <c r="D16" s="492"/>
      <c r="E16" s="576"/>
      <c r="F16" s="576"/>
      <c r="G16" s="576" t="s">
        <v>919</v>
      </c>
      <c r="J16" s="576" t="s">
        <v>923</v>
      </c>
      <c r="K16" s="57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05" t="s">
        <v>136</v>
      </c>
      <c r="B17" s="580" t="s">
        <v>896</v>
      </c>
      <c r="C17" s="482" t="s">
        <v>817</v>
      </c>
      <c r="D17" s="483"/>
      <c r="E17" s="503" t="s">
        <v>697</v>
      </c>
      <c r="F17" s="503"/>
      <c r="G17" s="503"/>
      <c r="H17" s="504" t="s">
        <v>829</v>
      </c>
      <c r="I17" s="504"/>
      <c r="J17" s="505" t="s">
        <v>599</v>
      </c>
      <c r="K17" s="594"/>
      <c r="L17" s="611" t="s">
        <v>828</v>
      </c>
      <c r="M17" s="612" t="s">
        <v>822</v>
      </c>
      <c r="N17" s="613" t="s">
        <v>827</v>
      </c>
      <c r="O17" s="613" t="s">
        <v>823</v>
      </c>
      <c r="P17" s="614" t="s">
        <v>824</v>
      </c>
      <c r="Q17" s="614" t="s">
        <v>825</v>
      </c>
      <c r="R17" s="816" t="s">
        <v>826</v>
      </c>
      <c r="S17" s="817"/>
      <c r="T17" s="611" t="s">
        <v>906</v>
      </c>
      <c r="W17" s="611" t="s">
        <v>908</v>
      </c>
      <c r="X17" s="506"/>
    </row>
    <row r="18" spans="1:37" s="5" customFormat="1" ht="15.75" thickBot="1" x14ac:dyDescent="0.3">
      <c r="A18" s="806"/>
      <c r="B18" s="484" t="s">
        <v>122</v>
      </c>
      <c r="C18" s="485" t="s">
        <v>924</v>
      </c>
      <c r="D18" s="615">
        <f>E12</f>
        <v>0</v>
      </c>
      <c r="H18" s="616"/>
      <c r="I18" s="616"/>
      <c r="J18" s="617"/>
      <c r="K18" s="593"/>
      <c r="L18" s="618"/>
      <c r="M18" s="620"/>
      <c r="N18" s="619"/>
      <c r="O18" s="619"/>
      <c r="P18" s="619"/>
      <c r="Q18" s="620"/>
      <c r="R18" s="818"/>
      <c r="S18" s="819"/>
      <c r="T18" s="621"/>
      <c r="W18" s="668"/>
      <c r="X18" s="506"/>
    </row>
    <row r="19" spans="1:37" x14ac:dyDescent="0.25">
      <c r="A19" s="806"/>
      <c r="B19" s="487" t="s">
        <v>674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7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971</v>
      </c>
      <c r="X19" s="474"/>
    </row>
    <row r="20" spans="1:37" x14ac:dyDescent="0.25">
      <c r="A20" s="806"/>
      <c r="B20" s="487" t="s">
        <v>675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06"/>
      <c r="B21" s="487" t="s">
        <v>676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07"/>
      <c r="B22" s="488" t="s">
        <v>794</v>
      </c>
      <c r="C22" s="489"/>
      <c r="D22" s="490"/>
      <c r="E22" s="578" t="s">
        <v>898</v>
      </c>
      <c r="F22" s="578"/>
      <c r="G22"/>
      <c r="H22"/>
      <c r="I22"/>
      <c r="J22" s="2"/>
      <c r="K22" s="576"/>
      <c r="L22" s="578" t="s">
        <v>899</v>
      </c>
      <c r="M22" s="578" t="s">
        <v>900</v>
      </c>
      <c r="N22" s="578" t="s">
        <v>901</v>
      </c>
      <c r="O22" s="578" t="s">
        <v>902</v>
      </c>
      <c r="P22" s="578" t="s">
        <v>903</v>
      </c>
      <c r="Q22" s="578" t="s">
        <v>904</v>
      </c>
      <c r="R22" s="578" t="s">
        <v>905</v>
      </c>
      <c r="S22" s="493"/>
      <c r="T22" s="578" t="s">
        <v>907</v>
      </c>
      <c r="U22" s="578"/>
      <c r="X22" s="578" t="s">
        <v>909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5" t="s">
        <v>573</v>
      </c>
      <c r="B23" s="581" t="s">
        <v>911</v>
      </c>
      <c r="C23" s="482" t="s">
        <v>817</v>
      </c>
      <c r="D23" s="483"/>
      <c r="E23" s="318" t="s">
        <v>157</v>
      </c>
      <c r="F23" s="318" t="s">
        <v>912</v>
      </c>
      <c r="G23" s="318" t="s">
        <v>815</v>
      </c>
      <c r="H23" s="686" t="s">
        <v>981</v>
      </c>
      <c r="I23" s="686" t="s">
        <v>917</v>
      </c>
      <c r="J23" s="500" t="s">
        <v>599</v>
      </c>
      <c r="K23" s="595"/>
      <c r="L23" s="808" t="s">
        <v>815</v>
      </c>
      <c r="M23" s="809"/>
      <c r="N23" s="659" t="s">
        <v>820</v>
      </c>
      <c r="O23" s="495" t="s">
        <v>972</v>
      </c>
      <c r="P23" s="495" t="s">
        <v>818</v>
      </c>
      <c r="Q23" s="495" t="s">
        <v>821</v>
      </c>
      <c r="R23" s="495" t="s">
        <v>914</v>
      </c>
      <c r="S23" s="495" t="s">
        <v>913</v>
      </c>
      <c r="T23" s="495" t="s">
        <v>1</v>
      </c>
      <c r="U23" s="495" t="s">
        <v>62</v>
      </c>
      <c r="V23" s="495" t="s">
        <v>687</v>
      </c>
      <c r="W23" s="495" t="s">
        <v>598</v>
      </c>
      <c r="X23" s="495" t="s">
        <v>830</v>
      </c>
      <c r="Y23" s="495" t="s">
        <v>367</v>
      </c>
      <c r="Z23" s="145"/>
      <c r="AA23" s="145"/>
      <c r="AB23" s="145"/>
    </row>
    <row r="24" spans="1:37" ht="15.75" thickBot="1" x14ac:dyDescent="0.3">
      <c r="A24" s="806"/>
      <c r="B24" s="484" t="s">
        <v>122</v>
      </c>
      <c r="C24" s="622" t="str">
        <f>IF(LEN(J12)=0,"",J12)</f>
        <v/>
      </c>
      <c r="D24" s="586">
        <v>1</v>
      </c>
      <c r="F24" s="498"/>
      <c r="G24" s="328"/>
      <c r="H24" s="501"/>
      <c r="I24" s="501"/>
      <c r="J24" s="499"/>
      <c r="K24" s="624" t="s">
        <v>927</v>
      </c>
      <c r="L24" s="810">
        <f>HYPERLINK("https://eu1.salesforce.com/"&amp;F24,G24)</f>
        <v>0</v>
      </c>
      <c r="M24" s="811"/>
      <c r="N24" s="1"/>
      <c r="O24" s="1"/>
      <c r="P24" s="667"/>
      <c r="Q24" s="1"/>
      <c r="R24" s="1"/>
      <c r="S24" s="1"/>
      <c r="T24" s="692"/>
      <c r="U24" s="691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6"/>
      <c r="B25" s="487" t="s">
        <v>674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7"/>
      <c r="L25" s="587" t="s">
        <v>889</v>
      </c>
      <c r="M25" s="587"/>
      <c r="N25" s="587" t="s">
        <v>113</v>
      </c>
      <c r="O25" s="587"/>
      <c r="P25" s="269" t="s">
        <v>1019</v>
      </c>
      <c r="Q25" s="269" t="s">
        <v>1020</v>
      </c>
      <c r="R25" s="587"/>
      <c r="S25" s="587"/>
      <c r="T25" s="587" t="s">
        <v>113</v>
      </c>
      <c r="U25" s="587" t="s">
        <v>113</v>
      </c>
      <c r="V25" s="587" t="s">
        <v>113</v>
      </c>
      <c r="W25" s="587" t="s">
        <v>128</v>
      </c>
      <c r="X25" s="587" t="s">
        <v>128</v>
      </c>
      <c r="Y25" s="587" t="s">
        <v>128</v>
      </c>
      <c r="AB25" s="92"/>
      <c r="AD25" s="453"/>
      <c r="AE25" s="92"/>
    </row>
    <row r="26" spans="1:37" ht="15.75" thickBot="1" x14ac:dyDescent="0.3">
      <c r="A26" s="806"/>
      <c r="B26" s="487" t="s">
        <v>675</v>
      </c>
      <c r="C26" s="485" t="s">
        <v>70</v>
      </c>
      <c r="D26" s="584" t="s">
        <v>128</v>
      </c>
      <c r="E26" s="577" t="s">
        <v>925</v>
      </c>
      <c r="F26" s="474" t="s">
        <v>70</v>
      </c>
      <c r="G26" s="474">
        <v>3</v>
      </c>
      <c r="H26" s="493" t="s">
        <v>983</v>
      </c>
      <c r="I26" s="493" t="s">
        <v>983</v>
      </c>
      <c r="J26" s="493"/>
      <c r="K26" s="701"/>
      <c r="L26" s="474"/>
      <c r="M26" s="474"/>
      <c r="N26" s="493" t="s">
        <v>835</v>
      </c>
      <c r="O26" s="493">
        <v>26</v>
      </c>
      <c r="P26" s="493" t="s">
        <v>131</v>
      </c>
      <c r="Q26" s="474" t="s">
        <v>129</v>
      </c>
      <c r="R26" s="474" t="s">
        <v>915</v>
      </c>
      <c r="S26" s="587" t="s">
        <v>111</v>
      </c>
      <c r="T26" s="493" t="s">
        <v>113</v>
      </c>
      <c r="U26" s="493"/>
      <c r="V26" s="590"/>
      <c r="W26" s="590"/>
      <c r="X26" s="590"/>
      <c r="Y26" s="590"/>
      <c r="AG26" s="454"/>
      <c r="AH26" s="454"/>
      <c r="AI26" s="454"/>
      <c r="AJ26" s="454"/>
      <c r="AK26" s="454"/>
    </row>
    <row r="27" spans="1:37" ht="45" x14ac:dyDescent="0.25">
      <c r="A27" s="806"/>
      <c r="B27" s="487" t="s">
        <v>676</v>
      </c>
      <c r="C27" s="485"/>
      <c r="D27" s="486"/>
      <c r="E27" s="585" t="s">
        <v>986</v>
      </c>
      <c r="K27" s="623" t="s">
        <v>987</v>
      </c>
      <c r="L27" s="623" t="s">
        <v>926</v>
      </c>
      <c r="M27" s="588"/>
      <c r="N27" s="588"/>
      <c r="O27" s="588"/>
      <c r="T27" s="588"/>
      <c r="U27" s="623" t="s">
        <v>926</v>
      </c>
      <c r="AG27" s="454"/>
      <c r="AH27" s="454"/>
      <c r="AI27" s="454"/>
      <c r="AJ27" s="454"/>
      <c r="AK27" s="454"/>
    </row>
    <row r="28" spans="1:37" ht="15.75" thickBot="1" x14ac:dyDescent="0.3">
      <c r="A28" s="807"/>
      <c r="B28" s="488" t="s">
        <v>794</v>
      </c>
      <c r="C28" s="491"/>
      <c r="D28" s="490"/>
      <c r="E28" s="119"/>
      <c r="H28" s="576" t="s">
        <v>980</v>
      </c>
      <c r="I28" s="576" t="s">
        <v>984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973</v>
      </c>
    </row>
    <row r="31" spans="1:37" s="1" customFormat="1" ht="15.75" thickBot="1" x14ac:dyDescent="0.3">
      <c r="A31"/>
      <c r="B31" s="478" t="s">
        <v>897</v>
      </c>
      <c r="C31" s="521" t="s">
        <v>133</v>
      </c>
      <c r="D31" s="521" t="s">
        <v>131</v>
      </c>
      <c r="K31" s="518"/>
      <c r="L31" s="479" t="s">
        <v>929</v>
      </c>
      <c r="M31" s="480" t="s">
        <v>816</v>
      </c>
      <c r="N31" s="574" t="s">
        <v>888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1">
        <v>0</v>
      </c>
      <c r="B33" s="487" t="s">
        <v>590</v>
      </c>
      <c r="C33" s="485" t="s">
        <v>590</v>
      </c>
      <c r="D33" s="486" t="s">
        <v>590</v>
      </c>
      <c r="E33" s="568">
        <v>0</v>
      </c>
      <c r="F33" s="568">
        <v>0</v>
      </c>
      <c r="G33" s="568">
        <v>0</v>
      </c>
      <c r="H33" s="568">
        <v>0</v>
      </c>
      <c r="I33" s="568"/>
      <c r="J33" s="568">
        <v>0</v>
      </c>
      <c r="K33" s="568">
        <v>17</v>
      </c>
      <c r="L33" s="569" t="s">
        <v>889</v>
      </c>
      <c r="M33" s="569" t="s">
        <v>130</v>
      </c>
      <c r="N33" s="569" t="s">
        <v>130</v>
      </c>
      <c r="O33" s="569" t="s">
        <v>127</v>
      </c>
      <c r="P33" s="569" t="s">
        <v>889</v>
      </c>
      <c r="Q33" s="569" t="s">
        <v>131</v>
      </c>
      <c r="R33" s="569" t="s">
        <v>113</v>
      </c>
      <c r="S33" s="569" t="s">
        <v>71</v>
      </c>
      <c r="T33" s="569" t="s">
        <v>113</v>
      </c>
      <c r="U33" s="569" t="s">
        <v>113</v>
      </c>
      <c r="V33" s="569" t="s">
        <v>113</v>
      </c>
      <c r="W33" s="569" t="s">
        <v>110</v>
      </c>
      <c r="X33" s="569" t="s">
        <v>91</v>
      </c>
      <c r="Y33" s="569" t="s">
        <v>110</v>
      </c>
      <c r="AA33" s="453"/>
      <c r="AB33" s="92"/>
    </row>
    <row r="34" spans="1:35" x14ac:dyDescent="0.25">
      <c r="A34" s="516"/>
      <c r="B34" s="487" t="s">
        <v>675</v>
      </c>
      <c r="C34" s="485"/>
      <c r="D34" s="486"/>
      <c r="E34" s="567"/>
      <c r="F34" s="567"/>
      <c r="G34" s="567"/>
      <c r="H34" s="567"/>
      <c r="I34" s="567"/>
      <c r="J34" s="567"/>
      <c r="K34" s="567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676</v>
      </c>
      <c r="C35" s="485"/>
      <c r="D35" s="486"/>
      <c r="E35" s="567"/>
      <c r="F35" s="567"/>
      <c r="G35" s="567"/>
      <c r="H35" s="567"/>
      <c r="I35" s="567"/>
      <c r="J35" s="567"/>
      <c r="K35" s="567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794</v>
      </c>
      <c r="C36" s="485"/>
      <c r="D36" s="486"/>
      <c r="E36" s="567"/>
      <c r="F36" s="567"/>
      <c r="G36" s="567"/>
      <c r="H36" s="567"/>
      <c r="I36" s="567"/>
      <c r="J36" s="567"/>
      <c r="K36" s="567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05" t="s">
        <v>561</v>
      </c>
      <c r="B37" s="579" t="s">
        <v>895</v>
      </c>
      <c r="C37" s="482" t="s">
        <v>817</v>
      </c>
      <c r="D37" s="483"/>
      <c r="E37" s="317" t="s">
        <v>696</v>
      </c>
      <c r="F37" s="589" t="s">
        <v>65</v>
      </c>
      <c r="G37" s="589" t="s">
        <v>917</v>
      </c>
      <c r="H37" s="582" t="s">
        <v>62</v>
      </c>
      <c r="I37" s="582"/>
      <c r="J37" s="318" t="s">
        <v>922</v>
      </c>
      <c r="K37" s="607" t="s">
        <v>354</v>
      </c>
      <c r="L37" s="610" t="s">
        <v>916</v>
      </c>
      <c r="M37" s="601" t="s">
        <v>68</v>
      </c>
      <c r="N37" s="601" t="s">
        <v>67</v>
      </c>
      <c r="O37" s="602" t="s">
        <v>66</v>
      </c>
      <c r="P37" s="601" t="s">
        <v>819</v>
      </c>
      <c r="Q37" s="604" t="s">
        <v>0</v>
      </c>
      <c r="R37" s="812" t="s">
        <v>2</v>
      </c>
      <c r="S37" s="813"/>
      <c r="T37" s="603" t="s">
        <v>1</v>
      </c>
      <c r="U37" s="602" t="s">
        <v>62</v>
      </c>
      <c r="V37" s="603" t="s">
        <v>64</v>
      </c>
      <c r="W37" s="605" t="s">
        <v>61</v>
      </c>
      <c r="X37" s="606" t="s">
        <v>63</v>
      </c>
      <c r="Y37" s="603" t="s">
        <v>57</v>
      </c>
      <c r="Z37"/>
    </row>
    <row r="38" spans="1:35" s="5" customFormat="1" ht="15.75" thickBot="1" x14ac:dyDescent="0.3">
      <c r="A38" s="806"/>
      <c r="B38" s="484" t="s">
        <v>122</v>
      </c>
      <c r="C38" s="485" t="s">
        <v>817</v>
      </c>
      <c r="D38" s="570"/>
      <c r="E38" s="496"/>
      <c r="F38" s="608"/>
      <c r="G38"/>
      <c r="H38"/>
      <c r="I38"/>
      <c r="J38" s="474"/>
      <c r="K38" s="600"/>
      <c r="L38" s="609">
        <f>HYPERLINK("https://eu1.salesforce.com/"&amp;E38,F38)</f>
        <v>0</v>
      </c>
      <c r="M38" s="596"/>
      <c r="N38" s="596"/>
      <c r="O38" s="597"/>
      <c r="P38" s="666">
        <v>1234567.8899999999</v>
      </c>
      <c r="Q38" s="666">
        <v>1234567.8899999999</v>
      </c>
      <c r="R38" s="814"/>
      <c r="S38" s="815"/>
      <c r="T38" s="598"/>
      <c r="U38" s="609">
        <f>HYPERLINK("https://eu1.salesforce.com/"&amp;G38,H38)</f>
        <v>0</v>
      </c>
      <c r="V38" s="599"/>
      <c r="W38" s="599"/>
      <c r="X38" s="599"/>
      <c r="Y38" s="599"/>
    </row>
    <row r="39" spans="1:35" x14ac:dyDescent="0.25">
      <c r="A39" s="806"/>
      <c r="B39" s="487" t="s">
        <v>674</v>
      </c>
      <c r="C39" s="485"/>
      <c r="D39" s="486"/>
      <c r="E39" s="567">
        <v>0.5</v>
      </c>
      <c r="F39" s="567"/>
      <c r="J39" s="567">
        <v>0.5</v>
      </c>
      <c r="K39" s="567">
        <v>17</v>
      </c>
      <c r="L39" s="269" t="s">
        <v>889</v>
      </c>
      <c r="M39" s="269" t="s">
        <v>130</v>
      </c>
      <c r="N39" s="269" t="s">
        <v>113</v>
      </c>
      <c r="O39" s="269" t="s">
        <v>111</v>
      </c>
      <c r="P39" s="269" t="s">
        <v>971</v>
      </c>
      <c r="Q39" s="269" t="s">
        <v>971</v>
      </c>
      <c r="R39" s="269" t="s">
        <v>890</v>
      </c>
      <c r="S39" s="269"/>
      <c r="T39" s="269" t="s">
        <v>113</v>
      </c>
      <c r="U39" s="269" t="s">
        <v>128</v>
      </c>
      <c r="V39" s="269" t="s">
        <v>128</v>
      </c>
      <c r="W39" s="269" t="s">
        <v>971</v>
      </c>
      <c r="X39" s="269" t="s">
        <v>91</v>
      </c>
      <c r="Y39" s="269" t="s">
        <v>110</v>
      </c>
      <c r="AA39" s="453"/>
      <c r="AB39" s="92"/>
    </row>
    <row r="40" spans="1:35" x14ac:dyDescent="0.25">
      <c r="A40" s="806"/>
      <c r="B40" s="487" t="s">
        <v>675</v>
      </c>
      <c r="C40" s="485"/>
      <c r="D40" s="486"/>
      <c r="E40" s="567">
        <v>1</v>
      </c>
      <c r="F40" s="567">
        <v>9</v>
      </c>
      <c r="G40" s="567">
        <v>25</v>
      </c>
      <c r="H40" s="474">
        <v>25</v>
      </c>
      <c r="I40" s="474"/>
      <c r="J40" s="567" t="s">
        <v>921</v>
      </c>
      <c r="K40" s="567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807</v>
      </c>
      <c r="S40" s="269"/>
      <c r="T40" s="269" t="s">
        <v>889</v>
      </c>
      <c r="U40" s="269"/>
      <c r="V40" s="269" t="s">
        <v>891</v>
      </c>
      <c r="W40" s="269" t="s">
        <v>893</v>
      </c>
      <c r="X40" s="269" t="s">
        <v>894</v>
      </c>
      <c r="Y40" s="269" t="s">
        <v>892</v>
      </c>
      <c r="AD40" s="454"/>
      <c r="AE40" s="454"/>
      <c r="AF40" s="454"/>
      <c r="AG40" s="454"/>
      <c r="AH40" s="454"/>
    </row>
    <row r="41" spans="1:35" x14ac:dyDescent="0.25">
      <c r="A41" s="806"/>
      <c r="B41" s="487" t="s">
        <v>676</v>
      </c>
      <c r="C41" s="485"/>
      <c r="D41" s="486"/>
      <c r="E41" s="567"/>
      <c r="F41" s="567"/>
      <c r="G41" s="567" t="s">
        <v>918</v>
      </c>
      <c r="H41" t="s">
        <v>920</v>
      </c>
      <c r="J41" s="567"/>
      <c r="K41" s="583" t="s">
        <v>910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07"/>
      <c r="B42" s="488" t="s">
        <v>794</v>
      </c>
      <c r="C42" s="491"/>
      <c r="D42" s="492"/>
      <c r="E42" s="576"/>
      <c r="F42" s="576"/>
      <c r="G42" s="576" t="s">
        <v>919</v>
      </c>
      <c r="J42" s="576" t="s">
        <v>923</v>
      </c>
      <c r="K42" s="57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05" t="s">
        <v>136</v>
      </c>
      <c r="B43" s="580" t="s">
        <v>896</v>
      </c>
      <c r="C43" s="482" t="s">
        <v>817</v>
      </c>
      <c r="D43" s="483"/>
      <c r="E43" s="503" t="s">
        <v>697</v>
      </c>
      <c r="F43" s="503"/>
      <c r="G43" s="503"/>
      <c r="H43" s="504" t="s">
        <v>829</v>
      </c>
      <c r="I43" s="504"/>
      <c r="J43" s="505" t="s">
        <v>599</v>
      </c>
      <c r="K43" s="594"/>
      <c r="L43" s="665" t="s">
        <v>828</v>
      </c>
      <c r="M43" s="612" t="s">
        <v>822</v>
      </c>
      <c r="N43" s="613" t="s">
        <v>827</v>
      </c>
      <c r="O43" s="613" t="s">
        <v>823</v>
      </c>
      <c r="P43" s="614" t="s">
        <v>824</v>
      </c>
      <c r="Q43" s="614" t="s">
        <v>825</v>
      </c>
      <c r="R43" s="816" t="s">
        <v>826</v>
      </c>
      <c r="S43" s="817"/>
      <c r="T43" s="665" t="s">
        <v>906</v>
      </c>
      <c r="W43" s="665" t="s">
        <v>908</v>
      </c>
      <c r="X43" s="506"/>
    </row>
    <row r="44" spans="1:35" s="5" customFormat="1" ht="15.75" thickBot="1" x14ac:dyDescent="0.3">
      <c r="A44" s="806"/>
      <c r="B44" s="484" t="s">
        <v>122</v>
      </c>
      <c r="C44" s="485" t="s">
        <v>924</v>
      </c>
      <c r="D44" s="615">
        <f>E38</f>
        <v>0</v>
      </c>
      <c r="H44" s="616"/>
      <c r="I44" s="616"/>
      <c r="J44" s="617"/>
      <c r="K44" s="593"/>
      <c r="L44" s="618"/>
      <c r="M44" s="620"/>
      <c r="N44" s="619"/>
      <c r="O44" s="619"/>
      <c r="P44" s="619"/>
      <c r="Q44" s="620"/>
      <c r="R44" s="818"/>
      <c r="S44" s="819"/>
      <c r="T44" s="621"/>
      <c r="W44" s="668"/>
      <c r="X44" s="506"/>
    </row>
    <row r="45" spans="1:35" x14ac:dyDescent="0.25">
      <c r="A45" s="806"/>
      <c r="B45" s="487" t="s">
        <v>674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7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971</v>
      </c>
      <c r="X45" s="474"/>
    </row>
    <row r="46" spans="1:35" x14ac:dyDescent="0.25">
      <c r="A46" s="806"/>
      <c r="B46" s="487" t="s">
        <v>675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06"/>
      <c r="B47" s="487" t="s">
        <v>676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07"/>
      <c r="B48" s="488" t="s">
        <v>794</v>
      </c>
      <c r="C48" s="489"/>
      <c r="D48" s="490"/>
      <c r="E48" s="578" t="s">
        <v>898</v>
      </c>
      <c r="F48" s="578"/>
      <c r="G48"/>
      <c r="H48"/>
      <c r="I48"/>
      <c r="J48" s="2"/>
      <c r="K48" s="576"/>
      <c r="L48" s="578" t="s">
        <v>899</v>
      </c>
      <c r="M48" s="578" t="s">
        <v>900</v>
      </c>
      <c r="N48" s="578" t="s">
        <v>901</v>
      </c>
      <c r="O48" s="578" t="s">
        <v>902</v>
      </c>
      <c r="P48" s="578" t="s">
        <v>903</v>
      </c>
      <c r="Q48" s="578" t="s">
        <v>904</v>
      </c>
      <c r="R48" s="578" t="s">
        <v>905</v>
      </c>
      <c r="S48" s="493"/>
      <c r="T48" s="578" t="s">
        <v>907</v>
      </c>
      <c r="W48" s="578" t="s">
        <v>909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5" t="s">
        <v>573</v>
      </c>
      <c r="B49" s="581" t="s">
        <v>911</v>
      </c>
      <c r="C49" s="482" t="s">
        <v>817</v>
      </c>
      <c r="D49" s="483"/>
      <c r="E49" s="318" t="s">
        <v>157</v>
      </c>
      <c r="F49" s="318" t="s">
        <v>912</v>
      </c>
      <c r="G49" s="318" t="s">
        <v>815</v>
      </c>
      <c r="H49" s="502" t="s">
        <v>62</v>
      </c>
      <c r="I49" s="502"/>
      <c r="J49" s="500" t="s">
        <v>599</v>
      </c>
      <c r="K49" s="595"/>
      <c r="L49" s="808" t="s">
        <v>815</v>
      </c>
      <c r="M49" s="809"/>
      <c r="N49" s="659" t="s">
        <v>820</v>
      </c>
      <c r="O49" s="495" t="s">
        <v>972</v>
      </c>
      <c r="P49" s="495" t="s">
        <v>818</v>
      </c>
      <c r="Q49" s="495" t="s">
        <v>821</v>
      </c>
      <c r="R49" s="495" t="s">
        <v>914</v>
      </c>
      <c r="S49" s="495" t="s">
        <v>913</v>
      </c>
      <c r="T49" s="495" t="s">
        <v>1</v>
      </c>
      <c r="U49" s="495" t="s">
        <v>687</v>
      </c>
      <c r="V49" s="495" t="s">
        <v>598</v>
      </c>
      <c r="W49" s="495" t="s">
        <v>830</v>
      </c>
      <c r="X49" s="495" t="s">
        <v>367</v>
      </c>
      <c r="Y49" s="145"/>
      <c r="Z49" s="145"/>
      <c r="AA49" s="145"/>
    </row>
    <row r="50" spans="1:36" ht="15.75" thickBot="1" x14ac:dyDescent="0.3">
      <c r="A50" s="806"/>
      <c r="B50" s="484" t="s">
        <v>122</v>
      </c>
      <c r="C50" s="622" t="str">
        <f>IF(LEN(J38)=0,"",J38)</f>
        <v/>
      </c>
      <c r="D50" s="586">
        <v>1</v>
      </c>
      <c r="F50" s="498"/>
      <c r="G50" s="328"/>
      <c r="H50" s="501"/>
      <c r="I50" s="501"/>
      <c r="J50" s="499"/>
      <c r="K50" s="624" t="s">
        <v>927</v>
      </c>
      <c r="L50" s="810">
        <f>HYPERLINK("https://eu1.salesforce.com/"&amp;F50,G50)</f>
        <v>0</v>
      </c>
      <c r="M50" s="811"/>
      <c r="N50" s="1"/>
      <c r="O50" s="1"/>
      <c r="P50" s="667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6"/>
      <c r="B51" s="487" t="s">
        <v>674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7"/>
      <c r="L51" s="587" t="s">
        <v>889</v>
      </c>
      <c r="M51" s="587"/>
      <c r="N51" s="587" t="s">
        <v>113</v>
      </c>
      <c r="O51" s="587"/>
      <c r="P51" s="269" t="s">
        <v>1019</v>
      </c>
      <c r="Q51" s="269" t="s">
        <v>1020</v>
      </c>
      <c r="R51" s="587"/>
      <c r="S51" s="587"/>
      <c r="T51" s="587" t="s">
        <v>113</v>
      </c>
      <c r="U51" s="587" t="s">
        <v>113</v>
      </c>
      <c r="V51" s="587" t="s">
        <v>128</v>
      </c>
      <c r="W51" s="587" t="s">
        <v>128</v>
      </c>
      <c r="X51" s="587" t="s">
        <v>128</v>
      </c>
      <c r="AA51" s="92"/>
      <c r="AC51" s="453"/>
      <c r="AD51" s="92"/>
    </row>
    <row r="52" spans="1:36" x14ac:dyDescent="0.25">
      <c r="A52" s="806"/>
      <c r="B52" s="487" t="s">
        <v>675</v>
      </c>
      <c r="C52" s="485" t="s">
        <v>70</v>
      </c>
      <c r="D52" s="584" t="s">
        <v>128</v>
      </c>
      <c r="E52" s="577" t="s">
        <v>925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835</v>
      </c>
      <c r="O52" s="493">
        <v>26</v>
      </c>
      <c r="P52" s="493" t="s">
        <v>131</v>
      </c>
      <c r="Q52" s="474" t="s">
        <v>129</v>
      </c>
      <c r="R52" s="474" t="s">
        <v>915</v>
      </c>
      <c r="S52" s="587" t="s">
        <v>111</v>
      </c>
      <c r="T52" s="493" t="s">
        <v>113</v>
      </c>
      <c r="U52" s="590"/>
      <c r="V52" s="590"/>
      <c r="W52" s="590"/>
      <c r="X52" s="590"/>
      <c r="Y52" s="591"/>
      <c r="AF52" s="454"/>
      <c r="AG52" s="454"/>
      <c r="AH52" s="454"/>
      <c r="AI52" s="454"/>
      <c r="AJ52" s="454"/>
    </row>
    <row r="53" spans="1:36" ht="45" x14ac:dyDescent="0.25">
      <c r="A53" s="806"/>
      <c r="B53" s="487" t="s">
        <v>676</v>
      </c>
      <c r="C53" s="485"/>
      <c r="D53" s="486"/>
      <c r="E53" s="585" t="s">
        <v>978</v>
      </c>
      <c r="K53" s="623" t="s">
        <v>926</v>
      </c>
      <c r="L53" s="623" t="s">
        <v>926</v>
      </c>
      <c r="M53" s="588"/>
      <c r="N53" s="588"/>
      <c r="O53" s="588"/>
      <c r="T53" s="588"/>
      <c r="AF53" s="454"/>
      <c r="AG53" s="454"/>
      <c r="AH53" s="454"/>
      <c r="AI53" s="454"/>
      <c r="AJ53" s="454"/>
    </row>
    <row r="54" spans="1:36" ht="15.75" thickBot="1" x14ac:dyDescent="0.3">
      <c r="A54" s="807"/>
      <c r="B54" s="488" t="s">
        <v>794</v>
      </c>
      <c r="C54" s="491"/>
      <c r="D54" s="490"/>
      <c r="E54" s="119"/>
      <c r="H54" s="576"/>
      <c r="I54" s="576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2013-03-13T15:16:05Z</dcterms:modified>
</cp:coreProperties>
</file>