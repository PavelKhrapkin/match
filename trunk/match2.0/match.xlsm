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26775" windowHeight="667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Header!$A$132:$C$133</definedName>
    <definedName name="HDR_AccntUpd" comment="18.6.12 HDR_AccntUpd шапка изменений Организаций SF, включая связь с 1С">Header!$A$129:$N$129</definedName>
    <definedName name="HDR_AdAcc" comment="11.6.12 - Шапка полей новой Организации">Header!$A$126:$V$126</definedName>
    <definedName name="HDR_BTOmails" comment="12.6.12 HDR_BTOmails шапка для извлекаемых писем БТО">Header!$A$145:$J$146</definedName>
    <definedName name="HDR_ContrLnk" comment="18.3.12 шапка для листа C_ContrLnk - связка Договора с Проектом">Header!$A$120:$B$120</definedName>
    <definedName name="HDR_NewContract" comment="25.3.12 HDR_NewContract - шапка &quot;голубого&quot; листа в NewContract">Header!$B$104:$V$108</definedName>
    <definedName name="HDR_NewOpp" comment="28.10.12 HDR_NewOpp - создание Проектов SF. Они записываются в файл OppInsert.csv и загружаются в SF Data Loader'ом">Header!$B$112:$M$117</definedName>
    <definedName name="HDR_NewOrderList" comment="28.4.12 шапка для NewOrderList">Header!$A$136:$C$136</definedName>
    <definedName name="HDR_NewPayment" comment="26.9.12  занесение Платежей в SF. Они записываются в файл Payment.csv и загружаются в SF Data Loader'ом">Header!$B$96:$I$101</definedName>
    <definedName name="HDR_NewSN" comment="6.6.12 шапки для занесения новыз SN в SF -- 2PASS">Header!$A$142:$C$142</definedName>
    <definedName name="HDR_P_ADSKlink" comment="14/5/12 новые связи Платежей и Контрактов ADSK">Header!$A$139:$C$139</definedName>
    <definedName name="HDR_PaymentUpd" comment="11.3.12 Update Платежа - связывание существующего Платежа с Договором">Header!$A$123:$B$123</definedName>
    <definedName name="HDR_WP" comment="5.10.12 HDR_WP - Шапка листа WP для &quot;ручного&quot; просмотра и анализа Платежей выбранной Организации">WP_Prototype!$A$5:$V$28</definedName>
    <definedName name="NewOppHeader">Header!$B$112:$K$112</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83" i="1989" l="1"/>
  <c r="K82" i="1989"/>
  <c r="I87" i="763" l="1"/>
  <c r="C24" i="2049" l="1"/>
  <c r="K12" i="2049" l="1"/>
  <c r="T12" i="2049" l="1"/>
  <c r="D18" i="2049" l="1"/>
  <c r="K75" i="1989" l="1"/>
  <c r="I68" i="763" l="1"/>
  <c r="N84" i="1989" l="1"/>
  <c r="M84" i="1989"/>
  <c r="L84" i="1989"/>
  <c r="C84" i="1989" l="1"/>
  <c r="V1123" i="763" l="1"/>
  <c r="U1123" i="763"/>
  <c r="AS183" i="763"/>
  <c r="AR183" i="763"/>
  <c r="AQ183" i="763"/>
  <c r="AP183" i="763"/>
  <c r="AO183" i="763"/>
  <c r="AN183" i="763"/>
  <c r="AM183" i="763"/>
  <c r="AL183" i="763"/>
  <c r="AK183" i="763"/>
  <c r="AJ183" i="763"/>
  <c r="AI183" i="763"/>
  <c r="AH183" i="763"/>
  <c r="AF183" i="763"/>
  <c r="AE183" i="763"/>
  <c r="AD183" i="763"/>
  <c r="AC183" i="763"/>
  <c r="AB183" i="763"/>
  <c r="AA183" i="763"/>
  <c r="Z183" i="763"/>
  <c r="Y183" i="763"/>
  <c r="X183" i="763"/>
  <c r="W183" i="763"/>
  <c r="V183" i="763"/>
  <c r="U183" i="763"/>
  <c r="S183" i="763"/>
  <c r="R183" i="763"/>
  <c r="Q183" i="763"/>
  <c r="P183" i="763"/>
  <c r="O183" i="763"/>
  <c r="N183" i="763"/>
  <c r="M183" i="763"/>
  <c r="L183" i="763"/>
  <c r="K183" i="763"/>
  <c r="J183" i="763"/>
  <c r="I183" i="763"/>
  <c r="H183" i="763"/>
  <c r="F183" i="763"/>
  <c r="E183" i="763"/>
  <c r="D183" i="763"/>
  <c r="C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T183" i="763" s="1"/>
  <c r="AG150" i="763"/>
  <c r="AG183" i="763" s="1"/>
  <c r="T150" i="763"/>
  <c r="G150" i="763"/>
  <c r="D72" i="763"/>
  <c r="B58" i="763"/>
  <c r="A58" i="763" s="1"/>
  <c r="F54" i="763"/>
  <c r="A54" i="763" s="1"/>
  <c r="F53" i="763"/>
  <c r="A53" i="763" s="1"/>
  <c r="B49" i="763"/>
  <c r="J30" i="763"/>
  <c r="C30" i="763"/>
  <c r="J29" i="763"/>
  <c r="C29" i="763"/>
  <c r="J28" i="763"/>
  <c r="C28" i="763"/>
  <c r="J27" i="763"/>
  <c r="C27" i="763"/>
  <c r="V26" i="763"/>
  <c r="U26" i="763"/>
  <c r="T26" i="763"/>
  <c r="J26" i="763"/>
  <c r="C26" i="763"/>
  <c r="I18" i="763"/>
  <c r="G18" i="763"/>
  <c r="F18" i="763"/>
  <c r="R14" i="763"/>
  <c r="F14" i="763"/>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G14" i="763" l="1"/>
  <c r="H14" i="763" s="1"/>
  <c r="J1127" i="763"/>
  <c r="K45" i="1989"/>
  <c r="C31" i="763"/>
  <c r="D29" i="763" s="1"/>
  <c r="J31" i="763"/>
  <c r="L27" i="763" s="1"/>
  <c r="T183" i="763"/>
  <c r="A62" i="763"/>
  <c r="C1124" i="763"/>
  <c r="AU150" i="763"/>
  <c r="G183"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C1123" i="763"/>
  <c r="C1126" i="763"/>
  <c r="D30" i="763"/>
  <c r="J1124" i="763"/>
  <c r="C1125" i="763"/>
  <c r="C1127" i="763"/>
  <c r="J1123" i="763"/>
  <c r="J1126" i="763"/>
  <c r="AU151" i="763"/>
  <c r="J1125" i="763"/>
  <c r="K53" i="1989"/>
  <c r="K41" i="1989"/>
  <c r="K52" i="1989"/>
  <c r="K54" i="1989"/>
  <c r="K21" i="1989"/>
  <c r="K84" i="1989"/>
  <c r="K39" i="1989"/>
  <c r="K18" i="1989"/>
  <c r="K24" i="1989"/>
  <c r="K22" i="1989"/>
  <c r="K44" i="1989"/>
  <c r="K46" i="1989"/>
  <c r="D28" i="763" l="1"/>
  <c r="D26" i="763"/>
  <c r="L28" i="763"/>
  <c r="D27" i="763"/>
  <c r="L26" i="763"/>
  <c r="L29" i="763"/>
  <c r="C1128" i="763"/>
  <c r="D1124" i="763" s="1"/>
  <c r="L30" i="763"/>
  <c r="AU183" i="763"/>
  <c r="J1128" i="763"/>
  <c r="L1126" i="763" s="1"/>
  <c r="D1127" i="763" l="1"/>
  <c r="L1123" i="763"/>
  <c r="D1125" i="763"/>
  <c r="D1123" i="763"/>
  <c r="D1126" i="763"/>
  <c r="L1125" i="763"/>
  <c r="L1124" i="763"/>
  <c r="L1127"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<sst xmlns="http://schemas.openxmlformats.org/spreadsheetml/2006/main" count="3350" uniqueCount="1263">
  <si>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</si>
  <si>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</si>
  <si>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</si>
  <si>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</si>
  <si>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</si>
  <si>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</si>
  <si>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</si>
  <si>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</si>
  <si>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</si>
  <si>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</si>
  <si>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</si>
  <si>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</si>
  <si>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</si>
  <si>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</si>
  <si>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</si>
  <si>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</si>
  <si>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</si>
  <si>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</si>
  <si>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</si>
  <si>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</si>
  <si>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</si>
  <si>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</si>
  <si>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</si>
  <si>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</si>
  <si>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</si>
  <si>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</si>
  <si>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</si>
  <si>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</si>
  <si>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</si>
  <si>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</si>
  <si>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</si>
  <si>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</si>
  <si>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</si>
  <si>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</si>
  <si>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</si>
  <si>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</si>
  <si>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</si>
  <si>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</si>
  <si>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</si>
  <si>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</si>
  <si>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</si>
  <si>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</si>
  <si>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</si>
  <si>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</si>
  <si>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</si>
  <si>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</si>
  <si>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</si>
  <si>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</si>
  <si>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</si>
  <si>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</si>
  <si>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</si>
  <si>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</si>
  <si>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</si>
  <si>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</si>
  <si>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</si>
  <si>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</si>
  <si>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</si>
  <si>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</si>
  <si>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</si>
  <si>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</si>
  <si>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</si>
  <si>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</si>
  <si>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</si>
  <si>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</si>
  <si>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</si>
  <si>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</si>
  <si>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</si>
  <si>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</si>
  <si>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</si>
  <si>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</si>
  <si>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</si>
  <si>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</si>
  <si>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</si>
  <si>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</si>
  <si>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</si>
  <si>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</si>
  <si>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</si>
  <si>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</si>
  <si>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</si>
  <si>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</si>
  <si>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</si>
  <si>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</si>
  <si>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</si>
  <si>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</si>
  <si>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</si>
  <si>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</si>
  <si>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</si>
  <si>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</si>
  <si>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</si>
  <si>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</si>
  <si>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</si>
  <si>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</si>
  <si>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</si>
  <si>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</si>
  <si>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</si>
  <si>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</si>
  <si>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</si>
  <si>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</si>
  <si>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</si>
  <si>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</si>
  <si>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</si>
  <si>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</si>
  <si>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</si>
  <si>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</si>
  <si>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</si>
  <si>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</si>
  <si>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</si>
  <si>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</si>
  <si>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</si>
  <si>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</si>
  <si>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</si>
  <si>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</si>
  <si>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</si>
  <si>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</si>
  <si>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</si>
  <si>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</si>
  <si>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</si>
  <si>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</si>
  <si>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</si>
  <si>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</si>
  <si>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</si>
  <si>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</si>
  <si>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</si>
  <si>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</si>
  <si>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</si>
  <si>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</si>
  <si>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</si>
  <si>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</si>
  <si>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</si>
  <si>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</si>
  <si>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</si>
  <si>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</si>
  <si>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</si>
  <si>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</si>
  <si>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</si>
  <si>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</si>
  <si>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</si>
  <si>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</si>
  <si>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</si>
  <si>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</si>
  <si>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</si>
  <si>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</si>
  <si>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</si>
  <si>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</si>
  <si>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</si>
  <si>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</si>
  <si>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</si>
  <si>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</si>
  <si>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</si>
  <si>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</si>
  <si>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</si>
  <si>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</si>
  <si>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</si>
  <si>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</si>
  <si>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</si>
  <si>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</si>
  <si>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</si>
  <si>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</si>
  <si>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</si>
  <si>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</si>
  <si>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</si>
  <si>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</si>
  <si>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</si>
  <si>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</si>
  <si>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</si>
  <si>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</si>
  <si>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</si>
  <si>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</si>
  <si>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</si>
  <si>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</si>
  <si>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</si>
  <si>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</si>
  <si>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</si>
  <si>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</si>
  <si>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</si>
  <si>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</si>
  <si>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</si>
  <si>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</si>
  <si>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</si>
  <si>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</si>
  <si>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</si>
  <si>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</si>
  <si>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</si>
  <si>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</si>
  <si>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</si>
  <si>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</si>
  <si>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</si>
  <si>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</si>
  <si>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</si>
  <si>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</si>
  <si>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</si>
  <si>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</si>
  <si>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</si>
  <si>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</si>
  <si>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</si>
  <si>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</si>
  <si>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</si>
  <si>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</si>
  <si>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</si>
  <si>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</si>
  <si>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</si>
  <si>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</si>
  <si>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</si>
  <si>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</si>
  <si>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</si>
  <si>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</si>
  <si>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</si>
  <si>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</si>
  <si>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</si>
  <si>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</si>
  <si>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</si>
  <si>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</si>
  <si>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</si>
  <si>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</si>
  <si>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</si>
  <si>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</si>
  <si>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</si>
  <si>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</si>
  <si>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</si>
  <si>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</si>
  <si>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</si>
  <si>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</si>
  <si>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</si>
  <si>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</si>
  <si>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</si>
  <si>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</si>
  <si>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</si>
  <si>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</si>
  <si>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</si>
  <si>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</si>
  <si>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</si>
  <si>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</si>
  <si>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</si>
  <si>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</si>
  <si>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</si>
  <si>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</si>
  <si>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</si>
  <si>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</si>
  <si>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</si>
  <si>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</si>
  <si>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</si>
  <si>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</si>
  <si>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</si>
  <si>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</si>
  <si>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</si>
  <si>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</si>
  <si>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</si>
  <si>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</si>
  <si>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</si>
  <si>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</si>
  <si>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</si>
  <si>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</si>
  <si>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</si>
  <si>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</si>
  <si>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</si>
  <si>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</si>
  <si>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</si>
  <si>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</si>
  <si>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</si>
  <si>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</si>
  <si>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</si>
  <si>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</si>
  <si>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</si>
  <si>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</si>
  <si>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</si>
  <si>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</si>
  <si>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</si>
  <si>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</si>
  <si>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</si>
  <si>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</si>
  <si>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</si>
  <si>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</si>
  <si>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</si>
  <si>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</si>
  <si>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</si>
  <si>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</si>
  <si>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</si>
  <si>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</si>
  <si>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</si>
  <si>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</si>
  <si>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</si>
  <si>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</si>
  <si>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</si>
  <si>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</si>
  <si>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</si>
  <si>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</si>
  <si>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</si>
  <si>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</si>
  <si>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</si>
  <si>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</si>
  <si>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</si>
  <si>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</si>
  <si>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</si>
  <si>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</si>
  <si>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</si>
  <si>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</si>
  <si>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</si>
  <si>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</si>
  <si>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</si>
  <si>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</si>
  <si>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</si>
  <si>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</si>
  <si>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</si>
  <si>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</si>
  <si>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</si>
  <si>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</si>
  <si>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</si>
  <si>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</si>
  <si>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</si>
  <si>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</si>
  <si>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</si>
  <si>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</si>
  <si>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</si>
  <si>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</si>
  <si>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</si>
  <si>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</si>
  <si>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</si>
  <si>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</si>
  <si>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</si>
  <si>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</si>
  <si>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</si>
  <si>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</si>
  <si>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</si>
  <si>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</si>
  <si>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</si>
  <si>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</si>
  <si>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</si>
  <si>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</si>
  <si>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</si>
  <si>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</si>
  <si>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</si>
  <si>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</si>
  <si>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</si>
  <si>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</si>
  <si>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</si>
  <si>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</si>
  <si>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</si>
  <si>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</si>
  <si>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</si>
  <si>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</si>
  <si>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</si>
  <si>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</si>
  <si>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</si>
  <si>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</si>
  <si>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</si>
  <si>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</si>
  <si>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</si>
  <si>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</si>
  <si>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</si>
  <si>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</si>
  <si>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</si>
  <si>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</si>
  <si>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</si>
  <si>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</si>
  <si>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</si>
  <si>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</si>
  <si>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</si>
  <si>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</si>
  <si>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</si>
  <si>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</si>
  <si>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</si>
  <si>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</si>
  <si>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</si>
  <si>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</si>
  <si>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</si>
  <si>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</si>
  <si>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</si>
  <si>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</si>
  <si>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</si>
  <si>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</si>
  <si>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</si>
  <si>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</si>
  <si>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</si>
  <si>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</si>
  <si>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</si>
  <si>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</si>
  <si>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</si>
  <si>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</si>
  <si>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</si>
  <si>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</si>
  <si>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</si>
  <si>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</si>
  <si>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</si>
  <si>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</si>
  <si>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</si>
  <si>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</si>
  <si>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</si>
  <si>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</si>
  <si>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</si>
  <si>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</si>
  <si>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</si>
  <si>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</si>
  <si>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</si>
  <si>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</si>
  <si>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</si>
  <si>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</si>
  <si>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</si>
  <si>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</si>
  <si>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</si>
  <si>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</si>
  <si>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</si>
  <si>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</si>
  <si>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</si>
  <si>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</si>
  <si>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</si>
  <si>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</si>
  <si>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</si>
  <si>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</si>
  <si>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</si>
  <si>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</si>
  <si>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</si>
  <si>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</si>
  <si>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</si>
  <si>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</si>
  <si>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</si>
  <si>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</si>
  <si>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</si>
  <si>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</si>
  <si>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</si>
  <si>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</si>
  <si>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</si>
  <si>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</si>
  <si>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</si>
  <si>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</si>
  <si>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</si>
  <si>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</si>
  <si>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</si>
  <si>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</si>
  <si>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</si>
  <si>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</si>
  <si>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</si>
  <si>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</si>
  <si>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</si>
  <si>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</si>
  <si>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</si>
  <si>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</si>
  <si>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</si>
  <si>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</si>
  <si>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</si>
  <si>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</si>
  <si>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</si>
  <si>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</si>
  <si>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</si>
  <si>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</si>
  <si>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</si>
  <si>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</si>
  <si>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</si>
  <si>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</si>
  <si>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</si>
  <si>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</si>
  <si>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</si>
  <si>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</si>
  <si>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</si>
  <si>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</si>
  <si>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</si>
  <si>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</si>
  <si>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</si>
  <si>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</si>
  <si>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</si>
  <si>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</si>
  <si>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</si>
  <si>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</si>
  <si>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</si>
  <si>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</si>
  <si>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</si>
  <si>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</si>
  <si>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</si>
  <si>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</si>
  <si>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</si>
  <si>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</si>
  <si>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</si>
  <si>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</si>
  <si>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</si>
  <si>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</si>
  <si>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</si>
  <si>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</si>
  <si>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</si>
  <si>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</si>
  <si>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</si>
  <si>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</si>
  <si>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</si>
  <si>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</si>
  <si>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</si>
  <si>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</si>
  <si>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</si>
  <si>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</si>
  <si>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</si>
  <si>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</si>
  <si>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</si>
  <si>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</si>
  <si>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</si>
  <si>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</si>
  <si>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</si>
  <si>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</si>
  <si>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</si>
  <si>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</si>
  <si>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</si>
  <si>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</si>
  <si>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</si>
  <si>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</si>
  <si>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</si>
  <si>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</si>
  <si>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</si>
  <si>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</si>
  <si>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</si>
  <si>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</si>
  <si>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</si>
  <si>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</si>
  <si>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</si>
  <si>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</si>
  <si>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</si>
  <si>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</si>
  <si>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</si>
  <si>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</si>
  <si>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</si>
  <si>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</si>
  <si>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</si>
  <si>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</si>
  <si>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</si>
  <si>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</si>
  <si>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</si>
  <si>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</si>
  <si>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</si>
  <si>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</si>
  <si>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</si>
  <si>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</si>
  <si>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</si>
  <si>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</si>
  <si>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</si>
  <si>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</si>
  <si>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</si>
  <si>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</si>
  <si>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</si>
  <si>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</si>
  <si>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</si>
  <si>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</si>
  <si>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</si>
  <si>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</si>
  <si>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</si>
  <si>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</si>
  <si>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</si>
  <si>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</si>
  <si>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</si>
  <si>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</si>
  <si>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</si>
  <si>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</si>
  <si>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</si>
  <si>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</si>
  <si>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</si>
  <si>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</si>
  <si>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</si>
  <si>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</si>
  <si>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</si>
  <si>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</si>
  <si>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</si>
  <si>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</si>
  <si>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</si>
  <si>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</si>
  <si>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</si>
  <si>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</si>
  <si>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</si>
  <si>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</si>
  <si>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</si>
  <si>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</si>
  <si>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</si>
  <si>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</si>
  <si>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</si>
  <si>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</si>
  <si>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</si>
  <si>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</si>
  <si>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</si>
  <si>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</si>
  <si>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</si>
  <si>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</si>
  <si>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</si>
  <si>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</si>
  <si>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</si>
  <si>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</si>
  <si>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</si>
  <si>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</si>
  <si>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</si>
  <si>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</si>
  <si>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</si>
  <si>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</si>
  <si>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</si>
  <si>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</si>
  <si>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</si>
  <si>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</si>
  <si>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</si>
  <si>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</si>
  <si>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</si>
  <si>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</si>
  <si>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</si>
  <si>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</si>
  <si>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</si>
  <si>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</si>
  <si>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</si>
  <si>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</si>
  <si>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</si>
  <si>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</si>
  <si>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</si>
  <si>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</si>
  <si>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</si>
  <si>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</si>
  <si>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</si>
  <si>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</si>
  <si>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</si>
  <si>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</si>
  <si>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</si>
  <si>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</si>
  <si>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</si>
  <si>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</si>
  <si>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</si>
  <si>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</si>
  <si>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</si>
  <si>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</si>
  <si>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</si>
  <si>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</si>
  <si>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</si>
  <si>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</si>
  <si>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</si>
  <si>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</si>
  <si>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</si>
  <si>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</si>
  <si>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</si>
  <si>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</si>
  <si>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</si>
  <si>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</si>
  <si>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</si>
  <si>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</si>
  <si>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</si>
  <si>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</si>
  <si>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</si>
  <si>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</si>
  <si>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</si>
  <si>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</si>
  <si>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</si>
  <si>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</si>
  <si>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</si>
  <si>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</si>
  <si>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</si>
  <si>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</si>
  <si>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</si>
  <si>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</si>
  <si>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</si>
  <si>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</si>
  <si>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</si>
  <si>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</si>
  <si>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</si>
  <si>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</si>
  <si>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</si>
  <si>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</si>
  <si>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</si>
  <si>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</si>
  <si>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</si>
  <si>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</si>
  <si>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</si>
  <si>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</si>
  <si>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</si>
  <si>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</si>
  <si>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</si>
  <si>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</si>
  <si>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</si>
  <si>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</si>
  <si>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</si>
  <si>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</si>
  <si>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</si>
  <si>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</si>
  <si>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</si>
  <si>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</si>
  <si>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</si>
  <si>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</si>
  <si>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</si>
  <si>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</si>
  <si>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</si>
  <si>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</si>
  <si>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</si>
  <si>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</si>
  <si>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</si>
  <si>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</si>
  <si>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</si>
  <si>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</si>
  <si>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</si>
  <si>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</si>
  <si>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</si>
  <si>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</si>
  <si>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</si>
  <si>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</si>
  <si>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</si>
  <si>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</si>
  <si>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</si>
  <si>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</si>
  <si>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</si>
  <si>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</si>
  <si>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</si>
  <si>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</si>
  <si>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</si>
  <si>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</si>
  <si>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</si>
  <si>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</si>
  <si>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</si>
  <si>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</si>
  <si>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</si>
  <si>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</si>
  <si>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</si>
  <si>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</si>
  <si>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</si>
  <si>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</si>
  <si>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</si>
  <si>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</si>
  <si>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</si>
  <si>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</si>
  <si>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</si>
  <si>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</si>
  <si>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</si>
  <si>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</si>
  <si>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</si>
  <si>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</si>
  <si>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</si>
  <si>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</si>
  <si>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</si>
  <si>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</si>
  <si>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</si>
  <si>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</si>
  <si>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</si>
  <si>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</si>
  <si>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</si>
  <si>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</si>
  <si>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</si>
  <si>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</si>
  <si>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</si>
  <si>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</si>
  <si>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</si>
  <si>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</si>
  <si>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</si>
  <si>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</si>
  <si>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</si>
  <si>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</si>
  <si>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</si>
  <si>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</si>
  <si>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</si>
  <si>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</si>
  <si>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</si>
  <si>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</si>
  <si>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</si>
  <si>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</si>
  <si>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</si>
  <si>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</si>
  <si>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</si>
  <si>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</si>
  <si>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</si>
  <si>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</si>
  <si>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</si>
  <si>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</si>
  <si>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</si>
  <si>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</si>
  <si>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</si>
  <si>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</si>
  <si>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</si>
  <si>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</si>
  <si>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</si>
  <si>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</si>
  <si>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</si>
  <si>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</si>
  <si>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</si>
  <si>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</si>
  <si>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</si>
  <si>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</si>
  <si>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</si>
  <si>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</si>
  <si>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</si>
  <si>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</si>
  <si>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</si>
  <si>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</si>
  <si>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</si>
  <si>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</si>
  <si>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</si>
  <si>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</si>
  <si>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</si>
  <si>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</si>
  <si>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</si>
  <si>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</si>
  <si>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</si>
  <si>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</si>
  <si>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</si>
  <si>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</si>
  <si>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</si>
  <si>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</si>
  <si>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</si>
  <si>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</si>
  <si>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</si>
  <si>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</si>
  <si>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</si>
  <si>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</si>
  <si>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</si>
  <si>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</si>
  <si>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</si>
  <si>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</si>
  <si>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</si>
  <si>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</si>
  <si>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</si>
  <si>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</si>
  <si>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</si>
  <si>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</si>
  <si>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</si>
  <si>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</si>
  <si>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</si>
  <si>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</si>
  <si>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</si>
  <si>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</si>
  <si>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</si>
  <si>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</si>
  <si>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</si>
  <si>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</si>
  <si>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</si>
  <si>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</si>
  <si>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</si>
  <si>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</si>
  <si>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</si>
  <si>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</si>
  <si>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</si>
  <si>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</si>
  <si>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</si>
  <si>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</si>
  <si>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</si>
  <si>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</si>
  <si>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</si>
  <si>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</si>
  <si>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</si>
  <si>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</si>
  <si>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</si>
  <si>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</si>
  <si>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</si>
  <si>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</si>
  <si>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</si>
  <si>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</si>
  <si>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</si>
  <si>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</si>
  <si>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</si>
  <si>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</si>
  <si>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</si>
  <si>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</si>
  <si>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</si>
  <si>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</si>
  <si>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</si>
  <si>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</si>
  <si>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</si>
  <si>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</si>
  <si>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</si>
  <si>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</si>
  <si>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</si>
  <si>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</si>
  <si>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</si>
  <si>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</si>
  <si>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</si>
  <si>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</si>
  <si>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</si>
  <si>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</si>
  <si>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</si>
  <si>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</si>
  <si>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</si>
  <si>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</si>
  <si>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</si>
  <si>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</si>
  <si>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</si>
  <si>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</si>
  <si>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</si>
  <si>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</si>
  <si>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</si>
  <si>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</si>
  <si>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</si>
  <si>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</si>
  <si>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</si>
  <si>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</si>
  <si>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</si>
  <si>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</si>
  <si>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</si>
  <si>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</si>
  <si>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</si>
  <si>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</si>
  <si>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</si>
  <si>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</si>
  <si>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</si>
  <si>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</si>
  <si>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</si>
  <si>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</si>
  <si>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</si>
  <si>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</si>
  <si>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</si>
  <si>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</si>
  <si>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</si>
  <si>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</si>
  <si>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</si>
  <si>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</si>
  <si>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</si>
  <si>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</si>
  <si>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</si>
  <si>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</si>
  <si>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</si>
  <si>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</si>
  <si>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</si>
  <si>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</si>
  <si>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</si>
  <si>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</si>
  <si>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</si>
  <si>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</si>
  <si>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</si>
  <si>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</si>
  <si>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</si>
  <si>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</si>
  <si>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</si>
  <si>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</si>
  <si>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</si>
  <si>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</si>
  <si>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</si>
  <si>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</si>
  <si>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</si>
  <si>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</si>
  <si>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</si>
  <si>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</si>
  <si>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</si>
  <si>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</si>
  <si>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</si>
  <si>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</si>
  <si>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</si>
  <si>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</si>
  <si>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</si>
  <si>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</si>
  <si>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</si>
  <si>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</si>
  <si>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</si>
  <si>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</si>
  <si>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</si>
  <si>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</si>
  <si>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</si>
  <si>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</si>
  <si>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</si>
  <si>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</si>
  <si>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</si>
  <si>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</si>
  <si>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</si>
  <si>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</si>
  <si>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</si>
  <si>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</si>
  <si>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</si>
  <si>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</si>
  <si>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</si>
  <si>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</si>
  <si>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</si>
  <si>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</si>
  <si>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</si>
  <si>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</si>
  <si>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</si>
  <si>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</si>
  <si>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</si>
  <si>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</si>
  <si>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</si>
  <si>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</si>
  <si>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</si>
  <si>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</si>
  <si>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</si>
  <si>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</si>
  <si>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</si>
  <si>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</si>
  <si>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</si>
  <si>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</si>
  <si>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</si>
  <si>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</si>
  <si>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</si>
  <si>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</si>
  <si>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</si>
  <si>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</si>
  <si>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</si>
  <si>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</si>
  <si>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</si>
  <si>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</si>
  <si>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</si>
  <si>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</si>
  <si>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</si>
  <si>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</si>
  <si>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</si>
  <si>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</si>
  <si>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</si>
  <si>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</si>
  <si>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</si>
  <si>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</si>
  <si>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</si>
  <si>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</si>
  <si>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</si>
  <si>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</si>
  <si>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</si>
  <si>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</si>
  <si>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</si>
  <si>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</si>
  <si>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</si>
  <si>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</si>
  <si>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</si>
  <si>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</si>
  <si>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</si>
  <si>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</si>
  <si>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</si>
  <si>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</si>
  <si>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</si>
  <si>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</si>
  <si>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</si>
  <si>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</si>
  <si>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</si>
  <si>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</si>
  <si>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</si>
  <si>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</si>
  <si>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</si>
  <si>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</si>
  <si>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</si>
  <si>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</si>
  <si>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</si>
  <si>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</si>
  <si>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</si>
  <si>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</si>
  <si>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</si>
  <si>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</si>
  <si>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</si>
  <si>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</si>
  <si>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</si>
  <si>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</si>
  <si>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</si>
  <si>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</si>
  <si>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</si>
  <si>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</si>
  <si>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</si>
  <si>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</si>
  <si>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</si>
  <si>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</si>
  <si>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</si>
  <si>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</si>
  <si>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</si>
  <si>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</si>
  <si>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</si>
  <si>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</si>
  <si>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</si>
  <si>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</si>
  <si>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</si>
  <si>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</si>
  <si>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</si>
  <si>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</si>
  <si>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</si>
  <si>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</si>
  <si>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</si>
  <si>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</si>
  <si>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</si>
  <si>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</si>
  <si>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</si>
  <si>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</si>
  <si>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</si>
  <si>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</si>
  <si>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</si>
  <si>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</si>
  <si>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</si>
  <si>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</si>
  <si>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</si>
  <si>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</si>
  <si>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</si>
  <si>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</si>
  <si>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</si>
  <si>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</si>
  <si>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</si>
  <si>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</si>
  <si>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</si>
  <si>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</si>
  <si>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</si>
  <si>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</si>
  <si>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</si>
  <si>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</si>
  <si>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</si>
  <si>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</si>
  <si>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</si>
  <si>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</si>
  <si>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</si>
  <si>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</si>
  <si>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</si>
  <si>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</si>
  <si>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</si>
  <si>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</si>
  <si>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</si>
  <si>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</si>
  <si>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</si>
  <si>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</si>
  <si>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</si>
  <si>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</si>
  <si>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</si>
  <si>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</si>
  <si>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</si>
  <si>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</si>
  <si>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</si>
  <si>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</si>
  <si>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</si>
  <si>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</si>
  <si>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</si>
  <si>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</si>
  <si>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</si>
  <si>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</si>
  <si>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</si>
  <si>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</si>
  <si>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</si>
  <si>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</si>
  <si>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</si>
  <si>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</si>
  <si>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</si>
  <si>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</si>
  <si>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</si>
  <si>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</si>
  <si>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</si>
  <si>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</si>
  <si>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</si>
  <si>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</si>
  <si>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</si>
  <si>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</si>
  <si>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</si>
  <si>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</si>
  <si>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</si>
  <si>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</si>
  <si>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</si>
  <si>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</si>
  <si>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</si>
  <si>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</si>
  <si>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</si>
  <si>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</si>
  <si>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</si>
  <si>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</si>
  <si>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</si>
  <si>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</si>
  <si>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</si>
  <si>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</si>
  <si>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</si>
  <si>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</si>
  <si>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</si>
  <si>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</si>
  <si>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</si>
  <si>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</si>
  <si>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</si>
  <si>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</si>
  <si>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</si>
  <si>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</si>
  <si>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</si>
  <si>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</si>
  <si>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</si>
  <si>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</si>
  <si>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</si>
  <si>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</si>
  <si>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</si>
  <si>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</si>
  <si>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</si>
  <si>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</si>
  <si>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</si>
  <si>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</si>
  <si>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</si>
  <si>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</si>
  <si>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</si>
  <si>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</si>
  <si>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</si>
  <si>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</si>
  <si>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</si>
  <si>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</si>
  <si>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</si>
  <si>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</si>
  <si>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</si>
  <si>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</si>
  <si>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</si>
  <si>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</si>
  <si>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</si>
  <si>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</si>
  <si>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</si>
  <si>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</si>
  <si>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</si>
  <si>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</si>
  <si>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</si>
  <si>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</si>
  <si>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</si>
  <si>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</si>
  <si>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</si>
  <si>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</si>
  <si>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</si>
  <si>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</si>
  <si>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</si>
  <si>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</si>
  <si>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</si>
  <si>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</si>
  <si>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</si>
  <si>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</si>
  <si>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</si>
  <si>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</si>
  <si>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</si>
  <si>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</si>
  <si>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</si>
  <si>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</si>
  <si>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</si>
  <si>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</si>
  <si>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</si>
  <si>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</si>
  <si>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</si>
  <si>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</si>
  <si>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</si>
  <si>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</si>
  <si>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</si>
  <si>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</si>
  <si>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</si>
  <si>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</si>
  <si>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</si>
  <si>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</si>
  <si>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</si>
  <si>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</si>
  <si>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</si>
  <si>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</si>
  <si>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</si>
  <si>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</si>
  <si>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</si>
  <si>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</si>
  <si>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</si>
  <si>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</si>
  <si>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</si>
  <si>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</si>
  <si>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</si>
  <si>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</si>
  <si>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</si>
  <si>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</si>
  <si>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</si>
  <si>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</si>
  <si>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</si>
  <si>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</si>
  <si>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</si>
  <si>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</si>
  <si>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</si>
  <si>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</si>
  <si>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</si>
  <si>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</si>
  <si>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</si>
  <si>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</si>
  <si>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</si>
  <si>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</si>
  <si>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</si>
  <si>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</si>
  <si>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</si>
  <si>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</si>
  <si>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</si>
  <si>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</si>
  <si>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</si>
  <si>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</si>
  <si>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</si>
  <si>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</si>
  <si>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</si>
  <si>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</si>
  <si>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</si>
  <si>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NewOppName/10,8,13</t>
  </si>
  <si>
    <t>0012000000VwqGt</t>
  </si>
  <si>
    <t>44</t>
  </si>
  <si>
    <t>Инковаз-Оборудование 2012-3-3 20.8.12</t>
  </si>
  <si>
    <t>21.08.2012</t>
  </si>
  <si>
    <t>DovVal/16,15,23</t>
  </si>
  <si>
    <t>NewOppStage/15,22,23</t>
  </si>
  <si>
    <t>Обслуживание оборудования</t>
  </si>
  <si>
    <t>OppTema</t>
  </si>
  <si>
    <t>OppBuddy</t>
  </si>
  <si>
    <t>228 от 20.08.2012ЗАО "ИНКОВАЗ"2299</t>
  </si>
  <si>
    <t>SF/1:2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</si>
</sst>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30">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49" fontId="0" fillId="58" borderId="41" xfId="0" applyNumberFormat="1" applyFill="1" applyBorder="1" applyAlignment="1">
      <alignment horizontal="center" vertical="center" wrapText="1"/>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1" borderId="41" xfId="0" applyFont="1" applyFill="1" applyBorder="1"/>
    <xf numFmtId="167" fontId="0" fillId="4" borderId="0" xfId="0" applyNumberFormat="1" applyFill="1" applyBorder="1" applyAlignment="1">
      <alignment horizontal="center"/>
    </xf>
    <xf numFmtId="167" fontId="0" fillId="61" borderId="41" xfId="0" applyNumberFormat="1" applyFill="1" applyBorder="1" applyAlignment="1">
      <alignment horizontal="center"/>
    </xf>
    <xf numFmtId="167" fontId="0" fillId="4" borderId="87" xfId="0" applyNumberFormat="1" applyFill="1" applyBorder="1" applyAlignment="1">
      <alignment horizontal="center"/>
    </xf>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43" fontId="0" fillId="59" borderId="0" xfId="1" applyFont="1" applyFill="1" applyAlignment="1">
      <alignment horizontal="center" vertical="center"/>
    </xf>
    <xf numFmtId="169" fontId="250" fillId="44" borderId="0" xfId="63" applyFont="1" applyFill="1" applyAlignment="1">
      <alignment vertical="top"/>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31" workbookViewId="0">
      <selection activeCell="B43" sqref="B4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41210.386134259257</v>
      </c>
      <c r="C1" s="125" t="s">
        <v>595</v>
      </c>
      <c r="J1" s="463" t="s">
        <v>822</v>
      </c>
      <c r="K1" s="167"/>
      <c r="L1" s="57"/>
      <c r="M1" s="57"/>
      <c r="N1" s="57"/>
      <c r="O1" s="701" t="s">
        <v>604</v>
      </c>
      <c r="P1" s="701" t="s">
        <v>857</v>
      </c>
      <c r="Q1" s="701"/>
      <c r="R1" s="701"/>
      <c r="S1" s="701"/>
    </row>
    <row r="2" spans="1:23" ht="20.25" customHeight="1" x14ac:dyDescent="0.25">
      <c r="O2" s="702"/>
      <c r="P2" s="702"/>
      <c r="Q2" s="702"/>
      <c r="R2" s="702"/>
      <c r="S2" s="702"/>
    </row>
    <row r="3" spans="1:23" s="123" customFormat="1" x14ac:dyDescent="0.25">
      <c r="A3" s="123" t="s">
        <v>120</v>
      </c>
      <c r="B3" s="123" t="s">
        <v>574</v>
      </c>
      <c r="C3" s="158" t="s">
        <v>575</v>
      </c>
      <c r="D3" s="123" t="s">
        <v>600</v>
      </c>
      <c r="E3" s="123" t="s">
        <v>605</v>
      </c>
      <c r="F3" s="123" t="s">
        <v>615</v>
      </c>
      <c r="G3" s="123" t="s">
        <v>640</v>
      </c>
      <c r="H3" s="123" t="s">
        <v>576</v>
      </c>
      <c r="I3" s="123" t="s">
        <v>577</v>
      </c>
      <c r="J3" s="127" t="s">
        <v>581</v>
      </c>
      <c r="K3" s="143" t="s">
        <v>596</v>
      </c>
      <c r="L3" s="127" t="s">
        <v>597</v>
      </c>
      <c r="M3" s="127" t="s">
        <v>598</v>
      </c>
      <c r="N3" s="158" t="s">
        <v>617</v>
      </c>
      <c r="O3" s="123" t="s">
        <v>601</v>
      </c>
      <c r="T3" s="123" t="s">
        <v>603</v>
      </c>
    </row>
    <row r="4" spans="1:23" s="171" customFormat="1" x14ac:dyDescent="0.25">
      <c r="A4" s="248"/>
      <c r="B4" s="169" t="s">
        <v>620</v>
      </c>
      <c r="C4" s="170">
        <v>44</v>
      </c>
      <c r="H4" s="169" t="s">
        <v>621</v>
      </c>
      <c r="I4" s="169" t="s">
        <v>620</v>
      </c>
      <c r="J4" s="169" t="s">
        <v>620</v>
      </c>
      <c r="K4" s="172" t="s">
        <v>622</v>
      </c>
      <c r="L4" s="153">
        <v>1</v>
      </c>
      <c r="M4" s="153">
        <v>3</v>
      </c>
      <c r="N4" s="168">
        <v>41112.947581018518</v>
      </c>
    </row>
    <row r="5" spans="1:23" s="171" customFormat="1" x14ac:dyDescent="0.25">
      <c r="A5" s="248"/>
      <c r="B5" s="169" t="s">
        <v>639</v>
      </c>
      <c r="C5" s="170" t="s">
        <v>1240</v>
      </c>
      <c r="H5" s="169" t="s">
        <v>621</v>
      </c>
      <c r="I5" s="169" t="s">
        <v>639</v>
      </c>
      <c r="J5" s="169" t="s">
        <v>639</v>
      </c>
      <c r="K5" s="172" t="s">
        <v>622</v>
      </c>
      <c r="L5" s="153">
        <v>1</v>
      </c>
      <c r="M5" s="153">
        <v>3</v>
      </c>
      <c r="N5" s="168">
        <v>41120.947581018518</v>
      </c>
    </row>
    <row r="6" spans="1:23" s="171" customFormat="1" x14ac:dyDescent="0.25">
      <c r="A6" s="248"/>
      <c r="B6" s="169" t="s">
        <v>625</v>
      </c>
      <c r="C6" s="170" t="s">
        <v>575</v>
      </c>
      <c r="H6" s="169" t="s">
        <v>692</v>
      </c>
      <c r="I6" s="169"/>
      <c r="J6" s="169" t="s">
        <v>623</v>
      </c>
      <c r="K6" s="172" t="s">
        <v>622</v>
      </c>
      <c r="L6" s="153">
        <v>3</v>
      </c>
      <c r="M6" s="153">
        <v>1</v>
      </c>
      <c r="N6" s="168">
        <v>41112.947581018518</v>
      </c>
      <c r="O6" s="169" t="s">
        <v>316</v>
      </c>
    </row>
    <row r="7" spans="1:23" s="171" customFormat="1" x14ac:dyDescent="0.25">
      <c r="A7" s="248"/>
      <c r="B7" s="169"/>
      <c r="C7" s="170">
        <v>0</v>
      </c>
      <c r="D7" s="251"/>
      <c r="F7" s="547"/>
      <c r="H7" s="169"/>
      <c r="I7" s="169"/>
      <c r="J7" s="169" t="s">
        <v>624</v>
      </c>
      <c r="K7" s="172" t="s">
        <v>599</v>
      </c>
      <c r="L7" s="153">
        <v>6</v>
      </c>
      <c r="M7" s="153">
        <v>1</v>
      </c>
      <c r="N7" s="168"/>
    </row>
    <row r="8" spans="1:23" s="136" customFormat="1" x14ac:dyDescent="0.25">
      <c r="A8" s="249">
        <v>41209.992743055554</v>
      </c>
      <c r="B8" s="136" t="s">
        <v>573</v>
      </c>
      <c r="C8" s="141">
        <v>4800</v>
      </c>
      <c r="D8" s="141">
        <v>5</v>
      </c>
      <c r="E8" s="141">
        <v>2</v>
      </c>
      <c r="F8" t="s">
        <v>693</v>
      </c>
      <c r="G8" s="141" t="s">
        <v>112</v>
      </c>
      <c r="H8" s="136" t="s">
        <v>695</v>
      </c>
      <c r="I8" s="147" t="s">
        <v>573</v>
      </c>
      <c r="J8" s="137" t="s">
        <v>68</v>
      </c>
      <c r="K8" s="144" t="s">
        <v>599</v>
      </c>
      <c r="L8" s="142">
        <v>1</v>
      </c>
      <c r="M8" s="142" t="s">
        <v>670</v>
      </c>
      <c r="N8" s="135">
        <v>41192</v>
      </c>
      <c r="O8" s="146" t="s">
        <v>316</v>
      </c>
      <c r="P8" s="146"/>
      <c r="Q8" s="146"/>
      <c r="T8" s="136" t="s">
        <v>651</v>
      </c>
      <c r="W8" s="159"/>
    </row>
    <row r="9" spans="1:23" s="149" customFormat="1" x14ac:dyDescent="0.25">
      <c r="A9" s="250"/>
      <c r="B9" s="149" t="s">
        <v>573</v>
      </c>
      <c r="C9" s="150"/>
      <c r="D9" s="150"/>
      <c r="E9" s="150"/>
      <c r="J9" s="151" t="s">
        <v>67</v>
      </c>
      <c r="K9" s="152" t="s">
        <v>599</v>
      </c>
      <c r="L9" s="153">
        <v>1</v>
      </c>
      <c r="M9" s="153" t="s">
        <v>675</v>
      </c>
      <c r="N9" s="148"/>
      <c r="O9" s="154"/>
      <c r="P9" s="154"/>
      <c r="Q9" s="154"/>
      <c r="T9" s="160"/>
    </row>
    <row r="10" spans="1:23" x14ac:dyDescent="0.25">
      <c r="A10" s="248">
        <v>41208.952465277776</v>
      </c>
      <c r="B10" t="s">
        <v>578</v>
      </c>
      <c r="C10" s="145">
        <v>1077</v>
      </c>
      <c r="D10" s="139">
        <v>8</v>
      </c>
      <c r="E10" s="139">
        <v>2</v>
      </c>
      <c r="F10" t="s">
        <v>645</v>
      </c>
      <c r="G10" s="150" t="s">
        <v>112</v>
      </c>
      <c r="H10" t="s">
        <v>695</v>
      </c>
      <c r="I10" s="163" t="s">
        <v>578</v>
      </c>
      <c r="J10" s="128" t="s">
        <v>606</v>
      </c>
      <c r="K10" s="129" t="s">
        <v>599</v>
      </c>
      <c r="L10" s="153">
        <v>1</v>
      </c>
      <c r="M10" s="153" t="s">
        <v>1071</v>
      </c>
      <c r="N10" s="124">
        <v>41207</v>
      </c>
      <c r="O10" s="138" t="s">
        <v>316</v>
      </c>
      <c r="P10" s="138"/>
      <c r="Q10" s="138"/>
      <c r="T10" t="s">
        <v>652</v>
      </c>
    </row>
    <row r="11" spans="1:23" x14ac:dyDescent="0.25">
      <c r="A11" s="250"/>
      <c r="B11" t="s">
        <v>578</v>
      </c>
      <c r="C11" s="145"/>
      <c r="D11" s="139"/>
      <c r="E11" s="139"/>
      <c r="G11" s="149"/>
      <c r="I11" s="149"/>
      <c r="J11" s="128" t="s">
        <v>607</v>
      </c>
      <c r="K11" s="129" t="s">
        <v>599</v>
      </c>
      <c r="L11" s="153">
        <v>1</v>
      </c>
      <c r="M11" s="153" t="s">
        <v>1070</v>
      </c>
      <c r="N11" s="124"/>
      <c r="O11" s="161"/>
      <c r="P11" s="161"/>
      <c r="Q11" s="161"/>
    </row>
    <row r="12" spans="1:23" x14ac:dyDescent="0.25">
      <c r="A12" s="248">
        <v>41208.95040509259</v>
      </c>
      <c r="B12" t="s">
        <v>579</v>
      </c>
      <c r="C12" s="145">
        <v>2676</v>
      </c>
      <c r="D12" s="145">
        <v>1</v>
      </c>
      <c r="E12" s="145">
        <v>0</v>
      </c>
      <c r="F12" t="s">
        <v>668</v>
      </c>
      <c r="G12" s="150" t="s">
        <v>71</v>
      </c>
      <c r="H12" t="s">
        <v>695</v>
      </c>
      <c r="I12" s="164" t="s">
        <v>579</v>
      </c>
      <c r="J12" s="128" t="s">
        <v>608</v>
      </c>
      <c r="K12" s="129" t="s">
        <v>599</v>
      </c>
      <c r="L12" s="153" t="s">
        <v>669</v>
      </c>
      <c r="M12" s="153" t="s">
        <v>671</v>
      </c>
      <c r="N12" s="124">
        <v>41188</v>
      </c>
      <c r="O12" s="138" t="s">
        <v>316</v>
      </c>
      <c r="P12" s="138"/>
      <c r="Q12" s="138"/>
      <c r="T12" t="s">
        <v>653</v>
      </c>
    </row>
    <row r="13" spans="1:23" x14ac:dyDescent="0.25">
      <c r="A13" s="250"/>
      <c r="B13" t="s">
        <v>579</v>
      </c>
      <c r="C13" s="145"/>
      <c r="D13" s="145"/>
      <c r="E13" s="145"/>
      <c r="G13" s="2"/>
      <c r="I13" s="149"/>
      <c r="J13" s="128" t="s">
        <v>609</v>
      </c>
      <c r="K13" s="129" t="s">
        <v>599</v>
      </c>
      <c r="L13" s="153" t="s">
        <v>669</v>
      </c>
      <c r="M13" s="153" t="s">
        <v>672</v>
      </c>
      <c r="N13" s="162"/>
      <c r="O13" s="161"/>
      <c r="P13" s="161"/>
      <c r="Q13" s="161"/>
      <c r="T13" s="2"/>
    </row>
    <row r="14" spans="1:23" s="136" customFormat="1" ht="15.75" customHeight="1" x14ac:dyDescent="0.25">
      <c r="A14" s="634">
        <v>41200.964930555558</v>
      </c>
      <c r="B14" s="136" t="s">
        <v>580</v>
      </c>
      <c r="C14" s="141">
        <v>3694</v>
      </c>
      <c r="D14" s="141">
        <v>2</v>
      </c>
      <c r="E14" s="141">
        <v>6</v>
      </c>
      <c r="F14" s="136" t="s">
        <v>629</v>
      </c>
      <c r="G14" s="141" t="s">
        <v>91</v>
      </c>
      <c r="H14" s="136" t="str">
        <f t="shared" ref="H14:H21" si="0">H$6</f>
        <v>SFDC.xlsx</v>
      </c>
      <c r="I14" s="165" t="s">
        <v>580</v>
      </c>
      <c r="J14" s="137" t="s">
        <v>582</v>
      </c>
      <c r="K14" s="144" t="s">
        <v>599</v>
      </c>
      <c r="L14" s="142">
        <v>2</v>
      </c>
      <c r="M14" s="142" t="s">
        <v>673</v>
      </c>
      <c r="N14" s="270">
        <v>41200.963888888888</v>
      </c>
      <c r="O14" s="146"/>
      <c r="P14" s="146"/>
      <c r="Q14" s="146"/>
      <c r="T14" s="136" t="str">
        <f>Process!F26</f>
        <v>LOAD_SF</v>
      </c>
    </row>
    <row r="15" spans="1:23" ht="15.75" customHeight="1" x14ac:dyDescent="0.25">
      <c r="A15" s="248">
        <v>41208.944363425922</v>
      </c>
      <c r="B15" t="s">
        <v>583</v>
      </c>
      <c r="C15" s="145">
        <v>770</v>
      </c>
      <c r="D15" s="139">
        <v>2</v>
      </c>
      <c r="E15" s="139">
        <v>6</v>
      </c>
      <c r="F15" t="s">
        <v>629</v>
      </c>
      <c r="G15" s="150" t="s">
        <v>91</v>
      </c>
      <c r="H15" t="str">
        <f t="shared" si="0"/>
        <v>SFDC.xlsx</v>
      </c>
      <c r="I15" s="166" t="s">
        <v>583</v>
      </c>
      <c r="J15" s="128" t="s">
        <v>584</v>
      </c>
      <c r="K15" s="129" t="s">
        <v>599</v>
      </c>
      <c r="L15" s="140">
        <v>2</v>
      </c>
      <c r="M15" s="140" t="s">
        <v>673</v>
      </c>
      <c r="N15" s="124">
        <v>41208.943749999999</v>
      </c>
      <c r="O15" s="138"/>
      <c r="Q15" s="138"/>
      <c r="T15" s="149" t="str">
        <f>Process!F32</f>
        <v>LOAD_SFD</v>
      </c>
    </row>
    <row r="16" spans="1:23" ht="15.75" x14ac:dyDescent="0.3">
      <c r="A16" s="624">
        <v>41200.967141203706</v>
      </c>
      <c r="B16" t="s">
        <v>585</v>
      </c>
      <c r="C16" s="145">
        <v>2823</v>
      </c>
      <c r="D16" s="139" t="s">
        <v>602</v>
      </c>
      <c r="E16" s="139">
        <v>6</v>
      </c>
      <c r="F16" t="s">
        <v>616</v>
      </c>
      <c r="G16" s="150" t="s">
        <v>91</v>
      </c>
      <c r="H16" t="str">
        <f t="shared" si="0"/>
        <v>SFDC.xlsx</v>
      </c>
      <c r="I16" s="166" t="s">
        <v>585</v>
      </c>
      <c r="J16" s="130" t="s">
        <v>586</v>
      </c>
      <c r="K16" s="129" t="s">
        <v>599</v>
      </c>
      <c r="L16" s="140">
        <v>2</v>
      </c>
      <c r="M16" s="140">
        <v>1</v>
      </c>
      <c r="N16" s="124">
        <v>41200.966666666667</v>
      </c>
      <c r="O16" s="138"/>
      <c r="Q16" s="138"/>
    </row>
    <row r="17" spans="1:20" ht="15.75" x14ac:dyDescent="0.3">
      <c r="A17" s="248">
        <v>41208.948460648149</v>
      </c>
      <c r="B17" t="s">
        <v>136</v>
      </c>
      <c r="C17" s="145">
        <v>3922</v>
      </c>
      <c r="D17" s="139" t="s">
        <v>602</v>
      </c>
      <c r="E17" s="139">
        <v>6</v>
      </c>
      <c r="F17" t="s">
        <v>616</v>
      </c>
      <c r="G17" s="150" t="s">
        <v>91</v>
      </c>
      <c r="H17" t="str">
        <f t="shared" si="0"/>
        <v>SFDC.xlsx</v>
      </c>
      <c r="I17" s="166" t="s">
        <v>136</v>
      </c>
      <c r="J17" s="131" t="s">
        <v>136</v>
      </c>
      <c r="K17" s="129" t="s">
        <v>599</v>
      </c>
      <c r="L17" s="140">
        <v>2</v>
      </c>
      <c r="M17" s="140">
        <v>1</v>
      </c>
      <c r="N17" s="124">
        <v>41208.947916666664</v>
      </c>
      <c r="O17" s="138"/>
      <c r="Q17" s="138"/>
      <c r="T17" t="str">
        <f>Process!F38</f>
        <v>LOAD_SFacc</v>
      </c>
    </row>
    <row r="18" spans="1:20" ht="15.75" x14ac:dyDescent="0.3">
      <c r="A18" s="624">
        <v>41197.954270833332</v>
      </c>
      <c r="B18" t="s">
        <v>588</v>
      </c>
      <c r="C18" s="145">
        <v>7459</v>
      </c>
      <c r="D18" s="139" t="s">
        <v>602</v>
      </c>
      <c r="E18" s="139">
        <v>6</v>
      </c>
      <c r="F18" t="s">
        <v>616</v>
      </c>
      <c r="G18" s="150" t="s">
        <v>113</v>
      </c>
      <c r="H18" t="str">
        <f t="shared" si="0"/>
        <v>SFDC.xlsx</v>
      </c>
      <c r="I18" s="166" t="s">
        <v>588</v>
      </c>
      <c r="J18" s="131" t="s">
        <v>587</v>
      </c>
      <c r="K18" s="129" t="s">
        <v>599</v>
      </c>
      <c r="L18" s="140">
        <v>2</v>
      </c>
      <c r="M18" s="140">
        <v>1</v>
      </c>
      <c r="N18" s="124">
        <v>41197.952777777777</v>
      </c>
      <c r="O18" s="138"/>
      <c r="Q18" s="138"/>
    </row>
    <row r="19" spans="1:20" ht="15.75" x14ac:dyDescent="0.3">
      <c r="A19" s="248">
        <v>41185.96707175926</v>
      </c>
      <c r="B19" t="s">
        <v>590</v>
      </c>
      <c r="C19" s="145">
        <v>1740</v>
      </c>
      <c r="D19" s="139" t="s">
        <v>602</v>
      </c>
      <c r="E19" s="139">
        <v>6</v>
      </c>
      <c r="F19" t="s">
        <v>616</v>
      </c>
      <c r="G19" s="150" t="s">
        <v>71</v>
      </c>
      <c r="H19" t="str">
        <f t="shared" si="0"/>
        <v>SFDC.xlsx</v>
      </c>
      <c r="I19" s="166" t="s">
        <v>590</v>
      </c>
      <c r="J19" s="132" t="s">
        <v>589</v>
      </c>
      <c r="K19" s="129" t="s">
        <v>599</v>
      </c>
      <c r="L19" s="140">
        <v>2</v>
      </c>
      <c r="M19" s="140">
        <v>1</v>
      </c>
      <c r="N19" s="124">
        <v>41185.966666666667</v>
      </c>
      <c r="O19" s="138"/>
      <c r="Q19" s="138"/>
    </row>
    <row r="20" spans="1:20" ht="15.75" x14ac:dyDescent="0.3">
      <c r="A20" s="624">
        <v>41185.968726851854</v>
      </c>
      <c r="B20" t="s">
        <v>591</v>
      </c>
      <c r="C20" s="145">
        <v>194</v>
      </c>
      <c r="D20" s="139" t="s">
        <v>602</v>
      </c>
      <c r="E20" s="139">
        <v>6</v>
      </c>
      <c r="F20" t="s">
        <v>616</v>
      </c>
      <c r="G20" s="150" t="s">
        <v>91</v>
      </c>
      <c r="H20" t="str">
        <f t="shared" si="0"/>
        <v>SFDC.xlsx</v>
      </c>
      <c r="I20" s="166" t="s">
        <v>591</v>
      </c>
      <c r="J20" s="133" t="s">
        <v>592</v>
      </c>
      <c r="K20" s="129" t="s">
        <v>599</v>
      </c>
      <c r="L20" s="140">
        <v>2</v>
      </c>
      <c r="M20" s="140">
        <v>1</v>
      </c>
      <c r="N20" s="124">
        <v>41185.968055555553</v>
      </c>
      <c r="O20" s="138"/>
      <c r="Q20" s="138"/>
    </row>
    <row r="21" spans="1:20" ht="15.75" x14ac:dyDescent="0.3">
      <c r="A21" s="624">
        <v>41185.969351851854</v>
      </c>
      <c r="B21" t="s">
        <v>593</v>
      </c>
      <c r="C21" s="145">
        <v>362</v>
      </c>
      <c r="D21" s="139" t="s">
        <v>602</v>
      </c>
      <c r="E21" s="139">
        <v>6</v>
      </c>
      <c r="F21" t="s">
        <v>616</v>
      </c>
      <c r="G21" s="150" t="s">
        <v>113</v>
      </c>
      <c r="H21" t="str">
        <f t="shared" si="0"/>
        <v>SFDC.xlsx</v>
      </c>
      <c r="I21" s="572" t="s">
        <v>593</v>
      </c>
      <c r="J21" s="134" t="s">
        <v>594</v>
      </c>
      <c r="K21" s="296" t="s">
        <v>599</v>
      </c>
      <c r="L21" s="140">
        <v>2</v>
      </c>
      <c r="M21" s="140">
        <v>1</v>
      </c>
      <c r="N21" s="162">
        <v>41185.96875</v>
      </c>
      <c r="O21" s="571"/>
      <c r="P21" s="298"/>
      <c r="Q21" s="571"/>
      <c r="R21" s="298"/>
      <c r="S21" s="298"/>
    </row>
    <row r="22" spans="1:20" s="136" customFormat="1" x14ac:dyDescent="0.25">
      <c r="A22" s="634">
        <v>41185.98810185185</v>
      </c>
      <c r="B22" s="136" t="s">
        <v>610</v>
      </c>
      <c r="C22" s="157">
        <v>8579</v>
      </c>
      <c r="D22" s="157" t="s">
        <v>130</v>
      </c>
      <c r="E22" s="157" t="s">
        <v>602</v>
      </c>
      <c r="F22" s="136" t="s">
        <v>797</v>
      </c>
      <c r="G22" s="542">
        <v>10</v>
      </c>
      <c r="H22" s="136" t="s">
        <v>696</v>
      </c>
      <c r="I22" s="279" t="str">
        <f>B22</f>
        <v>Склад</v>
      </c>
      <c r="J22" s="137" t="s">
        <v>65</v>
      </c>
      <c r="K22" s="152" t="s">
        <v>622</v>
      </c>
      <c r="L22" s="142" t="s">
        <v>673</v>
      </c>
      <c r="M22" s="142" t="s">
        <v>893</v>
      </c>
      <c r="N22" s="135">
        <v>41184.082175925927</v>
      </c>
      <c r="O22" s="154" t="s">
        <v>316</v>
      </c>
      <c r="P22" s="160"/>
      <c r="Q22" s="570" t="s">
        <v>882</v>
      </c>
      <c r="R22" s="278"/>
      <c r="S22" s="160"/>
      <c r="T22" s="136" t="s">
        <v>657</v>
      </c>
    </row>
    <row r="23" spans="1:20" s="149" customFormat="1" x14ac:dyDescent="0.25">
      <c r="A23" s="275"/>
      <c r="C23" s="276"/>
      <c r="D23" s="276"/>
      <c r="E23" s="276"/>
      <c r="I23" s="160"/>
      <c r="J23" s="151" t="s">
        <v>697</v>
      </c>
      <c r="K23" s="152" t="s">
        <v>599</v>
      </c>
      <c r="L23" s="153" t="s">
        <v>673</v>
      </c>
      <c r="M23" s="153" t="s">
        <v>894</v>
      </c>
      <c r="N23" s="148"/>
      <c r="O23" s="154" t="s">
        <v>316</v>
      </c>
      <c r="Q23" s="154"/>
      <c r="R23" s="278"/>
    </row>
    <row r="24" spans="1:20" s="149" customFormat="1" x14ac:dyDescent="0.25">
      <c r="A24" s="275"/>
      <c r="C24" s="276"/>
      <c r="D24" s="276"/>
      <c r="E24" s="276"/>
      <c r="I24" s="160"/>
      <c r="J24" s="151" t="s">
        <v>698</v>
      </c>
      <c r="K24" s="152" t="s">
        <v>599</v>
      </c>
      <c r="L24" s="153" t="s">
        <v>673</v>
      </c>
      <c r="M24" s="153" t="s">
        <v>889</v>
      </c>
      <c r="N24" s="148"/>
      <c r="O24" s="154" t="s">
        <v>316</v>
      </c>
      <c r="Q24" s="154"/>
      <c r="R24" s="278"/>
    </row>
    <row r="25" spans="1:20" s="149" customFormat="1" x14ac:dyDescent="0.25">
      <c r="A25" s="275"/>
      <c r="C25" s="276"/>
      <c r="D25" s="276"/>
      <c r="E25" s="276"/>
      <c r="I25" s="160"/>
      <c r="J25" s="151" t="s">
        <v>699</v>
      </c>
      <c r="K25" s="152" t="s">
        <v>599</v>
      </c>
      <c r="L25" s="153" t="s">
        <v>673</v>
      </c>
      <c r="M25" s="153" t="s">
        <v>890</v>
      </c>
      <c r="N25" s="148"/>
      <c r="O25" s="154" t="s">
        <v>316</v>
      </c>
      <c r="Q25" s="154"/>
      <c r="R25" s="278"/>
    </row>
    <row r="26" spans="1:20" s="149" customFormat="1" x14ac:dyDescent="0.25">
      <c r="A26" s="275"/>
      <c r="C26" s="276"/>
      <c r="D26" s="276"/>
      <c r="E26" s="276"/>
      <c r="I26" s="160"/>
      <c r="J26" s="151" t="s">
        <v>700</v>
      </c>
      <c r="K26" s="152" t="s">
        <v>599</v>
      </c>
      <c r="L26" s="153" t="s">
        <v>673</v>
      </c>
      <c r="M26" s="153" t="s">
        <v>891</v>
      </c>
      <c r="N26" s="148"/>
      <c r="O26" s="154" t="s">
        <v>316</v>
      </c>
      <c r="Q26" s="154"/>
      <c r="R26" s="278"/>
    </row>
    <row r="27" spans="1:20" s="281" customFormat="1" x14ac:dyDescent="0.25">
      <c r="A27" s="280"/>
      <c r="C27" s="282"/>
      <c r="D27" s="282"/>
      <c r="E27" s="282"/>
      <c r="I27" s="160"/>
      <c r="J27" s="283" t="s">
        <v>701</v>
      </c>
      <c r="K27" s="284" t="s">
        <v>599</v>
      </c>
      <c r="L27" s="285" t="s">
        <v>673</v>
      </c>
      <c r="M27" s="285" t="s">
        <v>892</v>
      </c>
      <c r="N27" s="286"/>
      <c r="O27" s="287"/>
      <c r="Q27" s="287"/>
      <c r="R27" s="288"/>
    </row>
    <row r="28" spans="1:20" s="289" customFormat="1" x14ac:dyDescent="0.25">
      <c r="A28" s="635">
        <v>41186.075243055559</v>
      </c>
      <c r="B28" s="289" t="s">
        <v>614</v>
      </c>
      <c r="C28" s="290">
        <v>1221</v>
      </c>
      <c r="D28" s="543">
        <v>8</v>
      </c>
      <c r="E28" s="543">
        <v>19</v>
      </c>
      <c r="F28" s="289" t="s">
        <v>797</v>
      </c>
      <c r="G28" s="543">
        <v>10</v>
      </c>
      <c r="H28" s="289" t="s">
        <v>696</v>
      </c>
      <c r="I28" s="277" t="str">
        <f>B28</f>
        <v>Заказы</v>
      </c>
      <c r="J28" s="291" t="s">
        <v>702</v>
      </c>
      <c r="K28" s="292" t="s">
        <v>599</v>
      </c>
      <c r="L28" s="293" t="s">
        <v>673</v>
      </c>
      <c r="M28" s="293" t="s">
        <v>898</v>
      </c>
      <c r="N28" s="294">
        <v>41186.066840277781</v>
      </c>
      <c r="O28" s="289" t="s">
        <v>316</v>
      </c>
      <c r="P28" s="544">
        <v>2</v>
      </c>
      <c r="Q28" s="569" t="s">
        <v>881</v>
      </c>
      <c r="R28" s="149"/>
      <c r="S28" s="149"/>
      <c r="T28" s="289" t="s">
        <v>658</v>
      </c>
    </row>
    <row r="29" spans="1:20" s="149" customFormat="1" x14ac:dyDescent="0.25">
      <c r="A29" s="295"/>
      <c r="C29" s="276"/>
      <c r="J29" s="151" t="s">
        <v>703</v>
      </c>
      <c r="K29" s="152" t="s">
        <v>599</v>
      </c>
      <c r="L29" s="153" t="s">
        <v>673</v>
      </c>
      <c r="M29" s="153" t="s">
        <v>899</v>
      </c>
      <c r="N29" s="148"/>
      <c r="O29" s="149" t="s">
        <v>316</v>
      </c>
      <c r="P29" s="545">
        <v>2</v>
      </c>
    </row>
    <row r="30" spans="1:20" x14ac:dyDescent="0.25">
      <c r="A30" s="263"/>
      <c r="C30" s="269"/>
      <c r="H30" s="149"/>
      <c r="I30" s="149"/>
      <c r="J30" s="151" t="s">
        <v>65</v>
      </c>
      <c r="K30" s="152" t="s">
        <v>599</v>
      </c>
      <c r="L30" s="153" t="s">
        <v>673</v>
      </c>
      <c r="M30" s="153" t="s">
        <v>900</v>
      </c>
      <c r="N30" s="148"/>
      <c r="O30" t="s">
        <v>316</v>
      </c>
      <c r="P30" s="545">
        <v>2</v>
      </c>
    </row>
    <row r="31" spans="1:20" x14ac:dyDescent="0.25">
      <c r="A31" s="263"/>
      <c r="C31" s="269"/>
      <c r="H31" s="149"/>
      <c r="I31" s="149"/>
      <c r="J31" s="151" t="s">
        <v>1</v>
      </c>
      <c r="K31" s="152" t="s">
        <v>599</v>
      </c>
      <c r="L31" s="153" t="s">
        <v>673</v>
      </c>
      <c r="M31" s="153" t="s">
        <v>901</v>
      </c>
      <c r="N31" s="148"/>
      <c r="O31" t="s">
        <v>316</v>
      </c>
      <c r="P31" s="545">
        <v>2</v>
      </c>
    </row>
    <row r="32" spans="1:20" x14ac:dyDescent="0.25">
      <c r="A32" s="263"/>
      <c r="C32" s="269"/>
      <c r="H32" s="149"/>
      <c r="I32" s="149"/>
      <c r="J32" s="151" t="s">
        <v>704</v>
      </c>
      <c r="K32" s="152" t="s">
        <v>599</v>
      </c>
      <c r="L32" s="153" t="s">
        <v>673</v>
      </c>
      <c r="M32" s="153" t="s">
        <v>902</v>
      </c>
      <c r="N32" s="148"/>
      <c r="O32" t="s">
        <v>316</v>
      </c>
      <c r="P32" s="545">
        <v>2</v>
      </c>
    </row>
    <row r="33" spans="1:20" x14ac:dyDescent="0.25">
      <c r="A33" s="263"/>
      <c r="C33" s="269"/>
      <c r="H33" s="149"/>
      <c r="I33" s="149"/>
      <c r="J33" s="151" t="s">
        <v>705</v>
      </c>
      <c r="K33" s="152" t="s">
        <v>599</v>
      </c>
      <c r="L33" s="153" t="s">
        <v>673</v>
      </c>
      <c r="M33" s="153" t="s">
        <v>903</v>
      </c>
      <c r="N33" s="148"/>
      <c r="O33" t="s">
        <v>316</v>
      </c>
      <c r="P33" s="545">
        <v>2</v>
      </c>
    </row>
    <row r="34" spans="1:20" x14ac:dyDescent="0.25">
      <c r="A34" s="263"/>
      <c r="C34" s="269"/>
      <c r="H34" s="149"/>
      <c r="I34" s="149"/>
      <c r="J34" s="151" t="s">
        <v>706</v>
      </c>
      <c r="K34" s="296" t="s">
        <v>599</v>
      </c>
      <c r="L34" s="153" t="s">
        <v>673</v>
      </c>
      <c r="M34" s="153" t="s">
        <v>904</v>
      </c>
      <c r="N34" s="148"/>
      <c r="P34" s="546">
        <v>2</v>
      </c>
    </row>
    <row r="35" spans="1:20" s="136" customFormat="1" x14ac:dyDescent="0.25">
      <c r="A35" s="249"/>
      <c r="B35" s="136" t="s">
        <v>611</v>
      </c>
      <c r="C35" s="157" t="s">
        <v>613</v>
      </c>
      <c r="D35" s="157" t="s">
        <v>126</v>
      </c>
      <c r="E35" s="157"/>
      <c r="F35" s="462"/>
      <c r="H35" s="136" t="s">
        <v>619</v>
      </c>
      <c r="I35" s="274" t="s">
        <v>709</v>
      </c>
      <c r="J35" s="137" t="s">
        <v>707</v>
      </c>
      <c r="K35" s="152" t="s">
        <v>599</v>
      </c>
      <c r="L35" s="142">
        <v>3</v>
      </c>
      <c r="M35" s="142">
        <v>1</v>
      </c>
      <c r="N35" s="135"/>
      <c r="O35" s="146" t="s">
        <v>316</v>
      </c>
      <c r="Q35" s="146"/>
      <c r="R35" s="155"/>
      <c r="T35" s="136" t="s">
        <v>659</v>
      </c>
    </row>
    <row r="36" spans="1:20" x14ac:dyDescent="0.25">
      <c r="A36" s="250"/>
      <c r="I36" s="149"/>
      <c r="J36" s="151" t="s">
        <v>708</v>
      </c>
      <c r="K36" s="152" t="s">
        <v>599</v>
      </c>
      <c r="L36" s="153">
        <v>3</v>
      </c>
      <c r="M36" s="153">
        <v>3</v>
      </c>
      <c r="O36" t="s">
        <v>316</v>
      </c>
    </row>
    <row r="37" spans="1:20" x14ac:dyDescent="0.25">
      <c r="A37" s="250"/>
      <c r="I37" s="149"/>
      <c r="J37" s="151" t="s">
        <v>188</v>
      </c>
      <c r="K37" s="152" t="s">
        <v>599</v>
      </c>
      <c r="L37" s="153">
        <v>3</v>
      </c>
      <c r="M37" s="153">
        <v>9</v>
      </c>
      <c r="O37" t="s">
        <v>316</v>
      </c>
    </row>
    <row r="38" spans="1:20" s="298" customFormat="1" x14ac:dyDescent="0.25">
      <c r="A38" s="297"/>
      <c r="C38" s="299"/>
      <c r="J38" s="300" t="s">
        <v>371</v>
      </c>
      <c r="K38" s="296" t="s">
        <v>599</v>
      </c>
      <c r="L38" s="301">
        <v>3</v>
      </c>
      <c r="M38" s="301">
        <v>21</v>
      </c>
    </row>
    <row r="39" spans="1:20" s="149" customFormat="1" x14ac:dyDescent="0.25">
      <c r="A39" s="684">
        <v>0</v>
      </c>
      <c r="B39" s="149" t="s">
        <v>824</v>
      </c>
      <c r="C39" s="276">
        <v>1</v>
      </c>
      <c r="D39" s="276"/>
      <c r="E39" s="276"/>
      <c r="H39" s="149" t="s">
        <v>1247</v>
      </c>
      <c r="I39" s="682" t="s">
        <v>824</v>
      </c>
      <c r="J39" s="151"/>
      <c r="K39" s="152" t="s">
        <v>1249</v>
      </c>
      <c r="L39" s="153"/>
      <c r="M39" s="153"/>
      <c r="N39" s="148">
        <v>41210.386134259257</v>
      </c>
      <c r="O39" s="154"/>
      <c r="P39" s="149" t="s">
        <v>1241</v>
      </c>
      <c r="Q39" s="154"/>
      <c r="R39" s="278"/>
    </row>
    <row r="40" spans="1:20" s="149" customFormat="1" x14ac:dyDescent="0.25">
      <c r="A40" s="684"/>
      <c r="B40" s="149" t="s">
        <v>694</v>
      </c>
      <c r="C40" s="276" t="s">
        <v>70</v>
      </c>
      <c r="D40" s="276"/>
      <c r="E40" s="276"/>
      <c r="H40" s="149" t="s">
        <v>1247</v>
      </c>
      <c r="I40" s="682" t="s">
        <v>694</v>
      </c>
      <c r="J40" s="151"/>
      <c r="K40" s="152" t="s">
        <v>1249</v>
      </c>
      <c r="L40" s="153"/>
      <c r="M40" s="153"/>
      <c r="N40" s="148"/>
      <c r="O40" s="154"/>
      <c r="P40" s="149" t="s">
        <v>1242</v>
      </c>
      <c r="Q40" s="154"/>
      <c r="R40" s="278"/>
    </row>
    <row r="41" spans="1:20" s="149" customFormat="1" x14ac:dyDescent="0.25">
      <c r="A41" s="684">
        <v>41210.386134259257</v>
      </c>
      <c r="B41" s="149" t="s">
        <v>835</v>
      </c>
      <c r="C41" s="276">
        <v>1</v>
      </c>
      <c r="D41" s="276"/>
      <c r="E41" s="276"/>
      <c r="F41" s="149" t="s">
        <v>693</v>
      </c>
      <c r="H41" s="149" t="s">
        <v>1247</v>
      </c>
      <c r="I41" s="682" t="s">
        <v>835</v>
      </c>
      <c r="J41" s="151"/>
      <c r="K41" s="152" t="s">
        <v>1249</v>
      </c>
      <c r="L41" s="153"/>
      <c r="M41" s="153"/>
      <c r="N41" s="148">
        <v>41210.021458333336</v>
      </c>
      <c r="O41" s="154"/>
      <c r="P41" s="149" t="s">
        <v>1244</v>
      </c>
      <c r="Q41" s="154"/>
      <c r="R41" s="278"/>
    </row>
    <row r="42" spans="1:20" s="149" customFormat="1" x14ac:dyDescent="0.25">
      <c r="A42" s="684"/>
      <c r="B42" s="149" t="s">
        <v>1238</v>
      </c>
      <c r="C42" s="276" t="s">
        <v>70</v>
      </c>
      <c r="D42" s="276"/>
      <c r="E42" s="276"/>
      <c r="H42" s="149" t="s">
        <v>1247</v>
      </c>
      <c r="I42" s="682" t="s">
        <v>1238</v>
      </c>
      <c r="J42" s="151"/>
      <c r="K42" s="152" t="s">
        <v>1249</v>
      </c>
      <c r="L42" s="153"/>
      <c r="M42" s="153"/>
      <c r="N42" s="148"/>
      <c r="O42" s="154"/>
      <c r="P42" s="695"/>
      <c r="Q42" s="696"/>
      <c r="R42" s="697"/>
      <c r="S42" s="695"/>
      <c r="T42" s="695"/>
    </row>
    <row r="43" spans="1:20" s="687" customFormat="1" x14ac:dyDescent="0.25">
      <c r="A43" s="686"/>
      <c r="B43" s="687" t="s">
        <v>1239</v>
      </c>
      <c r="C43" s="688" t="s">
        <v>70</v>
      </c>
      <c r="D43" s="688"/>
      <c r="E43" s="688"/>
      <c r="H43" s="687" t="s">
        <v>1247</v>
      </c>
      <c r="I43" s="689" t="s">
        <v>1239</v>
      </c>
      <c r="J43" s="690"/>
      <c r="K43" s="691" t="s">
        <v>1249</v>
      </c>
      <c r="L43" s="692"/>
      <c r="M43" s="692"/>
      <c r="N43" s="693"/>
      <c r="O43" s="694"/>
      <c r="P43" s="698"/>
      <c r="Q43" s="699"/>
      <c r="R43" s="700"/>
      <c r="S43" s="698"/>
      <c r="T43" s="698"/>
    </row>
    <row r="44" spans="1:20" s="298" customFormat="1" x14ac:dyDescent="0.25">
      <c r="A44" s="685"/>
      <c r="B44" s="298" t="s">
        <v>1237</v>
      </c>
      <c r="C44" s="679" t="s">
        <v>115</v>
      </c>
      <c r="D44" s="679"/>
      <c r="E44" s="679"/>
      <c r="H44" s="298" t="s">
        <v>1247</v>
      </c>
      <c r="I44" s="683" t="s">
        <v>1237</v>
      </c>
      <c r="J44" s="300"/>
      <c r="K44" s="296" t="s">
        <v>1249</v>
      </c>
      <c r="L44" s="301"/>
      <c r="M44" s="301"/>
      <c r="N44" s="680"/>
      <c r="O44" s="571"/>
      <c r="P44" s="298" t="s">
        <v>1245</v>
      </c>
      <c r="Q44" s="571"/>
      <c r="R44" s="681"/>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topLeftCell="A71" workbookViewId="0">
      <selection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41210.386134259257</v>
      </c>
      <c r="C1" s="125" t="s">
        <v>626</v>
      </c>
      <c r="D1" s="125"/>
      <c r="G1" s="464" t="s">
        <v>852</v>
      </c>
      <c r="H1" s="464"/>
      <c r="I1" s="464" t="s">
        <v>910</v>
      </c>
    </row>
    <row r="2" spans="1:21" ht="15" customHeight="1" thickBot="1" x14ac:dyDescent="0.35">
      <c r="B2" s="125"/>
    </row>
    <row r="3" spans="1:21" ht="15.75" customHeight="1" x14ac:dyDescent="0.25">
      <c r="E3" s="703" t="s">
        <v>630</v>
      </c>
      <c r="F3" s="705" t="s">
        <v>631</v>
      </c>
      <c r="G3" s="706"/>
      <c r="H3" s="706"/>
      <c r="I3" s="706"/>
      <c r="J3" s="707"/>
      <c r="K3" s="705" t="s">
        <v>632</v>
      </c>
      <c r="L3" s="706"/>
      <c r="M3" s="706"/>
      <c r="N3" s="706"/>
      <c r="O3" s="707"/>
    </row>
    <row r="4" spans="1:21" s="123" customFormat="1" ht="15.75" thickBot="1" x14ac:dyDescent="0.3">
      <c r="B4" s="158" t="s">
        <v>627</v>
      </c>
      <c r="C4" s="123" t="s">
        <v>628</v>
      </c>
      <c r="E4" s="704"/>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616</v>
      </c>
      <c r="C5" s="182"/>
      <c r="D5" s="182"/>
      <c r="E5" s="193"/>
      <c r="F5" s="184"/>
      <c r="G5" s="185"/>
      <c r="H5" s="185"/>
      <c r="I5" s="185"/>
      <c r="J5" s="186"/>
      <c r="K5" s="184"/>
      <c r="L5" s="185"/>
      <c r="M5" s="185"/>
      <c r="N5" s="185"/>
      <c r="O5" s="186"/>
    </row>
    <row r="6" spans="1:21" s="173" customFormat="1" x14ac:dyDescent="0.25">
      <c r="A6" s="489"/>
      <c r="B6" s="490" t="s">
        <v>636</v>
      </c>
      <c r="C6" s="489"/>
      <c r="E6" s="190"/>
      <c r="F6" s="189" t="s">
        <v>651</v>
      </c>
      <c r="G6" s="174"/>
      <c r="H6" s="174"/>
      <c r="I6" s="174"/>
      <c r="J6" s="175"/>
      <c r="K6" s="188" t="s">
        <v>573</v>
      </c>
      <c r="L6" s="174"/>
      <c r="M6" s="174"/>
      <c r="N6" s="174"/>
      <c r="O6" s="175"/>
      <c r="T6" s="123"/>
      <c r="U6" s="123"/>
    </row>
    <row r="7" spans="1:21" s="173" customFormat="1" hidden="1" outlineLevel="1" x14ac:dyDescent="0.25">
      <c r="A7" s="264">
        <v>41194.02611111111</v>
      </c>
      <c r="B7" s="265" t="s">
        <v>618</v>
      </c>
      <c r="C7" s="303" t="s">
        <v>616</v>
      </c>
      <c r="D7" s="196"/>
      <c r="E7" s="197" t="s">
        <v>70</v>
      </c>
      <c r="F7" s="432" t="s">
        <v>788</v>
      </c>
      <c r="G7" s="433" t="s">
        <v>789</v>
      </c>
      <c r="H7" s="198"/>
      <c r="I7" s="198"/>
      <c r="J7" s="199"/>
      <c r="K7" s="200" t="str">
        <f>K6</f>
        <v>Платежи</v>
      </c>
      <c r="L7" s="201"/>
      <c r="M7" s="198"/>
      <c r="N7" s="201"/>
      <c r="O7" s="199"/>
      <c r="T7" s="123"/>
      <c r="U7" s="123"/>
    </row>
    <row r="8" spans="1:21" s="173" customFormat="1" hidden="1" outlineLevel="1" x14ac:dyDescent="0.25">
      <c r="A8" s="264">
        <v>41208.949143518519</v>
      </c>
      <c r="B8" s="265" t="s">
        <v>797</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hidden="1" outlineLevel="1" x14ac:dyDescent="0.25">
      <c r="A9" s="264">
        <v>41194.026284722226</v>
      </c>
      <c r="B9" s="265" t="s">
        <v>629</v>
      </c>
      <c r="C9" s="468"/>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79">
        <v>41208.949629629627</v>
      </c>
      <c r="B10" s="465" t="s">
        <v>641</v>
      </c>
      <c r="C10" s="491" t="str">
        <f>B8</f>
        <v>Adapt</v>
      </c>
      <c r="D10" s="5"/>
      <c r="E10" s="203" t="s">
        <v>70</v>
      </c>
      <c r="F10" s="214"/>
      <c r="G10" s="198"/>
      <c r="H10" s="198"/>
      <c r="I10" s="198"/>
      <c r="J10" s="199"/>
      <c r="K10" s="200" t="str">
        <f>K6</f>
        <v>Платежи</v>
      </c>
      <c r="L10" s="201"/>
      <c r="M10" s="198"/>
      <c r="N10" s="201"/>
      <c r="O10" s="199"/>
    </row>
    <row r="11" spans="1:21" hidden="1" outlineLevel="1" x14ac:dyDescent="0.25">
      <c r="A11" s="264">
        <v>41208.949976851851</v>
      </c>
      <c r="B11" s="265" t="s">
        <v>668</v>
      </c>
      <c r="C11" s="49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6"/>
      <c r="B12" s="467" t="s">
        <v>637</v>
      </c>
      <c r="C12" s="237"/>
      <c r="D12" s="205"/>
      <c r="E12" s="206"/>
      <c r="F12" s="207"/>
      <c r="G12" s="208"/>
      <c r="H12" s="208"/>
      <c r="I12" s="208"/>
      <c r="J12" s="209"/>
      <c r="K12" s="210"/>
      <c r="L12" s="211"/>
      <c r="M12" s="208"/>
      <c r="N12" s="211"/>
      <c r="O12" s="209"/>
    </row>
    <row r="13" spans="1:21" s="173" customFormat="1" collapsed="1" x14ac:dyDescent="0.25">
      <c r="A13" s="475"/>
      <c r="B13" s="476" t="s">
        <v>636</v>
      </c>
      <c r="C13" s="477"/>
      <c r="D13" s="478"/>
      <c r="E13" s="479" t="s">
        <v>201</v>
      </c>
      <c r="F13" s="480" t="s">
        <v>652</v>
      </c>
      <c r="G13" s="478"/>
      <c r="H13" s="478"/>
      <c r="I13" s="478"/>
      <c r="J13" s="481"/>
      <c r="K13" s="482" t="str">
        <f>TOCmatch!B10</f>
        <v>Договоры</v>
      </c>
      <c r="L13" s="483"/>
      <c r="M13" s="478"/>
      <c r="N13" s="483"/>
      <c r="O13" s="481"/>
    </row>
    <row r="14" spans="1:21" s="149" customFormat="1" hidden="1" outlineLevel="1" x14ac:dyDescent="0.25">
      <c r="A14" s="264">
        <v>41207.721134259256</v>
      </c>
      <c r="B14" s="265" t="s">
        <v>618</v>
      </c>
      <c r="C14" s="303" t="s">
        <v>616</v>
      </c>
      <c r="D14" s="196"/>
      <c r="E14" s="197" t="s">
        <v>70</v>
      </c>
      <c r="F14" s="432" t="s">
        <v>795</v>
      </c>
      <c r="G14" s="433" t="s">
        <v>796</v>
      </c>
      <c r="H14" s="198"/>
      <c r="I14" s="198"/>
      <c r="J14" s="216"/>
      <c r="K14" s="200" t="str">
        <f>TOCmatch!B10</f>
        <v>Договоры</v>
      </c>
      <c r="L14" s="215"/>
      <c r="M14" s="215"/>
      <c r="N14" s="215"/>
      <c r="O14" s="216"/>
    </row>
    <row r="15" spans="1:21" s="173" customFormat="1" hidden="1" outlineLevel="1" x14ac:dyDescent="0.25">
      <c r="A15" s="264">
        <v>41208.950173611112</v>
      </c>
      <c r="B15" s="265" t="s">
        <v>797</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hidden="1" outlineLevel="1" x14ac:dyDescent="0.25">
      <c r="A16" s="579">
        <v>41208.950219907405</v>
      </c>
      <c r="B16" s="265" t="s">
        <v>629</v>
      </c>
      <c r="C16" s="303" t="str">
        <f>B15</f>
        <v>Adapt</v>
      </c>
      <c r="D16" s="196"/>
      <c r="E16" s="197" t="s">
        <v>70</v>
      </c>
      <c r="F16" s="272" t="s">
        <v>578</v>
      </c>
      <c r="G16" s="221" t="s">
        <v>132</v>
      </c>
      <c r="H16" s="215"/>
      <c r="I16" s="215"/>
      <c r="J16" s="216"/>
      <c r="K16" s="200" t="str">
        <f>TOCmatch!B10</f>
        <v>Договоры</v>
      </c>
      <c r="L16" s="215"/>
      <c r="M16" s="215"/>
      <c r="N16" s="215"/>
      <c r="O16" s="216"/>
    </row>
    <row r="17" spans="1:19" s="149" customFormat="1" hidden="1" outlineLevel="1" x14ac:dyDescent="0.25">
      <c r="A17" s="579">
        <v>41208.950254629628</v>
      </c>
      <c r="B17" s="465" t="s">
        <v>633</v>
      </c>
      <c r="C17" s="580" t="s">
        <v>797</v>
      </c>
      <c r="D17" s="5"/>
      <c r="E17" s="219" t="s">
        <v>70</v>
      </c>
      <c r="F17" s="273"/>
      <c r="G17" s="215"/>
      <c r="H17" s="215"/>
      <c r="I17" s="215"/>
      <c r="J17" s="216"/>
      <c r="K17" s="200" t="str">
        <f>TOCmatch!B10</f>
        <v>Договоры</v>
      </c>
      <c r="L17" s="302" t="str">
        <f>TOCmatch!B15</f>
        <v>SFD</v>
      </c>
      <c r="N17" s="215"/>
      <c r="O17" s="216"/>
    </row>
    <row r="18" spans="1:19" hidden="1" outlineLevel="1" x14ac:dyDescent="0.25">
      <c r="A18" s="264">
        <v>41208.950277777774</v>
      </c>
      <c r="B18" s="265" t="s">
        <v>668</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hidden="1" outlineLevel="1" x14ac:dyDescent="0.25">
      <c r="A19" s="466"/>
      <c r="B19" s="467" t="s">
        <v>637</v>
      </c>
      <c r="C19" s="237"/>
      <c r="D19" s="205"/>
      <c r="E19" s="206"/>
      <c r="F19" s="207"/>
      <c r="G19" s="208"/>
      <c r="H19" s="208"/>
      <c r="I19" s="208"/>
      <c r="J19" s="209"/>
      <c r="K19" s="210"/>
      <c r="L19" s="211"/>
      <c r="M19" s="208"/>
      <c r="N19" s="211"/>
      <c r="O19" s="209"/>
    </row>
    <row r="20" spans="1:19" s="173" customFormat="1" ht="15.75" collapsed="1" thickBot="1" x14ac:dyDescent="0.3">
      <c r="A20" s="264"/>
      <c r="B20" s="265" t="s">
        <v>636</v>
      </c>
      <c r="C20" s="266"/>
      <c r="D20" s="212"/>
      <c r="E20" s="197"/>
      <c r="F20" s="220" t="s">
        <v>653</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667</v>
      </c>
      <c r="C21" s="303" t="s">
        <v>616</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618</v>
      </c>
      <c r="C22" s="316" t="str">
        <f>B21</f>
        <v>Acc1C_Bottom</v>
      </c>
      <c r="D22" s="196"/>
      <c r="E22" s="197" t="s">
        <v>70</v>
      </c>
      <c r="F22" s="200" t="s">
        <v>674</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643</v>
      </c>
      <c r="C23" s="303" t="s">
        <v>618</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41208.95040509259</v>
      </c>
      <c r="B24" s="265" t="s">
        <v>668</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hidden="1" outlineLevel="1" thickBot="1" x14ac:dyDescent="0.3">
      <c r="A25" s="625"/>
      <c r="B25" s="626" t="s">
        <v>637</v>
      </c>
      <c r="C25" s="567"/>
      <c r="D25" s="240"/>
      <c r="E25" s="241"/>
      <c r="F25" s="242"/>
      <c r="G25" s="243"/>
      <c r="H25" s="243"/>
      <c r="I25" s="243"/>
      <c r="J25" s="244"/>
      <c r="K25" s="245"/>
      <c r="L25" s="246"/>
      <c r="M25" s="243"/>
      <c r="N25" s="246"/>
      <c r="O25" s="244"/>
    </row>
    <row r="26" spans="1:19" s="173" customFormat="1" ht="15.75" collapsed="1" thickTop="1" x14ac:dyDescent="0.25">
      <c r="A26" s="607"/>
      <c r="B26" s="608" t="s">
        <v>636</v>
      </c>
      <c r="C26" s="609"/>
      <c r="D26" s="310"/>
      <c r="E26" s="311" t="s">
        <v>201</v>
      </c>
      <c r="F26" s="312" t="s">
        <v>654</v>
      </c>
      <c r="G26" s="310"/>
      <c r="H26" s="310"/>
      <c r="I26" s="310"/>
      <c r="J26" s="313"/>
      <c r="K26" s="314" t="s">
        <v>580</v>
      </c>
      <c r="L26" s="315"/>
      <c r="M26" s="310"/>
      <c r="N26" s="315"/>
      <c r="O26" s="313"/>
    </row>
    <row r="27" spans="1:19" hidden="1" outlineLevel="1" x14ac:dyDescent="0.25">
      <c r="A27" s="264">
        <v>41200.964872685188</v>
      </c>
      <c r="B27" s="265" t="s">
        <v>618</v>
      </c>
      <c r="C27" s="303" t="s">
        <v>616</v>
      </c>
      <c r="D27" s="196"/>
      <c r="E27" s="197" t="s">
        <v>70</v>
      </c>
      <c r="F27" s="200" t="s">
        <v>634</v>
      </c>
      <c r="G27" s="201" t="s">
        <v>635</v>
      </c>
      <c r="H27" s="215"/>
      <c r="I27" s="215"/>
      <c r="J27" s="222"/>
      <c r="K27" s="223" t="s">
        <v>580</v>
      </c>
      <c r="L27" s="215"/>
      <c r="M27" s="215"/>
      <c r="N27" s="215"/>
      <c r="O27" s="222"/>
      <c r="S27" s="173"/>
    </row>
    <row r="28" spans="1:19" ht="45" hidden="1" outlineLevel="1" x14ac:dyDescent="0.25">
      <c r="A28" s="264">
        <v>41200.964918981481</v>
      </c>
      <c r="B28" s="265" t="s">
        <v>638</v>
      </c>
      <c r="C28" s="303" t="s">
        <v>662</v>
      </c>
      <c r="D28" s="215"/>
      <c r="E28" s="218" t="s">
        <v>70</v>
      </c>
      <c r="F28" s="214"/>
      <c r="G28" s="201"/>
      <c r="H28" s="215"/>
      <c r="I28" s="215"/>
      <c r="J28" s="222"/>
      <c r="K28" s="223" t="s">
        <v>580</v>
      </c>
      <c r="L28" s="215" t="str">
        <f>TOCmatch!B8</f>
        <v>Платежи</v>
      </c>
      <c r="M28" s="215"/>
      <c r="N28" s="215"/>
      <c r="O28" s="222"/>
      <c r="S28" s="173"/>
    </row>
    <row r="29" spans="1:19" hidden="1" outlineLevel="1" x14ac:dyDescent="0.25">
      <c r="A29" s="264">
        <v>41200.964930555558</v>
      </c>
      <c r="B29" s="265" t="s">
        <v>629</v>
      </c>
      <c r="C29" s="303"/>
      <c r="D29" s="196"/>
      <c r="E29" s="197" t="s">
        <v>70</v>
      </c>
      <c r="F29" s="220" t="str">
        <f>K29</f>
        <v>SF</v>
      </c>
      <c r="G29" s="221" t="s">
        <v>91</v>
      </c>
      <c r="H29" s="215"/>
      <c r="I29" s="215"/>
      <c r="J29" s="216"/>
      <c r="K29" s="200" t="s">
        <v>580</v>
      </c>
      <c r="L29" s="215"/>
      <c r="M29" s="215"/>
      <c r="N29" s="215"/>
      <c r="O29" s="216"/>
      <c r="S29" s="173"/>
    </row>
    <row r="30" spans="1:19" hidden="1" outlineLevel="1" x14ac:dyDescent="0.25">
      <c r="A30" s="264">
        <v>41200.965509259258</v>
      </c>
      <c r="B30" s="465" t="s">
        <v>676</v>
      </c>
      <c r="C30" s="303" t="s">
        <v>638</v>
      </c>
      <c r="D30" s="5"/>
      <c r="E30" s="218" t="s">
        <v>70</v>
      </c>
      <c r="F30" s="200" t="str">
        <f>F6</f>
        <v>LOAD_1C_P</v>
      </c>
      <c r="G30" s="201"/>
      <c r="H30" s="215"/>
      <c r="I30" s="215"/>
      <c r="J30" s="222"/>
      <c r="K30" s="223" t="s">
        <v>573</v>
      </c>
      <c r="L30" s="215"/>
      <c r="M30" s="215"/>
      <c r="N30" s="215"/>
      <c r="O30" s="222"/>
      <c r="S30" s="173"/>
    </row>
    <row r="31" spans="1:19" s="187" customFormat="1" hidden="1" outlineLevel="1" x14ac:dyDescent="0.25">
      <c r="A31" s="466"/>
      <c r="B31" s="467" t="s">
        <v>637</v>
      </c>
      <c r="C31" s="237"/>
      <c r="D31" s="205"/>
      <c r="E31" s="206" t="s">
        <v>201</v>
      </c>
      <c r="F31" s="207"/>
      <c r="G31" s="208"/>
      <c r="H31" s="208"/>
      <c r="I31" s="208"/>
      <c r="J31" s="209"/>
      <c r="K31" s="210" t="s">
        <v>580</v>
      </c>
      <c r="L31" s="211"/>
      <c r="M31" s="208"/>
      <c r="N31" s="211"/>
      <c r="O31" s="209"/>
    </row>
    <row r="32" spans="1:19" s="173" customFormat="1" collapsed="1" x14ac:dyDescent="0.25">
      <c r="A32" s="610"/>
      <c r="B32" s="611" t="s">
        <v>636</v>
      </c>
      <c r="C32" s="612"/>
      <c r="D32" s="304"/>
      <c r="E32" s="305" t="s">
        <v>201</v>
      </c>
      <c r="F32" s="306" t="s">
        <v>655</v>
      </c>
      <c r="G32" s="304"/>
      <c r="H32" s="304"/>
      <c r="I32" s="304"/>
      <c r="J32" s="307"/>
      <c r="K32" s="308" t="s">
        <v>583</v>
      </c>
      <c r="L32" s="309"/>
      <c r="M32" s="304"/>
      <c r="N32" s="309"/>
      <c r="O32" s="307"/>
    </row>
    <row r="33" spans="1:21" hidden="1" outlineLevel="1" x14ac:dyDescent="0.25">
      <c r="A33" s="264">
        <v>41208.944212962961</v>
      </c>
      <c r="B33" s="265" t="s">
        <v>618</v>
      </c>
      <c r="C33" s="303" t="s">
        <v>616</v>
      </c>
      <c r="D33" s="196"/>
      <c r="E33" s="197" t="s">
        <v>70</v>
      </c>
      <c r="F33" s="200" t="s">
        <v>663</v>
      </c>
      <c r="G33" s="201" t="s">
        <v>664</v>
      </c>
      <c r="H33" s="215"/>
      <c r="I33" s="215"/>
      <c r="J33" s="222"/>
      <c r="K33" s="223" t="s">
        <v>583</v>
      </c>
      <c r="L33" s="215"/>
      <c r="M33" s="215"/>
      <c r="N33" s="215"/>
      <c r="O33" s="222"/>
      <c r="S33" s="173"/>
    </row>
    <row r="34" spans="1:21" ht="45" hidden="1" outlineLevel="1" x14ac:dyDescent="0.25">
      <c r="A34" s="264">
        <v>41208.944293981483</v>
      </c>
      <c r="B34" s="265" t="s">
        <v>666</v>
      </c>
      <c r="C34" s="303" t="s">
        <v>665</v>
      </c>
      <c r="D34" s="215"/>
      <c r="E34" s="218" t="s">
        <v>70</v>
      </c>
      <c r="F34" s="214" t="s">
        <v>583</v>
      </c>
      <c r="G34" s="201" t="s">
        <v>578</v>
      </c>
      <c r="H34" s="221" t="s">
        <v>94</v>
      </c>
      <c r="I34" s="221" t="s">
        <v>128</v>
      </c>
      <c r="J34" s="222"/>
      <c r="K34" s="5" t="str">
        <f>TOCmatch!B10</f>
        <v>Договоры</v>
      </c>
      <c r="L34" s="302" t="str">
        <f>TOCmatch!B15</f>
        <v>SFD</v>
      </c>
      <c r="M34" s="215"/>
      <c r="N34" s="215"/>
      <c r="O34" s="222"/>
      <c r="S34" s="173"/>
    </row>
    <row r="35" spans="1:21" hidden="1" outlineLevel="1" x14ac:dyDescent="0.25">
      <c r="A35" s="264">
        <v>41208.944363425922</v>
      </c>
      <c r="B35" s="265" t="s">
        <v>629</v>
      </c>
      <c r="C35" s="303"/>
      <c r="D35" s="196"/>
      <c r="E35" s="197" t="s">
        <v>70</v>
      </c>
      <c r="F35" s="220" t="str">
        <f>K35</f>
        <v>SFD</v>
      </c>
      <c r="G35" s="221" t="s">
        <v>128</v>
      </c>
      <c r="H35" s="215"/>
      <c r="I35" s="215"/>
      <c r="J35" s="216"/>
      <c r="K35" s="223" t="s">
        <v>583</v>
      </c>
      <c r="L35" s="215"/>
      <c r="M35" s="215"/>
      <c r="N35" s="215"/>
      <c r="O35" s="216"/>
    </row>
    <row r="36" spans="1:21" hidden="1" outlineLevel="1" x14ac:dyDescent="0.25">
      <c r="A36" s="264">
        <v>41208.944699074076</v>
      </c>
      <c r="B36" s="465" t="s">
        <v>676</v>
      </c>
      <c r="C36" s="580" t="s">
        <v>666</v>
      </c>
      <c r="D36" s="5"/>
      <c r="E36" s="218" t="s">
        <v>70</v>
      </c>
      <c r="F36" s="200" t="str">
        <f>F13</f>
        <v>LOAD_1C_DOG</v>
      </c>
      <c r="G36" s="201"/>
      <c r="H36" s="215"/>
      <c r="I36" s="215"/>
      <c r="J36" s="222"/>
      <c r="K36" s="223" t="s">
        <v>578</v>
      </c>
      <c r="L36" s="215"/>
      <c r="M36" s="215"/>
      <c r="N36" s="215"/>
      <c r="O36" s="222"/>
    </row>
    <row r="37" spans="1:21" s="187" customFormat="1" hidden="1" outlineLevel="1" x14ac:dyDescent="0.25">
      <c r="A37" s="466"/>
      <c r="B37" s="467" t="s">
        <v>637</v>
      </c>
      <c r="C37" s="237"/>
      <c r="D37" s="205"/>
      <c r="E37" s="206" t="s">
        <v>201</v>
      </c>
      <c r="F37" s="207"/>
      <c r="G37" s="208"/>
      <c r="H37" s="208"/>
      <c r="I37" s="208"/>
      <c r="J37" s="209"/>
      <c r="K37" s="210"/>
      <c r="L37" s="211"/>
      <c r="M37" s="208"/>
      <c r="N37" s="211"/>
      <c r="O37" s="209"/>
    </row>
    <row r="38" spans="1:21" s="173" customFormat="1" collapsed="1" x14ac:dyDescent="0.25">
      <c r="A38" s="475"/>
      <c r="B38" s="476" t="s">
        <v>636</v>
      </c>
      <c r="C38" s="477"/>
      <c r="D38" s="478"/>
      <c r="E38" s="479" t="s">
        <v>201</v>
      </c>
      <c r="F38" s="480" t="s">
        <v>656</v>
      </c>
      <c r="G38" s="478"/>
      <c r="H38" s="478"/>
      <c r="I38" s="478"/>
      <c r="J38" s="481"/>
      <c r="K38" s="482" t="str">
        <f>TOCmatch!B17</f>
        <v>SFacc</v>
      </c>
      <c r="L38" s="483"/>
      <c r="M38" s="478"/>
      <c r="N38" s="483"/>
      <c r="O38" s="481"/>
    </row>
    <row r="39" spans="1:21" hidden="1" outlineLevel="1" x14ac:dyDescent="0.25">
      <c r="A39" s="264">
        <v>41208.949976851851</v>
      </c>
      <c r="B39" s="265" t="s">
        <v>676</v>
      </c>
      <c r="C39" s="303"/>
      <c r="D39" s="5"/>
      <c r="E39" s="218" t="s">
        <v>70</v>
      </c>
      <c r="F39" s="200" t="str">
        <f>F6</f>
        <v>LOAD_1C_P</v>
      </c>
      <c r="G39" s="201"/>
      <c r="H39" s="215"/>
      <c r="I39" s="215"/>
      <c r="J39" s="216"/>
      <c r="K39" s="200" t="str">
        <f>K38</f>
        <v>SFacc</v>
      </c>
      <c r="L39" s="201"/>
      <c r="M39" s="201"/>
      <c r="N39" s="215"/>
      <c r="O39" s="216"/>
    </row>
    <row r="40" spans="1:21" hidden="1" outlineLevel="1" x14ac:dyDescent="0.25">
      <c r="A40" s="264">
        <v>41208.950277777774</v>
      </c>
      <c r="B40" s="265" t="s">
        <v>676</v>
      </c>
      <c r="C40" s="303"/>
      <c r="D40" s="5"/>
      <c r="E40" s="218" t="s">
        <v>70</v>
      </c>
      <c r="F40" s="200" t="str">
        <f>F13</f>
        <v>LOAD_1C_DOG</v>
      </c>
      <c r="G40" s="201"/>
      <c r="H40" s="215"/>
      <c r="I40" s="215"/>
      <c r="J40" s="216"/>
      <c r="K40" s="200" t="str">
        <f>K38</f>
        <v>SFacc</v>
      </c>
      <c r="L40" s="201"/>
      <c r="M40" s="201"/>
      <c r="N40" s="215"/>
      <c r="O40" s="216"/>
    </row>
    <row r="41" spans="1:21" hidden="1" outlineLevel="1" x14ac:dyDescent="0.25">
      <c r="A41" s="264">
        <v>41208.95040509259</v>
      </c>
      <c r="B41" s="265" t="s">
        <v>676</v>
      </c>
      <c r="C41" s="303"/>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25"/>
      <c r="B42" s="626" t="s">
        <v>637</v>
      </c>
      <c r="C42" s="567"/>
      <c r="D42" s="240"/>
      <c r="E42" s="241"/>
      <c r="F42" s="242"/>
      <c r="G42" s="243"/>
      <c r="H42" s="243"/>
      <c r="I42" s="243"/>
      <c r="J42" s="244"/>
      <c r="K42" s="245"/>
      <c r="L42" s="246"/>
      <c r="M42" s="243"/>
      <c r="N42" s="246"/>
      <c r="O42" s="244"/>
    </row>
    <row r="43" spans="1:21" s="173" customFormat="1" collapsed="1" x14ac:dyDescent="0.25">
      <c r="B43" s="269" t="s">
        <v>636</v>
      </c>
      <c r="E43" s="190"/>
      <c r="F43" s="189" t="s">
        <v>658</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875</v>
      </c>
      <c r="C44" s="303" t="s">
        <v>616</v>
      </c>
      <c r="D44" s="196"/>
      <c r="E44" s="197" t="s">
        <v>70</v>
      </c>
      <c r="F44" s="214" t="s">
        <v>879</v>
      </c>
      <c r="G44" s="221"/>
      <c r="H44" s="198"/>
      <c r="I44" s="198"/>
      <c r="J44" s="199"/>
      <c r="K44" s="200" t="str">
        <f>K43</f>
        <v>Заказы</v>
      </c>
      <c r="L44" s="201"/>
      <c r="M44" s="198"/>
      <c r="N44" s="201"/>
      <c r="O44" s="199"/>
    </row>
    <row r="45" spans="1:21" s="173" customFormat="1" hidden="1" outlineLevel="1" x14ac:dyDescent="0.25">
      <c r="A45" s="264">
        <v>41186.068101851852</v>
      </c>
      <c r="B45" s="265" t="s">
        <v>618</v>
      </c>
      <c r="C45" s="491" t="str">
        <f>B44</f>
        <v>RowDel</v>
      </c>
      <c r="D45" s="196"/>
      <c r="E45" s="197" t="s">
        <v>70</v>
      </c>
      <c r="F45" s="200" t="s">
        <v>880</v>
      </c>
      <c r="G45" s="433"/>
      <c r="H45" s="198"/>
      <c r="I45" s="198"/>
      <c r="J45" s="199"/>
      <c r="K45" s="200" t="str">
        <f>K43</f>
        <v>Заказы</v>
      </c>
      <c r="L45" s="201"/>
      <c r="M45" s="198"/>
      <c r="N45" s="201"/>
      <c r="O45" s="199"/>
      <c r="T45" s="123"/>
      <c r="U45" s="123"/>
    </row>
    <row r="46" spans="1:21" s="173" customFormat="1" hidden="1" outlineLevel="1" x14ac:dyDescent="0.25">
      <c r="A46" s="195">
        <v>41186.06826388889</v>
      </c>
      <c r="B46" s="196" t="s">
        <v>878</v>
      </c>
      <c r="C46" s="606" t="str">
        <f>B45</f>
        <v>InsMyCol</v>
      </c>
      <c r="D46" s="196"/>
      <c r="E46" s="197" t="s">
        <v>201</v>
      </c>
      <c r="F46" s="214" t="s">
        <v>94</v>
      </c>
      <c r="G46" s="221" t="s">
        <v>126</v>
      </c>
      <c r="H46" s="221" t="s">
        <v>130</v>
      </c>
      <c r="I46" s="221" t="s">
        <v>828</v>
      </c>
      <c r="J46" s="566"/>
      <c r="K46" s="200" t="str">
        <f>K43</f>
        <v>Заказы</v>
      </c>
      <c r="L46" s="201" t="str">
        <f>TOCmatch!B8</f>
        <v>Платежи</v>
      </c>
      <c r="M46" s="198"/>
      <c r="O46" s="199"/>
    </row>
    <row r="47" spans="1:21" s="173" customFormat="1" hidden="1" outlineLevel="1" x14ac:dyDescent="0.25">
      <c r="A47" s="217"/>
      <c r="B47" s="196" t="s">
        <v>642</v>
      </c>
      <c r="C47" s="236"/>
      <c r="D47" s="196"/>
      <c r="E47" s="197"/>
      <c r="F47" s="214" t="s">
        <v>70</v>
      </c>
      <c r="G47" s="221"/>
      <c r="H47" s="198"/>
      <c r="I47" s="198"/>
      <c r="J47" s="199"/>
      <c r="K47" s="568"/>
      <c r="L47" s="201"/>
      <c r="M47" s="198"/>
      <c r="N47" s="201"/>
      <c r="O47" s="199"/>
    </row>
    <row r="48" spans="1:21" s="173" customFormat="1" hidden="1" outlineLevel="1" x14ac:dyDescent="0.25">
      <c r="A48" s="195">
        <v>41186.075243055559</v>
      </c>
      <c r="B48" s="196" t="s">
        <v>797</v>
      </c>
      <c r="C48" s="606"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hidden="1" outlineLevel="1" x14ac:dyDescent="0.25">
      <c r="A49" s="204"/>
      <c r="B49" s="205" t="s">
        <v>637</v>
      </c>
      <c r="C49" s="237"/>
      <c r="D49" s="205"/>
      <c r="E49" s="206"/>
      <c r="F49" s="207"/>
      <c r="G49" s="208"/>
      <c r="H49" s="208"/>
      <c r="I49" s="208"/>
      <c r="J49" s="209"/>
      <c r="K49" s="210"/>
      <c r="L49" s="211"/>
      <c r="M49" s="208"/>
      <c r="N49" s="211"/>
      <c r="O49" s="209"/>
    </row>
    <row r="50" spans="1:21" s="173" customFormat="1" ht="15.75" collapsed="1" thickBot="1" x14ac:dyDescent="0.3">
      <c r="B50" s="269" t="s">
        <v>636</v>
      </c>
      <c r="E50" s="190"/>
      <c r="F50" s="189" t="s">
        <v>657</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642</v>
      </c>
      <c r="C51" s="236"/>
      <c r="D51" s="196"/>
      <c r="E51" s="197"/>
      <c r="F51" s="214" t="s">
        <v>70</v>
      </c>
      <c r="G51" s="221"/>
      <c r="H51" s="198"/>
      <c r="I51" s="198"/>
      <c r="J51" s="199"/>
      <c r="K51" s="568"/>
      <c r="L51" s="201"/>
      <c r="M51" s="198"/>
      <c r="N51" s="201"/>
      <c r="O51" s="199"/>
    </row>
    <row r="52" spans="1:21" s="173" customFormat="1" hidden="1" outlineLevel="1" x14ac:dyDescent="0.25">
      <c r="A52" s="264">
        <v>41184.979722222219</v>
      </c>
      <c r="B52" s="265" t="s">
        <v>875</v>
      </c>
      <c r="C52" s="235" t="s">
        <v>616</v>
      </c>
      <c r="D52" s="196"/>
      <c r="E52" s="197" t="s">
        <v>70</v>
      </c>
      <c r="F52" s="214" t="s">
        <v>876</v>
      </c>
      <c r="G52" s="221"/>
      <c r="H52" s="198"/>
      <c r="I52" s="198"/>
      <c r="J52" s="199"/>
      <c r="K52" s="568" t="str">
        <f>K50</f>
        <v>Склад</v>
      </c>
      <c r="L52" s="201"/>
      <c r="M52" s="198"/>
      <c r="N52" s="201"/>
      <c r="O52" s="199"/>
    </row>
    <row r="53" spans="1:21" s="173" customFormat="1" hidden="1" outlineLevel="1" x14ac:dyDescent="0.25">
      <c r="A53" s="264">
        <v>41184.980092592596</v>
      </c>
      <c r="B53" s="265" t="s">
        <v>618</v>
      </c>
      <c r="C53" s="491" t="str">
        <f>B52</f>
        <v>RowDel</v>
      </c>
      <c r="D53" s="196"/>
      <c r="E53" s="197" t="s">
        <v>70</v>
      </c>
      <c r="F53" s="200" t="s">
        <v>877</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878</v>
      </c>
      <c r="C54" s="606" t="str">
        <f>B53</f>
        <v>InsMyCol</v>
      </c>
      <c r="D54" s="196"/>
      <c r="E54" s="197" t="s">
        <v>201</v>
      </c>
      <c r="F54" s="214" t="s">
        <v>128</v>
      </c>
      <c r="G54" s="221" t="s">
        <v>91</v>
      </c>
      <c r="H54" s="221" t="s">
        <v>110</v>
      </c>
      <c r="I54" s="221" t="s">
        <v>828</v>
      </c>
      <c r="J54" s="566"/>
      <c r="K54" s="568" t="str">
        <f>K50</f>
        <v>Склад</v>
      </c>
      <c r="L54" s="201" t="str">
        <f>TOCmatch!B8</f>
        <v>Платежи</v>
      </c>
      <c r="M54" s="215"/>
      <c r="N54" s="173"/>
      <c r="O54" s="199"/>
    </row>
    <row r="55" spans="1:21" s="173" customFormat="1" hidden="1" outlineLevel="1" x14ac:dyDescent="0.25">
      <c r="A55" s="195">
        <v>41185.98810185185</v>
      </c>
      <c r="B55" s="196" t="s">
        <v>797</v>
      </c>
      <c r="C55" s="606"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hidden="1" outlineLevel="1" thickBot="1" x14ac:dyDescent="0.3">
      <c r="A56" s="204"/>
      <c r="B56" s="205" t="s">
        <v>637</v>
      </c>
      <c r="C56" s="237"/>
      <c r="D56" s="205"/>
      <c r="E56" s="206"/>
      <c r="F56" s="207"/>
      <c r="G56" s="208"/>
      <c r="H56" s="208"/>
      <c r="I56" s="208"/>
      <c r="J56" s="209"/>
      <c r="K56" s="210"/>
      <c r="L56" s="211"/>
      <c r="M56" s="208"/>
      <c r="N56" s="211"/>
      <c r="O56" s="209"/>
    </row>
    <row r="57" spans="1:21" s="173" customFormat="1" ht="15.75" collapsed="1" thickTop="1" x14ac:dyDescent="0.25">
      <c r="A57" s="484"/>
      <c r="B57" s="485" t="s">
        <v>636</v>
      </c>
      <c r="C57" s="486"/>
      <c r="D57" s="310"/>
      <c r="E57" s="311" t="s">
        <v>201</v>
      </c>
      <c r="F57" s="312" t="s">
        <v>660</v>
      </c>
      <c r="G57" s="310"/>
      <c r="H57" s="310"/>
      <c r="I57" s="310"/>
      <c r="J57" s="313"/>
      <c r="K57" s="487" t="s">
        <v>573</v>
      </c>
      <c r="L57" s="315"/>
      <c r="M57" s="310"/>
      <c r="N57" s="315"/>
      <c r="O57" s="313"/>
    </row>
    <row r="58" spans="1:21" s="173" customFormat="1" x14ac:dyDescent="0.25">
      <c r="A58" s="217"/>
      <c r="B58" s="196" t="s">
        <v>642</v>
      </c>
      <c r="C58" s="236"/>
      <c r="D58" s="196"/>
      <c r="E58" s="197"/>
      <c r="F58" s="214" t="s">
        <v>70</v>
      </c>
      <c r="G58" s="221"/>
      <c r="H58" s="198"/>
      <c r="I58" s="198"/>
      <c r="J58" s="199"/>
      <c r="K58" s="200"/>
      <c r="L58" s="201"/>
      <c r="M58" s="198"/>
      <c r="N58" s="201"/>
      <c r="O58" s="199"/>
    </row>
    <row r="59" spans="1:21" ht="30" x14ac:dyDescent="0.25">
      <c r="A59" s="217"/>
      <c r="B59" s="202" t="s">
        <v>677</v>
      </c>
      <c r="C59" s="235" t="s">
        <v>678</v>
      </c>
      <c r="D59" s="5"/>
      <c r="E59" s="218" t="s">
        <v>201</v>
      </c>
      <c r="F59" s="200"/>
      <c r="G59" s="201"/>
      <c r="H59" s="215"/>
      <c r="I59" s="215"/>
      <c r="J59" s="222"/>
      <c r="K59" s="223" t="s">
        <v>573</v>
      </c>
      <c r="L59" s="215"/>
      <c r="M59" s="215"/>
      <c r="N59" s="215"/>
      <c r="O59" s="222"/>
    </row>
    <row r="60" spans="1:21" x14ac:dyDescent="0.25">
      <c r="A60" s="217"/>
      <c r="B60" s="202" t="s">
        <v>645</v>
      </c>
      <c r="C60" s="239" t="s">
        <v>644</v>
      </c>
      <c r="D60" s="5"/>
      <c r="E60" s="218"/>
      <c r="F60" s="200" t="s">
        <v>646</v>
      </c>
      <c r="G60" s="201" t="s">
        <v>647</v>
      </c>
      <c r="H60" s="215" t="s">
        <v>648</v>
      </c>
      <c r="I60" s="215" t="s">
        <v>649</v>
      </c>
      <c r="J60" s="222"/>
      <c r="K60" s="223"/>
      <c r="L60" s="215"/>
      <c r="M60" s="215"/>
      <c r="N60" s="215"/>
      <c r="O60" s="222"/>
    </row>
    <row r="61" spans="1:21" s="187" customFormat="1" ht="15.75" thickBot="1" x14ac:dyDescent="0.3">
      <c r="A61" s="204"/>
      <c r="B61" s="205" t="s">
        <v>637</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636</v>
      </c>
      <c r="C62" s="238"/>
      <c r="D62" s="212"/>
      <c r="E62" s="494" t="s">
        <v>602</v>
      </c>
      <c r="F62" s="213" t="s">
        <v>823</v>
      </c>
      <c r="G62" s="198"/>
      <c r="H62" s="198"/>
      <c r="I62" s="198"/>
      <c r="J62" s="199"/>
      <c r="K62" s="188" t="str">
        <f>TOCmatch!B8</f>
        <v>Платежи</v>
      </c>
      <c r="L62" s="201"/>
      <c r="M62" s="198"/>
      <c r="N62" s="201"/>
      <c r="O62" s="199"/>
      <c r="P62" s="471"/>
    </row>
    <row r="63" spans="1:21" s="173" customFormat="1" ht="15.75" thickTop="1" x14ac:dyDescent="0.25">
      <c r="A63" s="195"/>
      <c r="B63" s="196" t="s">
        <v>642</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693</v>
      </c>
      <c r="C64" s="266"/>
      <c r="D64" s="212"/>
      <c r="E64" s="197" t="s">
        <v>70</v>
      </c>
      <c r="F64" s="267" t="s">
        <v>824</v>
      </c>
      <c r="G64" s="198"/>
      <c r="H64" s="198"/>
      <c r="I64" s="198"/>
      <c r="J64" s="199"/>
      <c r="K64" s="188"/>
      <c r="L64" s="201"/>
      <c r="M64" s="198"/>
      <c r="N64" s="201"/>
      <c r="O64" s="199"/>
      <c r="P64" s="471"/>
    </row>
    <row r="65" spans="1:16" s="173" customFormat="1" x14ac:dyDescent="0.25">
      <c r="A65" s="195">
        <v>41188.073067129626</v>
      </c>
      <c r="B65" s="196" t="s">
        <v>825</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645</v>
      </c>
      <c r="C66" s="474" t="str">
        <f>B65</f>
        <v>NewPaidOpp</v>
      </c>
      <c r="D66" s="196"/>
      <c r="E66" s="197" t="s">
        <v>201</v>
      </c>
      <c r="F66" s="267" t="s">
        <v>824</v>
      </c>
      <c r="G66" s="201" t="s">
        <v>821</v>
      </c>
      <c r="H66" s="215" t="s">
        <v>830</v>
      </c>
      <c r="I66" s="215" t="s">
        <v>831</v>
      </c>
      <c r="J66" s="199"/>
      <c r="K66" s="200"/>
      <c r="L66" s="201"/>
      <c r="M66" s="198"/>
      <c r="N66" s="201"/>
      <c r="O66" s="199"/>
      <c r="P66" s="471"/>
    </row>
    <row r="67" spans="1:16" s="187" customFormat="1" x14ac:dyDescent="0.25">
      <c r="A67" s="204"/>
      <c r="B67" s="205" t="s">
        <v>637</v>
      </c>
      <c r="C67" s="237">
        <v>54</v>
      </c>
      <c r="D67" s="205"/>
      <c r="E67" s="206" t="s">
        <v>201</v>
      </c>
      <c r="F67" s="207"/>
      <c r="G67" s="208"/>
      <c r="H67" s="208"/>
      <c r="I67" s="208"/>
      <c r="J67" s="209"/>
      <c r="K67" s="210"/>
      <c r="L67" s="211"/>
      <c r="M67" s="208"/>
      <c r="N67" s="211"/>
      <c r="O67" s="209"/>
      <c r="P67" s="472"/>
    </row>
    <row r="68" spans="1:16" s="173" customFormat="1" x14ac:dyDescent="0.25">
      <c r="A68" s="195"/>
      <c r="B68" s="196" t="s">
        <v>636</v>
      </c>
      <c r="C68" s="238"/>
      <c r="D68" s="212"/>
      <c r="E68" s="197"/>
      <c r="F68" s="213" t="s">
        <v>826</v>
      </c>
      <c r="G68" s="198"/>
      <c r="H68" s="198"/>
      <c r="I68" s="198"/>
      <c r="J68" s="199"/>
      <c r="K68" s="188" t="str">
        <f>TOCmatch!B8</f>
        <v>Платежи</v>
      </c>
      <c r="L68" s="201"/>
      <c r="M68" s="198"/>
      <c r="N68" s="201"/>
      <c r="O68" s="199"/>
      <c r="P68" s="469"/>
    </row>
    <row r="69" spans="1:16" s="187" customFormat="1" ht="15.75" thickBot="1" x14ac:dyDescent="0.3">
      <c r="A69" s="204"/>
      <c r="B69" s="205" t="s">
        <v>637</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636</v>
      </c>
      <c r="C70" s="266"/>
      <c r="D70" s="212"/>
      <c r="E70" s="494" t="s">
        <v>602</v>
      </c>
      <c r="F70" s="493" t="s">
        <v>683</v>
      </c>
      <c r="G70" s="198"/>
      <c r="H70" s="198"/>
      <c r="I70" s="198"/>
      <c r="J70" s="199"/>
      <c r="K70" s="188" t="str">
        <f>K13</f>
        <v>Договоры</v>
      </c>
      <c r="L70" s="201"/>
      <c r="M70" s="198"/>
      <c r="N70" s="201"/>
      <c r="O70" s="199"/>
    </row>
    <row r="71" spans="1:16" s="173" customFormat="1" ht="15.75" thickTop="1" x14ac:dyDescent="0.25">
      <c r="A71" s="264">
        <v>41208.95103009259</v>
      </c>
      <c r="B71" s="265" t="s">
        <v>693</v>
      </c>
      <c r="C71" s="266"/>
      <c r="D71" s="212"/>
      <c r="E71" s="197" t="s">
        <v>70</v>
      </c>
      <c r="F71" s="267" t="s">
        <v>694</v>
      </c>
      <c r="G71" s="198"/>
      <c r="H71" s="198"/>
      <c r="I71" s="198"/>
      <c r="J71" s="199"/>
      <c r="K71" s="188"/>
      <c r="L71" s="201"/>
      <c r="M71" s="198"/>
      <c r="N71" s="201"/>
      <c r="O71" s="199"/>
    </row>
    <row r="72" spans="1:16" s="173" customFormat="1" ht="30" x14ac:dyDescent="0.25">
      <c r="A72" s="264">
        <v>41208.952291666668</v>
      </c>
      <c r="B72" s="265" t="s">
        <v>682</v>
      </c>
      <c r="C72" s="303" t="s">
        <v>809</v>
      </c>
      <c r="D72" s="196"/>
      <c r="E72" s="197" t="s">
        <v>70</v>
      </c>
      <c r="F72" s="214"/>
      <c r="G72" s="221"/>
      <c r="H72" s="198"/>
      <c r="I72" s="198"/>
      <c r="J72" s="199"/>
      <c r="K72" s="200" t="str">
        <f>K70</f>
        <v>Договоры</v>
      </c>
      <c r="L72" s="302" t="str">
        <f>TOCmatch!B15</f>
        <v>SFD</v>
      </c>
      <c r="M72" s="302" t="str">
        <f>TOCmatch!B17</f>
        <v>SFacc</v>
      </c>
      <c r="N72" s="201"/>
      <c r="O72" s="199"/>
    </row>
    <row r="73" spans="1:16" s="173" customFormat="1" x14ac:dyDescent="0.25">
      <c r="A73" s="264">
        <v>41208.952465277776</v>
      </c>
      <c r="B73" s="465" t="s">
        <v>645</v>
      </c>
      <c r="C73" s="617" t="str">
        <f>B72</f>
        <v>NewContr</v>
      </c>
      <c r="D73" s="196"/>
      <c r="E73" s="197" t="s">
        <v>70</v>
      </c>
      <c r="F73" s="268" t="str">
        <f>F71</f>
        <v>NewContract</v>
      </c>
      <c r="G73" s="201" t="s">
        <v>821</v>
      </c>
      <c r="H73" s="215" t="s">
        <v>684</v>
      </c>
      <c r="I73" s="215" t="s">
        <v>685</v>
      </c>
      <c r="J73" s="199"/>
      <c r="K73" s="200"/>
      <c r="M73" s="198"/>
      <c r="N73" s="201"/>
      <c r="O73" s="199"/>
    </row>
    <row r="74" spans="1:16" s="187" customFormat="1" x14ac:dyDescent="0.25">
      <c r="A74" s="466"/>
      <c r="B74" s="467" t="s">
        <v>637</v>
      </c>
      <c r="C74" s="676">
        <v>3</v>
      </c>
      <c r="D74" s="205"/>
      <c r="E74" s="206" t="s">
        <v>201</v>
      </c>
      <c r="F74" s="207"/>
      <c r="G74" s="208"/>
      <c r="H74" s="208"/>
      <c r="I74" s="208"/>
      <c r="J74" s="209"/>
      <c r="K74" s="210"/>
      <c r="L74" s="211"/>
      <c r="M74" s="208"/>
      <c r="N74" s="211"/>
      <c r="O74" s="209"/>
    </row>
    <row r="75" spans="1:16" s="173" customFormat="1" x14ac:dyDescent="0.25">
      <c r="A75" s="264"/>
      <c r="B75" s="265" t="s">
        <v>636</v>
      </c>
      <c r="C75" s="266"/>
      <c r="D75" s="212"/>
      <c r="E75" s="197" t="s">
        <v>201</v>
      </c>
      <c r="F75" s="213" t="s">
        <v>679</v>
      </c>
      <c r="G75" s="198"/>
      <c r="H75" s="198"/>
      <c r="I75" s="198"/>
      <c r="J75" s="199"/>
      <c r="K75" s="188" t="str">
        <f>TOCmatch!B10</f>
        <v>Договоры</v>
      </c>
      <c r="L75" s="201"/>
      <c r="M75" s="198"/>
      <c r="N75" s="201"/>
      <c r="O75" s="199"/>
    </row>
    <row r="76" spans="1:16" x14ac:dyDescent="0.25">
      <c r="A76" s="217"/>
      <c r="B76" s="202" t="s">
        <v>680</v>
      </c>
      <c r="C76" s="235" t="s">
        <v>682</v>
      </c>
      <c r="D76" s="5"/>
      <c r="E76" s="218" t="s">
        <v>201</v>
      </c>
      <c r="F76" s="200"/>
      <c r="G76" s="201"/>
      <c r="H76" s="215"/>
      <c r="I76" s="215"/>
      <c r="J76" s="222"/>
      <c r="K76" s="223" t="s">
        <v>578</v>
      </c>
      <c r="L76" s="215"/>
      <c r="M76" s="215"/>
      <c r="N76" s="215"/>
      <c r="O76" s="222"/>
    </row>
    <row r="77" spans="1:16" x14ac:dyDescent="0.25">
      <c r="A77" s="217"/>
      <c r="B77" s="202" t="s">
        <v>645</v>
      </c>
      <c r="C77" s="239" t="s">
        <v>680</v>
      </c>
      <c r="D77" s="5"/>
      <c r="E77" s="218"/>
      <c r="F77" s="200" t="s">
        <v>681</v>
      </c>
      <c r="G77" s="201" t="s">
        <v>647</v>
      </c>
      <c r="H77" s="215" t="s">
        <v>648</v>
      </c>
      <c r="I77" s="215" t="s">
        <v>649</v>
      </c>
      <c r="J77" s="222"/>
      <c r="K77" s="223"/>
      <c r="L77" s="215"/>
      <c r="M77" s="215"/>
      <c r="N77" s="215"/>
      <c r="O77" s="222"/>
    </row>
    <row r="78" spans="1:16" s="174" customFormat="1" ht="15.75" thickBot="1" x14ac:dyDescent="0.3">
      <c r="A78" s="525"/>
      <c r="B78" s="202" t="s">
        <v>637</v>
      </c>
      <c r="C78" s="526"/>
      <c r="D78" s="202"/>
      <c r="E78" s="203" t="s">
        <v>201</v>
      </c>
      <c r="F78" s="527"/>
      <c r="G78" s="198"/>
      <c r="H78" s="198"/>
      <c r="I78" s="198"/>
      <c r="J78" s="199"/>
      <c r="K78" s="200"/>
      <c r="L78" s="201"/>
      <c r="M78" s="198"/>
      <c r="N78" s="201"/>
      <c r="O78" s="199"/>
    </row>
    <row r="79" spans="1:16" s="534" customFormat="1" ht="16.5" thickTop="1" thickBot="1" x14ac:dyDescent="0.3">
      <c r="A79" s="614">
        <v>41201.045671296299</v>
      </c>
      <c r="B79" s="615" t="s">
        <v>636</v>
      </c>
      <c r="C79" s="616"/>
      <c r="D79" s="528"/>
      <c r="E79" s="529" t="s">
        <v>602</v>
      </c>
      <c r="F79" s="530" t="s">
        <v>852</v>
      </c>
      <c r="G79" s="528"/>
      <c r="H79" s="528"/>
      <c r="I79" s="528"/>
      <c r="J79" s="531"/>
      <c r="K79" s="532" t="str">
        <f>K6</f>
        <v>Платежи</v>
      </c>
      <c r="L79" s="533"/>
      <c r="M79" s="528"/>
      <c r="N79" s="533"/>
      <c r="O79" s="531"/>
    </row>
    <row r="80" spans="1:16" s="173" customFormat="1" ht="15.75" thickTop="1" x14ac:dyDescent="0.25">
      <c r="A80" s="195"/>
      <c r="B80" s="202" t="s">
        <v>855</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854</v>
      </c>
      <c r="C81" s="617" t="str">
        <f>B80</f>
        <v>ProcReset</v>
      </c>
      <c r="D81" s="196"/>
      <c r="E81" s="197" t="s">
        <v>70</v>
      </c>
      <c r="F81" s="535">
        <f>C74</f>
        <v>3</v>
      </c>
      <c r="G81" s="221"/>
      <c r="H81" s="198"/>
      <c r="I81" s="198"/>
      <c r="J81" s="199"/>
      <c r="K81" s="200"/>
      <c r="L81" s="201"/>
      <c r="M81" s="198"/>
      <c r="N81" s="201"/>
      <c r="O81" s="199"/>
    </row>
    <row r="82" spans="1:15" s="173" customFormat="1" x14ac:dyDescent="0.25">
      <c r="A82" s="264">
        <v>41210.021944444445</v>
      </c>
      <c r="B82" s="265" t="s">
        <v>693</v>
      </c>
      <c r="C82" s="266"/>
      <c r="D82" s="212"/>
      <c r="E82" s="197" t="s">
        <v>70</v>
      </c>
      <c r="F82" s="267" t="s">
        <v>835</v>
      </c>
      <c r="G82" s="198"/>
      <c r="H82" s="198"/>
      <c r="I82" s="198"/>
      <c r="J82" s="199"/>
      <c r="K82" s="267" t="str">
        <f>F82</f>
        <v>NewOpp</v>
      </c>
      <c r="L82" s="201"/>
      <c r="M82" s="198"/>
      <c r="N82" s="201"/>
      <c r="O82" s="199"/>
    </row>
    <row r="83" spans="1:15" s="173" customFormat="1" x14ac:dyDescent="0.25">
      <c r="A83" s="264">
        <v>41210.386134259257</v>
      </c>
      <c r="B83" s="265" t="s">
        <v>693</v>
      </c>
      <c r="C83" s="266"/>
      <c r="D83" s="212"/>
      <c r="E83" s="197" t="s">
        <v>70</v>
      </c>
      <c r="F83" s="267" t="s">
        <v>824</v>
      </c>
      <c r="G83" s="198"/>
      <c r="H83" s="198"/>
      <c r="I83" s="198"/>
      <c r="J83" s="199"/>
      <c r="K83" s="267" t="str">
        <f>F83</f>
        <v>NewPayment</v>
      </c>
      <c r="L83" s="201"/>
      <c r="M83" s="198"/>
      <c r="N83" s="201"/>
      <c r="O83" s="199"/>
    </row>
    <row r="84" spans="1:15" s="173" customFormat="1" x14ac:dyDescent="0.25">
      <c r="A84" s="264">
        <v>41206.09103009259</v>
      </c>
      <c r="B84" s="265" t="s">
        <v>910</v>
      </c>
      <c r="C84" s="617" t="str">
        <f>B81</f>
        <v>CheckProc0</v>
      </c>
      <c r="D84" s="196"/>
      <c r="E84" s="197"/>
      <c r="F84" s="214" t="s">
        <v>853</v>
      </c>
      <c r="G84" s="221"/>
      <c r="H84" s="198"/>
      <c r="I84" s="198"/>
      <c r="J84" s="199"/>
      <c r="K84" s="200" t="str">
        <f>K79</f>
        <v>Платежи</v>
      </c>
      <c r="L84" s="302" t="str">
        <f>TOCmatch!B17</f>
        <v>SFacc</v>
      </c>
      <c r="M84" s="302" t="str">
        <f>TOCmatch!B16</f>
        <v>SFopp</v>
      </c>
      <c r="N84" s="302" t="str">
        <f>TOCmatch!B15</f>
        <v>SFD</v>
      </c>
      <c r="O84" s="199"/>
    </row>
    <row r="85" spans="1:15" s="602" customFormat="1" x14ac:dyDescent="0.25">
      <c r="A85" s="640"/>
      <c r="B85" s="594"/>
      <c r="C85" s="641"/>
      <c r="D85" s="594"/>
      <c r="E85" s="595"/>
      <c r="F85" s="596"/>
      <c r="G85" s="597"/>
      <c r="H85" s="598"/>
      <c r="I85" s="598"/>
      <c r="J85" s="599"/>
      <c r="K85" s="600"/>
      <c r="L85" s="601"/>
      <c r="M85" s="598"/>
      <c r="N85" s="601"/>
      <c r="O85" s="599"/>
    </row>
    <row r="86" spans="1:15" s="173" customFormat="1" x14ac:dyDescent="0.25">
      <c r="A86" s="264">
        <v>41206.091041666667</v>
      </c>
      <c r="B86" s="465" t="s">
        <v>645</v>
      </c>
      <c r="C86" s="617" t="str">
        <f>B84</f>
        <v>WP_PdOpp</v>
      </c>
      <c r="D86" s="196"/>
      <c r="E86" s="197"/>
      <c r="F86" s="267" t="s">
        <v>835</v>
      </c>
      <c r="G86" s="201" t="s">
        <v>821</v>
      </c>
      <c r="H86" s="215" t="s">
        <v>912</v>
      </c>
      <c r="I86" s="215" t="s">
        <v>913</v>
      </c>
      <c r="J86" s="199"/>
      <c r="K86" s="200"/>
      <c r="L86" s="201"/>
      <c r="M86" s="198"/>
      <c r="N86" s="201"/>
      <c r="O86" s="199"/>
    </row>
    <row r="87" spans="1:15" s="173" customFormat="1" x14ac:dyDescent="0.25">
      <c r="A87" s="264">
        <v>41206.091041666667</v>
      </c>
      <c r="B87" s="465" t="s">
        <v>645</v>
      </c>
      <c r="C87" s="617" t="str">
        <f>B84</f>
        <v>WP_PdOpp</v>
      </c>
      <c r="D87" s="196"/>
      <c r="E87" s="197"/>
      <c r="F87" s="267" t="s">
        <v>824</v>
      </c>
      <c r="G87" s="201" t="s">
        <v>821</v>
      </c>
      <c r="H87" s="215" t="s">
        <v>830</v>
      </c>
      <c r="I87" s="215" t="s">
        <v>831</v>
      </c>
      <c r="J87" s="199"/>
      <c r="K87" s="200"/>
      <c r="L87" s="201"/>
      <c r="M87" s="198"/>
      <c r="N87" s="201"/>
      <c r="O87" s="199"/>
    </row>
    <row r="88" spans="1:15" s="187" customFormat="1" x14ac:dyDescent="0.25">
      <c r="A88" s="466"/>
      <c r="B88" s="467" t="s">
        <v>637</v>
      </c>
      <c r="C88" s="639">
        <v>0</v>
      </c>
      <c r="D88" s="205"/>
      <c r="E88" s="206" t="s">
        <v>201</v>
      </c>
      <c r="F88" s="207"/>
      <c r="G88" s="208"/>
      <c r="H88" s="208"/>
      <c r="I88" s="208"/>
      <c r="J88" s="209"/>
      <c r="K88" s="210"/>
      <c r="L88" s="211"/>
      <c r="M88" s="208"/>
      <c r="N88" s="211"/>
      <c r="O88" s="209"/>
    </row>
    <row r="89" spans="1:15" s="173" customFormat="1" x14ac:dyDescent="0.25">
      <c r="A89" s="264"/>
      <c r="B89" s="265" t="s">
        <v>636</v>
      </c>
      <c r="C89" s="266"/>
      <c r="D89" s="212"/>
      <c r="E89" s="197" t="s">
        <v>201</v>
      </c>
      <c r="F89" s="213" t="s">
        <v>661</v>
      </c>
      <c r="G89" s="198"/>
      <c r="H89" s="198"/>
      <c r="I89" s="198"/>
      <c r="J89" s="199"/>
      <c r="K89" s="188" t="s">
        <v>573</v>
      </c>
      <c r="L89" s="201"/>
      <c r="M89" s="198"/>
      <c r="N89" s="201"/>
      <c r="O89" s="199"/>
    </row>
    <row r="90" spans="1:15" s="173" customFormat="1" x14ac:dyDescent="0.25">
      <c r="A90" s="217"/>
      <c r="B90" s="196" t="s">
        <v>642</v>
      </c>
      <c r="C90" s="236"/>
      <c r="D90" s="196"/>
      <c r="E90" s="197"/>
      <c r="F90" s="214" t="s">
        <v>70</v>
      </c>
      <c r="G90" s="221"/>
      <c r="H90" s="198"/>
      <c r="I90" s="198"/>
      <c r="J90" s="199"/>
      <c r="K90" s="200"/>
      <c r="L90" s="201"/>
      <c r="M90" s="198"/>
      <c r="N90" s="201"/>
      <c r="O90" s="199"/>
    </row>
    <row r="91" spans="1:15" ht="30" x14ac:dyDescent="0.25">
      <c r="A91" s="217"/>
      <c r="B91" s="202" t="s">
        <v>650</v>
      </c>
      <c r="C91" s="235" t="s">
        <v>678</v>
      </c>
      <c r="D91" s="5"/>
      <c r="E91" s="218" t="s">
        <v>201</v>
      </c>
      <c r="F91" s="200"/>
      <c r="G91" s="201"/>
      <c r="H91" s="215"/>
      <c r="I91" s="215"/>
      <c r="J91" s="222"/>
      <c r="K91" s="223" t="s">
        <v>573</v>
      </c>
      <c r="L91" s="215" t="s">
        <v>585</v>
      </c>
      <c r="M91" s="215"/>
      <c r="N91" s="215"/>
      <c r="O91" s="222"/>
    </row>
    <row r="92" spans="1:15" s="187" customFormat="1" x14ac:dyDescent="0.25">
      <c r="A92" s="204"/>
      <c r="B92" s="205" t="s">
        <v>637</v>
      </c>
      <c r="C92" s="237"/>
      <c r="D92" s="205"/>
      <c r="E92" s="206" t="s">
        <v>201</v>
      </c>
      <c r="F92" s="207"/>
      <c r="G92" s="208"/>
      <c r="H92" s="208"/>
      <c r="I92" s="208"/>
      <c r="J92" s="209"/>
      <c r="K92" s="210"/>
      <c r="L92" s="211"/>
      <c r="M92" s="208"/>
      <c r="N92" s="211"/>
      <c r="O92" s="209"/>
    </row>
    <row r="93" spans="1:15" s="136" customFormat="1" x14ac:dyDescent="0.25">
      <c r="A93" s="225"/>
      <c r="B93" s="226" t="s">
        <v>613</v>
      </c>
      <c r="C93" s="227" t="s">
        <v>126</v>
      </c>
      <c r="D93" s="228"/>
      <c r="E93" s="229"/>
      <c r="F93" s="230"/>
      <c r="G93" s="224"/>
      <c r="H93" s="224"/>
      <c r="I93" s="224"/>
      <c r="J93" s="231"/>
      <c r="K93" s="230" t="s">
        <v>612</v>
      </c>
      <c r="L93" s="224"/>
      <c r="M93" s="224"/>
      <c r="N93" s="224"/>
      <c r="O93" s="231"/>
    </row>
    <row r="94" spans="1:15" x14ac:dyDescent="0.25">
      <c r="A94" s="232"/>
      <c r="B94" s="233">
        <v>1043</v>
      </c>
      <c r="C94" s="234"/>
      <c r="D94" s="5"/>
      <c r="E94" s="197"/>
      <c r="F94" s="220"/>
      <c r="G94" s="215"/>
      <c r="H94" s="215"/>
      <c r="I94" s="215"/>
      <c r="J94" s="216"/>
      <c r="K94" s="220" t="s">
        <v>612</v>
      </c>
      <c r="L94" s="215"/>
      <c r="M94" s="215"/>
      <c r="N94" s="215"/>
      <c r="O94" s="216"/>
    </row>
    <row r="95" spans="1:15" s="136" customFormat="1" ht="15.75" thickBot="1" x14ac:dyDescent="0.3">
      <c r="A95" s="135"/>
      <c r="B95" s="156" t="s">
        <v>613</v>
      </c>
      <c r="C95" s="194" t="s">
        <v>126</v>
      </c>
      <c r="D95" s="157"/>
      <c r="E95" s="192"/>
      <c r="F95" s="176"/>
      <c r="G95" s="177"/>
      <c r="H95" s="177"/>
      <c r="I95" s="177"/>
      <c r="J95" s="178"/>
      <c r="K95" s="176" t="s">
        <v>619</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9"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546</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349</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369</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554</v>
      </c>
      <c r="G20" s="61">
        <v>0</v>
      </c>
    </row>
    <row r="21" spans="1:7" x14ac:dyDescent="0.25">
      <c r="A21" s="51" t="s">
        <v>32</v>
      </c>
      <c r="B21" s="68" t="s">
        <v>83</v>
      </c>
      <c r="C21" s="22" t="s">
        <v>22</v>
      </c>
      <c r="D21" s="17" t="s">
        <v>182</v>
      </c>
      <c r="E21" s="22" t="s">
        <v>22</v>
      </c>
      <c r="F21" s="54" t="s">
        <v>544</v>
      </c>
      <c r="G21" s="61">
        <v>0</v>
      </c>
    </row>
    <row r="22" spans="1:7" ht="30" x14ac:dyDescent="0.25">
      <c r="A22" s="52" t="s">
        <v>31</v>
      </c>
      <c r="B22" s="69" t="s">
        <v>48</v>
      </c>
      <c r="C22" s="37" t="s">
        <v>16</v>
      </c>
      <c r="D22" s="38" t="s">
        <v>178</v>
      </c>
      <c r="E22" s="39" t="s">
        <v>220</v>
      </c>
      <c r="F22" s="53" t="s">
        <v>547</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370</v>
      </c>
      <c r="G26" s="61">
        <v>0</v>
      </c>
    </row>
    <row r="27" spans="1:7" x14ac:dyDescent="0.25">
      <c r="A27" s="51" t="s">
        <v>4</v>
      </c>
      <c r="B27" s="68" t="s">
        <v>72</v>
      </c>
      <c r="C27" s="22" t="s">
        <v>69</v>
      </c>
      <c r="D27" s="17" t="s">
        <v>257</v>
      </c>
      <c r="E27" s="27"/>
      <c r="F27" s="54" t="s">
        <v>265</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548</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264</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708" t="s">
        <v>358</v>
      </c>
      <c r="I39" s="709"/>
    </row>
    <row r="40" spans="1:9" ht="30" x14ac:dyDescent="0.25">
      <c r="A40" s="27" t="s">
        <v>223</v>
      </c>
      <c r="B40" s="25" t="s">
        <v>381</v>
      </c>
      <c r="C40" s="41" t="s">
        <v>231</v>
      </c>
      <c r="D40" s="41" t="s">
        <v>149</v>
      </c>
      <c r="E40" s="46" t="s">
        <v>235</v>
      </c>
      <c r="F40" s="47" t="s">
        <v>241</v>
      </c>
      <c r="G40" s="56" t="s">
        <v>353</v>
      </c>
      <c r="H40" s="60" t="s">
        <v>355</v>
      </c>
      <c r="I40" s="60" t="s">
        <v>356</v>
      </c>
    </row>
    <row r="41" spans="1:9" ht="15.75" x14ac:dyDescent="0.3">
      <c r="A41" s="27" t="s">
        <v>137</v>
      </c>
      <c r="B41" s="71" t="s">
        <v>500</v>
      </c>
      <c r="C41" s="50" t="s">
        <v>229</v>
      </c>
      <c r="D41" s="49" t="s">
        <v>137</v>
      </c>
      <c r="E41" s="48" t="s">
        <v>137</v>
      </c>
      <c r="F41" s="44" t="s">
        <v>239</v>
      </c>
      <c r="G41" s="56" t="s">
        <v>352</v>
      </c>
      <c r="H41" s="27" t="s">
        <v>353</v>
      </c>
      <c r="I41" s="27" t="s">
        <v>354</v>
      </c>
    </row>
    <row r="42" spans="1:9" ht="15.75" x14ac:dyDescent="0.3">
      <c r="A42" s="27" t="s">
        <v>106</v>
      </c>
      <c r="B42" s="71" t="s">
        <v>266</v>
      </c>
      <c r="C42" s="50" t="s">
        <v>229</v>
      </c>
      <c r="D42" s="49" t="s">
        <v>106</v>
      </c>
      <c r="E42" s="48" t="s">
        <v>236</v>
      </c>
      <c r="F42" s="44" t="s">
        <v>238</v>
      </c>
      <c r="G42" s="56" t="s">
        <v>359</v>
      </c>
      <c r="H42" s="27" t="s">
        <v>353</v>
      </c>
      <c r="I42" s="27" t="s">
        <v>354</v>
      </c>
    </row>
    <row r="43" spans="1:9" ht="15.75" x14ac:dyDescent="0.3">
      <c r="A43" s="27" t="s">
        <v>18</v>
      </c>
      <c r="B43" s="71" t="s">
        <v>555</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353</v>
      </c>
      <c r="I44" s="27" t="s">
        <v>354</v>
      </c>
    </row>
    <row r="45" spans="1:9" ht="15.75" x14ac:dyDescent="0.3">
      <c r="A45" s="27" t="s">
        <v>144</v>
      </c>
      <c r="B45" s="71" t="s">
        <v>545</v>
      </c>
      <c r="C45" s="50" t="s">
        <v>229</v>
      </c>
      <c r="D45" s="49" t="s">
        <v>144</v>
      </c>
      <c r="E45" s="48" t="s">
        <v>234</v>
      </c>
      <c r="F45" s="44" t="s">
        <v>240</v>
      </c>
      <c r="G45" s="56" t="s">
        <v>357</v>
      </c>
      <c r="H45" s="27" t="s">
        <v>353</v>
      </c>
      <c r="I45" s="27" t="s">
        <v>354</v>
      </c>
    </row>
    <row r="46" spans="1:9" ht="15.75" x14ac:dyDescent="0.3">
      <c r="A46" s="27" t="s">
        <v>224</v>
      </c>
      <c r="B46" s="71" t="s">
        <v>552</v>
      </c>
      <c r="C46" s="49" t="s">
        <v>224</v>
      </c>
      <c r="D46" s="49" t="s">
        <v>146</v>
      </c>
      <c r="E46" s="48" t="s">
        <v>233</v>
      </c>
      <c r="F46" s="44" t="s">
        <v>240</v>
      </c>
    </row>
    <row r="47" spans="1:9" x14ac:dyDescent="0.25">
      <c r="A47" s="27" t="s">
        <v>198</v>
      </c>
      <c r="B47" s="71" t="s">
        <v>568</v>
      </c>
      <c r="C47" s="50" t="s">
        <v>229</v>
      </c>
      <c r="D47" s="28" t="s">
        <v>138</v>
      </c>
      <c r="E47" s="48" t="s">
        <v>237</v>
      </c>
      <c r="F47" s="44" t="s">
        <v>238</v>
      </c>
      <c r="G47" s="56" t="s">
        <v>357</v>
      </c>
      <c r="H47" s="27" t="s">
        <v>353</v>
      </c>
      <c r="I47" s="27" t="s">
        <v>354</v>
      </c>
    </row>
    <row r="48" spans="1:9" ht="15.75" x14ac:dyDescent="0.3">
      <c r="A48" s="27" t="s">
        <v>107</v>
      </c>
      <c r="B48" s="71" t="s">
        <v>226</v>
      </c>
      <c r="C48" s="50" t="s">
        <v>229</v>
      </c>
      <c r="D48" s="49" t="s">
        <v>107</v>
      </c>
      <c r="E48" s="48" t="s">
        <v>233</v>
      </c>
      <c r="F48" s="44" t="s">
        <v>240</v>
      </c>
      <c r="G48" s="56" t="s">
        <v>357</v>
      </c>
      <c r="H48" s="27" t="s">
        <v>353</v>
      </c>
      <c r="I48" s="27" t="s">
        <v>354</v>
      </c>
    </row>
    <row r="49" spans="1:9" ht="15.75" x14ac:dyDescent="0.3">
      <c r="A49" s="27" t="s">
        <v>225</v>
      </c>
      <c r="B49" s="71" t="s">
        <v>549</v>
      </c>
      <c r="C49" s="49" t="s">
        <v>225</v>
      </c>
      <c r="D49" s="49" t="s">
        <v>141</v>
      </c>
      <c r="E49" s="48" t="s">
        <v>233</v>
      </c>
      <c r="F49" s="44" t="s">
        <v>240</v>
      </c>
    </row>
    <row r="50" spans="1:9" ht="15.75" x14ac:dyDescent="0.3">
      <c r="A50" s="27" t="s">
        <v>203</v>
      </c>
      <c r="B50" s="71" t="s">
        <v>562</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357</v>
      </c>
      <c r="H51" s="27" t="s">
        <v>353</v>
      </c>
      <c r="I51" s="27" t="s">
        <v>354</v>
      </c>
    </row>
    <row r="52" spans="1:9" ht="15.75" x14ac:dyDescent="0.3">
      <c r="A52" s="27" t="s">
        <v>143</v>
      </c>
      <c r="B52" s="71" t="s">
        <v>143</v>
      </c>
      <c r="C52" s="50" t="s">
        <v>229</v>
      </c>
      <c r="D52" s="49" t="s">
        <v>143</v>
      </c>
      <c r="E52" s="48" t="s">
        <v>233</v>
      </c>
      <c r="F52" s="44" t="s">
        <v>240</v>
      </c>
      <c r="G52" s="56" t="s">
        <v>357</v>
      </c>
      <c r="H52" s="27" t="s">
        <v>353</v>
      </c>
      <c r="I52" s="27" t="s">
        <v>354</v>
      </c>
    </row>
    <row r="53" spans="1:9" x14ac:dyDescent="0.25">
      <c r="A53" s="55" t="s">
        <v>247</v>
      </c>
      <c r="B53" s="71" t="s">
        <v>551</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556</v>
      </c>
    </row>
    <row r="59" spans="1:9" x14ac:dyDescent="0.25">
      <c r="A59" s="27" t="s">
        <v>322</v>
      </c>
    </row>
    <row r="60" spans="1:9" x14ac:dyDescent="0.25">
      <c r="A60" s="27" t="s">
        <v>324</v>
      </c>
    </row>
    <row r="61" spans="1:9" x14ac:dyDescent="0.25">
      <c r="A61" s="27" t="s">
        <v>528</v>
      </c>
      <c r="B61" s="25" t="s">
        <v>70</v>
      </c>
    </row>
    <row r="62" spans="1:9" x14ac:dyDescent="0.25">
      <c r="A62" s="27" t="s">
        <v>295</v>
      </c>
      <c r="B62" s="24">
        <v>1</v>
      </c>
    </row>
    <row r="63" spans="1:9" x14ac:dyDescent="0.25">
      <c r="A63" s="27" t="s">
        <v>293</v>
      </c>
      <c r="B63" s="24">
        <v>1</v>
      </c>
    </row>
    <row r="64" spans="1:9" x14ac:dyDescent="0.25">
      <c r="A64" s="27" t="s">
        <v>301</v>
      </c>
      <c r="B64" s="24">
        <v>1</v>
      </c>
    </row>
    <row r="65" spans="1:7" x14ac:dyDescent="0.25">
      <c r="A65" s="27" t="s">
        <v>308</v>
      </c>
    </row>
    <row r="66" spans="1:7" x14ac:dyDescent="0.25">
      <c r="A66" s="27" t="s">
        <v>538</v>
      </c>
    </row>
    <row r="67" spans="1:7" x14ac:dyDescent="0.25">
      <c r="A67" s="27" t="s">
        <v>535</v>
      </c>
      <c r="B67" s="25" t="s">
        <v>70</v>
      </c>
    </row>
    <row r="68" spans="1:7" x14ac:dyDescent="0.25">
      <c r="A68" s="27" t="s">
        <v>367</v>
      </c>
      <c r="F68" s="17"/>
      <c r="G68" s="17"/>
    </row>
    <row r="69" spans="1:7" x14ac:dyDescent="0.25">
      <c r="A69" s="27" t="s">
        <v>284</v>
      </c>
      <c r="F69" s="17"/>
      <c r="G69" s="17"/>
    </row>
    <row r="70" spans="1:7" x14ac:dyDescent="0.25">
      <c r="A70" s="27" t="s">
        <v>325</v>
      </c>
      <c r="F70" s="17"/>
      <c r="G70" s="17"/>
    </row>
    <row r="71" spans="1:7" x14ac:dyDescent="0.25">
      <c r="A71" s="27" t="s">
        <v>291</v>
      </c>
      <c r="F71" s="17"/>
      <c r="G71" s="17"/>
    </row>
    <row r="72" spans="1:7" x14ac:dyDescent="0.25">
      <c r="A72" s="27" t="s">
        <v>294</v>
      </c>
      <c r="B72" s="24">
        <v>1</v>
      </c>
      <c r="F72" s="17"/>
      <c r="G72" s="17"/>
    </row>
    <row r="73" spans="1:7" x14ac:dyDescent="0.25">
      <c r="A73" s="27" t="s">
        <v>297</v>
      </c>
      <c r="B73" s="24">
        <v>1</v>
      </c>
      <c r="F73" s="17"/>
      <c r="G73" s="17"/>
    </row>
    <row r="74" spans="1:7" x14ac:dyDescent="0.25">
      <c r="A74" s="27" t="s">
        <v>323</v>
      </c>
      <c r="F74" s="17"/>
      <c r="G74" s="17"/>
    </row>
    <row r="75" spans="1:7" x14ac:dyDescent="0.25">
      <c r="A75" s="27" t="s">
        <v>336</v>
      </c>
      <c r="F75" s="17"/>
      <c r="G75" s="17"/>
    </row>
    <row r="76" spans="1:7" x14ac:dyDescent="0.25">
      <c r="A76" s="27" t="s">
        <v>304</v>
      </c>
      <c r="F76" s="17"/>
      <c r="G76" s="17"/>
    </row>
    <row r="77" spans="1:7" x14ac:dyDescent="0.25">
      <c r="A77" s="27" t="s">
        <v>307</v>
      </c>
      <c r="F77" s="17"/>
      <c r="G77" s="17"/>
    </row>
    <row r="78" spans="1:7" x14ac:dyDescent="0.25">
      <c r="A78" s="27" t="s">
        <v>288</v>
      </c>
      <c r="B78" s="24">
        <v>1</v>
      </c>
      <c r="F78" s="17"/>
      <c r="G78" s="17"/>
    </row>
    <row r="79" spans="1:7" x14ac:dyDescent="0.25">
      <c r="A79" s="27" t="s">
        <v>270</v>
      </c>
      <c r="B79" s="24">
        <v>1</v>
      </c>
      <c r="F79" s="17"/>
      <c r="G79" s="17"/>
    </row>
    <row r="80" spans="1:7" x14ac:dyDescent="0.25">
      <c r="A80" s="27" t="s">
        <v>269</v>
      </c>
      <c r="F80" s="17"/>
      <c r="G80" s="17"/>
    </row>
    <row r="81" spans="1:7" x14ac:dyDescent="0.25">
      <c r="A81" s="27" t="s">
        <v>314</v>
      </c>
      <c r="B81" s="24">
        <v>1</v>
      </c>
      <c r="F81" s="17"/>
      <c r="G81" s="17"/>
    </row>
    <row r="82" spans="1:7" x14ac:dyDescent="0.25">
      <c r="A82" s="27" t="s">
        <v>364</v>
      </c>
      <c r="F82" s="17"/>
      <c r="G82" s="17"/>
    </row>
    <row r="83" spans="1:7" x14ac:dyDescent="0.25">
      <c r="A83" s="27" t="s">
        <v>300</v>
      </c>
      <c r="B83" s="24">
        <v>1</v>
      </c>
      <c r="F83" s="17"/>
      <c r="G83" s="17"/>
    </row>
    <row r="84" spans="1:7" x14ac:dyDescent="0.25">
      <c r="A84" s="27" t="s">
        <v>280</v>
      </c>
      <c r="B84" s="24">
        <v>1</v>
      </c>
      <c r="F84" s="17"/>
      <c r="G84" s="17"/>
    </row>
    <row r="85" spans="1:7" x14ac:dyDescent="0.25">
      <c r="A85" s="27" t="s">
        <v>271</v>
      </c>
      <c r="F85" s="17"/>
      <c r="G85" s="17"/>
    </row>
    <row r="86" spans="1:7" x14ac:dyDescent="0.25">
      <c r="A86" s="27" t="s">
        <v>273</v>
      </c>
      <c r="F86" s="17"/>
      <c r="G86" s="17"/>
    </row>
    <row r="87" spans="1:7" x14ac:dyDescent="0.25">
      <c r="A87" s="27" t="s">
        <v>539</v>
      </c>
      <c r="F87" s="17"/>
      <c r="G87" s="17"/>
    </row>
    <row r="88" spans="1:7" x14ac:dyDescent="0.25">
      <c r="A88" s="27" t="s">
        <v>333</v>
      </c>
      <c r="F88" s="17"/>
      <c r="G88" s="17"/>
    </row>
    <row r="89" spans="1:7" x14ac:dyDescent="0.25">
      <c r="A89" s="27" t="s">
        <v>275</v>
      </c>
      <c r="F89" s="17"/>
      <c r="G89" s="17"/>
    </row>
    <row r="90" spans="1:7" x14ac:dyDescent="0.25">
      <c r="A90" s="27" t="s">
        <v>290</v>
      </c>
      <c r="F90" s="17"/>
      <c r="G90" s="17"/>
    </row>
    <row r="91" spans="1:7" x14ac:dyDescent="0.25">
      <c r="A91" s="27" t="s">
        <v>326</v>
      </c>
      <c r="B91" s="24">
        <v>1</v>
      </c>
      <c r="F91" s="17"/>
      <c r="G91" s="17"/>
    </row>
    <row r="92" spans="1:7" x14ac:dyDescent="0.25">
      <c r="A92" s="27" t="s">
        <v>283</v>
      </c>
      <c r="F92" s="17"/>
      <c r="G92" s="17"/>
    </row>
    <row r="93" spans="1:7" x14ac:dyDescent="0.25">
      <c r="A93" s="27" t="s">
        <v>312</v>
      </c>
      <c r="F93" s="17"/>
      <c r="G93" s="17"/>
    </row>
    <row r="94" spans="1:7" x14ac:dyDescent="0.25">
      <c r="A94" s="27" t="s">
        <v>335</v>
      </c>
      <c r="F94" s="17"/>
      <c r="G94" s="17"/>
    </row>
    <row r="95" spans="1:7" x14ac:dyDescent="0.25">
      <c r="A95" s="27" t="s">
        <v>299</v>
      </c>
      <c r="B95" s="24">
        <v>1</v>
      </c>
      <c r="F95" s="17"/>
      <c r="G95" s="17"/>
    </row>
    <row r="96" spans="1:7" x14ac:dyDescent="0.25">
      <c r="A96" s="27" t="s">
        <v>319</v>
      </c>
      <c r="F96" s="17"/>
      <c r="G96" s="17"/>
    </row>
    <row r="97" spans="1:7" x14ac:dyDescent="0.25">
      <c r="A97" s="27" t="s">
        <v>537</v>
      </c>
      <c r="F97" s="17"/>
      <c r="G97" s="17"/>
    </row>
    <row r="98" spans="1:7" x14ac:dyDescent="0.25">
      <c r="A98" s="27" t="s">
        <v>536</v>
      </c>
      <c r="F98" s="17"/>
      <c r="G98" s="17"/>
    </row>
    <row r="99" spans="1:7" x14ac:dyDescent="0.25">
      <c r="A99" s="27" t="s">
        <v>228</v>
      </c>
      <c r="F99" s="17"/>
      <c r="G99" s="17"/>
    </row>
    <row r="100" spans="1:7" x14ac:dyDescent="0.25">
      <c r="A100" s="27" t="s">
        <v>327</v>
      </c>
      <c r="B100" s="24">
        <v>1</v>
      </c>
      <c r="F100" s="17"/>
      <c r="G100" s="17"/>
    </row>
    <row r="101" spans="1:7" x14ac:dyDescent="0.25">
      <c r="A101" s="27" t="s">
        <v>330</v>
      </c>
      <c r="B101" s="24">
        <v>1</v>
      </c>
      <c r="F101" s="17"/>
      <c r="G101" s="17"/>
    </row>
    <row r="102" spans="1:7" x14ac:dyDescent="0.25">
      <c r="A102" s="27" t="s">
        <v>279</v>
      </c>
      <c r="F102" s="17"/>
      <c r="G102" s="17"/>
    </row>
    <row r="103" spans="1:7" x14ac:dyDescent="0.25">
      <c r="A103" s="27" t="s">
        <v>286</v>
      </c>
      <c r="F103" s="17"/>
      <c r="G103" s="17"/>
    </row>
    <row r="104" spans="1:7" x14ac:dyDescent="0.25">
      <c r="A104" s="27" t="s">
        <v>267</v>
      </c>
      <c r="F104" s="17"/>
      <c r="G104" s="17"/>
    </row>
    <row r="105" spans="1:7" x14ac:dyDescent="0.25">
      <c r="A105" s="27" t="s">
        <v>331</v>
      </c>
      <c r="B105" s="24">
        <v>1</v>
      </c>
      <c r="F105" s="17"/>
      <c r="G105" s="17"/>
    </row>
    <row r="106" spans="1:7" x14ac:dyDescent="0.25">
      <c r="A106" s="27" t="s">
        <v>287</v>
      </c>
      <c r="F106" s="17"/>
      <c r="G106" s="17"/>
    </row>
    <row r="107" spans="1:7" x14ac:dyDescent="0.25">
      <c r="A107" s="27" t="s">
        <v>298</v>
      </c>
      <c r="F107" s="17"/>
      <c r="G107" s="17"/>
    </row>
    <row r="108" spans="1:7" x14ac:dyDescent="0.25">
      <c r="A108" s="27" t="s">
        <v>292</v>
      </c>
      <c r="B108" s="24">
        <v>1</v>
      </c>
      <c r="F108" s="17"/>
      <c r="G108" s="17"/>
    </row>
    <row r="109" spans="1:7" x14ac:dyDescent="0.25">
      <c r="A109" s="27" t="s">
        <v>305</v>
      </c>
      <c r="F109" s="17"/>
      <c r="G109" s="17"/>
    </row>
    <row r="110" spans="1:7" x14ac:dyDescent="0.25">
      <c r="A110" s="27" t="s">
        <v>310</v>
      </c>
      <c r="F110" s="17"/>
      <c r="G110" s="17"/>
    </row>
    <row r="111" spans="1:7" x14ac:dyDescent="0.25">
      <c r="A111" s="27" t="s">
        <v>274</v>
      </c>
      <c r="F111" s="17"/>
      <c r="G111" s="17"/>
    </row>
    <row r="112" spans="1:7" x14ac:dyDescent="0.25">
      <c r="A112" s="27" t="s">
        <v>315</v>
      </c>
      <c r="F112" s="17"/>
      <c r="G112" s="17"/>
    </row>
    <row r="113" spans="1:7" x14ac:dyDescent="0.25">
      <c r="A113" s="27" t="s">
        <v>303</v>
      </c>
      <c r="B113" s="24">
        <v>1</v>
      </c>
      <c r="F113" s="17"/>
      <c r="G113" s="17"/>
    </row>
    <row r="114" spans="1:7" x14ac:dyDescent="0.25">
      <c r="A114" s="27" t="s">
        <v>321</v>
      </c>
      <c r="B114" s="24">
        <v>1</v>
      </c>
      <c r="F114" s="17"/>
      <c r="G114" s="17"/>
    </row>
    <row r="115" spans="1:7" x14ac:dyDescent="0.25">
      <c r="A115" s="27" t="s">
        <v>213</v>
      </c>
      <c r="F115" s="17"/>
      <c r="G115" s="17"/>
    </row>
    <row r="116" spans="1:7" x14ac:dyDescent="0.25">
      <c r="A116" s="27" t="s">
        <v>329</v>
      </c>
      <c r="B116" s="24">
        <v>1</v>
      </c>
      <c r="F116" s="17"/>
      <c r="G116" s="17"/>
    </row>
    <row r="117" spans="1:7" x14ac:dyDescent="0.25">
      <c r="A117" s="27" t="s">
        <v>276</v>
      </c>
      <c r="F117" s="17"/>
      <c r="G117" s="17"/>
    </row>
    <row r="118" spans="1:7" x14ac:dyDescent="0.25">
      <c r="A118" s="27" t="s">
        <v>313</v>
      </c>
      <c r="B118" s="24">
        <v>1</v>
      </c>
      <c r="F118" s="17"/>
      <c r="G118" s="17"/>
    </row>
    <row r="119" spans="1:7" x14ac:dyDescent="0.25">
      <c r="A119" s="27" t="s">
        <v>311</v>
      </c>
      <c r="F119" s="17"/>
      <c r="G119" s="17"/>
    </row>
    <row r="120" spans="1:7" x14ac:dyDescent="0.25">
      <c r="A120" s="27" t="s">
        <v>281</v>
      </c>
      <c r="F120" s="17"/>
      <c r="G120" s="17"/>
    </row>
    <row r="121" spans="1:7" x14ac:dyDescent="0.25">
      <c r="A121" s="27" t="s">
        <v>309</v>
      </c>
      <c r="F121" s="17"/>
      <c r="G121" s="17"/>
    </row>
    <row r="122" spans="1:7" x14ac:dyDescent="0.25">
      <c r="A122" s="27" t="s">
        <v>318</v>
      </c>
      <c r="F122" s="17"/>
      <c r="G122" s="17"/>
    </row>
    <row r="123" spans="1:7" x14ac:dyDescent="0.25">
      <c r="A123" s="27" t="s">
        <v>102</v>
      </c>
      <c r="F123" s="17"/>
      <c r="G123" s="17"/>
    </row>
    <row r="124" spans="1:7" x14ac:dyDescent="0.25">
      <c r="A124" s="27" t="s">
        <v>285</v>
      </c>
      <c r="F124" s="17"/>
      <c r="G124" s="17"/>
    </row>
    <row r="125" spans="1:7" x14ac:dyDescent="0.25">
      <c r="A125" s="27" t="s">
        <v>334</v>
      </c>
      <c r="B125" s="24">
        <v>1</v>
      </c>
      <c r="F125" s="17"/>
      <c r="G125" s="17"/>
    </row>
    <row r="126" spans="1:7" x14ac:dyDescent="0.25">
      <c r="A126" s="27" t="s">
        <v>332</v>
      </c>
      <c r="B126" s="24">
        <v>1</v>
      </c>
      <c r="F126" s="17"/>
      <c r="G126" s="17"/>
    </row>
    <row r="127" spans="1:7" x14ac:dyDescent="0.25">
      <c r="A127" s="27" t="s">
        <v>306</v>
      </c>
      <c r="F127" s="17"/>
      <c r="G127" s="17"/>
    </row>
    <row r="128" spans="1:7" x14ac:dyDescent="0.25">
      <c r="A128" s="27" t="s">
        <v>317</v>
      </c>
      <c r="B128" s="24">
        <v>1</v>
      </c>
      <c r="F128" s="17"/>
      <c r="G128" s="17"/>
    </row>
    <row r="129" spans="1:7" x14ac:dyDescent="0.25">
      <c r="A129" s="27" t="s">
        <v>540</v>
      </c>
      <c r="B129" s="25" t="s">
        <v>70</v>
      </c>
      <c r="F129" s="17"/>
      <c r="G129" s="17"/>
    </row>
    <row r="130" spans="1:7" x14ac:dyDescent="0.25">
      <c r="A130" s="27" t="s">
        <v>278</v>
      </c>
      <c r="F130" s="17"/>
      <c r="G130" s="17"/>
    </row>
    <row r="131" spans="1:7" x14ac:dyDescent="0.25">
      <c r="A131" s="27" t="s">
        <v>328</v>
      </c>
      <c r="B131" s="24">
        <v>1</v>
      </c>
      <c r="F131" s="17"/>
      <c r="G131" s="17"/>
    </row>
    <row r="132" spans="1:7" x14ac:dyDescent="0.25">
      <c r="A132" s="27" t="s">
        <v>272</v>
      </c>
      <c r="F132" s="17"/>
      <c r="G132" s="17"/>
    </row>
    <row r="133" spans="1:7" x14ac:dyDescent="0.25">
      <c r="A133" s="27" t="s">
        <v>366</v>
      </c>
      <c r="F133" s="17"/>
      <c r="G133" s="17"/>
    </row>
    <row r="134" spans="1:7" x14ac:dyDescent="0.25">
      <c r="A134" s="27" t="s">
        <v>302</v>
      </c>
      <c r="F134" s="17"/>
      <c r="G134" s="17"/>
    </row>
    <row r="135" spans="1:7" x14ac:dyDescent="0.25">
      <c r="A135" s="27" t="s">
        <v>541</v>
      </c>
      <c r="F135" s="17"/>
      <c r="G135" s="17"/>
    </row>
    <row r="136" spans="1:7" x14ac:dyDescent="0.25">
      <c r="A136" s="27" t="s">
        <v>268</v>
      </c>
      <c r="F136" s="17"/>
      <c r="G136" s="17"/>
    </row>
    <row r="137" spans="1:7" x14ac:dyDescent="0.25">
      <c r="A137" s="27" t="s">
        <v>534</v>
      </c>
      <c r="B137" s="25" t="s">
        <v>70</v>
      </c>
      <c r="F137" s="17"/>
      <c r="G137" s="17"/>
    </row>
    <row r="138" spans="1:7" x14ac:dyDescent="0.25">
      <c r="A138" s="27" t="s">
        <v>277</v>
      </c>
      <c r="F138" s="17"/>
      <c r="G138" s="17"/>
    </row>
    <row r="139" spans="1:7" x14ac:dyDescent="0.25">
      <c r="A139" s="27" t="s">
        <v>320</v>
      </c>
      <c r="F139" s="17"/>
      <c r="G139" s="17"/>
    </row>
    <row r="140" spans="1:7" x14ac:dyDescent="0.25">
      <c r="A140" s="27" t="s">
        <v>365</v>
      </c>
      <c r="F140" s="17"/>
      <c r="G140" s="17"/>
    </row>
    <row r="141" spans="1:7" x14ac:dyDescent="0.25">
      <c r="A141" s="27" t="s">
        <v>296</v>
      </c>
      <c r="B141" s="24">
        <v>1</v>
      </c>
      <c r="F141" s="17"/>
      <c r="G141" s="17"/>
    </row>
    <row r="142" spans="1:7" x14ac:dyDescent="0.25">
      <c r="A142" s="27" t="s">
        <v>289</v>
      </c>
      <c r="B142" s="24">
        <v>1</v>
      </c>
      <c r="F142" s="17"/>
      <c r="G142" s="17"/>
    </row>
    <row r="143" spans="1:7" x14ac:dyDescent="0.25">
      <c r="A143" s="27" t="s">
        <v>542</v>
      </c>
      <c r="F143" s="17"/>
      <c r="G143" s="17"/>
    </row>
    <row r="144" spans="1:7" x14ac:dyDescent="0.25">
      <c r="A144" s="27" t="s">
        <v>527</v>
      </c>
      <c r="F144" s="17"/>
      <c r="G144" s="17"/>
    </row>
    <row r="145" spans="1:7" x14ac:dyDescent="0.25">
      <c r="A145" s="27" t="s">
        <v>282</v>
      </c>
      <c r="F145" s="17"/>
      <c r="G145" s="17"/>
    </row>
    <row r="146" spans="1:7" x14ac:dyDescent="0.25">
      <c r="A146" s="27" t="s">
        <v>529</v>
      </c>
      <c r="B146" s="25" t="s">
        <v>70</v>
      </c>
      <c r="F146" s="17"/>
      <c r="G146" s="17"/>
    </row>
    <row r="147" spans="1:7" x14ac:dyDescent="0.25">
      <c r="F147" s="17"/>
      <c r="G147" s="17"/>
    </row>
    <row r="148" spans="1:7" x14ac:dyDescent="0.25">
      <c r="A148" s="73" t="s">
        <v>476</v>
      </c>
      <c r="F148" s="17"/>
      <c r="G148" s="17"/>
    </row>
    <row r="149" spans="1:7" x14ac:dyDescent="0.25">
      <c r="A149" s="17" t="s">
        <v>88</v>
      </c>
      <c r="F149" s="17"/>
      <c r="G149" s="17"/>
    </row>
    <row r="150" spans="1:7" x14ac:dyDescent="0.25">
      <c r="A150" s="27" t="s">
        <v>530</v>
      </c>
      <c r="B150" s="25" t="s">
        <v>531</v>
      </c>
      <c r="F150" s="17"/>
      <c r="G150" s="17"/>
    </row>
    <row r="151" spans="1:7" x14ac:dyDescent="0.25">
      <c r="A151" s="17" t="s">
        <v>503</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505</v>
      </c>
      <c r="B155" s="74" t="s">
        <v>506</v>
      </c>
      <c r="F155" s="17"/>
      <c r="G155" s="17"/>
    </row>
    <row r="156" spans="1:7" x14ac:dyDescent="0.25">
      <c r="A156" s="27" t="s">
        <v>533</v>
      </c>
      <c r="B156" s="74" t="s">
        <v>532</v>
      </c>
      <c r="F156" s="17"/>
      <c r="G156" s="17"/>
    </row>
    <row r="157" spans="1:7" x14ac:dyDescent="0.25">
      <c r="A157" s="17" t="s">
        <v>474</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475</v>
      </c>
      <c r="B164" s="27"/>
    </row>
    <row r="165" spans="1:7" x14ac:dyDescent="0.25">
      <c r="A165" s="17" t="s">
        <v>526</v>
      </c>
      <c r="F165" s="17"/>
      <c r="G165" s="17"/>
    </row>
    <row r="166" spans="1:7" x14ac:dyDescent="0.25">
      <c r="A166" s="17" t="s">
        <v>197</v>
      </c>
      <c r="C166" s="27" t="s">
        <v>507</v>
      </c>
      <c r="F166" s="17"/>
      <c r="G166" s="17"/>
    </row>
    <row r="167" spans="1:7" x14ac:dyDescent="0.25">
      <c r="A167" s="17" t="s">
        <v>193</v>
      </c>
      <c r="C167" s="27"/>
      <c r="F167" s="17"/>
      <c r="G167" s="17"/>
    </row>
    <row r="168" spans="1:7" x14ac:dyDescent="0.25">
      <c r="A168" s="17" t="s">
        <v>504</v>
      </c>
      <c r="B168" s="17" t="s">
        <v>472</v>
      </c>
      <c r="F168" s="17"/>
      <c r="G168" s="17"/>
    </row>
    <row r="169" spans="1:7" x14ac:dyDescent="0.25">
      <c r="A169" s="17" t="s">
        <v>502</v>
      </c>
      <c r="F169" s="17"/>
      <c r="G169" s="17"/>
    </row>
    <row r="170" spans="1:7" x14ac:dyDescent="0.25">
      <c r="A170" s="17" t="s">
        <v>199</v>
      </c>
      <c r="F170" s="17"/>
      <c r="G170" s="17"/>
    </row>
    <row r="171" spans="1:7" x14ac:dyDescent="0.25">
      <c r="A171" s="17" t="s">
        <v>471</v>
      </c>
    </row>
    <row r="172" spans="1:7" x14ac:dyDescent="0.25">
      <c r="A172" s="17" t="s">
        <v>473</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483</v>
      </c>
      <c r="E177" s="74"/>
      <c r="F177" s="17"/>
      <c r="G177" s="17"/>
    </row>
    <row r="178" spans="1:7" x14ac:dyDescent="0.25">
      <c r="A178" s="27" t="s">
        <v>477</v>
      </c>
      <c r="E178"/>
      <c r="F178" s="17"/>
      <c r="G178" s="17"/>
    </row>
    <row r="179" spans="1:7" x14ac:dyDescent="0.25">
      <c r="A179" s="27" t="s">
        <v>478</v>
      </c>
      <c r="E179"/>
      <c r="F179" s="17"/>
      <c r="G179" s="17"/>
    </row>
    <row r="180" spans="1:7" x14ac:dyDescent="0.25">
      <c r="A180" s="27" t="s">
        <v>192</v>
      </c>
      <c r="E180"/>
      <c r="F180" s="17"/>
      <c r="G180" s="17"/>
    </row>
    <row r="181" spans="1:7" x14ac:dyDescent="0.25">
      <c r="A181" s="27" t="s">
        <v>479</v>
      </c>
      <c r="E181"/>
      <c r="F181" s="17"/>
      <c r="G181" s="17"/>
    </row>
    <row r="182" spans="1:7" x14ac:dyDescent="0.25">
      <c r="A182" s="17" t="s">
        <v>480</v>
      </c>
      <c r="E182"/>
      <c r="F182" s="17"/>
      <c r="G182" s="17"/>
    </row>
    <row r="183" spans="1:7" x14ac:dyDescent="0.25">
      <c r="D183" s="74"/>
      <c r="E183"/>
      <c r="F183" s="17"/>
      <c r="G183" s="17"/>
    </row>
    <row r="184" spans="1:7" x14ac:dyDescent="0.25">
      <c r="A184" s="72" t="s">
        <v>484</v>
      </c>
      <c r="D184" s="74"/>
      <c r="E184" s="74"/>
      <c r="F184" s="17"/>
      <c r="G184" s="17"/>
    </row>
    <row r="185" spans="1:7" x14ac:dyDescent="0.25">
      <c r="A185" s="27" t="s">
        <v>481</v>
      </c>
      <c r="D185" s="74"/>
      <c r="E185"/>
    </row>
    <row r="186" spans="1:7" x14ac:dyDescent="0.25">
      <c r="A186" s="27" t="s">
        <v>482</v>
      </c>
      <c r="D186" s="74"/>
      <c r="E186"/>
      <c r="F186" s="17"/>
      <c r="G186" s="17"/>
    </row>
    <row r="187" spans="1:7" x14ac:dyDescent="0.25">
      <c r="A187" s="27" t="s">
        <v>190</v>
      </c>
      <c r="D187" s="74"/>
      <c r="E187"/>
      <c r="F187" s="17"/>
      <c r="G187" s="17"/>
    </row>
    <row r="188" spans="1:7" x14ac:dyDescent="0.25">
      <c r="F188" s="17"/>
      <c r="G188" s="17"/>
    </row>
    <row r="189" spans="1:7" x14ac:dyDescent="0.25">
      <c r="A189" s="73" t="s">
        <v>375</v>
      </c>
      <c r="F189" s="17"/>
      <c r="G189" s="17"/>
    </row>
    <row r="190" spans="1:7" x14ac:dyDescent="0.25">
      <c r="A190" s="27" t="s">
        <v>374</v>
      </c>
      <c r="F190" s="17"/>
      <c r="G190" s="17"/>
    </row>
    <row r="191" spans="1:7" x14ac:dyDescent="0.25">
      <c r="A191" s="27" t="s">
        <v>467</v>
      </c>
      <c r="F191" s="17"/>
      <c r="G191" s="17"/>
    </row>
    <row r="192" spans="1:7" x14ac:dyDescent="0.25">
      <c r="A192" s="27" t="s">
        <v>465</v>
      </c>
    </row>
    <row r="193" spans="1:7" x14ac:dyDescent="0.25">
      <c r="A193" s="27" t="s">
        <v>469</v>
      </c>
    </row>
    <row r="194" spans="1:7" x14ac:dyDescent="0.25">
      <c r="A194" s="27" t="s">
        <v>466</v>
      </c>
    </row>
    <row r="195" spans="1:7" x14ac:dyDescent="0.25">
      <c r="A195" s="27" t="s">
        <v>372</v>
      </c>
    </row>
    <row r="196" spans="1:7" x14ac:dyDescent="0.25">
      <c r="A196" s="27" t="s">
        <v>468</v>
      </c>
    </row>
    <row r="197" spans="1:7" x14ac:dyDescent="0.25">
      <c r="A197" s="27" t="s">
        <v>376</v>
      </c>
    </row>
    <row r="198" spans="1:7" x14ac:dyDescent="0.25">
      <c r="A198" s="27" t="s">
        <v>368</v>
      </c>
    </row>
    <row r="199" spans="1:7" ht="15.75" thickBot="1" x14ac:dyDescent="0.3"/>
    <row r="200" spans="1:7" x14ac:dyDescent="0.25">
      <c r="A200" s="75" t="s">
        <v>380</v>
      </c>
      <c r="B200" s="79"/>
      <c r="C200" s="82" t="s">
        <v>485</v>
      </c>
      <c r="D200" s="83" t="s">
        <v>486</v>
      </c>
      <c r="E200" s="84"/>
      <c r="F200" s="85"/>
      <c r="G200" s="17"/>
    </row>
    <row r="201" spans="1:7" x14ac:dyDescent="0.25">
      <c r="A201" s="76" t="s">
        <v>492</v>
      </c>
      <c r="B201" s="80" t="s">
        <v>493</v>
      </c>
      <c r="C201" s="86" t="s">
        <v>463</v>
      </c>
      <c r="D201" s="29" t="s">
        <v>383</v>
      </c>
      <c r="E201" s="29"/>
      <c r="F201" s="77"/>
      <c r="G201" s="17"/>
    </row>
    <row r="202" spans="1:7" x14ac:dyDescent="0.25">
      <c r="A202" s="76" t="s">
        <v>461</v>
      </c>
      <c r="B202" s="80" t="s">
        <v>493</v>
      </c>
      <c r="C202" s="86" t="s">
        <v>379</v>
      </c>
      <c r="D202" s="29" t="s">
        <v>384</v>
      </c>
      <c r="E202" s="29"/>
      <c r="F202" s="77"/>
      <c r="G202" s="17"/>
    </row>
    <row r="203" spans="1:7" x14ac:dyDescent="0.25">
      <c r="A203" s="76" t="s">
        <v>459</v>
      </c>
      <c r="B203" s="80" t="s">
        <v>493</v>
      </c>
      <c r="C203" s="86" t="s">
        <v>379</v>
      </c>
      <c r="D203" s="29" t="s">
        <v>385</v>
      </c>
      <c r="E203" s="29"/>
      <c r="F203" s="77"/>
      <c r="G203" s="17"/>
    </row>
    <row r="204" spans="1:7" x14ac:dyDescent="0.25">
      <c r="A204" s="76" t="s">
        <v>382</v>
      </c>
      <c r="B204" s="81" t="s">
        <v>493</v>
      </c>
      <c r="C204" s="86" t="s">
        <v>379</v>
      </c>
      <c r="D204" s="29" t="s">
        <v>386</v>
      </c>
      <c r="E204" s="29"/>
      <c r="F204" s="77"/>
      <c r="G204" s="17"/>
    </row>
    <row r="205" spans="1:7" x14ac:dyDescent="0.25">
      <c r="A205" s="76" t="s">
        <v>470</v>
      </c>
      <c r="B205" s="80" t="s">
        <v>493</v>
      </c>
      <c r="C205" s="86" t="s">
        <v>491</v>
      </c>
      <c r="D205" s="29" t="s">
        <v>387</v>
      </c>
      <c r="E205" s="29"/>
      <c r="F205" s="77"/>
      <c r="G205" s="17"/>
    </row>
    <row r="206" spans="1:7" x14ac:dyDescent="0.25">
      <c r="A206" s="76" t="s">
        <v>460</v>
      </c>
      <c r="B206" s="80" t="s">
        <v>493</v>
      </c>
      <c r="C206" s="86" t="s">
        <v>496</v>
      </c>
      <c r="D206" s="29" t="s">
        <v>388</v>
      </c>
      <c r="E206" s="29"/>
      <c r="F206" s="77"/>
      <c r="G206" s="17"/>
    </row>
    <row r="207" spans="1:7" x14ac:dyDescent="0.25">
      <c r="A207" s="76" t="s">
        <v>378</v>
      </c>
      <c r="B207" s="80" t="s">
        <v>493</v>
      </c>
      <c r="C207" s="86" t="s">
        <v>464</v>
      </c>
      <c r="D207" s="29" t="s">
        <v>389</v>
      </c>
      <c r="E207" s="29"/>
      <c r="F207" s="77"/>
      <c r="G207" s="17"/>
    </row>
    <row r="208" spans="1:7" x14ac:dyDescent="0.25">
      <c r="A208" s="76" t="s">
        <v>491</v>
      </c>
      <c r="B208" s="80" t="s">
        <v>493</v>
      </c>
      <c r="C208" s="86" t="s">
        <v>520</v>
      </c>
      <c r="D208" s="29" t="s">
        <v>390</v>
      </c>
      <c r="E208" s="29"/>
      <c r="F208" s="77"/>
      <c r="G208" s="17"/>
    </row>
    <row r="209" spans="1:7" x14ac:dyDescent="0.25">
      <c r="A209" s="76" t="s">
        <v>508</v>
      </c>
      <c r="B209" s="80" t="s">
        <v>493</v>
      </c>
      <c r="C209" s="86" t="s">
        <v>520</v>
      </c>
      <c r="D209" s="29" t="s">
        <v>391</v>
      </c>
      <c r="E209" s="29"/>
      <c r="F209" s="77"/>
      <c r="G209" s="17"/>
    </row>
    <row r="210" spans="1:7" x14ac:dyDescent="0.25">
      <c r="A210" s="76" t="s">
        <v>509</v>
      </c>
      <c r="B210" s="80" t="s">
        <v>493</v>
      </c>
      <c r="C210" s="86" t="s">
        <v>520</v>
      </c>
      <c r="D210" s="29" t="s">
        <v>392</v>
      </c>
      <c r="E210" s="29"/>
      <c r="F210" s="77"/>
      <c r="G210" s="17"/>
    </row>
    <row r="211" spans="1:7" x14ac:dyDescent="0.25">
      <c r="A211" s="76" t="s">
        <v>488</v>
      </c>
      <c r="B211" s="80" t="s">
        <v>493</v>
      </c>
      <c r="C211" s="86" t="s">
        <v>459</v>
      </c>
      <c r="D211" s="81" t="s">
        <v>393</v>
      </c>
      <c r="E211" s="29"/>
      <c r="F211" s="77"/>
      <c r="G211" s="17"/>
    </row>
    <row r="212" spans="1:7" x14ac:dyDescent="0.25">
      <c r="A212" s="76" t="s">
        <v>511</v>
      </c>
      <c r="B212" s="80" t="s">
        <v>493</v>
      </c>
      <c r="C212" s="86" t="s">
        <v>459</v>
      </c>
      <c r="D212" s="29" t="s">
        <v>394</v>
      </c>
      <c r="E212" s="29"/>
      <c r="F212" s="77"/>
      <c r="G212" s="17"/>
    </row>
    <row r="213" spans="1:7" x14ac:dyDescent="0.25">
      <c r="A213" s="76" t="s">
        <v>489</v>
      </c>
      <c r="B213" s="80" t="s">
        <v>518</v>
      </c>
      <c r="C213" s="86" t="s">
        <v>487</v>
      </c>
      <c r="D213" s="29" t="s">
        <v>395</v>
      </c>
      <c r="E213" s="29"/>
      <c r="F213" s="77"/>
      <c r="G213" s="17"/>
    </row>
    <row r="214" spans="1:7" x14ac:dyDescent="0.25">
      <c r="A214" s="76" t="s">
        <v>490</v>
      </c>
      <c r="B214" s="80" t="s">
        <v>518</v>
      </c>
      <c r="C214" s="86" t="s">
        <v>382</v>
      </c>
      <c r="D214" s="29" t="s">
        <v>396</v>
      </c>
      <c r="E214" s="29"/>
      <c r="F214" s="77"/>
      <c r="G214" s="17"/>
    </row>
    <row r="215" spans="1:7" x14ac:dyDescent="0.25">
      <c r="A215" s="76" t="s">
        <v>377</v>
      </c>
      <c r="B215" s="80" t="s">
        <v>494</v>
      </c>
      <c r="C215" s="86" t="s">
        <v>378</v>
      </c>
      <c r="D215" s="29" t="s">
        <v>397</v>
      </c>
      <c r="E215" s="29"/>
      <c r="F215" s="77"/>
      <c r="G215" s="17"/>
    </row>
    <row r="216" spans="1:7" x14ac:dyDescent="0.25">
      <c r="A216" s="76" t="s">
        <v>487</v>
      </c>
      <c r="B216" s="81" t="s">
        <v>494</v>
      </c>
      <c r="C216" s="86" t="s">
        <v>490</v>
      </c>
      <c r="D216" s="29" t="s">
        <v>398</v>
      </c>
      <c r="E216" s="29"/>
      <c r="F216" s="77"/>
      <c r="G216" s="17"/>
    </row>
    <row r="217" spans="1:7" x14ac:dyDescent="0.25">
      <c r="A217" s="76" t="s">
        <v>464</v>
      </c>
      <c r="B217" s="81" t="s">
        <v>494</v>
      </c>
      <c r="C217" s="86" t="s">
        <v>490</v>
      </c>
      <c r="D217" s="29" t="s">
        <v>399</v>
      </c>
      <c r="E217" s="29"/>
      <c r="F217" s="77"/>
      <c r="G217" s="17"/>
    </row>
    <row r="218" spans="1:7" x14ac:dyDescent="0.25">
      <c r="A218" s="76" t="s">
        <v>510</v>
      </c>
      <c r="B218" s="81" t="s">
        <v>494</v>
      </c>
      <c r="C218" s="86" t="s">
        <v>460</v>
      </c>
      <c r="D218" s="29" t="s">
        <v>400</v>
      </c>
      <c r="E218" s="29"/>
      <c r="F218" s="77"/>
      <c r="G218" s="17"/>
    </row>
    <row r="219" spans="1:7" x14ac:dyDescent="0.25">
      <c r="A219" s="76" t="s">
        <v>462</v>
      </c>
      <c r="B219" s="80" t="s">
        <v>494</v>
      </c>
      <c r="C219" s="86" t="s">
        <v>462</v>
      </c>
      <c r="D219" s="29" t="s">
        <v>401</v>
      </c>
      <c r="E219" s="29"/>
      <c r="F219" s="77"/>
      <c r="G219" s="17"/>
    </row>
    <row r="220" spans="1:7" x14ac:dyDescent="0.25">
      <c r="A220" s="76" t="s">
        <v>519</v>
      </c>
      <c r="B220" s="80" t="s">
        <v>494</v>
      </c>
      <c r="C220" s="86" t="s">
        <v>461</v>
      </c>
      <c r="D220" s="29" t="s">
        <v>402</v>
      </c>
      <c r="E220" s="29"/>
      <c r="F220" s="77"/>
      <c r="G220" s="17"/>
    </row>
    <row r="221" spans="1:7" x14ac:dyDescent="0.25">
      <c r="A221" s="76" t="s">
        <v>515</v>
      </c>
      <c r="B221" s="80" t="s">
        <v>494</v>
      </c>
      <c r="C221" s="86" t="s">
        <v>382</v>
      </c>
      <c r="D221" s="29" t="s">
        <v>403</v>
      </c>
      <c r="E221" s="29"/>
      <c r="F221" s="77"/>
      <c r="G221" s="17"/>
    </row>
    <row r="222" spans="1:7" x14ac:dyDescent="0.25">
      <c r="A222" s="76" t="s">
        <v>514</v>
      </c>
      <c r="B222" s="81" t="s">
        <v>494</v>
      </c>
      <c r="C222" s="86" t="s">
        <v>470</v>
      </c>
      <c r="D222" s="29" t="s">
        <v>404</v>
      </c>
      <c r="E222" s="29"/>
      <c r="F222" s="77"/>
      <c r="G222" s="17"/>
    </row>
    <row r="223" spans="1:7" x14ac:dyDescent="0.25">
      <c r="A223" s="76" t="s">
        <v>512</v>
      </c>
      <c r="B223" s="80" t="s">
        <v>494</v>
      </c>
      <c r="C223" s="86" t="s">
        <v>470</v>
      </c>
      <c r="D223" s="29" t="s">
        <v>405</v>
      </c>
      <c r="E223" s="29"/>
      <c r="F223" s="77"/>
      <c r="G223" s="17"/>
    </row>
    <row r="224" spans="1:7" x14ac:dyDescent="0.25">
      <c r="A224" s="76" t="s">
        <v>513</v>
      </c>
      <c r="B224" s="80" t="s">
        <v>497</v>
      </c>
      <c r="C224" s="86" t="s">
        <v>492</v>
      </c>
      <c r="D224" s="29" t="s">
        <v>406</v>
      </c>
      <c r="E224" s="29"/>
      <c r="F224" s="77"/>
      <c r="G224" s="17"/>
    </row>
    <row r="225" spans="1:7" x14ac:dyDescent="0.25">
      <c r="A225" s="76" t="s">
        <v>463</v>
      </c>
      <c r="B225" s="80" t="s">
        <v>497</v>
      </c>
      <c r="C225" s="86" t="s">
        <v>492</v>
      </c>
      <c r="D225" s="29" t="s">
        <v>407</v>
      </c>
      <c r="E225" s="29"/>
      <c r="F225" s="77"/>
      <c r="G225" s="17"/>
    </row>
    <row r="226" spans="1:7" x14ac:dyDescent="0.25">
      <c r="A226" s="76" t="s">
        <v>498</v>
      </c>
      <c r="B226" s="80" t="s">
        <v>497</v>
      </c>
      <c r="C226" s="86" t="s">
        <v>492</v>
      </c>
      <c r="D226" s="29" t="s">
        <v>408</v>
      </c>
      <c r="E226" s="29"/>
      <c r="F226" s="77"/>
      <c r="G226" s="17"/>
    </row>
    <row r="227" spans="1:7" x14ac:dyDescent="0.25">
      <c r="A227" s="76" t="s">
        <v>495</v>
      </c>
      <c r="B227" s="80" t="s">
        <v>497</v>
      </c>
      <c r="C227" s="86" t="s">
        <v>508</v>
      </c>
      <c r="D227" s="29" t="s">
        <v>409</v>
      </c>
      <c r="E227" s="29"/>
      <c r="F227" s="77"/>
      <c r="G227" s="17"/>
    </row>
    <row r="228" spans="1:7" x14ac:dyDescent="0.25">
      <c r="A228" s="76" t="s">
        <v>496</v>
      </c>
      <c r="B228" s="80" t="s">
        <v>497</v>
      </c>
      <c r="C228" s="86" t="s">
        <v>488</v>
      </c>
      <c r="D228" s="29" t="s">
        <v>410</v>
      </c>
      <c r="E228" s="29"/>
      <c r="F228" s="77"/>
      <c r="G228" s="17"/>
    </row>
    <row r="229" spans="1:7" x14ac:dyDescent="0.25">
      <c r="A229" s="76" t="s">
        <v>516</v>
      </c>
      <c r="B229" s="80" t="s">
        <v>497</v>
      </c>
      <c r="C229" s="86" t="s">
        <v>488</v>
      </c>
      <c r="D229" s="29" t="s">
        <v>411</v>
      </c>
      <c r="E229" s="29"/>
      <c r="F229" s="77"/>
      <c r="G229" s="17"/>
    </row>
    <row r="230" spans="1:7" x14ac:dyDescent="0.25">
      <c r="A230" s="76" t="s">
        <v>499</v>
      </c>
      <c r="B230" s="80" t="s">
        <v>497</v>
      </c>
      <c r="C230" s="86" t="s">
        <v>488</v>
      </c>
      <c r="D230" s="29" t="s">
        <v>412</v>
      </c>
      <c r="E230" s="29"/>
      <c r="F230" s="77"/>
      <c r="G230" s="17"/>
    </row>
    <row r="231" spans="1:7" x14ac:dyDescent="0.25">
      <c r="A231" s="76" t="s">
        <v>42</v>
      </c>
      <c r="B231" s="80" t="s">
        <v>42</v>
      </c>
      <c r="C231" s="86" t="s">
        <v>489</v>
      </c>
      <c r="D231" s="29" t="s">
        <v>413</v>
      </c>
      <c r="E231" s="29"/>
      <c r="F231" s="77"/>
      <c r="G231" s="17"/>
    </row>
    <row r="232" spans="1:7" x14ac:dyDescent="0.25">
      <c r="A232" s="76" t="s">
        <v>379</v>
      </c>
      <c r="B232" s="80" t="s">
        <v>379</v>
      </c>
      <c r="C232" s="86" t="s">
        <v>489</v>
      </c>
      <c r="D232" s="29" t="s">
        <v>414</v>
      </c>
      <c r="E232" s="29"/>
      <c r="F232" s="77"/>
      <c r="G232" s="17"/>
    </row>
    <row r="233" spans="1:7" ht="15.75" thickBot="1" x14ac:dyDescent="0.3">
      <c r="A233" s="78" t="s">
        <v>520</v>
      </c>
      <c r="B233" s="91" t="s">
        <v>520</v>
      </c>
      <c r="C233" s="86" t="s">
        <v>489</v>
      </c>
      <c r="D233" s="29" t="s">
        <v>415</v>
      </c>
      <c r="E233" s="29"/>
      <c r="F233" s="77"/>
      <c r="G233" s="17"/>
    </row>
    <row r="234" spans="1:7" x14ac:dyDescent="0.25">
      <c r="C234" s="86" t="s">
        <v>461</v>
      </c>
      <c r="D234" s="29" t="s">
        <v>416</v>
      </c>
      <c r="E234" s="29"/>
      <c r="F234" s="77"/>
      <c r="G234" s="17"/>
    </row>
    <row r="235" spans="1:7" x14ac:dyDescent="0.25">
      <c r="C235" s="86" t="s">
        <v>461</v>
      </c>
      <c r="D235" s="29" t="s">
        <v>417</v>
      </c>
      <c r="E235" s="29"/>
      <c r="F235" s="77"/>
      <c r="G235" s="17"/>
    </row>
    <row r="236" spans="1:7" x14ac:dyDescent="0.25">
      <c r="C236" s="86" t="s">
        <v>461</v>
      </c>
      <c r="D236" s="29" t="s">
        <v>418</v>
      </c>
      <c r="E236" s="29"/>
      <c r="F236" s="77"/>
      <c r="G236" s="17"/>
    </row>
    <row r="237" spans="1:7" x14ac:dyDescent="0.25">
      <c r="C237" s="86" t="s">
        <v>511</v>
      </c>
      <c r="D237" s="29" t="s">
        <v>419</v>
      </c>
      <c r="E237" s="29"/>
      <c r="F237" s="77"/>
      <c r="G237" s="17"/>
    </row>
    <row r="238" spans="1:7" x14ac:dyDescent="0.25">
      <c r="C238" s="86" t="s">
        <v>382</v>
      </c>
      <c r="D238" s="29" t="s">
        <v>420</v>
      </c>
      <c r="E238" s="29"/>
      <c r="F238" s="77"/>
      <c r="G238" s="17"/>
    </row>
    <row r="239" spans="1:7" x14ac:dyDescent="0.25">
      <c r="C239" s="86" t="s">
        <v>509</v>
      </c>
      <c r="D239" s="29" t="s">
        <v>421</v>
      </c>
      <c r="E239" s="29"/>
      <c r="F239" s="77"/>
      <c r="G239" s="17"/>
    </row>
    <row r="240" spans="1:7" x14ac:dyDescent="0.25">
      <c r="C240" s="86" t="s">
        <v>487</v>
      </c>
      <c r="D240" s="29" t="s">
        <v>422</v>
      </c>
      <c r="E240" s="29"/>
      <c r="F240" s="77"/>
      <c r="G240" s="17"/>
    </row>
    <row r="241" spans="2:7" x14ac:dyDescent="0.25">
      <c r="C241" s="86" t="s">
        <v>379</v>
      </c>
      <c r="D241" s="29" t="s">
        <v>423</v>
      </c>
      <c r="E241" s="29"/>
      <c r="F241" s="77"/>
      <c r="G241" s="17"/>
    </row>
    <row r="242" spans="2:7" x14ac:dyDescent="0.25">
      <c r="C242" s="86" t="s">
        <v>379</v>
      </c>
      <c r="D242" s="29" t="s">
        <v>424</v>
      </c>
      <c r="E242" s="29"/>
      <c r="F242" s="77"/>
      <c r="G242" s="17"/>
    </row>
    <row r="243" spans="2:7" x14ac:dyDescent="0.25">
      <c r="B243" s="17"/>
      <c r="C243" s="86" t="s">
        <v>464</v>
      </c>
      <c r="D243" s="29" t="s">
        <v>425</v>
      </c>
      <c r="E243" s="29"/>
      <c r="F243" s="77"/>
      <c r="G243" s="17"/>
    </row>
    <row r="244" spans="2:7" x14ac:dyDescent="0.25">
      <c r="B244" s="17"/>
      <c r="C244" s="86" t="s">
        <v>464</v>
      </c>
      <c r="D244" s="29" t="s">
        <v>426</v>
      </c>
      <c r="E244" s="29"/>
      <c r="F244" s="77"/>
      <c r="G244" s="17"/>
    </row>
    <row r="245" spans="2:7" x14ac:dyDescent="0.25">
      <c r="B245" s="17"/>
      <c r="C245" s="86" t="s">
        <v>514</v>
      </c>
      <c r="D245" s="29" t="s">
        <v>427</v>
      </c>
      <c r="E245" s="29"/>
      <c r="F245" s="77"/>
      <c r="G245" s="17"/>
    </row>
    <row r="246" spans="2:7" x14ac:dyDescent="0.25">
      <c r="B246" s="17"/>
      <c r="C246" s="86" t="s">
        <v>515</v>
      </c>
      <c r="D246" s="29" t="s">
        <v>428</v>
      </c>
      <c r="E246" s="29"/>
      <c r="F246" s="77"/>
      <c r="G246" s="17"/>
    </row>
    <row r="247" spans="2:7" x14ac:dyDescent="0.25">
      <c r="B247" s="17"/>
      <c r="C247" s="86" t="s">
        <v>515</v>
      </c>
      <c r="D247" s="29" t="s">
        <v>429</v>
      </c>
      <c r="E247" s="29"/>
      <c r="F247" s="77"/>
      <c r="G247" s="17"/>
    </row>
    <row r="248" spans="2:7" x14ac:dyDescent="0.25">
      <c r="B248" s="17"/>
      <c r="C248" s="86" t="s">
        <v>515</v>
      </c>
      <c r="D248" s="29" t="s">
        <v>430</v>
      </c>
      <c r="E248" s="29"/>
      <c r="F248" s="77"/>
      <c r="G248" s="17"/>
    </row>
    <row r="249" spans="2:7" x14ac:dyDescent="0.25">
      <c r="B249" s="17"/>
      <c r="C249" s="86" t="s">
        <v>377</v>
      </c>
      <c r="D249" s="29" t="s">
        <v>431</v>
      </c>
      <c r="E249" s="29"/>
      <c r="F249" s="77"/>
      <c r="G249" s="17"/>
    </row>
    <row r="250" spans="2:7" x14ac:dyDescent="0.25">
      <c r="B250" s="17"/>
      <c r="C250" s="86" t="s">
        <v>377</v>
      </c>
      <c r="D250" s="29" t="s">
        <v>432</v>
      </c>
      <c r="E250" s="29"/>
      <c r="F250" s="77"/>
      <c r="G250" s="17"/>
    </row>
    <row r="251" spans="2:7" x14ac:dyDescent="0.25">
      <c r="B251" s="17"/>
      <c r="C251" s="86" t="s">
        <v>377</v>
      </c>
      <c r="D251" s="29" t="s">
        <v>433</v>
      </c>
      <c r="E251" s="29"/>
      <c r="F251" s="77"/>
      <c r="G251" s="17"/>
    </row>
    <row r="252" spans="2:7" x14ac:dyDescent="0.25">
      <c r="B252" s="17"/>
      <c r="C252" s="86" t="s">
        <v>510</v>
      </c>
      <c r="D252" s="29" t="s">
        <v>434</v>
      </c>
      <c r="E252" s="29"/>
      <c r="F252" s="77"/>
      <c r="G252" s="17"/>
    </row>
    <row r="253" spans="2:7" x14ac:dyDescent="0.25">
      <c r="B253" s="17"/>
      <c r="C253" s="86" t="s">
        <v>510</v>
      </c>
      <c r="D253" s="29" t="s">
        <v>435</v>
      </c>
      <c r="E253" s="29"/>
      <c r="F253" s="77"/>
      <c r="G253" s="17"/>
    </row>
    <row r="254" spans="2:7" x14ac:dyDescent="0.25">
      <c r="B254" s="17"/>
      <c r="C254" s="86" t="s">
        <v>510</v>
      </c>
      <c r="D254" s="29" t="s">
        <v>436</v>
      </c>
      <c r="E254" s="29"/>
      <c r="F254" s="77"/>
      <c r="G254" s="17"/>
    </row>
    <row r="255" spans="2:7" x14ac:dyDescent="0.25">
      <c r="B255" s="17"/>
      <c r="C255" s="86" t="s">
        <v>519</v>
      </c>
      <c r="D255" s="29" t="s">
        <v>437</v>
      </c>
      <c r="E255" s="29"/>
      <c r="F255" s="77"/>
      <c r="G255" s="17"/>
    </row>
    <row r="256" spans="2:7" x14ac:dyDescent="0.25">
      <c r="B256" s="17"/>
      <c r="C256" s="86" t="s">
        <v>519</v>
      </c>
      <c r="D256" s="29" t="s">
        <v>438</v>
      </c>
      <c r="E256" s="29"/>
      <c r="F256" s="77"/>
      <c r="G256" s="17"/>
    </row>
    <row r="257" spans="2:7" x14ac:dyDescent="0.25">
      <c r="B257" s="17"/>
      <c r="C257" s="86" t="s">
        <v>519</v>
      </c>
      <c r="D257" s="29" t="s">
        <v>439</v>
      </c>
      <c r="E257" s="29"/>
      <c r="F257" s="77"/>
      <c r="G257" s="17"/>
    </row>
    <row r="258" spans="2:7" x14ac:dyDescent="0.25">
      <c r="B258" s="17"/>
      <c r="C258" s="86" t="s">
        <v>516</v>
      </c>
      <c r="D258" s="29" t="s">
        <v>440</v>
      </c>
      <c r="E258" s="29"/>
      <c r="F258" s="77"/>
      <c r="G258" s="17"/>
    </row>
    <row r="259" spans="2:7" x14ac:dyDescent="0.25">
      <c r="B259" s="17"/>
      <c r="C259" s="86" t="s">
        <v>512</v>
      </c>
      <c r="D259" s="29" t="s">
        <v>441</v>
      </c>
      <c r="E259" s="29"/>
      <c r="F259" s="77"/>
      <c r="G259" s="17"/>
    </row>
    <row r="260" spans="2:7" x14ac:dyDescent="0.25">
      <c r="B260" s="17"/>
      <c r="C260" s="86" t="s">
        <v>512</v>
      </c>
      <c r="D260" s="29" t="s">
        <v>442</v>
      </c>
      <c r="E260" s="29"/>
      <c r="F260" s="77"/>
      <c r="G260" s="17"/>
    </row>
    <row r="261" spans="2:7" x14ac:dyDescent="0.25">
      <c r="B261" s="17"/>
      <c r="C261" s="86" t="s">
        <v>512</v>
      </c>
      <c r="D261" s="29" t="s">
        <v>443</v>
      </c>
      <c r="E261" s="29"/>
      <c r="F261" s="77"/>
      <c r="G261" s="17"/>
    </row>
    <row r="262" spans="2:7" x14ac:dyDescent="0.25">
      <c r="B262" s="17"/>
      <c r="C262" s="86" t="s">
        <v>512</v>
      </c>
      <c r="D262" s="29" t="s">
        <v>444</v>
      </c>
      <c r="E262" s="29"/>
      <c r="F262" s="77"/>
      <c r="G262" s="17"/>
    </row>
    <row r="263" spans="2:7" x14ac:dyDescent="0.25">
      <c r="B263" s="17"/>
      <c r="C263" s="86" t="s">
        <v>512</v>
      </c>
      <c r="D263" s="29" t="s">
        <v>445</v>
      </c>
      <c r="E263" s="29"/>
      <c r="F263" s="77"/>
      <c r="G263" s="17"/>
    </row>
    <row r="264" spans="2:7" x14ac:dyDescent="0.25">
      <c r="B264" s="17"/>
      <c r="C264" s="86" t="s">
        <v>512</v>
      </c>
      <c r="D264" s="29" t="s">
        <v>446</v>
      </c>
      <c r="E264" s="29"/>
      <c r="F264" s="77"/>
      <c r="G264" s="17"/>
    </row>
    <row r="265" spans="2:7" x14ac:dyDescent="0.25">
      <c r="B265" s="17"/>
      <c r="C265" s="86" t="s">
        <v>487</v>
      </c>
      <c r="D265" s="29" t="s">
        <v>447</v>
      </c>
      <c r="E265" s="29"/>
      <c r="F265" s="77"/>
      <c r="G265" s="17"/>
    </row>
    <row r="266" spans="2:7" x14ac:dyDescent="0.25">
      <c r="B266" s="17"/>
      <c r="C266" s="86" t="s">
        <v>487</v>
      </c>
      <c r="D266" s="29" t="s">
        <v>448</v>
      </c>
      <c r="E266" s="29"/>
      <c r="F266" s="77"/>
      <c r="G266" s="17"/>
    </row>
    <row r="267" spans="2:7" x14ac:dyDescent="0.25">
      <c r="B267" s="17"/>
      <c r="C267" s="86" t="s">
        <v>487</v>
      </c>
      <c r="D267" s="29" t="s">
        <v>449</v>
      </c>
      <c r="E267" s="29"/>
      <c r="F267" s="77"/>
      <c r="G267" s="17"/>
    </row>
    <row r="268" spans="2:7" x14ac:dyDescent="0.25">
      <c r="B268" s="17"/>
      <c r="C268" s="86" t="s">
        <v>496</v>
      </c>
      <c r="D268" s="29" t="s">
        <v>450</v>
      </c>
      <c r="E268" s="29"/>
      <c r="F268" s="77"/>
      <c r="G268" s="17"/>
    </row>
    <row r="269" spans="2:7" x14ac:dyDescent="0.25">
      <c r="B269" s="17"/>
      <c r="C269" s="86" t="s">
        <v>496</v>
      </c>
      <c r="D269" s="29" t="s">
        <v>451</v>
      </c>
      <c r="E269" s="29"/>
      <c r="F269" s="77"/>
      <c r="G269" s="17"/>
    </row>
    <row r="270" spans="2:7" x14ac:dyDescent="0.25">
      <c r="B270" s="17"/>
      <c r="C270" s="86" t="s">
        <v>496</v>
      </c>
      <c r="D270" s="29" t="s">
        <v>452</v>
      </c>
      <c r="E270" s="29"/>
      <c r="F270" s="77"/>
      <c r="G270" s="17"/>
    </row>
    <row r="271" spans="2:7" x14ac:dyDescent="0.25">
      <c r="B271" s="17"/>
      <c r="C271" s="86" t="s">
        <v>495</v>
      </c>
      <c r="D271" s="29" t="s">
        <v>453</v>
      </c>
      <c r="E271" s="29"/>
      <c r="F271" s="77"/>
      <c r="G271" s="17"/>
    </row>
    <row r="272" spans="2:7" x14ac:dyDescent="0.25">
      <c r="B272" s="17"/>
      <c r="C272" s="86" t="s">
        <v>495</v>
      </c>
      <c r="D272" s="29" t="s">
        <v>454</v>
      </c>
      <c r="E272" s="29"/>
      <c r="F272" s="77"/>
      <c r="G272" s="17"/>
    </row>
    <row r="273" spans="1:7" x14ac:dyDescent="0.25">
      <c r="B273" s="17"/>
      <c r="C273" s="86" t="s">
        <v>495</v>
      </c>
      <c r="D273" s="29" t="s">
        <v>455</v>
      </c>
      <c r="E273" s="29"/>
      <c r="F273" s="77"/>
      <c r="G273" s="17"/>
    </row>
    <row r="274" spans="1:7" x14ac:dyDescent="0.25">
      <c r="B274" s="17"/>
      <c r="C274" s="86" t="s">
        <v>513</v>
      </c>
      <c r="D274" s="81" t="s">
        <v>456</v>
      </c>
      <c r="E274" s="29"/>
      <c r="F274" s="77"/>
      <c r="G274" s="17"/>
    </row>
    <row r="275" spans="1:7" x14ac:dyDescent="0.25">
      <c r="B275" s="17"/>
      <c r="C275" s="86" t="s">
        <v>498</v>
      </c>
      <c r="D275" s="81" t="s">
        <v>457</v>
      </c>
      <c r="E275" s="29"/>
      <c r="F275" s="77"/>
      <c r="G275" s="17"/>
    </row>
    <row r="276" spans="1:7" ht="15.75" thickBot="1" x14ac:dyDescent="0.3">
      <c r="B276" s="17"/>
      <c r="C276" s="87" t="s">
        <v>499</v>
      </c>
      <c r="D276" s="90" t="s">
        <v>458</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390"/>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1390</v>
      </c>
    </row>
    <row r="2" spans="1:4" x14ac:dyDescent="0.25">
      <c r="A2" s="36">
        <v>41187</v>
      </c>
      <c r="B2" s="122">
        <v>0.80650462962962965</v>
      </c>
      <c r="C2" s="26" t="s">
        <v>914</v>
      </c>
    </row>
    <row r="3" spans="1:4" x14ac:dyDescent="0.25">
      <c r="A3" s="36">
        <v>41187</v>
      </c>
      <c r="B3" s="122">
        <v>0.86657407407407405</v>
      </c>
      <c r="C3" s="26" t="s">
        <v>915</v>
      </c>
    </row>
    <row r="4" spans="1:4" x14ac:dyDescent="0.25">
      <c r="A4" s="36">
        <v>41187</v>
      </c>
      <c r="B4" s="122">
        <v>0.86730324074074072</v>
      </c>
      <c r="C4" s="26" t="s">
        <v>916</v>
      </c>
    </row>
    <row r="5" spans="1:4" x14ac:dyDescent="0.25">
      <c r="A5" s="36">
        <v>41187</v>
      </c>
      <c r="B5" s="122">
        <v>0.88542824074074078</v>
      </c>
      <c r="C5" s="26" t="s">
        <v>916</v>
      </c>
    </row>
    <row r="6" spans="1:4" x14ac:dyDescent="0.25">
      <c r="A6" s="36">
        <v>41187</v>
      </c>
      <c r="B6" s="122">
        <v>0.90907407407407403</v>
      </c>
      <c r="C6" s="26" t="s">
        <v>916</v>
      </c>
    </row>
    <row r="7" spans="1:4" x14ac:dyDescent="0.25">
      <c r="A7" s="36">
        <v>41187</v>
      </c>
      <c r="B7" s="122">
        <v>0.92020833333333341</v>
      </c>
      <c r="C7" s="26" t="s">
        <v>917</v>
      </c>
    </row>
    <row r="8" spans="1:4" x14ac:dyDescent="0.25">
      <c r="A8" s="36">
        <v>41187</v>
      </c>
      <c r="B8" s="122">
        <v>0.92086805555555562</v>
      </c>
      <c r="C8" s="26" t="s">
        <v>916</v>
      </c>
    </row>
    <row r="9" spans="1:4" x14ac:dyDescent="0.25">
      <c r="A9" s="36">
        <v>41187</v>
      </c>
      <c r="B9" s="122">
        <v>0.92241898148148149</v>
      </c>
      <c r="C9" s="26" t="s">
        <v>916</v>
      </c>
    </row>
    <row r="10" spans="1:4" x14ac:dyDescent="0.25">
      <c r="A10" s="36">
        <v>41187</v>
      </c>
      <c r="B10" s="122">
        <v>0.92835648148148142</v>
      </c>
      <c r="C10" s="26" t="s">
        <v>918</v>
      </c>
    </row>
    <row r="11" spans="1:4" x14ac:dyDescent="0.25">
      <c r="A11" s="36">
        <v>41187</v>
      </c>
      <c r="B11" s="122">
        <v>0.92835648148148142</v>
      </c>
      <c r="C11" s="26" t="s">
        <v>919</v>
      </c>
    </row>
    <row r="12" spans="1:4" x14ac:dyDescent="0.25">
      <c r="A12" s="36">
        <v>41187</v>
      </c>
      <c r="B12" s="122">
        <v>0.92835648148148142</v>
      </c>
      <c r="C12" s="26" t="s">
        <v>920</v>
      </c>
    </row>
    <row r="13" spans="1:4" x14ac:dyDescent="0.25">
      <c r="A13" s="36">
        <v>41187</v>
      </c>
      <c r="B13" s="122">
        <v>0.92835648148148142</v>
      </c>
      <c r="C13" s="26" t="s">
        <v>921</v>
      </c>
    </row>
    <row r="14" spans="1:4" x14ac:dyDescent="0.25">
      <c r="A14" s="36">
        <v>41187</v>
      </c>
      <c r="B14" s="122">
        <v>0.92835648148148142</v>
      </c>
      <c r="C14" s="26" t="s">
        <v>922</v>
      </c>
    </row>
    <row r="15" spans="1:4" x14ac:dyDescent="0.25">
      <c r="A15" s="36">
        <v>41187</v>
      </c>
      <c r="B15" s="122">
        <v>0.92835648148148142</v>
      </c>
      <c r="C15" s="26" t="s">
        <v>923</v>
      </c>
    </row>
    <row r="16" spans="1:4" x14ac:dyDescent="0.25">
      <c r="A16" s="36">
        <v>41187</v>
      </c>
      <c r="B16" s="122">
        <v>0.92835648148148142</v>
      </c>
      <c r="C16" s="26" t="s">
        <v>924</v>
      </c>
    </row>
    <row r="17" spans="1:3" x14ac:dyDescent="0.25">
      <c r="A17" s="36">
        <v>41187</v>
      </c>
      <c r="B17" s="122">
        <v>0.92835648148148142</v>
      </c>
      <c r="C17" s="26" t="s">
        <v>925</v>
      </c>
    </row>
    <row r="18" spans="1:3" x14ac:dyDescent="0.25">
      <c r="A18" s="36">
        <v>41187</v>
      </c>
      <c r="B18" s="122">
        <v>0.92835648148148142</v>
      </c>
      <c r="C18" s="26" t="s">
        <v>926</v>
      </c>
    </row>
    <row r="19" spans="1:3" x14ac:dyDescent="0.25">
      <c r="A19" s="36">
        <v>41187</v>
      </c>
      <c r="B19" s="122">
        <v>0.92835648148148142</v>
      </c>
      <c r="C19" s="26" t="s">
        <v>927</v>
      </c>
    </row>
    <row r="20" spans="1:3" x14ac:dyDescent="0.25">
      <c r="A20" s="36">
        <v>41187</v>
      </c>
      <c r="B20" s="122">
        <v>0.92835648148148142</v>
      </c>
      <c r="C20" s="26" t="s">
        <v>928</v>
      </c>
    </row>
    <row r="21" spans="1:3" x14ac:dyDescent="0.25">
      <c r="A21" s="36">
        <v>41187</v>
      </c>
      <c r="B21" s="122">
        <v>0.92835648148148142</v>
      </c>
      <c r="C21" s="26" t="s">
        <v>929</v>
      </c>
    </row>
    <row r="22" spans="1:3" x14ac:dyDescent="0.25">
      <c r="A22" s="36">
        <v>41187</v>
      </c>
      <c r="B22" s="122">
        <v>0.92835648148148142</v>
      </c>
      <c r="C22" s="26" t="s">
        <v>930</v>
      </c>
    </row>
    <row r="23" spans="1:3" x14ac:dyDescent="0.25">
      <c r="A23" s="36">
        <v>41187</v>
      </c>
      <c r="B23" s="122">
        <v>0.92835648148148142</v>
      </c>
      <c r="C23" s="26" t="s">
        <v>931</v>
      </c>
    </row>
    <row r="24" spans="1:3" x14ac:dyDescent="0.25">
      <c r="A24" s="36">
        <v>41187</v>
      </c>
      <c r="B24" s="122">
        <v>0.92835648148148142</v>
      </c>
      <c r="C24" s="26" t="s">
        <v>932</v>
      </c>
    </row>
    <row r="25" spans="1:3" x14ac:dyDescent="0.25">
      <c r="A25" s="36">
        <v>41187</v>
      </c>
      <c r="B25" s="122">
        <v>0.92835648148148142</v>
      </c>
      <c r="C25" s="26" t="s">
        <v>933</v>
      </c>
    </row>
    <row r="26" spans="1:3" x14ac:dyDescent="0.25">
      <c r="A26" s="36">
        <v>41187</v>
      </c>
      <c r="B26" s="122">
        <v>0.92835648148148142</v>
      </c>
      <c r="C26" s="26" t="s">
        <v>934</v>
      </c>
    </row>
    <row r="27" spans="1:3" x14ac:dyDescent="0.25">
      <c r="A27" s="36">
        <v>41187</v>
      </c>
      <c r="B27" s="122">
        <v>0.92835648148148142</v>
      </c>
      <c r="C27" s="26" t="s">
        <v>935</v>
      </c>
    </row>
    <row r="28" spans="1:3" x14ac:dyDescent="0.25">
      <c r="A28" s="36">
        <v>41187</v>
      </c>
      <c r="B28" s="122">
        <v>0.92835648148148142</v>
      </c>
      <c r="C28" s="26" t="s">
        <v>936</v>
      </c>
    </row>
    <row r="29" spans="1:3" x14ac:dyDescent="0.25">
      <c r="A29" s="36">
        <v>41187</v>
      </c>
      <c r="B29" s="122">
        <v>0.92835648148148142</v>
      </c>
      <c r="C29" s="26" t="s">
        <v>937</v>
      </c>
    </row>
    <row r="30" spans="1:3" x14ac:dyDescent="0.25">
      <c r="A30" s="36">
        <v>41187</v>
      </c>
      <c r="B30" s="122">
        <v>0.92835648148148142</v>
      </c>
      <c r="C30" s="26" t="s">
        <v>938</v>
      </c>
    </row>
    <row r="31" spans="1:3" x14ac:dyDescent="0.25">
      <c r="A31" s="36">
        <v>41187</v>
      </c>
      <c r="B31" s="122">
        <v>0.92835648148148142</v>
      </c>
      <c r="C31" s="26" t="s">
        <v>939</v>
      </c>
    </row>
    <row r="32" spans="1:3" x14ac:dyDescent="0.25">
      <c r="A32" s="36">
        <v>41187</v>
      </c>
      <c r="B32" s="122">
        <v>0.92835648148148142</v>
      </c>
      <c r="C32" s="26" t="s">
        <v>940</v>
      </c>
    </row>
    <row r="33" spans="1:3" x14ac:dyDescent="0.25">
      <c r="A33" s="36">
        <v>41187</v>
      </c>
      <c r="B33" s="122">
        <v>0.92835648148148142</v>
      </c>
      <c r="C33" s="26" t="s">
        <v>941</v>
      </c>
    </row>
    <row r="34" spans="1:3" x14ac:dyDescent="0.25">
      <c r="A34" s="36">
        <v>41187</v>
      </c>
      <c r="B34" s="122">
        <v>0.92835648148148142</v>
      </c>
      <c r="C34" s="26" t="s">
        <v>942</v>
      </c>
    </row>
    <row r="35" spans="1:3" x14ac:dyDescent="0.25">
      <c r="A35" s="36">
        <v>41187</v>
      </c>
      <c r="B35" s="122">
        <v>0.92835648148148142</v>
      </c>
      <c r="C35" s="26" t="s">
        <v>943</v>
      </c>
    </row>
    <row r="36" spans="1:3" x14ac:dyDescent="0.25">
      <c r="A36" s="36">
        <v>41187</v>
      </c>
      <c r="B36" s="122">
        <v>0.92835648148148142</v>
      </c>
      <c r="C36" s="26" t="s">
        <v>944</v>
      </c>
    </row>
    <row r="37" spans="1:3" x14ac:dyDescent="0.25">
      <c r="A37" s="36">
        <v>41187</v>
      </c>
      <c r="B37" s="122">
        <v>0.92835648148148142</v>
      </c>
      <c r="C37" s="26" t="s">
        <v>945</v>
      </c>
    </row>
    <row r="38" spans="1:3" x14ac:dyDescent="0.25">
      <c r="A38" s="36">
        <v>41187</v>
      </c>
      <c r="B38" s="122">
        <v>0.92835648148148142</v>
      </c>
      <c r="C38" s="26" t="s">
        <v>941</v>
      </c>
    </row>
    <row r="39" spans="1:3" x14ac:dyDescent="0.25">
      <c r="A39" s="36">
        <v>41187</v>
      </c>
      <c r="B39" s="122">
        <v>0.92835648148148142</v>
      </c>
      <c r="C39" s="26" t="s">
        <v>946</v>
      </c>
    </row>
    <row r="40" spans="1:3" x14ac:dyDescent="0.25">
      <c r="A40" s="36">
        <v>41187</v>
      </c>
      <c r="B40" s="122">
        <v>0.92835648148148142</v>
      </c>
      <c r="C40" s="26" t="s">
        <v>947</v>
      </c>
    </row>
    <row r="41" spans="1:3" x14ac:dyDescent="0.25">
      <c r="A41" s="36">
        <v>41187</v>
      </c>
      <c r="B41" s="122">
        <v>0.92835648148148142</v>
      </c>
      <c r="C41" s="26" t="s">
        <v>948</v>
      </c>
    </row>
    <row r="42" spans="1:3" x14ac:dyDescent="0.25">
      <c r="A42" s="36">
        <v>41187</v>
      </c>
      <c r="B42" s="122">
        <v>0.92835648148148142</v>
      </c>
      <c r="C42" s="26" t="s">
        <v>949</v>
      </c>
    </row>
    <row r="43" spans="1:3" x14ac:dyDescent="0.25">
      <c r="A43" s="36">
        <v>41187</v>
      </c>
      <c r="B43" s="122">
        <v>0.92835648148148142</v>
      </c>
      <c r="C43" s="26" t="s">
        <v>950</v>
      </c>
    </row>
    <row r="44" spans="1:3" x14ac:dyDescent="0.25">
      <c r="A44" s="36">
        <v>41187</v>
      </c>
      <c r="B44" s="122">
        <v>0.92835648148148142</v>
      </c>
      <c r="C44" s="26" t="s">
        <v>951</v>
      </c>
    </row>
    <row r="45" spans="1:3" x14ac:dyDescent="0.25">
      <c r="A45" s="36">
        <v>41187</v>
      </c>
      <c r="B45" s="122">
        <v>0.92835648148148142</v>
      </c>
      <c r="C45" s="26" t="s">
        <v>952</v>
      </c>
    </row>
    <row r="46" spans="1:3" x14ac:dyDescent="0.25">
      <c r="A46" s="36">
        <v>41187</v>
      </c>
      <c r="B46" s="122">
        <v>0.92835648148148142</v>
      </c>
      <c r="C46" s="26" t="s">
        <v>953</v>
      </c>
    </row>
    <row r="47" spans="1:3" x14ac:dyDescent="0.25">
      <c r="A47" s="36">
        <v>41187</v>
      </c>
      <c r="B47" s="122">
        <v>0.92835648148148142</v>
      </c>
      <c r="C47" s="26" t="s">
        <v>954</v>
      </c>
    </row>
    <row r="48" spans="1:3" x14ac:dyDescent="0.25">
      <c r="A48" s="36">
        <v>41187</v>
      </c>
      <c r="B48" s="122">
        <v>0.92835648148148142</v>
      </c>
      <c r="C48" s="26" t="s">
        <v>954</v>
      </c>
    </row>
    <row r="49" spans="1:3" x14ac:dyDescent="0.25">
      <c r="A49" s="36">
        <v>41187</v>
      </c>
      <c r="B49" s="122">
        <v>0.92835648148148142</v>
      </c>
      <c r="C49" s="26" t="s">
        <v>939</v>
      </c>
    </row>
    <row r="50" spans="1:3" x14ac:dyDescent="0.25">
      <c r="A50" s="36">
        <v>41187</v>
      </c>
      <c r="B50" s="122">
        <v>0.92835648148148142</v>
      </c>
      <c r="C50" s="26" t="s">
        <v>955</v>
      </c>
    </row>
    <row r="51" spans="1:3" x14ac:dyDescent="0.25">
      <c r="A51" s="36">
        <v>41187</v>
      </c>
      <c r="B51" s="122">
        <v>0.92835648148148142</v>
      </c>
      <c r="C51" s="26" t="s">
        <v>956</v>
      </c>
    </row>
    <row r="52" spans="1:3" x14ac:dyDescent="0.25">
      <c r="A52" s="36">
        <v>41187</v>
      </c>
      <c r="B52" s="122">
        <v>0.92835648148148142</v>
      </c>
      <c r="C52" s="26" t="s">
        <v>957</v>
      </c>
    </row>
    <row r="53" spans="1:3" x14ac:dyDescent="0.25">
      <c r="A53" s="36">
        <v>41187</v>
      </c>
      <c r="B53" s="122">
        <v>0.92835648148148142</v>
      </c>
      <c r="C53" s="26" t="s">
        <v>958</v>
      </c>
    </row>
    <row r="54" spans="1:3" x14ac:dyDescent="0.25">
      <c r="A54" s="36">
        <v>41187</v>
      </c>
      <c r="B54" s="122">
        <v>0.92835648148148142</v>
      </c>
      <c r="C54" s="26" t="s">
        <v>959</v>
      </c>
    </row>
    <row r="55" spans="1:3" x14ac:dyDescent="0.25">
      <c r="A55" s="36">
        <v>41187</v>
      </c>
      <c r="B55" s="122">
        <v>0.92835648148148142</v>
      </c>
      <c r="C55" s="26" t="s">
        <v>955</v>
      </c>
    </row>
    <row r="56" spans="1:3" x14ac:dyDescent="0.25">
      <c r="A56" s="36">
        <v>41187</v>
      </c>
      <c r="B56" s="122">
        <v>0.92835648148148142</v>
      </c>
      <c r="C56" s="26" t="s">
        <v>960</v>
      </c>
    </row>
    <row r="57" spans="1:3" x14ac:dyDescent="0.25">
      <c r="A57" s="36">
        <v>41187</v>
      </c>
      <c r="B57" s="122">
        <v>0.92835648148148142</v>
      </c>
      <c r="C57" s="26" t="s">
        <v>961</v>
      </c>
    </row>
    <row r="58" spans="1:3" x14ac:dyDescent="0.25">
      <c r="A58" s="36">
        <v>41187</v>
      </c>
      <c r="B58" s="122">
        <v>0.92835648148148142</v>
      </c>
      <c r="C58" s="26" t="s">
        <v>951</v>
      </c>
    </row>
    <row r="59" spans="1:3" x14ac:dyDescent="0.25">
      <c r="A59" s="36">
        <v>41187</v>
      </c>
      <c r="B59" s="122">
        <v>0.92835648148148142</v>
      </c>
      <c r="C59" s="26" t="s">
        <v>962</v>
      </c>
    </row>
    <row r="60" spans="1:3" x14ac:dyDescent="0.25">
      <c r="A60" s="36">
        <v>41187</v>
      </c>
      <c r="B60" s="122">
        <v>0.92835648148148142</v>
      </c>
      <c r="C60" s="26" t="s">
        <v>963</v>
      </c>
    </row>
    <row r="61" spans="1:3" x14ac:dyDescent="0.25">
      <c r="A61" s="36">
        <v>41187</v>
      </c>
      <c r="B61" s="122">
        <v>0.92835648148148142</v>
      </c>
      <c r="C61" s="26" t="s">
        <v>964</v>
      </c>
    </row>
    <row r="62" spans="1:3" x14ac:dyDescent="0.25">
      <c r="A62" s="36">
        <v>41187</v>
      </c>
      <c r="B62" s="122">
        <v>0.92835648148148142</v>
      </c>
      <c r="C62" s="26" t="s">
        <v>965</v>
      </c>
    </row>
    <row r="63" spans="1:3" x14ac:dyDescent="0.25">
      <c r="A63" s="36">
        <v>41187</v>
      </c>
      <c r="B63" s="122">
        <v>0.92835648148148142</v>
      </c>
      <c r="C63" s="26" t="s">
        <v>966</v>
      </c>
    </row>
    <row r="64" spans="1:3" x14ac:dyDescent="0.25">
      <c r="A64" s="36">
        <v>41187</v>
      </c>
      <c r="B64" s="122">
        <v>0.92835648148148142</v>
      </c>
      <c r="C64" s="26" t="s">
        <v>967</v>
      </c>
    </row>
    <row r="65" spans="1:3" x14ac:dyDescent="0.25">
      <c r="A65" s="36">
        <v>41187</v>
      </c>
      <c r="B65" s="122">
        <v>0.92835648148148142</v>
      </c>
      <c r="C65" s="26" t="s">
        <v>968</v>
      </c>
    </row>
    <row r="66" spans="1:3" x14ac:dyDescent="0.25">
      <c r="A66" s="36">
        <v>41187</v>
      </c>
      <c r="B66" s="122">
        <v>0.92835648148148142</v>
      </c>
      <c r="C66" s="26" t="s">
        <v>969</v>
      </c>
    </row>
    <row r="67" spans="1:3" x14ac:dyDescent="0.25">
      <c r="A67" s="36">
        <v>41187</v>
      </c>
      <c r="B67" s="122">
        <v>0.92835648148148142</v>
      </c>
      <c r="C67" s="26" t="s">
        <v>962</v>
      </c>
    </row>
    <row r="68" spans="1:3" x14ac:dyDescent="0.25">
      <c r="A68" s="36">
        <v>41187</v>
      </c>
      <c r="B68" s="122">
        <v>0.92835648148148142</v>
      </c>
      <c r="C68" s="26" t="s">
        <v>970</v>
      </c>
    </row>
    <row r="69" spans="1:3" x14ac:dyDescent="0.25">
      <c r="A69" s="36">
        <v>41187</v>
      </c>
      <c r="B69" s="122">
        <v>0.92835648148148142</v>
      </c>
      <c r="C69" s="26" t="s">
        <v>971</v>
      </c>
    </row>
    <row r="70" spans="1:3" x14ac:dyDescent="0.25">
      <c r="A70" s="36">
        <v>41187</v>
      </c>
      <c r="B70" s="122">
        <v>0.92835648148148142</v>
      </c>
      <c r="C70" s="26" t="s">
        <v>972</v>
      </c>
    </row>
    <row r="71" spans="1:3" x14ac:dyDescent="0.25">
      <c r="A71" s="36">
        <v>41187</v>
      </c>
      <c r="B71" s="122">
        <v>0.92835648148148142</v>
      </c>
      <c r="C71" s="26" t="s">
        <v>973</v>
      </c>
    </row>
    <row r="72" spans="1:3" x14ac:dyDescent="0.25">
      <c r="A72" s="36">
        <v>41187</v>
      </c>
      <c r="B72" s="122">
        <v>0.92835648148148142</v>
      </c>
      <c r="C72" s="26" t="s">
        <v>969</v>
      </c>
    </row>
    <row r="73" spans="1:3" x14ac:dyDescent="0.25">
      <c r="A73" s="36">
        <v>41187</v>
      </c>
      <c r="B73" s="122">
        <v>0.92835648148148142</v>
      </c>
      <c r="C73" s="26" t="s">
        <v>974</v>
      </c>
    </row>
    <row r="74" spans="1:3" x14ac:dyDescent="0.25">
      <c r="A74" s="36">
        <v>41187</v>
      </c>
      <c r="B74" s="122">
        <v>0.92835648148148142</v>
      </c>
      <c r="C74" s="26" t="s">
        <v>974</v>
      </c>
    </row>
    <row r="75" spans="1:3" x14ac:dyDescent="0.25">
      <c r="A75" s="36">
        <v>41187</v>
      </c>
      <c r="B75" s="122">
        <v>0.92835648148148142</v>
      </c>
      <c r="C75" s="26" t="s">
        <v>975</v>
      </c>
    </row>
    <row r="76" spans="1:3" x14ac:dyDescent="0.25">
      <c r="A76" s="36">
        <v>41187</v>
      </c>
      <c r="B76" s="122">
        <v>0.92835648148148142</v>
      </c>
      <c r="C76" s="26" t="s">
        <v>962</v>
      </c>
    </row>
    <row r="77" spans="1:3" x14ac:dyDescent="0.25">
      <c r="A77" s="36">
        <v>41187</v>
      </c>
      <c r="B77" s="122">
        <v>0.92835648148148142</v>
      </c>
      <c r="C77" s="26" t="s">
        <v>976</v>
      </c>
    </row>
    <row r="78" spans="1:3" x14ac:dyDescent="0.25">
      <c r="A78" s="36">
        <v>41187</v>
      </c>
      <c r="B78" s="122">
        <v>0.92836805555555557</v>
      </c>
      <c r="C78" s="26" t="s">
        <v>939</v>
      </c>
    </row>
    <row r="79" spans="1:3" x14ac:dyDescent="0.25">
      <c r="A79" s="36">
        <v>41187</v>
      </c>
      <c r="B79" s="122">
        <v>0.92836805555555557</v>
      </c>
      <c r="C79" s="26" t="s">
        <v>977</v>
      </c>
    </row>
    <row r="80" spans="1:3" x14ac:dyDescent="0.25">
      <c r="A80" s="36">
        <v>41187</v>
      </c>
      <c r="B80" s="122">
        <v>0.92836805555555557</v>
      </c>
      <c r="C80" s="26" t="s">
        <v>978</v>
      </c>
    </row>
    <row r="81" spans="1:3" x14ac:dyDescent="0.25">
      <c r="A81" s="36">
        <v>41187</v>
      </c>
      <c r="B81" s="122">
        <v>0.92836805555555557</v>
      </c>
      <c r="C81" s="26" t="s">
        <v>979</v>
      </c>
    </row>
    <row r="82" spans="1:3" x14ac:dyDescent="0.25">
      <c r="A82" s="36">
        <v>41187</v>
      </c>
      <c r="B82" s="122">
        <v>0.92836805555555557</v>
      </c>
      <c r="C82" s="26" t="s">
        <v>962</v>
      </c>
    </row>
    <row r="83" spans="1:3" x14ac:dyDescent="0.25">
      <c r="A83" s="36">
        <v>41187</v>
      </c>
      <c r="B83" s="122">
        <v>0.92836805555555557</v>
      </c>
      <c r="C83" s="26" t="s">
        <v>980</v>
      </c>
    </row>
    <row r="84" spans="1:3" x14ac:dyDescent="0.25">
      <c r="A84" s="36">
        <v>41187</v>
      </c>
      <c r="B84" s="122">
        <v>0.92836805555555557</v>
      </c>
      <c r="C84" s="26" t="s">
        <v>981</v>
      </c>
    </row>
    <row r="85" spans="1:3" x14ac:dyDescent="0.25">
      <c r="A85" s="36">
        <v>41187</v>
      </c>
      <c r="B85" s="122">
        <v>0.92836805555555557</v>
      </c>
      <c r="C85" s="26" t="s">
        <v>963</v>
      </c>
    </row>
    <row r="86" spans="1:3" x14ac:dyDescent="0.25">
      <c r="A86" s="36">
        <v>41187</v>
      </c>
      <c r="B86" s="122">
        <v>0.92836805555555557</v>
      </c>
      <c r="C86" s="26" t="s">
        <v>974</v>
      </c>
    </row>
    <row r="87" spans="1:3" x14ac:dyDescent="0.25">
      <c r="A87" s="36">
        <v>41187</v>
      </c>
      <c r="B87" s="122">
        <v>0.92836805555555557</v>
      </c>
      <c r="C87" s="26" t="s">
        <v>982</v>
      </c>
    </row>
    <row r="88" spans="1:3" x14ac:dyDescent="0.25">
      <c r="A88" s="36">
        <v>41187</v>
      </c>
      <c r="B88" s="122">
        <v>0.92836805555555557</v>
      </c>
      <c r="C88" s="26" t="s">
        <v>983</v>
      </c>
    </row>
    <row r="89" spans="1:3" x14ac:dyDescent="0.25">
      <c r="A89" s="36">
        <v>41187</v>
      </c>
      <c r="B89" s="122">
        <v>0.92836805555555557</v>
      </c>
      <c r="C89" s="26" t="s">
        <v>984</v>
      </c>
    </row>
    <row r="90" spans="1:3" x14ac:dyDescent="0.25">
      <c r="A90" s="36">
        <v>41187</v>
      </c>
      <c r="B90" s="122">
        <v>0.92836805555555557</v>
      </c>
      <c r="C90" s="26" t="s">
        <v>985</v>
      </c>
    </row>
    <row r="91" spans="1:3" x14ac:dyDescent="0.25">
      <c r="A91" s="36">
        <v>41187</v>
      </c>
      <c r="B91" s="122">
        <v>0.92836805555555557</v>
      </c>
      <c r="C91" s="26" t="s">
        <v>985</v>
      </c>
    </row>
    <row r="92" spans="1:3" x14ac:dyDescent="0.25">
      <c r="A92" s="36">
        <v>41187</v>
      </c>
      <c r="B92" s="122">
        <v>0.92836805555555557</v>
      </c>
      <c r="C92" s="26" t="s">
        <v>986</v>
      </c>
    </row>
    <row r="93" spans="1:3" x14ac:dyDescent="0.25">
      <c r="A93" s="36">
        <v>41187</v>
      </c>
      <c r="B93" s="122">
        <v>0.92836805555555557</v>
      </c>
      <c r="C93" s="26" t="s">
        <v>987</v>
      </c>
    </row>
    <row r="94" spans="1:3" x14ac:dyDescent="0.25">
      <c r="A94" s="36">
        <v>41187</v>
      </c>
      <c r="B94" s="122">
        <v>0.92836805555555557</v>
      </c>
      <c r="C94" s="26" t="s">
        <v>988</v>
      </c>
    </row>
    <row r="95" spans="1:3" x14ac:dyDescent="0.25">
      <c r="A95" s="36">
        <v>41187</v>
      </c>
      <c r="B95" s="122">
        <v>0.92836805555555557</v>
      </c>
      <c r="C95" s="26" t="s">
        <v>989</v>
      </c>
    </row>
    <row r="96" spans="1:3" x14ac:dyDescent="0.25">
      <c r="A96" s="36">
        <v>41187</v>
      </c>
      <c r="B96" s="122">
        <v>0.92836805555555557</v>
      </c>
      <c r="C96" s="26" t="s">
        <v>951</v>
      </c>
    </row>
    <row r="97" spans="1:3" x14ac:dyDescent="0.25">
      <c r="A97" s="36">
        <v>41187</v>
      </c>
      <c r="B97" s="122">
        <v>0.92836805555555557</v>
      </c>
      <c r="C97" s="26" t="s">
        <v>990</v>
      </c>
    </row>
    <row r="98" spans="1:3" x14ac:dyDescent="0.25">
      <c r="A98" s="36">
        <v>41187</v>
      </c>
      <c r="B98" s="122">
        <v>0.92836805555555557</v>
      </c>
      <c r="C98" s="26" t="s">
        <v>991</v>
      </c>
    </row>
    <row r="99" spans="1:3" x14ac:dyDescent="0.25">
      <c r="A99" s="36">
        <v>41187</v>
      </c>
      <c r="B99" s="122">
        <v>0.92836805555555557</v>
      </c>
      <c r="C99" s="26" t="s">
        <v>992</v>
      </c>
    </row>
    <row r="100" spans="1:3" x14ac:dyDescent="0.25">
      <c r="A100" s="36">
        <v>41187</v>
      </c>
      <c r="B100" s="122">
        <v>0.92836805555555557</v>
      </c>
      <c r="C100" s="26" t="s">
        <v>993</v>
      </c>
    </row>
    <row r="101" spans="1:3" x14ac:dyDescent="0.25">
      <c r="A101" s="36">
        <v>41187</v>
      </c>
      <c r="B101" s="122">
        <v>0.92836805555555557</v>
      </c>
      <c r="C101" s="26" t="s">
        <v>994</v>
      </c>
    </row>
    <row r="102" spans="1:3" x14ac:dyDescent="0.25">
      <c r="A102" s="36">
        <v>41187</v>
      </c>
      <c r="B102" s="122">
        <v>0.92836805555555557</v>
      </c>
      <c r="C102" s="26" t="s">
        <v>995</v>
      </c>
    </row>
    <row r="103" spans="1:3" x14ac:dyDescent="0.25">
      <c r="A103" s="36">
        <v>41187</v>
      </c>
      <c r="B103" s="122">
        <v>0.92836805555555557</v>
      </c>
      <c r="C103" s="26" t="s">
        <v>995</v>
      </c>
    </row>
    <row r="104" spans="1:3" x14ac:dyDescent="0.25">
      <c r="A104" s="36">
        <v>41187</v>
      </c>
      <c r="B104" s="122">
        <v>0.92836805555555557</v>
      </c>
      <c r="C104" s="26" t="s">
        <v>995</v>
      </c>
    </row>
    <row r="105" spans="1:3" x14ac:dyDescent="0.25">
      <c r="A105" s="36">
        <v>41187</v>
      </c>
      <c r="B105" s="122">
        <v>0.92836805555555557</v>
      </c>
      <c r="C105" s="26" t="s">
        <v>995</v>
      </c>
    </row>
    <row r="106" spans="1:3" x14ac:dyDescent="0.25">
      <c r="A106" s="36">
        <v>41187</v>
      </c>
      <c r="B106" s="122">
        <v>0.92836805555555557</v>
      </c>
      <c r="C106" s="26" t="s">
        <v>995</v>
      </c>
    </row>
    <row r="107" spans="1:3" x14ac:dyDescent="0.25">
      <c r="A107" s="36">
        <v>41187</v>
      </c>
      <c r="B107" s="122">
        <v>0.92836805555555557</v>
      </c>
      <c r="C107" s="26" t="s">
        <v>995</v>
      </c>
    </row>
    <row r="108" spans="1:3" x14ac:dyDescent="0.25">
      <c r="A108" s="36">
        <v>41187</v>
      </c>
      <c r="B108" s="122">
        <v>0.92836805555555557</v>
      </c>
      <c r="C108" s="26" t="s">
        <v>974</v>
      </c>
    </row>
    <row r="109" spans="1:3" x14ac:dyDescent="0.25">
      <c r="A109" s="36">
        <v>41187</v>
      </c>
      <c r="B109" s="122">
        <v>0.92836805555555557</v>
      </c>
      <c r="C109" s="26" t="s">
        <v>990</v>
      </c>
    </row>
    <row r="110" spans="1:3" x14ac:dyDescent="0.25">
      <c r="A110" s="36">
        <v>41187</v>
      </c>
      <c r="B110" s="122">
        <v>0.92836805555555557</v>
      </c>
      <c r="C110" s="26" t="s">
        <v>996</v>
      </c>
    </row>
    <row r="111" spans="1:3" x14ac:dyDescent="0.25">
      <c r="A111" s="36">
        <v>41187</v>
      </c>
      <c r="B111" s="122">
        <v>0.92836805555555557</v>
      </c>
      <c r="C111" s="26" t="s">
        <v>939</v>
      </c>
    </row>
    <row r="112" spans="1:3" x14ac:dyDescent="0.25">
      <c r="A112" s="36">
        <v>41187</v>
      </c>
      <c r="B112" s="122">
        <v>0.92836805555555557</v>
      </c>
      <c r="C112" s="26" t="s">
        <v>997</v>
      </c>
    </row>
    <row r="113" spans="1:3" x14ac:dyDescent="0.25">
      <c r="A113" s="36">
        <v>41187</v>
      </c>
      <c r="B113" s="122">
        <v>0.92836805555555557</v>
      </c>
      <c r="C113" s="26" t="s">
        <v>998</v>
      </c>
    </row>
    <row r="114" spans="1:3" x14ac:dyDescent="0.25">
      <c r="A114" s="36">
        <v>41187</v>
      </c>
      <c r="B114" s="122">
        <v>0.92836805555555557</v>
      </c>
      <c r="C114" s="26" t="s">
        <v>999</v>
      </c>
    </row>
    <row r="115" spans="1:3" x14ac:dyDescent="0.25">
      <c r="A115" s="36">
        <v>41187</v>
      </c>
      <c r="B115" s="122">
        <v>0.92836805555555557</v>
      </c>
      <c r="C115" s="26" t="s">
        <v>999</v>
      </c>
    </row>
    <row r="116" spans="1:3" x14ac:dyDescent="0.25">
      <c r="A116" s="36">
        <v>41187</v>
      </c>
      <c r="B116" s="122">
        <v>0.92836805555555557</v>
      </c>
      <c r="C116" s="26" t="s">
        <v>1000</v>
      </c>
    </row>
    <row r="117" spans="1:3" x14ac:dyDescent="0.25">
      <c r="A117" s="36">
        <v>41187</v>
      </c>
      <c r="B117" s="122">
        <v>0.92836805555555557</v>
      </c>
      <c r="C117" s="26" t="s">
        <v>1001</v>
      </c>
    </row>
    <row r="118" spans="1:3" x14ac:dyDescent="0.25">
      <c r="A118" s="36">
        <v>41187</v>
      </c>
      <c r="B118" s="122">
        <v>0.92836805555555557</v>
      </c>
      <c r="C118" s="26" t="s">
        <v>977</v>
      </c>
    </row>
    <row r="119" spans="1:3" x14ac:dyDescent="0.25">
      <c r="A119" s="36">
        <v>41187</v>
      </c>
      <c r="B119" s="122">
        <v>0.92836805555555557</v>
      </c>
      <c r="C119" s="26" t="s">
        <v>1002</v>
      </c>
    </row>
    <row r="120" spans="1:3" x14ac:dyDescent="0.25">
      <c r="A120" s="36">
        <v>41187</v>
      </c>
      <c r="B120" s="122">
        <v>0.92856481481481479</v>
      </c>
      <c r="C120" s="26" t="s">
        <v>916</v>
      </c>
    </row>
    <row r="121" spans="1:3" x14ac:dyDescent="0.25">
      <c r="A121" s="36">
        <v>41187</v>
      </c>
      <c r="B121" s="122">
        <v>0.97378472222222223</v>
      </c>
      <c r="C121" s="26" t="s">
        <v>914</v>
      </c>
    </row>
    <row r="122" spans="1:3" x14ac:dyDescent="0.25">
      <c r="A122" s="36">
        <v>41187</v>
      </c>
      <c r="B122" s="122">
        <v>0.97410879629629632</v>
      </c>
      <c r="C122" s="26" t="s">
        <v>916</v>
      </c>
    </row>
    <row r="123" spans="1:3" x14ac:dyDescent="0.25">
      <c r="A123" s="36">
        <v>41187</v>
      </c>
      <c r="B123" s="122">
        <v>0.98363425925925929</v>
      </c>
      <c r="C123" s="26" t="s">
        <v>916</v>
      </c>
    </row>
    <row r="124" spans="1:3" x14ac:dyDescent="0.25">
      <c r="A124" s="36">
        <v>41187</v>
      </c>
      <c r="B124" s="122">
        <v>0.99670138888888893</v>
      </c>
      <c r="C124" s="26" t="s">
        <v>915</v>
      </c>
    </row>
    <row r="125" spans="1:3" x14ac:dyDescent="0.25">
      <c r="A125" s="36">
        <v>41187</v>
      </c>
      <c r="B125" s="122">
        <v>0.99682870370370369</v>
      </c>
      <c r="C125" s="26" t="s">
        <v>916</v>
      </c>
    </row>
    <row r="126" spans="1:3" x14ac:dyDescent="0.25">
      <c r="A126" s="36">
        <v>41187</v>
      </c>
      <c r="B126" s="122">
        <v>0.99927083333333344</v>
      </c>
      <c r="C126" s="26" t="s">
        <v>1003</v>
      </c>
    </row>
    <row r="127" spans="1:3" x14ac:dyDescent="0.25">
      <c r="A127" s="36">
        <v>41187</v>
      </c>
      <c r="B127" s="122">
        <v>0.99944444444444447</v>
      </c>
      <c r="C127" s="26" t="s">
        <v>1004</v>
      </c>
    </row>
    <row r="128" spans="1:3" x14ac:dyDescent="0.25">
      <c r="A128" s="36">
        <v>41187</v>
      </c>
      <c r="B128" s="122">
        <v>0.99954861111111104</v>
      </c>
      <c r="C128" s="26" t="s">
        <v>1004</v>
      </c>
    </row>
    <row r="129" spans="1:3" x14ac:dyDescent="0.25">
      <c r="A129" s="36">
        <v>41187</v>
      </c>
      <c r="B129" s="122">
        <v>0.99962962962962953</v>
      </c>
      <c r="C129" s="26" t="s">
        <v>1004</v>
      </c>
    </row>
    <row r="130" spans="1:3" x14ac:dyDescent="0.25">
      <c r="A130" s="36">
        <v>41187</v>
      </c>
      <c r="B130" s="122">
        <v>0.99965277777777783</v>
      </c>
      <c r="C130" s="26" t="s">
        <v>1004</v>
      </c>
    </row>
    <row r="131" spans="1:3" x14ac:dyDescent="0.25">
      <c r="A131" s="36">
        <v>41187</v>
      </c>
      <c r="B131" s="122">
        <v>0.99965277777777783</v>
      </c>
      <c r="C131" s="26" t="s">
        <v>1004</v>
      </c>
    </row>
    <row r="132" spans="1:3" x14ac:dyDescent="0.25">
      <c r="A132" s="36">
        <v>41187</v>
      </c>
      <c r="B132" s="122">
        <v>0.99966435185185187</v>
      </c>
      <c r="C132" s="26" t="s">
        <v>1005</v>
      </c>
    </row>
    <row r="133" spans="1:3" x14ac:dyDescent="0.25">
      <c r="A133" s="36">
        <v>41187</v>
      </c>
      <c r="B133" s="122">
        <v>0.99967592592592591</v>
      </c>
      <c r="C133" s="26" t="s">
        <v>1004</v>
      </c>
    </row>
    <row r="134" spans="1:3" x14ac:dyDescent="0.25">
      <c r="A134" s="36">
        <v>41187</v>
      </c>
      <c r="B134" s="122">
        <v>0.99967592592592591</v>
      </c>
      <c r="C134" s="26" t="s">
        <v>1004</v>
      </c>
    </row>
    <row r="135" spans="1:3" x14ac:dyDescent="0.25">
      <c r="A135" s="36">
        <v>41187</v>
      </c>
      <c r="B135" s="122">
        <v>0.99968749999999995</v>
      </c>
      <c r="C135" s="26" t="s">
        <v>1006</v>
      </c>
    </row>
    <row r="136" spans="1:3" x14ac:dyDescent="0.25">
      <c r="A136" s="36">
        <v>41188</v>
      </c>
      <c r="B136" s="122">
        <v>2.6620370370370372E-4</v>
      </c>
      <c r="C136" s="26" t="s">
        <v>1007</v>
      </c>
    </row>
    <row r="137" spans="1:3" x14ac:dyDescent="0.25">
      <c r="A137" s="36">
        <v>41188</v>
      </c>
      <c r="B137" s="122">
        <v>2.8935185185185189E-4</v>
      </c>
      <c r="C137" s="26" t="s">
        <v>1008</v>
      </c>
    </row>
    <row r="138" spans="1:3" x14ac:dyDescent="0.25">
      <c r="A138" s="36">
        <v>41188</v>
      </c>
      <c r="B138" s="122">
        <v>3.0092592592592595E-4</v>
      </c>
      <c r="C138" s="26" t="s">
        <v>1004</v>
      </c>
    </row>
    <row r="139" spans="1:3" x14ac:dyDescent="0.25">
      <c r="A139" s="36">
        <v>41188</v>
      </c>
      <c r="B139" s="122">
        <v>3.1250000000000001E-4</v>
      </c>
      <c r="C139" s="26" t="s">
        <v>1004</v>
      </c>
    </row>
    <row r="140" spans="1:3" x14ac:dyDescent="0.25">
      <c r="A140" s="36">
        <v>41188</v>
      </c>
      <c r="B140" s="122">
        <v>3.2407407407407406E-4</v>
      </c>
      <c r="C140" s="26" t="s">
        <v>1004</v>
      </c>
    </row>
    <row r="141" spans="1:3" x14ac:dyDescent="0.25">
      <c r="A141" s="36">
        <v>41188</v>
      </c>
      <c r="B141" s="122">
        <v>3.3564814814814812E-4</v>
      </c>
      <c r="C141" s="26" t="s">
        <v>1009</v>
      </c>
    </row>
    <row r="142" spans="1:3" x14ac:dyDescent="0.25">
      <c r="A142" s="36">
        <v>41188</v>
      </c>
      <c r="B142" s="122">
        <v>3.4722222222222224E-4</v>
      </c>
      <c r="C142" s="26" t="s">
        <v>1004</v>
      </c>
    </row>
    <row r="143" spans="1:3" x14ac:dyDescent="0.25">
      <c r="A143" s="36">
        <v>41188</v>
      </c>
      <c r="B143" s="122">
        <v>3.5879629629629635E-4</v>
      </c>
      <c r="C143" s="26" t="s">
        <v>1004</v>
      </c>
    </row>
    <row r="144" spans="1:3" x14ac:dyDescent="0.25">
      <c r="A144" s="36">
        <v>41188</v>
      </c>
      <c r="B144" s="122">
        <v>3.5879629629629635E-4</v>
      </c>
      <c r="C144" s="26" t="s">
        <v>1010</v>
      </c>
    </row>
    <row r="145" spans="1:3" x14ac:dyDescent="0.25">
      <c r="A145" s="36">
        <v>41188</v>
      </c>
      <c r="B145" s="122">
        <v>3.7037037037037035E-4</v>
      </c>
      <c r="C145" s="26" t="s">
        <v>1010</v>
      </c>
    </row>
    <row r="146" spans="1:3" x14ac:dyDescent="0.25">
      <c r="A146" s="36">
        <v>41188</v>
      </c>
      <c r="B146" s="122">
        <v>3.8194444444444446E-4</v>
      </c>
      <c r="C146" s="26" t="s">
        <v>1004</v>
      </c>
    </row>
    <row r="147" spans="1:3" x14ac:dyDescent="0.25">
      <c r="A147" s="36">
        <v>41188</v>
      </c>
      <c r="B147" s="122">
        <v>3.9351851851851852E-4</v>
      </c>
      <c r="C147" s="26" t="s">
        <v>1004</v>
      </c>
    </row>
    <row r="148" spans="1:3" x14ac:dyDescent="0.25">
      <c r="A148" s="36">
        <v>41188</v>
      </c>
      <c r="B148" s="122">
        <v>4.0509259259259258E-4</v>
      </c>
      <c r="C148" s="26" t="s">
        <v>1004</v>
      </c>
    </row>
    <row r="149" spans="1:3" x14ac:dyDescent="0.25">
      <c r="A149" s="36">
        <v>41188</v>
      </c>
      <c r="B149" s="122">
        <v>4.1666666666666669E-4</v>
      </c>
      <c r="C149" s="26" t="s">
        <v>1004</v>
      </c>
    </row>
    <row r="150" spans="1:3" x14ac:dyDescent="0.25">
      <c r="A150" s="36">
        <v>41188</v>
      </c>
      <c r="B150" s="122">
        <v>4.1666666666666669E-4</v>
      </c>
      <c r="C150" s="26" t="s">
        <v>1011</v>
      </c>
    </row>
    <row r="151" spans="1:3" x14ac:dyDescent="0.25">
      <c r="A151" s="36">
        <v>41188</v>
      </c>
      <c r="B151" s="122">
        <v>4.2824074074074075E-4</v>
      </c>
      <c r="C151" s="26" t="s">
        <v>1004</v>
      </c>
    </row>
    <row r="152" spans="1:3" x14ac:dyDescent="0.25">
      <c r="A152" s="36">
        <v>41188</v>
      </c>
      <c r="B152" s="122">
        <v>4.8611111111111104E-4</v>
      </c>
      <c r="C152" s="26" t="s">
        <v>1004</v>
      </c>
    </row>
    <row r="153" spans="1:3" x14ac:dyDescent="0.25">
      <c r="A153" s="36">
        <v>41188</v>
      </c>
      <c r="B153" s="122">
        <v>5.2083333333333333E-4</v>
      </c>
      <c r="C153" s="26" t="s">
        <v>1004</v>
      </c>
    </row>
    <row r="154" spans="1:3" x14ac:dyDescent="0.25">
      <c r="A154" s="36">
        <v>41188</v>
      </c>
      <c r="B154" s="122">
        <v>1.6087962962962963E-3</v>
      </c>
      <c r="C154" s="26" t="s">
        <v>1004</v>
      </c>
    </row>
    <row r="155" spans="1:3" x14ac:dyDescent="0.25">
      <c r="A155" s="36">
        <v>41188</v>
      </c>
      <c r="B155" s="122">
        <v>1.6203703703703703E-3</v>
      </c>
      <c r="C155" s="26" t="s">
        <v>1004</v>
      </c>
    </row>
    <row r="156" spans="1:3" x14ac:dyDescent="0.25">
      <c r="A156" s="36">
        <v>41188</v>
      </c>
      <c r="B156" s="122">
        <v>1.6319444444444445E-3</v>
      </c>
      <c r="C156" s="26" t="s">
        <v>1012</v>
      </c>
    </row>
    <row r="157" spans="1:3" x14ac:dyDescent="0.25">
      <c r="A157" s="36">
        <v>41188</v>
      </c>
      <c r="B157" s="122">
        <v>1.6435185185185183E-3</v>
      </c>
      <c r="C157" s="26" t="s">
        <v>1004</v>
      </c>
    </row>
    <row r="158" spans="1:3" x14ac:dyDescent="0.25">
      <c r="A158" s="36">
        <v>41188</v>
      </c>
      <c r="B158" s="122">
        <v>1.6550925925925926E-3</v>
      </c>
      <c r="C158" s="26" t="s">
        <v>1004</v>
      </c>
    </row>
    <row r="159" spans="1:3" x14ac:dyDescent="0.25">
      <c r="A159" s="36">
        <v>41188</v>
      </c>
      <c r="B159" s="122">
        <v>1.6666666666666668E-3</v>
      </c>
      <c r="C159" s="26" t="s">
        <v>1004</v>
      </c>
    </row>
    <row r="160" spans="1:3" x14ac:dyDescent="0.25">
      <c r="A160" s="36">
        <v>41188</v>
      </c>
      <c r="B160" s="122">
        <v>4.0509259259259257E-3</v>
      </c>
      <c r="C160" s="26" t="s">
        <v>915</v>
      </c>
    </row>
    <row r="161" spans="1:3" x14ac:dyDescent="0.25">
      <c r="A161" s="36">
        <v>41188</v>
      </c>
      <c r="B161" s="122">
        <v>4.1203703703703706E-3</v>
      </c>
      <c r="C161" s="26" t="s">
        <v>916</v>
      </c>
    </row>
    <row r="162" spans="1:3" x14ac:dyDescent="0.25">
      <c r="A162" s="36">
        <v>41188</v>
      </c>
      <c r="B162" s="122">
        <v>4.2013888888888891E-3</v>
      </c>
      <c r="C162" s="26" t="s">
        <v>1003</v>
      </c>
    </row>
    <row r="163" spans="1:3" x14ac:dyDescent="0.25">
      <c r="A163" s="36">
        <v>41188</v>
      </c>
      <c r="B163" s="122">
        <v>4.2361111111111106E-3</v>
      </c>
      <c r="C163" s="26" t="s">
        <v>1004</v>
      </c>
    </row>
    <row r="164" spans="1:3" x14ac:dyDescent="0.25">
      <c r="A164" s="36">
        <v>41188</v>
      </c>
      <c r="B164" s="122">
        <v>4.2476851851851851E-3</v>
      </c>
      <c r="C164" s="26" t="s">
        <v>1004</v>
      </c>
    </row>
    <row r="165" spans="1:3" x14ac:dyDescent="0.25">
      <c r="A165" s="36">
        <v>41188</v>
      </c>
      <c r="B165" s="122">
        <v>4.2476851851851851E-3</v>
      </c>
      <c r="C165" s="26" t="s">
        <v>1004</v>
      </c>
    </row>
    <row r="166" spans="1:3" x14ac:dyDescent="0.25">
      <c r="A166" s="36">
        <v>41188</v>
      </c>
      <c r="B166" s="122">
        <v>4.2592592592592595E-3</v>
      </c>
      <c r="C166" s="26" t="s">
        <v>1004</v>
      </c>
    </row>
    <row r="167" spans="1:3" x14ac:dyDescent="0.25">
      <c r="A167" s="36">
        <v>41188</v>
      </c>
      <c r="B167" s="122">
        <v>4.2708333333333339E-3</v>
      </c>
      <c r="C167" s="26" t="s">
        <v>1004</v>
      </c>
    </row>
    <row r="168" spans="1:3" x14ac:dyDescent="0.25">
      <c r="A168" s="36">
        <v>41188</v>
      </c>
      <c r="B168" s="122">
        <v>4.2824074074074075E-3</v>
      </c>
      <c r="C168" s="26" t="s">
        <v>1005</v>
      </c>
    </row>
    <row r="169" spans="1:3" x14ac:dyDescent="0.25">
      <c r="A169" s="36">
        <v>41188</v>
      </c>
      <c r="B169" s="122">
        <v>4.2939814814814811E-3</v>
      </c>
      <c r="C169" s="26" t="s">
        <v>1004</v>
      </c>
    </row>
    <row r="170" spans="1:3" x14ac:dyDescent="0.25">
      <c r="A170" s="36">
        <v>41188</v>
      </c>
      <c r="B170" s="122">
        <v>4.3055555555555555E-3</v>
      </c>
      <c r="C170" s="26" t="s">
        <v>1004</v>
      </c>
    </row>
    <row r="171" spans="1:3" x14ac:dyDescent="0.25">
      <c r="A171" s="36">
        <v>41188</v>
      </c>
      <c r="B171" s="122">
        <v>4.3055555555555555E-3</v>
      </c>
      <c r="C171" s="26" t="s">
        <v>1006</v>
      </c>
    </row>
    <row r="172" spans="1:3" x14ac:dyDescent="0.25">
      <c r="A172" s="36">
        <v>41188</v>
      </c>
      <c r="B172" s="122">
        <v>4.363425925925926E-3</v>
      </c>
      <c r="C172" s="26" t="s">
        <v>1007</v>
      </c>
    </row>
    <row r="173" spans="1:3" x14ac:dyDescent="0.25">
      <c r="A173" s="36">
        <v>41188</v>
      </c>
      <c r="B173" s="122">
        <v>4.386574074074074E-3</v>
      </c>
      <c r="C173" s="26" t="s">
        <v>1008</v>
      </c>
    </row>
    <row r="174" spans="1:3" x14ac:dyDescent="0.25">
      <c r="A174" s="36">
        <v>41188</v>
      </c>
      <c r="B174" s="122">
        <v>4.386574074074074E-3</v>
      </c>
      <c r="C174" s="26" t="s">
        <v>1004</v>
      </c>
    </row>
    <row r="175" spans="1:3" x14ac:dyDescent="0.25">
      <c r="A175" s="36">
        <v>41188</v>
      </c>
      <c r="B175" s="122">
        <v>4.3981481481481484E-3</v>
      </c>
      <c r="C175" s="26" t="s">
        <v>1004</v>
      </c>
    </row>
    <row r="176" spans="1:3" x14ac:dyDescent="0.25">
      <c r="A176" s="36">
        <v>41188</v>
      </c>
      <c r="B176" s="122">
        <v>4.409722222222222E-3</v>
      </c>
      <c r="C176" s="26" t="s">
        <v>1004</v>
      </c>
    </row>
    <row r="177" spans="1:3" x14ac:dyDescent="0.25">
      <c r="A177" s="36">
        <v>41188</v>
      </c>
      <c r="B177" s="122">
        <v>4.4212962962962956E-3</v>
      </c>
      <c r="C177" s="26" t="s">
        <v>1009</v>
      </c>
    </row>
    <row r="178" spans="1:3" x14ac:dyDescent="0.25">
      <c r="A178" s="36">
        <v>41188</v>
      </c>
      <c r="B178" s="122">
        <v>4.4328703703703709E-3</v>
      </c>
      <c r="C178" s="26" t="s">
        <v>1004</v>
      </c>
    </row>
    <row r="179" spans="1:3" x14ac:dyDescent="0.25">
      <c r="A179" s="36">
        <v>41188</v>
      </c>
      <c r="B179" s="122">
        <v>4.4444444444444444E-3</v>
      </c>
      <c r="C179" s="26" t="s">
        <v>1004</v>
      </c>
    </row>
    <row r="180" spans="1:3" x14ac:dyDescent="0.25">
      <c r="A180" s="36">
        <v>41188</v>
      </c>
      <c r="B180" s="122">
        <v>4.4560185185185189E-3</v>
      </c>
      <c r="C180" s="26" t="s">
        <v>1010</v>
      </c>
    </row>
    <row r="181" spans="1:3" x14ac:dyDescent="0.25">
      <c r="A181" s="36">
        <v>41188</v>
      </c>
      <c r="B181" s="122">
        <v>4.4560185185185189E-3</v>
      </c>
      <c r="C181" s="26" t="s">
        <v>1010</v>
      </c>
    </row>
    <row r="182" spans="1:3" x14ac:dyDescent="0.25">
      <c r="A182" s="36">
        <v>41188</v>
      </c>
      <c r="B182" s="122">
        <v>4.4675925925925933E-3</v>
      </c>
      <c r="C182" s="26" t="s">
        <v>1004</v>
      </c>
    </row>
    <row r="183" spans="1:3" x14ac:dyDescent="0.25">
      <c r="A183" s="36">
        <v>41188</v>
      </c>
      <c r="B183" s="122">
        <v>4.4791666666666669E-3</v>
      </c>
      <c r="C183" s="26" t="s">
        <v>1004</v>
      </c>
    </row>
    <row r="184" spans="1:3" x14ac:dyDescent="0.25">
      <c r="A184" s="36">
        <v>41188</v>
      </c>
      <c r="B184" s="122">
        <v>4.4907407407407405E-3</v>
      </c>
      <c r="C184" s="26" t="s">
        <v>1004</v>
      </c>
    </row>
    <row r="185" spans="1:3" x14ac:dyDescent="0.25">
      <c r="A185" s="36">
        <v>41188</v>
      </c>
      <c r="B185" s="122">
        <v>4.4907407407407405E-3</v>
      </c>
      <c r="C185" s="26" t="s">
        <v>1004</v>
      </c>
    </row>
    <row r="186" spans="1:3" x14ac:dyDescent="0.25">
      <c r="A186" s="36">
        <v>41188</v>
      </c>
      <c r="B186" s="122">
        <v>4.5023148148148149E-3</v>
      </c>
      <c r="C186" s="26" t="s">
        <v>1011</v>
      </c>
    </row>
    <row r="187" spans="1:3" x14ac:dyDescent="0.25">
      <c r="A187" s="36">
        <v>41188</v>
      </c>
      <c r="B187" s="122">
        <v>4.5138888888888893E-3</v>
      </c>
      <c r="C187" s="26" t="s">
        <v>1004</v>
      </c>
    </row>
    <row r="188" spans="1:3" x14ac:dyDescent="0.25">
      <c r="A188" s="36">
        <v>41188</v>
      </c>
      <c r="B188" s="122">
        <v>4.5486111111111109E-3</v>
      </c>
      <c r="C188" s="26" t="s">
        <v>1004</v>
      </c>
    </row>
    <row r="189" spans="1:3" x14ac:dyDescent="0.25">
      <c r="A189" s="36">
        <v>41188</v>
      </c>
      <c r="B189" s="122">
        <v>4.5601851851851853E-3</v>
      </c>
      <c r="C189" s="26" t="s">
        <v>1004</v>
      </c>
    </row>
    <row r="190" spans="1:3" x14ac:dyDescent="0.25">
      <c r="A190" s="36">
        <v>41188</v>
      </c>
      <c r="B190" s="122">
        <v>4.6064814814814814E-3</v>
      </c>
      <c r="C190" s="26" t="s">
        <v>1004</v>
      </c>
    </row>
    <row r="191" spans="1:3" x14ac:dyDescent="0.25">
      <c r="A191" s="36">
        <v>41188</v>
      </c>
      <c r="B191" s="122">
        <v>4.6180555555555558E-3</v>
      </c>
      <c r="C191" s="26" t="s">
        <v>1004</v>
      </c>
    </row>
    <row r="192" spans="1:3" x14ac:dyDescent="0.25">
      <c r="A192" s="36">
        <v>41188</v>
      </c>
      <c r="B192" s="122">
        <v>4.6180555555555558E-3</v>
      </c>
      <c r="C192" s="26" t="s">
        <v>1012</v>
      </c>
    </row>
    <row r="193" spans="1:3" x14ac:dyDescent="0.25">
      <c r="A193" s="36">
        <v>41188</v>
      </c>
      <c r="B193" s="122">
        <v>4.6296296296296302E-3</v>
      </c>
      <c r="C193" s="26" t="s">
        <v>1004</v>
      </c>
    </row>
    <row r="194" spans="1:3" x14ac:dyDescent="0.25">
      <c r="A194" s="36">
        <v>41188</v>
      </c>
      <c r="B194" s="122">
        <v>4.6412037037037038E-3</v>
      </c>
      <c r="C194" s="26" t="s">
        <v>1004</v>
      </c>
    </row>
    <row r="195" spans="1:3" x14ac:dyDescent="0.25">
      <c r="A195" s="36">
        <v>41188</v>
      </c>
      <c r="B195" s="122">
        <v>4.6527777777777774E-3</v>
      </c>
      <c r="C195" s="26" t="s">
        <v>1004</v>
      </c>
    </row>
    <row r="196" spans="1:3" x14ac:dyDescent="0.25">
      <c r="A196" s="36">
        <v>41188</v>
      </c>
      <c r="B196" s="122">
        <v>4.6874999999999998E-3</v>
      </c>
      <c r="C196" s="26" t="s">
        <v>1004</v>
      </c>
    </row>
    <row r="197" spans="1:3" x14ac:dyDescent="0.25">
      <c r="A197" s="36">
        <v>41188</v>
      </c>
      <c r="B197" s="122">
        <v>4.6990740740740743E-3</v>
      </c>
      <c r="C197" s="26" t="s">
        <v>1013</v>
      </c>
    </row>
    <row r="198" spans="1:3" x14ac:dyDescent="0.25">
      <c r="A198" s="36">
        <v>41188</v>
      </c>
      <c r="B198" s="122">
        <v>4.7106481481481478E-3</v>
      </c>
      <c r="C198" s="26" t="s">
        <v>1004</v>
      </c>
    </row>
    <row r="199" spans="1:3" x14ac:dyDescent="0.25">
      <c r="A199" s="36">
        <v>41188</v>
      </c>
      <c r="B199" s="122">
        <v>4.7222222222222223E-3</v>
      </c>
      <c r="C199" s="26" t="s">
        <v>1013</v>
      </c>
    </row>
    <row r="200" spans="1:3" x14ac:dyDescent="0.25">
      <c r="A200" s="36">
        <v>41188</v>
      </c>
      <c r="B200" s="122">
        <v>4.7337962962962958E-3</v>
      </c>
      <c r="C200" s="26" t="s">
        <v>1014</v>
      </c>
    </row>
    <row r="201" spans="1:3" x14ac:dyDescent="0.25">
      <c r="A201" s="36">
        <v>41188</v>
      </c>
      <c r="B201" s="122">
        <v>4.7453703703703703E-3</v>
      </c>
      <c r="C201" s="26" t="s">
        <v>1015</v>
      </c>
    </row>
    <row r="202" spans="1:3" x14ac:dyDescent="0.25">
      <c r="A202" s="36">
        <v>41188</v>
      </c>
      <c r="B202" s="122">
        <v>4.7685185185185183E-3</v>
      </c>
      <c r="C202" s="26" t="s">
        <v>1004</v>
      </c>
    </row>
    <row r="203" spans="1:3" x14ac:dyDescent="0.25">
      <c r="A203" s="36">
        <v>41188</v>
      </c>
      <c r="B203" s="122">
        <v>4.7800925925925919E-3</v>
      </c>
      <c r="C203" s="26" t="s">
        <v>1004</v>
      </c>
    </row>
    <row r="204" spans="1:3" x14ac:dyDescent="0.25">
      <c r="A204" s="36">
        <v>41188</v>
      </c>
      <c r="B204" s="122">
        <v>4.7916666666666672E-3</v>
      </c>
      <c r="C204" s="26" t="s">
        <v>1004</v>
      </c>
    </row>
    <row r="205" spans="1:3" x14ac:dyDescent="0.25">
      <c r="A205" s="36">
        <v>41188</v>
      </c>
      <c r="B205" s="122">
        <v>5.4513888888888884E-3</v>
      </c>
      <c r="C205" s="26" t="s">
        <v>915</v>
      </c>
    </row>
    <row r="206" spans="1:3" x14ac:dyDescent="0.25">
      <c r="A206" s="36">
        <v>41188</v>
      </c>
      <c r="B206" s="122">
        <v>5.5902777777777782E-3</v>
      </c>
      <c r="C206" s="26" t="s">
        <v>916</v>
      </c>
    </row>
    <row r="207" spans="1:3" x14ac:dyDescent="0.25">
      <c r="A207" s="36">
        <v>41188</v>
      </c>
      <c r="B207" s="122">
        <v>7.7777777777777767E-3</v>
      </c>
      <c r="C207" s="26" t="s">
        <v>1003</v>
      </c>
    </row>
    <row r="208" spans="1:3" x14ac:dyDescent="0.25">
      <c r="A208" s="36">
        <v>41188</v>
      </c>
      <c r="B208" s="122">
        <v>7.8009259259259256E-3</v>
      </c>
      <c r="C208" s="26" t="s">
        <v>1004</v>
      </c>
    </row>
    <row r="209" spans="1:3" x14ac:dyDescent="0.25">
      <c r="A209" s="36">
        <v>41188</v>
      </c>
      <c r="B209" s="122">
        <v>7.8240740740740753E-3</v>
      </c>
      <c r="C209" s="26" t="s">
        <v>1004</v>
      </c>
    </row>
    <row r="210" spans="1:3" x14ac:dyDescent="0.25">
      <c r="A210" s="36">
        <v>41188</v>
      </c>
      <c r="B210" s="122">
        <v>7.8356481481481489E-3</v>
      </c>
      <c r="C210" s="26" t="s">
        <v>1004</v>
      </c>
    </row>
    <row r="211" spans="1:3" x14ac:dyDescent="0.25">
      <c r="A211" s="36">
        <v>41188</v>
      </c>
      <c r="B211" s="122">
        <v>7.8472222222222224E-3</v>
      </c>
      <c r="C211" s="26" t="s">
        <v>1004</v>
      </c>
    </row>
    <row r="212" spans="1:3" x14ac:dyDescent="0.25">
      <c r="A212" s="36">
        <v>41188</v>
      </c>
      <c r="B212" s="122">
        <v>7.8472222222222224E-3</v>
      </c>
      <c r="C212" s="26" t="s">
        <v>1004</v>
      </c>
    </row>
    <row r="213" spans="1:3" x14ac:dyDescent="0.25">
      <c r="A213" s="36">
        <v>41188</v>
      </c>
      <c r="B213" s="122">
        <v>7.858796296296296E-3</v>
      </c>
      <c r="C213" s="26" t="s">
        <v>1005</v>
      </c>
    </row>
    <row r="214" spans="1:3" x14ac:dyDescent="0.25">
      <c r="A214" s="36">
        <v>41188</v>
      </c>
      <c r="B214" s="122">
        <v>7.8703703703703713E-3</v>
      </c>
      <c r="C214" s="26" t="s">
        <v>1004</v>
      </c>
    </row>
    <row r="215" spans="1:3" x14ac:dyDescent="0.25">
      <c r="A215" s="36">
        <v>41188</v>
      </c>
      <c r="B215" s="122">
        <v>7.8819444444444432E-3</v>
      </c>
      <c r="C215" s="26" t="s">
        <v>1004</v>
      </c>
    </row>
    <row r="216" spans="1:3" x14ac:dyDescent="0.25">
      <c r="A216" s="36">
        <v>41188</v>
      </c>
      <c r="B216" s="122">
        <v>7.8935185185185185E-3</v>
      </c>
      <c r="C216" s="26" t="s">
        <v>1006</v>
      </c>
    </row>
    <row r="217" spans="1:3" x14ac:dyDescent="0.25">
      <c r="A217" s="36">
        <v>41188</v>
      </c>
      <c r="B217" s="122">
        <v>7.905092592592592E-3</v>
      </c>
      <c r="C217" s="26" t="s">
        <v>1007</v>
      </c>
    </row>
    <row r="218" spans="1:3" x14ac:dyDescent="0.25">
      <c r="A218" s="36">
        <v>41188</v>
      </c>
      <c r="B218" s="122">
        <v>7.9166666666666673E-3</v>
      </c>
      <c r="C218" s="26" t="s">
        <v>1008</v>
      </c>
    </row>
    <row r="219" spans="1:3" x14ac:dyDescent="0.25">
      <c r="A219" s="36">
        <v>41188</v>
      </c>
      <c r="B219" s="122">
        <v>7.9282407407407409E-3</v>
      </c>
      <c r="C219" s="26" t="s">
        <v>1004</v>
      </c>
    </row>
    <row r="220" spans="1:3" x14ac:dyDescent="0.25">
      <c r="A220" s="36">
        <v>41188</v>
      </c>
      <c r="B220" s="122">
        <v>7.9398148148148145E-3</v>
      </c>
      <c r="C220" s="26" t="s">
        <v>1004</v>
      </c>
    </row>
    <row r="221" spans="1:3" x14ac:dyDescent="0.25">
      <c r="A221" s="36">
        <v>41188</v>
      </c>
      <c r="B221" s="122">
        <v>7.951388888888888E-3</v>
      </c>
      <c r="C221" s="26" t="s">
        <v>1004</v>
      </c>
    </row>
    <row r="222" spans="1:3" x14ac:dyDescent="0.25">
      <c r="A222" s="36">
        <v>41188</v>
      </c>
      <c r="B222" s="122">
        <v>7.9629629629629634E-3</v>
      </c>
      <c r="C222" s="26" t="s">
        <v>1009</v>
      </c>
    </row>
    <row r="223" spans="1:3" x14ac:dyDescent="0.25">
      <c r="A223" s="36">
        <v>41188</v>
      </c>
      <c r="B223" s="122">
        <v>7.9745370370370369E-3</v>
      </c>
      <c r="C223" s="26" t="s">
        <v>1004</v>
      </c>
    </row>
    <row r="224" spans="1:3" x14ac:dyDescent="0.25">
      <c r="A224" s="36">
        <v>41188</v>
      </c>
      <c r="B224" s="122">
        <v>7.9745370370370369E-3</v>
      </c>
      <c r="C224" s="26" t="s">
        <v>1004</v>
      </c>
    </row>
    <row r="225" spans="1:3" x14ac:dyDescent="0.25">
      <c r="A225" s="36">
        <v>41188</v>
      </c>
      <c r="B225" s="122">
        <v>7.9861111111111122E-3</v>
      </c>
      <c r="C225" s="26" t="s">
        <v>1010</v>
      </c>
    </row>
    <row r="226" spans="1:3" x14ac:dyDescent="0.25">
      <c r="A226" s="36">
        <v>41188</v>
      </c>
      <c r="B226" s="122">
        <v>7.9976851851851858E-3</v>
      </c>
      <c r="C226" s="26" t="s">
        <v>1010</v>
      </c>
    </row>
    <row r="227" spans="1:3" x14ac:dyDescent="0.25">
      <c r="A227" s="36">
        <v>41188</v>
      </c>
      <c r="B227" s="122">
        <v>8.0092592592592594E-3</v>
      </c>
      <c r="C227" s="26" t="s">
        <v>1004</v>
      </c>
    </row>
    <row r="228" spans="1:3" x14ac:dyDescent="0.25">
      <c r="A228" s="36">
        <v>41188</v>
      </c>
      <c r="B228" s="122">
        <v>8.0092592592592594E-3</v>
      </c>
      <c r="C228" s="26" t="s">
        <v>1004</v>
      </c>
    </row>
    <row r="229" spans="1:3" x14ac:dyDescent="0.25">
      <c r="A229" s="36">
        <v>41188</v>
      </c>
      <c r="B229" s="122">
        <v>8.0208333333333329E-3</v>
      </c>
      <c r="C229" s="26" t="s">
        <v>1004</v>
      </c>
    </row>
    <row r="230" spans="1:3" x14ac:dyDescent="0.25">
      <c r="A230" s="36">
        <v>41188</v>
      </c>
      <c r="B230" s="122">
        <v>8.0324074074074065E-3</v>
      </c>
      <c r="C230" s="26" t="s">
        <v>1004</v>
      </c>
    </row>
    <row r="231" spans="1:3" x14ac:dyDescent="0.25">
      <c r="A231" s="36">
        <v>41188</v>
      </c>
      <c r="B231" s="122">
        <v>8.0439814814814818E-3</v>
      </c>
      <c r="C231" s="26" t="s">
        <v>1011</v>
      </c>
    </row>
    <row r="232" spans="1:3" x14ac:dyDescent="0.25">
      <c r="A232" s="36">
        <v>41188</v>
      </c>
      <c r="B232" s="122">
        <v>8.0439814814814818E-3</v>
      </c>
      <c r="C232" s="26" t="s">
        <v>1004</v>
      </c>
    </row>
    <row r="233" spans="1:3" x14ac:dyDescent="0.25">
      <c r="A233" s="36">
        <v>41188</v>
      </c>
      <c r="B233" s="122">
        <v>8.5995370370370357E-3</v>
      </c>
      <c r="C233" s="26" t="s">
        <v>1004</v>
      </c>
    </row>
    <row r="234" spans="1:3" x14ac:dyDescent="0.25">
      <c r="A234" s="36">
        <v>41188</v>
      </c>
      <c r="B234" s="122">
        <v>8.6226851851851846E-3</v>
      </c>
      <c r="C234" s="26" t="s">
        <v>1004</v>
      </c>
    </row>
    <row r="235" spans="1:3" x14ac:dyDescent="0.25">
      <c r="A235" s="36">
        <v>41188</v>
      </c>
      <c r="B235" s="122">
        <v>8.6342592592592599E-3</v>
      </c>
      <c r="C235" s="26" t="s">
        <v>1004</v>
      </c>
    </row>
    <row r="236" spans="1:3" x14ac:dyDescent="0.25">
      <c r="A236" s="36">
        <v>41188</v>
      </c>
      <c r="B236" s="122">
        <v>8.6458333333333335E-3</v>
      </c>
      <c r="C236" s="26" t="s">
        <v>1004</v>
      </c>
    </row>
    <row r="237" spans="1:3" x14ac:dyDescent="0.25">
      <c r="A237" s="36">
        <v>41188</v>
      </c>
      <c r="B237" s="122">
        <v>8.6458333333333335E-3</v>
      </c>
      <c r="C237" s="26" t="s">
        <v>1012</v>
      </c>
    </row>
    <row r="238" spans="1:3" x14ac:dyDescent="0.25">
      <c r="A238" s="36">
        <v>41188</v>
      </c>
      <c r="B238" s="122">
        <v>8.6574074074074071E-3</v>
      </c>
      <c r="C238" s="26" t="s">
        <v>1004</v>
      </c>
    </row>
    <row r="239" spans="1:3" x14ac:dyDescent="0.25">
      <c r="A239" s="36">
        <v>41188</v>
      </c>
      <c r="B239" s="122">
        <v>8.6689814814814806E-3</v>
      </c>
      <c r="C239" s="26" t="s">
        <v>1004</v>
      </c>
    </row>
    <row r="240" spans="1:3" x14ac:dyDescent="0.25">
      <c r="A240" s="36">
        <v>41188</v>
      </c>
      <c r="B240" s="122">
        <v>8.6805555555555559E-3</v>
      </c>
      <c r="C240" s="26" t="s">
        <v>1004</v>
      </c>
    </row>
    <row r="241" spans="1:3" x14ac:dyDescent="0.25">
      <c r="A241" s="36">
        <v>41188</v>
      </c>
      <c r="B241" s="122">
        <v>8.8310185185185176E-3</v>
      </c>
      <c r="C241" s="26" t="s">
        <v>1004</v>
      </c>
    </row>
    <row r="242" spans="1:3" x14ac:dyDescent="0.25">
      <c r="A242" s="36">
        <v>41188</v>
      </c>
      <c r="B242" s="122">
        <v>8.8425925925925911E-3</v>
      </c>
      <c r="C242" s="26" t="s">
        <v>1013</v>
      </c>
    </row>
    <row r="243" spans="1:3" x14ac:dyDescent="0.25">
      <c r="A243" s="36">
        <v>41188</v>
      </c>
      <c r="B243" s="122">
        <v>8.8541666666666664E-3</v>
      </c>
      <c r="C243" s="26" t="s">
        <v>1004</v>
      </c>
    </row>
    <row r="244" spans="1:3" x14ac:dyDescent="0.25">
      <c r="A244" s="36">
        <v>41188</v>
      </c>
      <c r="B244" s="122">
        <v>8.8773148148148153E-3</v>
      </c>
      <c r="C244" s="26" t="s">
        <v>1013</v>
      </c>
    </row>
    <row r="245" spans="1:3" x14ac:dyDescent="0.25">
      <c r="A245" s="36">
        <v>41188</v>
      </c>
      <c r="B245" s="122">
        <v>8.8888888888888889E-3</v>
      </c>
      <c r="C245" s="26" t="s">
        <v>1014</v>
      </c>
    </row>
    <row r="246" spans="1:3" x14ac:dyDescent="0.25">
      <c r="A246" s="36">
        <v>41188</v>
      </c>
      <c r="B246" s="122">
        <v>8.9004629629629625E-3</v>
      </c>
      <c r="C246" s="26" t="s">
        <v>1015</v>
      </c>
    </row>
    <row r="247" spans="1:3" x14ac:dyDescent="0.25">
      <c r="A247" s="36">
        <v>41188</v>
      </c>
      <c r="B247" s="122">
        <v>8.9120370370370378E-3</v>
      </c>
      <c r="C247" s="26" t="s">
        <v>1004</v>
      </c>
    </row>
    <row r="248" spans="1:3" x14ac:dyDescent="0.25">
      <c r="A248" s="36">
        <v>41188</v>
      </c>
      <c r="B248" s="122">
        <v>8.9236111111111113E-3</v>
      </c>
      <c r="C248" s="26" t="s">
        <v>1004</v>
      </c>
    </row>
    <row r="249" spans="1:3" x14ac:dyDescent="0.25">
      <c r="A249" s="36">
        <v>41188</v>
      </c>
      <c r="B249" s="122">
        <v>8.9236111111111113E-3</v>
      </c>
      <c r="C249" s="26" t="s">
        <v>1004</v>
      </c>
    </row>
    <row r="250" spans="1:3" x14ac:dyDescent="0.25">
      <c r="A250" s="36">
        <v>41188</v>
      </c>
      <c r="B250" s="122">
        <v>9.3171296296296283E-3</v>
      </c>
      <c r="C250" s="26" t="s">
        <v>920</v>
      </c>
    </row>
    <row r="251" spans="1:3" x14ac:dyDescent="0.25">
      <c r="A251" s="36">
        <v>41188</v>
      </c>
      <c r="B251" s="122">
        <v>9.3171296296296283E-3</v>
      </c>
      <c r="C251" s="26" t="s">
        <v>1004</v>
      </c>
    </row>
    <row r="252" spans="1:3" x14ac:dyDescent="0.25">
      <c r="A252" s="36">
        <v>41188</v>
      </c>
      <c r="B252" s="122">
        <v>9.3402777777777772E-3</v>
      </c>
      <c r="C252" s="26" t="s">
        <v>1004</v>
      </c>
    </row>
    <row r="253" spans="1:3" x14ac:dyDescent="0.25">
      <c r="A253" s="36">
        <v>41188</v>
      </c>
      <c r="B253" s="122">
        <v>9.3402777777777772E-3</v>
      </c>
      <c r="C253" s="26" t="s">
        <v>1004</v>
      </c>
    </row>
    <row r="254" spans="1:3" x14ac:dyDescent="0.25">
      <c r="A254" s="36">
        <v>41188</v>
      </c>
      <c r="B254" s="122">
        <v>9.3518518518518525E-3</v>
      </c>
      <c r="C254" s="26" t="s">
        <v>1004</v>
      </c>
    </row>
    <row r="255" spans="1:3" x14ac:dyDescent="0.25">
      <c r="A255" s="36">
        <v>41188</v>
      </c>
      <c r="B255" s="122">
        <v>9.3634259259259261E-3</v>
      </c>
      <c r="C255" s="26" t="s">
        <v>1004</v>
      </c>
    </row>
    <row r="256" spans="1:3" x14ac:dyDescent="0.25">
      <c r="A256" s="36">
        <v>41188</v>
      </c>
      <c r="B256" s="122">
        <v>9.3749999999999997E-3</v>
      </c>
      <c r="C256" s="26" t="s">
        <v>1004</v>
      </c>
    </row>
    <row r="257" spans="1:3" x14ac:dyDescent="0.25">
      <c r="A257" s="36">
        <v>41188</v>
      </c>
      <c r="B257" s="122">
        <v>9.3749999999999997E-3</v>
      </c>
      <c r="C257" s="26" t="s">
        <v>1004</v>
      </c>
    </row>
    <row r="258" spans="1:3" x14ac:dyDescent="0.25">
      <c r="A258" s="36">
        <v>41188</v>
      </c>
      <c r="B258" s="122">
        <v>9.386574074074075E-3</v>
      </c>
      <c r="C258" s="26" t="s">
        <v>1016</v>
      </c>
    </row>
    <row r="259" spans="1:3" x14ac:dyDescent="0.25">
      <c r="A259" s="36">
        <v>41188</v>
      </c>
      <c r="B259" s="122">
        <v>9.3981481481481485E-3</v>
      </c>
      <c r="C259" s="26" t="s">
        <v>1004</v>
      </c>
    </row>
    <row r="260" spans="1:3" x14ac:dyDescent="0.25">
      <c r="A260" s="36">
        <v>41188</v>
      </c>
      <c r="B260" s="122">
        <v>9.4097222222222238E-3</v>
      </c>
      <c r="C260" s="26" t="s">
        <v>1004</v>
      </c>
    </row>
    <row r="261" spans="1:3" x14ac:dyDescent="0.25">
      <c r="A261" s="36">
        <v>41188</v>
      </c>
      <c r="B261" s="122">
        <v>9.4212962962962957E-3</v>
      </c>
      <c r="C261" s="26" t="s">
        <v>1013</v>
      </c>
    </row>
    <row r="262" spans="1:3" x14ac:dyDescent="0.25">
      <c r="A262" s="36">
        <v>41188</v>
      </c>
      <c r="B262" s="122">
        <v>9.432870370370371E-3</v>
      </c>
      <c r="C262" s="26" t="s">
        <v>1017</v>
      </c>
    </row>
    <row r="263" spans="1:3" x14ac:dyDescent="0.25">
      <c r="A263" s="36">
        <v>41188</v>
      </c>
      <c r="B263" s="122">
        <v>9.4444444444444445E-3</v>
      </c>
      <c r="C263" s="26" t="s">
        <v>1015</v>
      </c>
    </row>
    <row r="264" spans="1:3" x14ac:dyDescent="0.25">
      <c r="A264" s="36">
        <v>41188</v>
      </c>
      <c r="B264" s="122">
        <v>9.4560185185185181E-3</v>
      </c>
      <c r="C264" s="26" t="s">
        <v>1018</v>
      </c>
    </row>
    <row r="265" spans="1:3" x14ac:dyDescent="0.25">
      <c r="A265" s="36">
        <v>41188</v>
      </c>
      <c r="B265" s="122">
        <v>9.4560185185185181E-3</v>
      </c>
      <c r="C265" s="26" t="s">
        <v>1018</v>
      </c>
    </row>
    <row r="266" spans="1:3" x14ac:dyDescent="0.25">
      <c r="A266" s="36">
        <v>41188</v>
      </c>
      <c r="B266" s="122">
        <v>9.4675925925925917E-3</v>
      </c>
      <c r="C266" s="26" t="s">
        <v>1019</v>
      </c>
    </row>
    <row r="267" spans="1:3" x14ac:dyDescent="0.25">
      <c r="A267" s="36">
        <v>41188</v>
      </c>
      <c r="B267" s="122">
        <v>9.479166666666667E-3</v>
      </c>
      <c r="C267" s="26" t="s">
        <v>1004</v>
      </c>
    </row>
    <row r="268" spans="1:3" x14ac:dyDescent="0.25">
      <c r="A268" s="36">
        <v>41188</v>
      </c>
      <c r="B268" s="122">
        <v>9.4907407407407406E-3</v>
      </c>
      <c r="C268" s="26" t="s">
        <v>1004</v>
      </c>
    </row>
    <row r="269" spans="1:3" x14ac:dyDescent="0.25">
      <c r="A269" s="36">
        <v>41188</v>
      </c>
      <c r="B269" s="122">
        <v>9.4907407407407406E-3</v>
      </c>
      <c r="C269" s="26" t="s">
        <v>1013</v>
      </c>
    </row>
    <row r="270" spans="1:3" x14ac:dyDescent="0.25">
      <c r="A270" s="36">
        <v>41188</v>
      </c>
      <c r="B270" s="122">
        <v>9.5023148148148159E-3</v>
      </c>
      <c r="C270" s="26" t="s">
        <v>1004</v>
      </c>
    </row>
    <row r="271" spans="1:3" x14ac:dyDescent="0.25">
      <c r="A271" s="36">
        <v>41188</v>
      </c>
      <c r="B271" s="122">
        <v>9.5138888888888894E-3</v>
      </c>
      <c r="C271" s="26" t="s">
        <v>1004</v>
      </c>
    </row>
    <row r="272" spans="1:3" x14ac:dyDescent="0.25">
      <c r="A272" s="36">
        <v>41188</v>
      </c>
      <c r="B272" s="122">
        <v>9.525462962962963E-3</v>
      </c>
      <c r="C272" s="26" t="s">
        <v>1007</v>
      </c>
    </row>
    <row r="273" spans="1:3" x14ac:dyDescent="0.25">
      <c r="A273" s="36">
        <v>41188</v>
      </c>
      <c r="B273" s="122">
        <v>9.525462962962963E-3</v>
      </c>
      <c r="C273" s="26" t="s">
        <v>1007</v>
      </c>
    </row>
    <row r="274" spans="1:3" x14ac:dyDescent="0.25">
      <c r="A274" s="36">
        <v>41188</v>
      </c>
      <c r="B274" s="122">
        <v>9.5370370370370366E-3</v>
      </c>
      <c r="C274" s="26" t="s">
        <v>1020</v>
      </c>
    </row>
    <row r="275" spans="1:3" x14ac:dyDescent="0.25">
      <c r="A275" s="36">
        <v>41188</v>
      </c>
      <c r="B275" s="122">
        <v>9.5486111111111101E-3</v>
      </c>
      <c r="C275" s="26" t="s">
        <v>1021</v>
      </c>
    </row>
    <row r="276" spans="1:3" x14ac:dyDescent="0.25">
      <c r="A276" s="36">
        <v>41188</v>
      </c>
      <c r="B276" s="122">
        <v>9.5601851851851855E-3</v>
      </c>
      <c r="C276" s="26" t="s">
        <v>1004</v>
      </c>
    </row>
    <row r="277" spans="1:3" x14ac:dyDescent="0.25">
      <c r="A277" s="36">
        <v>41188</v>
      </c>
      <c r="B277" s="122">
        <v>9.7337962962962977E-3</v>
      </c>
      <c r="C277" s="26" t="s">
        <v>960</v>
      </c>
    </row>
    <row r="278" spans="1:3" x14ac:dyDescent="0.25">
      <c r="A278" s="36">
        <v>41188</v>
      </c>
      <c r="B278" s="122">
        <v>9.7337962962962977E-3</v>
      </c>
      <c r="C278" s="26" t="s">
        <v>1004</v>
      </c>
    </row>
    <row r="279" spans="1:3" x14ac:dyDescent="0.25">
      <c r="A279" s="36">
        <v>41188</v>
      </c>
      <c r="B279" s="122">
        <v>9.7453703703703713E-3</v>
      </c>
      <c r="C279" s="26" t="s">
        <v>1022</v>
      </c>
    </row>
    <row r="280" spans="1:3" x14ac:dyDescent="0.25">
      <c r="A280" s="36">
        <v>41188</v>
      </c>
      <c r="B280" s="122">
        <v>9.7569444444444448E-3</v>
      </c>
      <c r="C280" s="26" t="s">
        <v>1004</v>
      </c>
    </row>
    <row r="281" spans="1:3" x14ac:dyDescent="0.25">
      <c r="A281" s="36">
        <v>41188</v>
      </c>
      <c r="B281" s="122">
        <v>9.7569444444444448E-3</v>
      </c>
      <c r="C281" s="26" t="s">
        <v>1023</v>
      </c>
    </row>
    <row r="282" spans="1:3" x14ac:dyDescent="0.25">
      <c r="A282" s="36">
        <v>41188</v>
      </c>
      <c r="B282" s="122">
        <v>9.7685185185185184E-3</v>
      </c>
      <c r="C282" s="26" t="s">
        <v>1024</v>
      </c>
    </row>
    <row r="283" spans="1:3" x14ac:dyDescent="0.25">
      <c r="A283" s="36">
        <v>41188</v>
      </c>
      <c r="B283" s="122">
        <v>9.780092592592592E-3</v>
      </c>
      <c r="C283" s="26" t="s">
        <v>1004</v>
      </c>
    </row>
    <row r="284" spans="1:3" x14ac:dyDescent="0.25">
      <c r="A284" s="36">
        <v>41188</v>
      </c>
      <c r="B284" s="122">
        <v>9.7916666666666655E-3</v>
      </c>
      <c r="C284" s="26" t="s">
        <v>1004</v>
      </c>
    </row>
    <row r="285" spans="1:3" x14ac:dyDescent="0.25">
      <c r="A285" s="36">
        <v>41188</v>
      </c>
      <c r="B285" s="122">
        <v>9.8032407407407408E-3</v>
      </c>
      <c r="C285" s="26" t="s">
        <v>1025</v>
      </c>
    </row>
    <row r="286" spans="1:3" x14ac:dyDescent="0.25">
      <c r="A286" s="36">
        <v>41188</v>
      </c>
      <c r="B286" s="122">
        <v>9.8148148148148144E-3</v>
      </c>
      <c r="C286" s="26" t="s">
        <v>1004</v>
      </c>
    </row>
    <row r="287" spans="1:3" x14ac:dyDescent="0.25">
      <c r="A287" s="36">
        <v>41188</v>
      </c>
      <c r="B287" s="122">
        <v>9.8148148148148144E-3</v>
      </c>
      <c r="C287" s="26" t="s">
        <v>1004</v>
      </c>
    </row>
    <row r="288" spans="1:3" x14ac:dyDescent="0.25">
      <c r="A288" s="36">
        <v>41188</v>
      </c>
      <c r="B288" s="122">
        <v>9.8263888888888897E-3</v>
      </c>
      <c r="C288" s="26" t="s">
        <v>1024</v>
      </c>
    </row>
    <row r="289" spans="1:3" x14ac:dyDescent="0.25">
      <c r="A289" s="36">
        <v>41188</v>
      </c>
      <c r="B289" s="122">
        <v>9.8379629629629633E-3</v>
      </c>
      <c r="C289" s="26" t="s">
        <v>1025</v>
      </c>
    </row>
    <row r="290" spans="1:3" x14ac:dyDescent="0.25">
      <c r="A290" s="36">
        <v>41188</v>
      </c>
      <c r="B290" s="122">
        <v>9.8495370370370369E-3</v>
      </c>
      <c r="C290" s="26" t="s">
        <v>1026</v>
      </c>
    </row>
    <row r="291" spans="1:3" x14ac:dyDescent="0.25">
      <c r="A291" s="36">
        <v>41188</v>
      </c>
      <c r="B291" s="122">
        <v>9.8611111111111104E-3</v>
      </c>
      <c r="C291" s="26" t="s">
        <v>1004</v>
      </c>
    </row>
    <row r="292" spans="1:3" x14ac:dyDescent="0.25">
      <c r="A292" s="36">
        <v>41188</v>
      </c>
      <c r="B292" s="122">
        <v>9.8726851851851857E-3</v>
      </c>
      <c r="C292" s="26" t="s">
        <v>1004</v>
      </c>
    </row>
    <row r="293" spans="1:3" x14ac:dyDescent="0.25">
      <c r="A293" s="36">
        <v>41188</v>
      </c>
      <c r="B293" s="122">
        <v>9.8842592592592576E-3</v>
      </c>
      <c r="C293" s="26" t="s">
        <v>1004</v>
      </c>
    </row>
    <row r="294" spans="1:3" x14ac:dyDescent="0.25">
      <c r="A294" s="36">
        <v>41188</v>
      </c>
      <c r="B294" s="122">
        <v>9.8958333333333329E-3</v>
      </c>
      <c r="C294" s="26" t="s">
        <v>1004</v>
      </c>
    </row>
    <row r="295" spans="1:3" x14ac:dyDescent="0.25">
      <c r="A295" s="36">
        <v>41188</v>
      </c>
      <c r="B295" s="122">
        <v>9.8958333333333329E-3</v>
      </c>
      <c r="C295" s="26" t="s">
        <v>1023</v>
      </c>
    </row>
    <row r="296" spans="1:3" x14ac:dyDescent="0.25">
      <c r="A296" s="36">
        <v>41188</v>
      </c>
      <c r="B296" s="122">
        <v>9.9074074074074082E-3</v>
      </c>
      <c r="C296" s="26" t="s">
        <v>1004</v>
      </c>
    </row>
    <row r="297" spans="1:3" x14ac:dyDescent="0.25">
      <c r="A297" s="36">
        <v>41188</v>
      </c>
      <c r="B297" s="122">
        <v>9.9189814814814817E-3</v>
      </c>
      <c r="C297" s="26" t="s">
        <v>1004</v>
      </c>
    </row>
    <row r="298" spans="1:3" x14ac:dyDescent="0.25">
      <c r="A298" s="36">
        <v>41188</v>
      </c>
      <c r="B298" s="122">
        <v>9.9305555555555553E-3</v>
      </c>
      <c r="C298" s="26" t="s">
        <v>1013</v>
      </c>
    </row>
    <row r="299" spans="1:3" x14ac:dyDescent="0.25">
      <c r="A299" s="36">
        <v>41188</v>
      </c>
      <c r="B299" s="122">
        <v>9.9421296296296289E-3</v>
      </c>
      <c r="C299" s="26" t="s">
        <v>1027</v>
      </c>
    </row>
    <row r="300" spans="1:3" x14ac:dyDescent="0.25">
      <c r="A300" s="36">
        <v>41188</v>
      </c>
      <c r="B300" s="122">
        <v>9.9537037037037042E-3</v>
      </c>
      <c r="C300" s="26" t="s">
        <v>1025</v>
      </c>
    </row>
    <row r="301" spans="1:3" x14ac:dyDescent="0.25">
      <c r="A301" s="36">
        <v>41188</v>
      </c>
      <c r="B301" s="122">
        <v>9.9652777777777778E-3</v>
      </c>
      <c r="C301" s="26" t="s">
        <v>1024</v>
      </c>
    </row>
    <row r="302" spans="1:3" x14ac:dyDescent="0.25">
      <c r="A302" s="36">
        <v>41188</v>
      </c>
      <c r="B302" s="122">
        <v>9.9652777777777778E-3</v>
      </c>
      <c r="C302" s="26" t="s">
        <v>1025</v>
      </c>
    </row>
    <row r="303" spans="1:3" x14ac:dyDescent="0.25">
      <c r="A303" s="36">
        <v>41188</v>
      </c>
      <c r="B303" s="122">
        <v>9.9884259259259266E-3</v>
      </c>
      <c r="C303" s="26" t="s">
        <v>1004</v>
      </c>
    </row>
    <row r="304" spans="1:3" x14ac:dyDescent="0.25">
      <c r="A304" s="36">
        <v>41188</v>
      </c>
      <c r="B304" s="122">
        <v>0.01</v>
      </c>
      <c r="C304" s="26" t="s">
        <v>1004</v>
      </c>
    </row>
    <row r="305" spans="1:3" x14ac:dyDescent="0.25">
      <c r="A305" s="36">
        <v>41188</v>
      </c>
      <c r="B305" s="122">
        <v>1.0011574074074074E-2</v>
      </c>
      <c r="C305" s="26" t="s">
        <v>1004</v>
      </c>
    </row>
    <row r="306" spans="1:3" x14ac:dyDescent="0.25">
      <c r="A306" s="36">
        <v>41188</v>
      </c>
      <c r="B306" s="122">
        <v>1.0023148148148147E-2</v>
      </c>
      <c r="C306" s="26" t="s">
        <v>1004</v>
      </c>
    </row>
    <row r="307" spans="1:3" x14ac:dyDescent="0.25">
      <c r="A307" s="36">
        <v>41188</v>
      </c>
      <c r="B307" s="122">
        <v>1.0034722222222221E-2</v>
      </c>
      <c r="C307" s="26" t="s">
        <v>1013</v>
      </c>
    </row>
    <row r="308" spans="1:3" x14ac:dyDescent="0.25">
      <c r="A308" s="36">
        <v>41188</v>
      </c>
      <c r="B308" s="122">
        <v>1.0034722222222221E-2</v>
      </c>
      <c r="C308" s="26" t="s">
        <v>1004</v>
      </c>
    </row>
    <row r="309" spans="1:3" x14ac:dyDescent="0.25">
      <c r="A309" s="36">
        <v>41188</v>
      </c>
      <c r="B309" s="122">
        <v>1.0046296296296296E-2</v>
      </c>
      <c r="C309" s="26" t="s">
        <v>1025</v>
      </c>
    </row>
    <row r="310" spans="1:3" ht="45" x14ac:dyDescent="0.25">
      <c r="A310" s="36">
        <v>41188</v>
      </c>
      <c r="B310" s="122">
        <v>1.0069444444444445E-2</v>
      </c>
      <c r="C310" s="603" t="s">
        <v>1028</v>
      </c>
    </row>
    <row r="311" spans="1:3" x14ac:dyDescent="0.25">
      <c r="A311" s="36">
        <v>41188</v>
      </c>
      <c r="B311" s="122">
        <v>1.0231481481481482E-2</v>
      </c>
      <c r="C311" s="26" t="s">
        <v>1029</v>
      </c>
    </row>
    <row r="312" spans="1:3" x14ac:dyDescent="0.25">
      <c r="A312" s="36">
        <v>41188</v>
      </c>
      <c r="B312" s="122">
        <v>1.0231481481481482E-2</v>
      </c>
      <c r="C312" s="26" t="s">
        <v>1030</v>
      </c>
    </row>
    <row r="313" spans="1:3" x14ac:dyDescent="0.25">
      <c r="A313" s="36">
        <v>41188</v>
      </c>
      <c r="B313" s="122">
        <v>1.0231481481481482E-2</v>
      </c>
      <c r="C313" s="26" t="s">
        <v>1031</v>
      </c>
    </row>
    <row r="314" spans="1:3" x14ac:dyDescent="0.25">
      <c r="A314" s="36">
        <v>41188</v>
      </c>
      <c r="B314" s="122">
        <v>1.0578703703703703E-2</v>
      </c>
      <c r="C314" s="26" t="s">
        <v>979</v>
      </c>
    </row>
    <row r="315" spans="1:3" x14ac:dyDescent="0.25">
      <c r="A315" s="36">
        <v>41188</v>
      </c>
      <c r="B315" s="122">
        <v>1.0578703703703703E-2</v>
      </c>
      <c r="C315" s="26" t="s">
        <v>1032</v>
      </c>
    </row>
    <row r="316" spans="1:3" x14ac:dyDescent="0.25">
      <c r="A316" s="36">
        <v>41188</v>
      </c>
      <c r="B316" s="122">
        <v>1.0578703703703703E-2</v>
      </c>
      <c r="C316" s="26" t="s">
        <v>1033</v>
      </c>
    </row>
    <row r="317" spans="1:3" x14ac:dyDescent="0.25">
      <c r="A317" s="36">
        <v>41188</v>
      </c>
      <c r="B317" s="122">
        <v>1.0578703703703703E-2</v>
      </c>
      <c r="C317" s="26" t="s">
        <v>1034</v>
      </c>
    </row>
    <row r="318" spans="1:3" x14ac:dyDescent="0.25">
      <c r="A318" s="36">
        <v>41188</v>
      </c>
      <c r="B318" s="122">
        <v>1.0752314814814814E-2</v>
      </c>
      <c r="C318" s="26" t="s">
        <v>980</v>
      </c>
    </row>
    <row r="319" spans="1:3" x14ac:dyDescent="0.25">
      <c r="A319" s="36">
        <v>41188</v>
      </c>
      <c r="B319" s="122">
        <v>1.0752314814814814E-2</v>
      </c>
      <c r="C319" s="26" t="s">
        <v>1004</v>
      </c>
    </row>
    <row r="320" spans="1:3" x14ac:dyDescent="0.25">
      <c r="A320" s="36">
        <v>41188</v>
      </c>
      <c r="B320" s="122">
        <v>1.0775462962962964E-2</v>
      </c>
      <c r="C320" s="26" t="s">
        <v>1035</v>
      </c>
    </row>
    <row r="321" spans="1:3" x14ac:dyDescent="0.25">
      <c r="A321" s="36">
        <v>41188</v>
      </c>
      <c r="B321" s="122">
        <v>1.0787037037037038E-2</v>
      </c>
      <c r="C321" s="26" t="s">
        <v>1024</v>
      </c>
    </row>
    <row r="322" spans="1:3" x14ac:dyDescent="0.25">
      <c r="A322" s="36">
        <v>41188</v>
      </c>
      <c r="B322" s="122">
        <v>1.0798611111111111E-2</v>
      </c>
      <c r="C322" s="26" t="s">
        <v>1025</v>
      </c>
    </row>
    <row r="323" spans="1:3" x14ac:dyDescent="0.25">
      <c r="A323" s="36">
        <v>41188</v>
      </c>
      <c r="B323" s="122">
        <v>1.082175925925926E-2</v>
      </c>
      <c r="C323" s="26" t="s">
        <v>1024</v>
      </c>
    </row>
    <row r="324" spans="1:3" x14ac:dyDescent="0.25">
      <c r="A324" s="36">
        <v>41188</v>
      </c>
      <c r="B324" s="122">
        <v>1.0868055555555556E-2</v>
      </c>
      <c r="C324" s="26" t="s">
        <v>1036</v>
      </c>
    </row>
    <row r="325" spans="1:3" x14ac:dyDescent="0.25">
      <c r="A325" s="36">
        <v>41188</v>
      </c>
      <c r="B325" s="122">
        <v>1.087962962962963E-2</v>
      </c>
      <c r="C325" s="26" t="s">
        <v>1004</v>
      </c>
    </row>
    <row r="326" spans="1:3" x14ac:dyDescent="0.25">
      <c r="A326" s="36">
        <v>41188</v>
      </c>
      <c r="B326" s="122">
        <v>1.1782407407407406E-2</v>
      </c>
      <c r="C326" s="26" t="s">
        <v>982</v>
      </c>
    </row>
    <row r="327" spans="1:3" x14ac:dyDescent="0.25">
      <c r="A327" s="36">
        <v>41188</v>
      </c>
      <c r="B327" s="122">
        <v>1.1782407407407406E-2</v>
      </c>
      <c r="C327" s="26" t="s">
        <v>1013</v>
      </c>
    </row>
    <row r="328" spans="1:3" x14ac:dyDescent="0.25">
      <c r="A328" s="36">
        <v>41188</v>
      </c>
      <c r="B328" s="122">
        <v>1.2199074074074072E-2</v>
      </c>
      <c r="C328" s="26" t="s">
        <v>985</v>
      </c>
    </row>
    <row r="329" spans="1:3" x14ac:dyDescent="0.25">
      <c r="A329" s="36">
        <v>41188</v>
      </c>
      <c r="B329" s="122">
        <v>1.2210648148148146E-2</v>
      </c>
      <c r="C329" s="26" t="s">
        <v>985</v>
      </c>
    </row>
    <row r="330" spans="1:3" x14ac:dyDescent="0.25">
      <c r="A330" s="36">
        <v>41188</v>
      </c>
      <c r="B330" s="122">
        <v>1.2222222222222223E-2</v>
      </c>
      <c r="C330" s="26" t="s">
        <v>1037</v>
      </c>
    </row>
    <row r="331" spans="1:3" x14ac:dyDescent="0.25">
      <c r="A331" s="36">
        <v>41188</v>
      </c>
      <c r="B331" s="122">
        <v>1.2222222222222223E-2</v>
      </c>
      <c r="C331" s="26" t="s">
        <v>1038</v>
      </c>
    </row>
    <row r="332" spans="1:3" x14ac:dyDescent="0.25">
      <c r="A332" s="36">
        <v>41188</v>
      </c>
      <c r="B332" s="122">
        <v>1.2222222222222223E-2</v>
      </c>
      <c r="C332" s="26" t="s">
        <v>1039</v>
      </c>
    </row>
    <row r="333" spans="1:3" x14ac:dyDescent="0.25">
      <c r="A333" s="36">
        <v>41188</v>
      </c>
      <c r="B333" s="122">
        <v>1.2233796296296296E-2</v>
      </c>
      <c r="C333" s="26" t="s">
        <v>987</v>
      </c>
    </row>
    <row r="334" spans="1:3" x14ac:dyDescent="0.25">
      <c r="A334" s="36">
        <v>41188</v>
      </c>
      <c r="B334" s="122">
        <v>1.224537037037037E-2</v>
      </c>
      <c r="C334" s="26" t="s">
        <v>1023</v>
      </c>
    </row>
    <row r="335" spans="1:3" x14ac:dyDescent="0.25">
      <c r="A335" s="36">
        <v>41188</v>
      </c>
      <c r="B335" s="122">
        <v>1.2361111111111113E-2</v>
      </c>
      <c r="C335" s="26" t="s">
        <v>990</v>
      </c>
    </row>
    <row r="336" spans="1:3" x14ac:dyDescent="0.25">
      <c r="A336" s="36">
        <v>41188</v>
      </c>
      <c r="B336" s="122">
        <v>1.2361111111111113E-2</v>
      </c>
      <c r="C336" s="26" t="s">
        <v>1040</v>
      </c>
    </row>
    <row r="337" spans="1:3" x14ac:dyDescent="0.25">
      <c r="A337" s="36">
        <v>41188</v>
      </c>
      <c r="B337" s="122">
        <v>1.2361111111111113E-2</v>
      </c>
      <c r="C337" s="26" t="s">
        <v>1041</v>
      </c>
    </row>
    <row r="338" spans="1:3" x14ac:dyDescent="0.25">
      <c r="A338" s="36">
        <v>41188</v>
      </c>
      <c r="B338" s="122">
        <v>1.2418981481481482E-2</v>
      </c>
      <c r="C338" s="26" t="s">
        <v>991</v>
      </c>
    </row>
    <row r="339" spans="1:3" x14ac:dyDescent="0.25">
      <c r="A339" s="36">
        <v>41188</v>
      </c>
      <c r="B339" s="122">
        <v>1.2418981481481482E-2</v>
      </c>
      <c r="C339" s="26" t="s">
        <v>1042</v>
      </c>
    </row>
    <row r="340" spans="1:3" x14ac:dyDescent="0.25">
      <c r="A340" s="36">
        <v>41188</v>
      </c>
      <c r="B340" s="122">
        <v>1.2418981481481482E-2</v>
      </c>
      <c r="C340" s="26" t="s">
        <v>1043</v>
      </c>
    </row>
    <row r="341" spans="1:3" x14ac:dyDescent="0.25">
      <c r="A341" s="36">
        <v>41188</v>
      </c>
      <c r="B341" s="122">
        <v>1.2418981481481482E-2</v>
      </c>
      <c r="C341" s="26" t="s">
        <v>1044</v>
      </c>
    </row>
    <row r="342" spans="1:3" x14ac:dyDescent="0.25">
      <c r="A342" s="36">
        <v>41188</v>
      </c>
      <c r="B342" s="122">
        <v>1.2430555555555554E-2</v>
      </c>
      <c r="C342" s="26" t="s">
        <v>1040</v>
      </c>
    </row>
    <row r="343" spans="1:3" x14ac:dyDescent="0.25">
      <c r="A343" s="36">
        <v>41188</v>
      </c>
      <c r="B343" s="122">
        <v>1.2430555555555554E-2</v>
      </c>
      <c r="C343" s="26" t="s">
        <v>1041</v>
      </c>
    </row>
    <row r="344" spans="1:3" x14ac:dyDescent="0.25">
      <c r="A344" s="36">
        <v>41188</v>
      </c>
      <c r="B344" s="122">
        <v>1.306712962962963E-2</v>
      </c>
      <c r="C344" s="26" t="s">
        <v>1004</v>
      </c>
    </row>
    <row r="345" spans="1:3" x14ac:dyDescent="0.25">
      <c r="A345" s="36">
        <v>41188</v>
      </c>
      <c r="B345" s="122">
        <v>1.3101851851851852E-2</v>
      </c>
      <c r="C345" s="26" t="s">
        <v>1040</v>
      </c>
    </row>
    <row r="346" spans="1:3" x14ac:dyDescent="0.25">
      <c r="A346" s="36">
        <v>41188</v>
      </c>
      <c r="B346" s="122">
        <v>1.3101851851851852E-2</v>
      </c>
      <c r="C346" s="26" t="s">
        <v>1041</v>
      </c>
    </row>
    <row r="347" spans="1:3" x14ac:dyDescent="0.25">
      <c r="A347" s="36">
        <v>41188</v>
      </c>
      <c r="B347" s="122">
        <v>1.3113425925925926E-2</v>
      </c>
      <c r="C347" s="26" t="s">
        <v>1045</v>
      </c>
    </row>
    <row r="348" spans="1:3" x14ac:dyDescent="0.25">
      <c r="A348" s="36">
        <v>41188</v>
      </c>
      <c r="B348" s="122">
        <v>1.3182870370370371E-2</v>
      </c>
      <c r="C348" s="26" t="s">
        <v>1046</v>
      </c>
    </row>
    <row r="349" spans="1:3" x14ac:dyDescent="0.25">
      <c r="A349" s="36">
        <v>41188</v>
      </c>
      <c r="B349" s="122">
        <v>1.3194444444444444E-2</v>
      </c>
      <c r="C349" s="26" t="s">
        <v>1047</v>
      </c>
    </row>
    <row r="350" spans="1:3" x14ac:dyDescent="0.25">
      <c r="A350" s="36">
        <v>41188</v>
      </c>
      <c r="B350" s="122">
        <v>1.3194444444444444E-2</v>
      </c>
      <c r="C350" s="26" t="s">
        <v>1048</v>
      </c>
    </row>
    <row r="351" spans="1:3" x14ac:dyDescent="0.25">
      <c r="A351" s="36">
        <v>41188</v>
      </c>
      <c r="B351" s="122">
        <v>1.3194444444444444E-2</v>
      </c>
      <c r="C351" s="26" t="s">
        <v>1044</v>
      </c>
    </row>
    <row r="352" spans="1:3" x14ac:dyDescent="0.25">
      <c r="A352" s="36">
        <v>41188</v>
      </c>
      <c r="B352" s="122">
        <v>1.3217592592592593E-2</v>
      </c>
      <c r="C352" s="26" t="s">
        <v>1040</v>
      </c>
    </row>
    <row r="353" spans="1:3" x14ac:dyDescent="0.25">
      <c r="A353" s="36">
        <v>41188</v>
      </c>
      <c r="B353" s="122">
        <v>1.3217592592592593E-2</v>
      </c>
      <c r="C353" s="26" t="s">
        <v>1041</v>
      </c>
    </row>
    <row r="354" spans="1:3" x14ac:dyDescent="0.25">
      <c r="A354" s="36">
        <v>41188</v>
      </c>
      <c r="B354" s="122">
        <v>1.324074074074074E-2</v>
      </c>
      <c r="C354" s="26" t="s">
        <v>1015</v>
      </c>
    </row>
    <row r="355" spans="1:3" x14ac:dyDescent="0.25">
      <c r="A355" s="36">
        <v>41188</v>
      </c>
      <c r="B355" s="122">
        <v>1.3263888888888889E-2</v>
      </c>
      <c r="C355" s="26" t="s">
        <v>1004</v>
      </c>
    </row>
    <row r="356" spans="1:3" x14ac:dyDescent="0.25">
      <c r="A356" s="36">
        <v>41188</v>
      </c>
      <c r="B356" s="122">
        <v>1.3275462962962963E-2</v>
      </c>
      <c r="C356" s="26" t="s">
        <v>1004</v>
      </c>
    </row>
    <row r="357" spans="1:3" x14ac:dyDescent="0.25">
      <c r="A357" s="36">
        <v>41188</v>
      </c>
      <c r="B357" s="122">
        <v>1.3287037037037036E-2</v>
      </c>
      <c r="C357" s="26" t="s">
        <v>1049</v>
      </c>
    </row>
    <row r="358" spans="1:3" x14ac:dyDescent="0.25">
      <c r="A358" s="36">
        <v>41188</v>
      </c>
      <c r="B358" s="122">
        <v>1.3287037037037036E-2</v>
      </c>
      <c r="C358" s="26" t="s">
        <v>1050</v>
      </c>
    </row>
    <row r="359" spans="1:3" x14ac:dyDescent="0.25">
      <c r="A359" s="36">
        <v>41188</v>
      </c>
      <c r="B359" s="122">
        <v>1.3287037037037036E-2</v>
      </c>
      <c r="C359" s="26" t="s">
        <v>1044</v>
      </c>
    </row>
    <row r="360" spans="1:3" x14ac:dyDescent="0.25">
      <c r="A360" s="36">
        <v>41188</v>
      </c>
      <c r="B360" s="122">
        <v>1.329861111111111E-2</v>
      </c>
      <c r="C360" s="26" t="s">
        <v>1013</v>
      </c>
    </row>
    <row r="361" spans="1:3" x14ac:dyDescent="0.25">
      <c r="A361" s="36">
        <v>41188</v>
      </c>
      <c r="B361" s="122">
        <v>1.3356481481481483E-2</v>
      </c>
      <c r="C361" s="26" t="s">
        <v>1051</v>
      </c>
    </row>
    <row r="362" spans="1:3" x14ac:dyDescent="0.25">
      <c r="A362" s="36">
        <v>41188</v>
      </c>
      <c r="B362" s="122">
        <v>1.3356481481481483E-2</v>
      </c>
      <c r="C362" s="26" t="s">
        <v>1052</v>
      </c>
    </row>
    <row r="363" spans="1:3" x14ac:dyDescent="0.25">
      <c r="A363" s="36">
        <v>41188</v>
      </c>
      <c r="B363" s="122">
        <v>1.3356481481481483E-2</v>
      </c>
      <c r="C363" s="26" t="s">
        <v>1053</v>
      </c>
    </row>
    <row r="364" spans="1:3" x14ac:dyDescent="0.25">
      <c r="A364" s="36">
        <v>41188</v>
      </c>
      <c r="B364" s="122">
        <v>1.3402777777777777E-2</v>
      </c>
      <c r="C364" s="26" t="s">
        <v>1004</v>
      </c>
    </row>
    <row r="365" spans="1:3" x14ac:dyDescent="0.25">
      <c r="A365" s="36">
        <v>41188</v>
      </c>
      <c r="B365" s="122">
        <v>1.3449074074074073E-2</v>
      </c>
      <c r="C365" s="26" t="s">
        <v>1004</v>
      </c>
    </row>
    <row r="366" spans="1:3" x14ac:dyDescent="0.25">
      <c r="A366" s="36">
        <v>41188</v>
      </c>
      <c r="B366" s="122">
        <v>1.3495370370370371E-2</v>
      </c>
      <c r="C366" s="26" t="s">
        <v>999</v>
      </c>
    </row>
    <row r="367" spans="1:3" x14ac:dyDescent="0.25">
      <c r="A367" s="36">
        <v>41188</v>
      </c>
      <c r="B367" s="122">
        <v>1.3506944444444445E-2</v>
      </c>
      <c r="C367" s="26" t="s">
        <v>999</v>
      </c>
    </row>
    <row r="368" spans="1:3" x14ac:dyDescent="0.25">
      <c r="A368" s="36">
        <v>41188</v>
      </c>
      <c r="B368" s="122">
        <v>1.3506944444444445E-2</v>
      </c>
      <c r="C368" s="26" t="s">
        <v>1004</v>
      </c>
    </row>
    <row r="369" spans="1:3" x14ac:dyDescent="0.25">
      <c r="A369" s="36">
        <v>41188</v>
      </c>
      <c r="B369" s="122">
        <v>1.4317129629629631E-2</v>
      </c>
      <c r="C369" s="26" t="s">
        <v>1001</v>
      </c>
    </row>
    <row r="370" spans="1:3" x14ac:dyDescent="0.25">
      <c r="A370" s="36">
        <v>41188</v>
      </c>
      <c r="B370" s="122">
        <v>1.4328703703703703E-2</v>
      </c>
      <c r="C370" s="26" t="s">
        <v>1013</v>
      </c>
    </row>
    <row r="371" spans="1:3" x14ac:dyDescent="0.25">
      <c r="A371" s="36">
        <v>41188</v>
      </c>
      <c r="B371" s="122">
        <v>1.4363425925925925E-2</v>
      </c>
      <c r="C371" s="26" t="s">
        <v>1054</v>
      </c>
    </row>
    <row r="372" spans="1:3" x14ac:dyDescent="0.25">
      <c r="A372" s="36">
        <v>41188</v>
      </c>
      <c r="B372" s="122">
        <v>1.4710648148148148E-2</v>
      </c>
      <c r="C372" s="26" t="s">
        <v>1055</v>
      </c>
    </row>
    <row r="373" spans="1:3" x14ac:dyDescent="0.25">
      <c r="A373" s="36">
        <v>41188</v>
      </c>
      <c r="B373" s="122">
        <v>2.1331018518518517E-2</v>
      </c>
      <c r="C373" s="26" t="s">
        <v>915</v>
      </c>
    </row>
    <row r="374" spans="1:3" x14ac:dyDescent="0.25">
      <c r="A374" s="36">
        <v>41188</v>
      </c>
      <c r="B374" s="122">
        <v>2.1574074074074075E-2</v>
      </c>
      <c r="C374" s="26" t="s">
        <v>916</v>
      </c>
    </row>
    <row r="375" spans="1:3" x14ac:dyDescent="0.25">
      <c r="A375" s="36">
        <v>41188</v>
      </c>
      <c r="B375" s="122">
        <v>6.5787037037037033E-2</v>
      </c>
      <c r="C375" s="26" t="s">
        <v>915</v>
      </c>
    </row>
    <row r="376" spans="1:3" x14ac:dyDescent="0.25">
      <c r="A376" s="36">
        <v>41188</v>
      </c>
      <c r="B376" s="122">
        <v>6.5844907407407408E-2</v>
      </c>
      <c r="C376" s="26" t="s">
        <v>916</v>
      </c>
    </row>
    <row r="377" spans="1:3" x14ac:dyDescent="0.25">
      <c r="A377" s="36">
        <v>41188</v>
      </c>
      <c r="B377" s="122">
        <v>6.9155092592592601E-2</v>
      </c>
      <c r="C377" s="26" t="s">
        <v>916</v>
      </c>
    </row>
    <row r="378" spans="1:3" x14ac:dyDescent="0.25">
      <c r="A378" s="36">
        <v>41188</v>
      </c>
      <c r="B378" s="122">
        <v>7.1956018518518516E-2</v>
      </c>
      <c r="C378" s="26" t="s">
        <v>1003</v>
      </c>
    </row>
    <row r="379" spans="1:3" x14ac:dyDescent="0.25">
      <c r="A379" s="36">
        <v>41188</v>
      </c>
      <c r="B379" s="122">
        <v>7.1979166666666664E-2</v>
      </c>
      <c r="C379" s="26" t="s">
        <v>1004</v>
      </c>
    </row>
    <row r="380" spans="1:3" x14ac:dyDescent="0.25">
      <c r="A380" s="36">
        <v>41188</v>
      </c>
      <c r="B380" s="122">
        <v>7.1990740740740744E-2</v>
      </c>
      <c r="C380" s="26" t="s">
        <v>1004</v>
      </c>
    </row>
    <row r="381" spans="1:3" x14ac:dyDescent="0.25">
      <c r="A381" s="36">
        <v>41188</v>
      </c>
      <c r="B381" s="122">
        <v>7.1990740740740744E-2</v>
      </c>
      <c r="C381" s="26" t="s">
        <v>1004</v>
      </c>
    </row>
    <row r="382" spans="1:3" x14ac:dyDescent="0.25">
      <c r="A382" s="36">
        <v>41188</v>
      </c>
      <c r="B382" s="122">
        <v>7.2002314814814811E-2</v>
      </c>
      <c r="C382" s="26" t="s">
        <v>1004</v>
      </c>
    </row>
    <row r="383" spans="1:3" x14ac:dyDescent="0.25">
      <c r="A383" s="36">
        <v>41188</v>
      </c>
      <c r="B383" s="122">
        <v>7.2013888888888891E-2</v>
      </c>
      <c r="C383" s="26" t="s">
        <v>1004</v>
      </c>
    </row>
    <row r="384" spans="1:3" x14ac:dyDescent="0.25">
      <c r="A384" s="36">
        <v>41188</v>
      </c>
      <c r="B384" s="122">
        <v>7.2025462962962958E-2</v>
      </c>
      <c r="C384" s="26" t="s">
        <v>1005</v>
      </c>
    </row>
    <row r="385" spans="1:3" x14ac:dyDescent="0.25">
      <c r="A385" s="36">
        <v>41188</v>
      </c>
      <c r="B385" s="122">
        <v>7.2025462962962958E-2</v>
      </c>
      <c r="C385" s="26" t="s">
        <v>1004</v>
      </c>
    </row>
    <row r="386" spans="1:3" x14ac:dyDescent="0.25">
      <c r="A386" s="36">
        <v>41188</v>
      </c>
      <c r="B386" s="122">
        <v>7.2037037037037038E-2</v>
      </c>
      <c r="C386" s="26" t="s">
        <v>1004</v>
      </c>
    </row>
    <row r="387" spans="1:3" x14ac:dyDescent="0.25">
      <c r="A387" s="36">
        <v>41188</v>
      </c>
      <c r="B387" s="122">
        <v>7.2048611111111105E-2</v>
      </c>
      <c r="C387" s="26" t="s">
        <v>1006</v>
      </c>
    </row>
    <row r="388" spans="1:3" x14ac:dyDescent="0.25">
      <c r="A388" s="36">
        <v>41188</v>
      </c>
      <c r="B388" s="122">
        <v>7.2060185185185185E-2</v>
      </c>
      <c r="C388" s="26" t="s">
        <v>1007</v>
      </c>
    </row>
    <row r="389" spans="1:3" x14ac:dyDescent="0.25">
      <c r="A389" s="36">
        <v>41188</v>
      </c>
      <c r="B389" s="122">
        <v>7.2060185185185185E-2</v>
      </c>
      <c r="C389" s="26" t="s">
        <v>1008</v>
      </c>
    </row>
    <row r="390" spans="1:3" x14ac:dyDescent="0.25">
      <c r="A390" s="36">
        <v>41188</v>
      </c>
      <c r="B390" s="122">
        <v>7.2071759259259252E-2</v>
      </c>
      <c r="C390" s="26" t="s">
        <v>1004</v>
      </c>
    </row>
    <row r="391" spans="1:3" x14ac:dyDescent="0.25">
      <c r="A391" s="36">
        <v>41188</v>
      </c>
      <c r="B391" s="122">
        <v>7.2071759259259252E-2</v>
      </c>
      <c r="C391" s="26" t="s">
        <v>1004</v>
      </c>
    </row>
    <row r="392" spans="1:3" x14ac:dyDescent="0.25">
      <c r="A392" s="36">
        <v>41188</v>
      </c>
      <c r="B392" s="122">
        <v>7.2083333333333333E-2</v>
      </c>
      <c r="C392" s="26" t="s">
        <v>1004</v>
      </c>
    </row>
    <row r="393" spans="1:3" x14ac:dyDescent="0.25">
      <c r="A393" s="36">
        <v>41188</v>
      </c>
      <c r="B393" s="122">
        <v>7.2094907407407413E-2</v>
      </c>
      <c r="C393" s="26" t="s">
        <v>1009</v>
      </c>
    </row>
    <row r="394" spans="1:3" x14ac:dyDescent="0.25">
      <c r="A394" s="36">
        <v>41188</v>
      </c>
      <c r="B394" s="122">
        <v>7.2094907407407413E-2</v>
      </c>
      <c r="C394" s="26" t="s">
        <v>1004</v>
      </c>
    </row>
    <row r="395" spans="1:3" x14ac:dyDescent="0.25">
      <c r="A395" s="36">
        <v>41188</v>
      </c>
      <c r="B395" s="122">
        <v>7.210648148148148E-2</v>
      </c>
      <c r="C395" s="26" t="s">
        <v>1004</v>
      </c>
    </row>
    <row r="396" spans="1:3" x14ac:dyDescent="0.25">
      <c r="A396" s="36">
        <v>41188</v>
      </c>
      <c r="B396" s="122">
        <v>7.211805555555556E-2</v>
      </c>
      <c r="C396" s="26" t="s">
        <v>1010</v>
      </c>
    </row>
    <row r="397" spans="1:3" x14ac:dyDescent="0.25">
      <c r="A397" s="36">
        <v>41188</v>
      </c>
      <c r="B397" s="122">
        <v>7.2129629629629641E-2</v>
      </c>
      <c r="C397" s="26" t="s">
        <v>1010</v>
      </c>
    </row>
    <row r="398" spans="1:3" x14ac:dyDescent="0.25">
      <c r="A398" s="36">
        <v>41188</v>
      </c>
      <c r="B398" s="122">
        <v>7.2129629629629641E-2</v>
      </c>
      <c r="C398" s="26" t="s">
        <v>1004</v>
      </c>
    </row>
    <row r="399" spans="1:3" x14ac:dyDescent="0.25">
      <c r="A399" s="36">
        <v>41188</v>
      </c>
      <c r="B399" s="122">
        <v>7.2141203703703707E-2</v>
      </c>
      <c r="C399" s="26" t="s">
        <v>1004</v>
      </c>
    </row>
    <row r="400" spans="1:3" x14ac:dyDescent="0.25">
      <c r="A400" s="36">
        <v>41188</v>
      </c>
      <c r="B400" s="122">
        <v>7.2141203703703707E-2</v>
      </c>
      <c r="C400" s="26" t="s">
        <v>1004</v>
      </c>
    </row>
    <row r="401" spans="1:3" x14ac:dyDescent="0.25">
      <c r="A401" s="36">
        <v>41188</v>
      </c>
      <c r="B401" s="122">
        <v>7.2164351851851841E-2</v>
      </c>
      <c r="C401" s="26" t="s">
        <v>1004</v>
      </c>
    </row>
    <row r="402" spans="1:3" x14ac:dyDescent="0.25">
      <c r="A402" s="36">
        <v>41188</v>
      </c>
      <c r="B402" s="122">
        <v>7.2164351851851841E-2</v>
      </c>
      <c r="C402" s="26" t="s">
        <v>1011</v>
      </c>
    </row>
    <row r="403" spans="1:3" x14ac:dyDescent="0.25">
      <c r="A403" s="36">
        <v>41188</v>
      </c>
      <c r="B403" s="122">
        <v>7.2175925925925921E-2</v>
      </c>
      <c r="C403" s="26" t="s">
        <v>1004</v>
      </c>
    </row>
    <row r="404" spans="1:3" x14ac:dyDescent="0.25">
      <c r="A404" s="36">
        <v>41188</v>
      </c>
      <c r="B404" s="122">
        <v>7.2187500000000002E-2</v>
      </c>
      <c r="C404" s="26" t="s">
        <v>1004</v>
      </c>
    </row>
    <row r="405" spans="1:3" x14ac:dyDescent="0.25">
      <c r="A405" s="36">
        <v>41188</v>
      </c>
      <c r="B405" s="122">
        <v>7.2187500000000002E-2</v>
      </c>
      <c r="C405" s="26" t="s">
        <v>1004</v>
      </c>
    </row>
    <row r="406" spans="1:3" x14ac:dyDescent="0.25">
      <c r="A406" s="36">
        <v>41188</v>
      </c>
      <c r="B406" s="122">
        <v>7.2199074074074068E-2</v>
      </c>
      <c r="C406" s="26" t="s">
        <v>1004</v>
      </c>
    </row>
    <row r="407" spans="1:3" x14ac:dyDescent="0.25">
      <c r="A407" s="36">
        <v>41188</v>
      </c>
      <c r="B407" s="122">
        <v>7.2210648148148149E-2</v>
      </c>
      <c r="C407" s="26" t="s">
        <v>1004</v>
      </c>
    </row>
    <row r="408" spans="1:3" x14ac:dyDescent="0.25">
      <c r="A408" s="36">
        <v>41188</v>
      </c>
      <c r="B408" s="122">
        <v>7.2210648148148149E-2</v>
      </c>
      <c r="C408" s="26" t="s">
        <v>1012</v>
      </c>
    </row>
    <row r="409" spans="1:3" x14ac:dyDescent="0.25">
      <c r="A409" s="36">
        <v>41188</v>
      </c>
      <c r="B409" s="122">
        <v>7.2222222222222229E-2</v>
      </c>
      <c r="C409" s="26" t="s">
        <v>1004</v>
      </c>
    </row>
    <row r="410" spans="1:3" x14ac:dyDescent="0.25">
      <c r="A410" s="36">
        <v>41188</v>
      </c>
      <c r="B410" s="122">
        <v>7.2233796296296296E-2</v>
      </c>
      <c r="C410" s="26" t="s">
        <v>1004</v>
      </c>
    </row>
    <row r="411" spans="1:3" x14ac:dyDescent="0.25">
      <c r="A411" s="36">
        <v>41188</v>
      </c>
      <c r="B411" s="122">
        <v>7.2233796296296296E-2</v>
      </c>
      <c r="C411" s="26" t="s">
        <v>1004</v>
      </c>
    </row>
    <row r="412" spans="1:3" x14ac:dyDescent="0.25">
      <c r="A412" s="36">
        <v>41188</v>
      </c>
      <c r="B412" s="122">
        <v>7.2245370370370363E-2</v>
      </c>
      <c r="C412" s="26" t="s">
        <v>1004</v>
      </c>
    </row>
    <row r="413" spans="1:3" x14ac:dyDescent="0.25">
      <c r="A413" s="36">
        <v>41188</v>
      </c>
      <c r="B413" s="122">
        <v>7.2256944444444443E-2</v>
      </c>
      <c r="C413" s="26" t="s">
        <v>1013</v>
      </c>
    </row>
    <row r="414" spans="1:3" x14ac:dyDescent="0.25">
      <c r="A414" s="36">
        <v>41188</v>
      </c>
      <c r="B414" s="122">
        <v>7.2268518518518524E-2</v>
      </c>
      <c r="C414" s="26" t="s">
        <v>1004</v>
      </c>
    </row>
    <row r="415" spans="1:3" x14ac:dyDescent="0.25">
      <c r="A415" s="36">
        <v>41188</v>
      </c>
      <c r="B415" s="122">
        <v>7.2268518518518524E-2</v>
      </c>
      <c r="C415" s="26" t="s">
        <v>1013</v>
      </c>
    </row>
    <row r="416" spans="1:3" x14ac:dyDescent="0.25">
      <c r="A416" s="36">
        <v>41188</v>
      </c>
      <c r="B416" s="122">
        <v>7.2291666666666657E-2</v>
      </c>
      <c r="C416" s="26" t="s">
        <v>1014</v>
      </c>
    </row>
    <row r="417" spans="1:3" x14ac:dyDescent="0.25">
      <c r="A417" s="36">
        <v>41188</v>
      </c>
      <c r="B417" s="122">
        <v>7.2291666666666657E-2</v>
      </c>
      <c r="C417" s="26" t="s">
        <v>1015</v>
      </c>
    </row>
    <row r="418" spans="1:3" x14ac:dyDescent="0.25">
      <c r="A418" s="36">
        <v>41188</v>
      </c>
      <c r="B418" s="122">
        <v>7.2303240740740737E-2</v>
      </c>
      <c r="C418" s="26" t="s">
        <v>1004</v>
      </c>
    </row>
    <row r="419" spans="1:3" x14ac:dyDescent="0.25">
      <c r="A419" s="36">
        <v>41188</v>
      </c>
      <c r="B419" s="122">
        <v>7.2314814814814818E-2</v>
      </c>
      <c r="C419" s="26" t="s">
        <v>1004</v>
      </c>
    </row>
    <row r="420" spans="1:3" x14ac:dyDescent="0.25">
      <c r="A420" s="36">
        <v>41188</v>
      </c>
      <c r="B420" s="122">
        <v>7.2326388888888885E-2</v>
      </c>
      <c r="C420" s="26" t="s">
        <v>1004</v>
      </c>
    </row>
    <row r="421" spans="1:3" x14ac:dyDescent="0.25">
      <c r="A421" s="36">
        <v>41188</v>
      </c>
      <c r="B421" s="122">
        <v>7.2326388888888885E-2</v>
      </c>
      <c r="C421" s="26" t="s">
        <v>1004</v>
      </c>
    </row>
    <row r="422" spans="1:3" x14ac:dyDescent="0.25">
      <c r="A422" s="36">
        <v>41188</v>
      </c>
      <c r="B422" s="122">
        <v>7.2337962962962965E-2</v>
      </c>
      <c r="C422" s="26" t="s">
        <v>1004</v>
      </c>
    </row>
    <row r="423" spans="1:3" x14ac:dyDescent="0.25">
      <c r="A423" s="36">
        <v>41188</v>
      </c>
      <c r="B423" s="122">
        <v>7.2337962962962965E-2</v>
      </c>
      <c r="C423" s="26" t="s">
        <v>1004</v>
      </c>
    </row>
    <row r="424" spans="1:3" x14ac:dyDescent="0.25">
      <c r="A424" s="36">
        <v>41188</v>
      </c>
      <c r="B424" s="122">
        <v>7.2337962962962965E-2</v>
      </c>
      <c r="C424" s="26" t="s">
        <v>1004</v>
      </c>
    </row>
    <row r="425" spans="1:3" x14ac:dyDescent="0.25">
      <c r="A425" s="36">
        <v>41188</v>
      </c>
      <c r="B425" s="122">
        <v>7.2349537037037046E-2</v>
      </c>
      <c r="C425" s="26" t="s">
        <v>1004</v>
      </c>
    </row>
    <row r="426" spans="1:3" x14ac:dyDescent="0.25">
      <c r="A426" s="36">
        <v>41188</v>
      </c>
      <c r="B426" s="122">
        <v>7.2349537037037046E-2</v>
      </c>
      <c r="C426" s="26" t="s">
        <v>1004</v>
      </c>
    </row>
    <row r="427" spans="1:3" x14ac:dyDescent="0.25">
      <c r="A427" s="36">
        <v>41188</v>
      </c>
      <c r="B427" s="122">
        <v>7.2361111111111112E-2</v>
      </c>
      <c r="C427" s="26" t="s">
        <v>1004</v>
      </c>
    </row>
    <row r="428" spans="1:3" x14ac:dyDescent="0.25">
      <c r="A428" s="36">
        <v>41188</v>
      </c>
      <c r="B428" s="122">
        <v>7.2361111111111112E-2</v>
      </c>
      <c r="C428" s="26" t="s">
        <v>1016</v>
      </c>
    </row>
    <row r="429" spans="1:3" x14ac:dyDescent="0.25">
      <c r="A429" s="36">
        <v>41188</v>
      </c>
      <c r="B429" s="122">
        <v>7.2372685185185193E-2</v>
      </c>
      <c r="C429" s="26" t="s">
        <v>1004</v>
      </c>
    </row>
    <row r="430" spans="1:3" x14ac:dyDescent="0.25">
      <c r="A430" s="36">
        <v>41188</v>
      </c>
      <c r="B430" s="122">
        <v>7.2384259259259259E-2</v>
      </c>
      <c r="C430" s="26" t="s">
        <v>1004</v>
      </c>
    </row>
    <row r="431" spans="1:3" x14ac:dyDescent="0.25">
      <c r="A431" s="36">
        <v>41188</v>
      </c>
      <c r="B431" s="122">
        <v>7.2384259259259259E-2</v>
      </c>
      <c r="C431" s="26" t="s">
        <v>1013</v>
      </c>
    </row>
    <row r="432" spans="1:3" x14ac:dyDescent="0.25">
      <c r="A432" s="36">
        <v>41188</v>
      </c>
      <c r="B432" s="122">
        <v>7.239583333333334E-2</v>
      </c>
      <c r="C432" s="26" t="s">
        <v>1017</v>
      </c>
    </row>
    <row r="433" spans="1:3" x14ac:dyDescent="0.25">
      <c r="A433" s="36">
        <v>41188</v>
      </c>
      <c r="B433" s="122">
        <v>7.2407407407407406E-2</v>
      </c>
      <c r="C433" s="26" t="s">
        <v>1015</v>
      </c>
    </row>
    <row r="434" spans="1:3" x14ac:dyDescent="0.25">
      <c r="A434" s="36">
        <v>41188</v>
      </c>
      <c r="B434" s="122">
        <v>7.2418981481481473E-2</v>
      </c>
      <c r="C434" s="26" t="s">
        <v>1018</v>
      </c>
    </row>
    <row r="435" spans="1:3" x14ac:dyDescent="0.25">
      <c r="A435" s="36">
        <v>41188</v>
      </c>
      <c r="B435" s="122">
        <v>7.2430555555555554E-2</v>
      </c>
      <c r="C435" s="26" t="s">
        <v>1018</v>
      </c>
    </row>
    <row r="436" spans="1:3" x14ac:dyDescent="0.25">
      <c r="A436" s="36">
        <v>41188</v>
      </c>
      <c r="B436" s="122">
        <v>7.2430555555555554E-2</v>
      </c>
      <c r="C436" s="26" t="s">
        <v>1019</v>
      </c>
    </row>
    <row r="437" spans="1:3" x14ac:dyDescent="0.25">
      <c r="A437" s="36">
        <v>41188</v>
      </c>
      <c r="B437" s="122">
        <v>7.2442129629629634E-2</v>
      </c>
      <c r="C437" s="26" t="s">
        <v>1004</v>
      </c>
    </row>
    <row r="438" spans="1:3" x14ac:dyDescent="0.25">
      <c r="A438" s="36">
        <v>41188</v>
      </c>
      <c r="B438" s="122">
        <v>7.2442129629629634E-2</v>
      </c>
      <c r="C438" s="26" t="s">
        <v>1004</v>
      </c>
    </row>
    <row r="439" spans="1:3" x14ac:dyDescent="0.25">
      <c r="A439" s="36">
        <v>41188</v>
      </c>
      <c r="B439" s="122">
        <v>7.2453703703703701E-2</v>
      </c>
      <c r="C439" s="26" t="s">
        <v>1013</v>
      </c>
    </row>
    <row r="440" spans="1:3" x14ac:dyDescent="0.25">
      <c r="A440" s="36">
        <v>41188</v>
      </c>
      <c r="B440" s="122">
        <v>7.2465277777777781E-2</v>
      </c>
      <c r="C440" s="26" t="s">
        <v>1004</v>
      </c>
    </row>
    <row r="441" spans="1:3" x14ac:dyDescent="0.25">
      <c r="A441" s="36">
        <v>41188</v>
      </c>
      <c r="B441" s="122">
        <v>7.2476851851851862E-2</v>
      </c>
      <c r="C441" s="26" t="s">
        <v>1004</v>
      </c>
    </row>
    <row r="442" spans="1:3" x14ac:dyDescent="0.25">
      <c r="A442" s="36">
        <v>41188</v>
      </c>
      <c r="B442" s="122">
        <v>7.2488425925925928E-2</v>
      </c>
      <c r="C442" s="26" t="s">
        <v>1007</v>
      </c>
    </row>
    <row r="443" spans="1:3" x14ac:dyDescent="0.25">
      <c r="A443" s="36">
        <v>41188</v>
      </c>
      <c r="B443" s="122">
        <v>7.2499999999999995E-2</v>
      </c>
      <c r="C443" s="26" t="s">
        <v>1007</v>
      </c>
    </row>
    <row r="444" spans="1:3" x14ac:dyDescent="0.25">
      <c r="A444" s="36">
        <v>41188</v>
      </c>
      <c r="B444" s="122">
        <v>7.2499999999999995E-2</v>
      </c>
      <c r="C444" s="26" t="s">
        <v>1020</v>
      </c>
    </row>
    <row r="445" spans="1:3" x14ac:dyDescent="0.25">
      <c r="A445" s="36">
        <v>41188</v>
      </c>
      <c r="B445" s="122">
        <v>7.2511574074074062E-2</v>
      </c>
      <c r="C445" s="26" t="s">
        <v>1021</v>
      </c>
    </row>
    <row r="446" spans="1:3" x14ac:dyDescent="0.25">
      <c r="A446" s="36">
        <v>41188</v>
      </c>
      <c r="B446" s="122">
        <v>7.2523148148148142E-2</v>
      </c>
      <c r="C446" s="26" t="s">
        <v>1004</v>
      </c>
    </row>
    <row r="447" spans="1:3" x14ac:dyDescent="0.25">
      <c r="A447" s="36">
        <v>41188</v>
      </c>
      <c r="B447" s="122">
        <v>7.2534722222222223E-2</v>
      </c>
      <c r="C447" s="26" t="s">
        <v>1004</v>
      </c>
    </row>
    <row r="448" spans="1:3" x14ac:dyDescent="0.25">
      <c r="A448" s="36">
        <v>41188</v>
      </c>
      <c r="B448" s="122">
        <v>7.2546296296296289E-2</v>
      </c>
      <c r="C448" s="26" t="s">
        <v>1022</v>
      </c>
    </row>
    <row r="449" spans="1:3" x14ac:dyDescent="0.25">
      <c r="A449" s="36">
        <v>41188</v>
      </c>
      <c r="B449" s="122">
        <v>7.255787037037037E-2</v>
      </c>
      <c r="C449" s="26" t="s">
        <v>1004</v>
      </c>
    </row>
    <row r="450" spans="1:3" x14ac:dyDescent="0.25">
      <c r="A450" s="36">
        <v>41188</v>
      </c>
      <c r="B450" s="122">
        <v>7.2581018518518517E-2</v>
      </c>
      <c r="C450" s="26" t="s">
        <v>1023</v>
      </c>
    </row>
    <row r="451" spans="1:3" x14ac:dyDescent="0.25">
      <c r="A451" s="36">
        <v>41188</v>
      </c>
      <c r="B451" s="122">
        <v>7.2592592592592597E-2</v>
      </c>
      <c r="C451" s="26" t="s">
        <v>1024</v>
      </c>
    </row>
    <row r="452" spans="1:3" x14ac:dyDescent="0.25">
      <c r="A452" s="36">
        <v>41188</v>
      </c>
      <c r="B452" s="122">
        <v>7.2604166666666664E-2</v>
      </c>
      <c r="C452" s="26" t="s">
        <v>1004</v>
      </c>
    </row>
    <row r="453" spans="1:3" x14ac:dyDescent="0.25">
      <c r="A453" s="36">
        <v>41188</v>
      </c>
      <c r="B453" s="122">
        <v>7.2604166666666664E-2</v>
      </c>
      <c r="C453" s="26" t="s">
        <v>1004</v>
      </c>
    </row>
    <row r="454" spans="1:3" x14ac:dyDescent="0.25">
      <c r="A454" s="36">
        <v>41188</v>
      </c>
      <c r="B454" s="122">
        <v>7.2615740740740745E-2</v>
      </c>
      <c r="C454" s="26" t="s">
        <v>1025</v>
      </c>
    </row>
    <row r="455" spans="1:3" x14ac:dyDescent="0.25">
      <c r="A455" s="36">
        <v>41188</v>
      </c>
      <c r="B455" s="122">
        <v>7.2627314814814811E-2</v>
      </c>
      <c r="C455" s="26" t="s">
        <v>1004</v>
      </c>
    </row>
    <row r="456" spans="1:3" x14ac:dyDescent="0.25">
      <c r="A456" s="36">
        <v>41188</v>
      </c>
      <c r="B456" s="122">
        <v>7.2627314814814811E-2</v>
      </c>
      <c r="C456" s="26" t="s">
        <v>1004</v>
      </c>
    </row>
    <row r="457" spans="1:3" x14ac:dyDescent="0.25">
      <c r="A457" s="36">
        <v>41188</v>
      </c>
      <c r="B457" s="122">
        <v>7.2638888888888892E-2</v>
      </c>
      <c r="C457" s="26" t="s">
        <v>1024</v>
      </c>
    </row>
    <row r="458" spans="1:3" x14ac:dyDescent="0.25">
      <c r="A458" s="36">
        <v>41188</v>
      </c>
      <c r="B458" s="122">
        <v>7.2650462962962958E-2</v>
      </c>
      <c r="C458" s="26" t="s">
        <v>1025</v>
      </c>
    </row>
    <row r="459" spans="1:3" x14ac:dyDescent="0.25">
      <c r="A459" s="36">
        <v>41188</v>
      </c>
      <c r="B459" s="122">
        <v>7.2662037037037039E-2</v>
      </c>
      <c r="C459" s="26" t="s">
        <v>1026</v>
      </c>
    </row>
    <row r="460" spans="1:3" x14ac:dyDescent="0.25">
      <c r="A460" s="36">
        <v>41188</v>
      </c>
      <c r="B460" s="122">
        <v>7.2673611111111105E-2</v>
      </c>
      <c r="C460" s="26" t="s">
        <v>1004</v>
      </c>
    </row>
    <row r="461" spans="1:3" x14ac:dyDescent="0.25">
      <c r="A461" s="36">
        <v>41188</v>
      </c>
      <c r="B461" s="122">
        <v>7.2673611111111105E-2</v>
      </c>
      <c r="C461" s="26" t="s">
        <v>1004</v>
      </c>
    </row>
    <row r="462" spans="1:3" x14ac:dyDescent="0.25">
      <c r="A462" s="36">
        <v>41188</v>
      </c>
      <c r="B462" s="122">
        <v>7.2685185185185186E-2</v>
      </c>
      <c r="C462" s="26" t="s">
        <v>1004</v>
      </c>
    </row>
    <row r="463" spans="1:3" x14ac:dyDescent="0.25">
      <c r="A463" s="36">
        <v>41188</v>
      </c>
      <c r="B463" s="122">
        <v>7.2708333333333333E-2</v>
      </c>
      <c r="C463" s="26" t="s">
        <v>1004</v>
      </c>
    </row>
    <row r="464" spans="1:3" x14ac:dyDescent="0.25">
      <c r="A464" s="36">
        <v>41188</v>
      </c>
      <c r="B464" s="122">
        <v>7.2708333333333333E-2</v>
      </c>
      <c r="C464" s="26" t="s">
        <v>1023</v>
      </c>
    </row>
    <row r="465" spans="1:3" x14ac:dyDescent="0.25">
      <c r="A465" s="36">
        <v>41188</v>
      </c>
      <c r="B465" s="122">
        <v>7.2719907407407414E-2</v>
      </c>
      <c r="C465" s="26" t="s">
        <v>1004</v>
      </c>
    </row>
    <row r="466" spans="1:3" x14ac:dyDescent="0.25">
      <c r="A466" s="36">
        <v>41188</v>
      </c>
      <c r="B466" s="122">
        <v>7.273148148148148E-2</v>
      </c>
      <c r="C466" s="26" t="s">
        <v>1004</v>
      </c>
    </row>
    <row r="467" spans="1:3" x14ac:dyDescent="0.25">
      <c r="A467" s="36">
        <v>41188</v>
      </c>
      <c r="B467" s="122">
        <v>7.273148148148148E-2</v>
      </c>
      <c r="C467" s="26" t="s">
        <v>1013</v>
      </c>
    </row>
    <row r="468" spans="1:3" x14ac:dyDescent="0.25">
      <c r="A468" s="36">
        <v>41188</v>
      </c>
      <c r="B468" s="122">
        <v>7.2743055555555561E-2</v>
      </c>
      <c r="C468" s="26" t="s">
        <v>1027</v>
      </c>
    </row>
    <row r="469" spans="1:3" x14ac:dyDescent="0.25">
      <c r="A469" s="36">
        <v>41188</v>
      </c>
      <c r="B469" s="122">
        <v>7.2754629629629627E-2</v>
      </c>
      <c r="C469" s="26" t="s">
        <v>1025</v>
      </c>
    </row>
    <row r="470" spans="1:3" x14ac:dyDescent="0.25">
      <c r="A470" s="36">
        <v>41188</v>
      </c>
      <c r="B470" s="122">
        <v>7.2754629629629627E-2</v>
      </c>
      <c r="C470" s="26" t="s">
        <v>1024</v>
      </c>
    </row>
    <row r="471" spans="1:3" x14ac:dyDescent="0.25">
      <c r="A471" s="36">
        <v>41188</v>
      </c>
      <c r="B471" s="122">
        <v>7.2766203703703694E-2</v>
      </c>
      <c r="C471" s="26" t="s">
        <v>1025</v>
      </c>
    </row>
    <row r="472" spans="1:3" x14ac:dyDescent="0.25">
      <c r="A472" s="36">
        <v>41188</v>
      </c>
      <c r="B472" s="122">
        <v>7.2777777777777775E-2</v>
      </c>
      <c r="C472" s="26" t="s">
        <v>1004</v>
      </c>
    </row>
    <row r="473" spans="1:3" x14ac:dyDescent="0.25">
      <c r="A473" s="36">
        <v>41188</v>
      </c>
      <c r="B473" s="122">
        <v>7.2777777777777775E-2</v>
      </c>
      <c r="C473" s="26" t="s">
        <v>1004</v>
      </c>
    </row>
    <row r="474" spans="1:3" x14ac:dyDescent="0.25">
      <c r="A474" s="36">
        <v>41188</v>
      </c>
      <c r="B474" s="122">
        <v>7.2789351851851855E-2</v>
      </c>
      <c r="C474" s="26" t="s">
        <v>1004</v>
      </c>
    </row>
    <row r="475" spans="1:3" x14ac:dyDescent="0.25">
      <c r="A475" s="36">
        <v>41188</v>
      </c>
      <c r="B475" s="122">
        <v>7.2800925925925922E-2</v>
      </c>
      <c r="C475" s="26" t="s">
        <v>1004</v>
      </c>
    </row>
    <row r="476" spans="1:3" x14ac:dyDescent="0.25">
      <c r="A476" s="36">
        <v>41188</v>
      </c>
      <c r="B476" s="122">
        <v>7.2812500000000002E-2</v>
      </c>
      <c r="C476" s="26" t="s">
        <v>1013</v>
      </c>
    </row>
    <row r="477" spans="1:3" x14ac:dyDescent="0.25">
      <c r="A477" s="36">
        <v>41188</v>
      </c>
      <c r="B477" s="122">
        <v>7.2824074074074083E-2</v>
      </c>
      <c r="C477" s="26" t="s">
        <v>1004</v>
      </c>
    </row>
    <row r="478" spans="1:3" x14ac:dyDescent="0.25">
      <c r="A478" s="36">
        <v>41188</v>
      </c>
      <c r="B478" s="122">
        <v>7.2835648148148149E-2</v>
      </c>
      <c r="C478" s="26" t="s">
        <v>1025</v>
      </c>
    </row>
    <row r="479" spans="1:3" ht="45" x14ac:dyDescent="0.25">
      <c r="A479" s="36">
        <v>41188</v>
      </c>
      <c r="B479" s="122">
        <v>7.2847222222222216E-2</v>
      </c>
      <c r="C479" s="603" t="s">
        <v>1028</v>
      </c>
    </row>
    <row r="480" spans="1:3" x14ac:dyDescent="0.25">
      <c r="A480" s="36">
        <v>41188</v>
      </c>
      <c r="B480" s="122">
        <v>7.2847222222222216E-2</v>
      </c>
      <c r="C480" s="26" t="s">
        <v>1029</v>
      </c>
    </row>
    <row r="481" spans="1:3" x14ac:dyDescent="0.25">
      <c r="A481" s="36">
        <v>41188</v>
      </c>
      <c r="B481" s="122">
        <v>7.2847222222222216E-2</v>
      </c>
      <c r="C481" s="26" t="s">
        <v>1030</v>
      </c>
    </row>
    <row r="482" spans="1:3" x14ac:dyDescent="0.25">
      <c r="A482" s="36">
        <v>41188</v>
      </c>
      <c r="B482" s="122">
        <v>7.2847222222222216E-2</v>
      </c>
      <c r="C482" s="26" t="s">
        <v>1031</v>
      </c>
    </row>
    <row r="483" spans="1:3" x14ac:dyDescent="0.25">
      <c r="A483" s="36">
        <v>41188</v>
      </c>
      <c r="B483" s="122">
        <v>7.2847222222222216E-2</v>
      </c>
      <c r="C483" s="26" t="s">
        <v>1032</v>
      </c>
    </row>
    <row r="484" spans="1:3" x14ac:dyDescent="0.25">
      <c r="A484" s="36">
        <v>41188</v>
      </c>
      <c r="B484" s="122">
        <v>7.2847222222222216E-2</v>
      </c>
      <c r="C484" s="26" t="s">
        <v>1033</v>
      </c>
    </row>
    <row r="485" spans="1:3" x14ac:dyDescent="0.25">
      <c r="A485" s="36">
        <v>41188</v>
      </c>
      <c r="B485" s="122">
        <v>7.2847222222222216E-2</v>
      </c>
      <c r="C485" s="26" t="s">
        <v>1034</v>
      </c>
    </row>
    <row r="486" spans="1:3" x14ac:dyDescent="0.25">
      <c r="A486" s="36">
        <v>41188</v>
      </c>
      <c r="B486" s="122">
        <v>7.2847222222222216E-2</v>
      </c>
      <c r="C486" s="26" t="s">
        <v>1004</v>
      </c>
    </row>
    <row r="487" spans="1:3" x14ac:dyDescent="0.25">
      <c r="A487" s="36">
        <v>41188</v>
      </c>
      <c r="B487" s="122">
        <v>7.2858796296296297E-2</v>
      </c>
      <c r="C487" s="26" t="s">
        <v>1035</v>
      </c>
    </row>
    <row r="488" spans="1:3" x14ac:dyDescent="0.25">
      <c r="A488" s="36">
        <v>41188</v>
      </c>
      <c r="B488" s="122">
        <v>7.2870370370370363E-2</v>
      </c>
      <c r="C488" s="26" t="s">
        <v>1024</v>
      </c>
    </row>
    <row r="489" spans="1:3" x14ac:dyDescent="0.25">
      <c r="A489" s="36">
        <v>41188</v>
      </c>
      <c r="B489" s="122">
        <v>7.2870370370370363E-2</v>
      </c>
      <c r="C489" s="26" t="s">
        <v>1025</v>
      </c>
    </row>
    <row r="490" spans="1:3" x14ac:dyDescent="0.25">
      <c r="A490" s="36">
        <v>41188</v>
      </c>
      <c r="B490" s="122">
        <v>7.2881944444444444E-2</v>
      </c>
      <c r="C490" s="26" t="s">
        <v>1024</v>
      </c>
    </row>
    <row r="491" spans="1:3" x14ac:dyDescent="0.25">
      <c r="A491" s="36">
        <v>41188</v>
      </c>
      <c r="B491" s="122">
        <v>7.289351851851851E-2</v>
      </c>
      <c r="C491" s="26" t="s">
        <v>1036</v>
      </c>
    </row>
    <row r="492" spans="1:3" x14ac:dyDescent="0.25">
      <c r="A492" s="36">
        <v>41188</v>
      </c>
      <c r="B492" s="122">
        <v>7.289351851851851E-2</v>
      </c>
      <c r="C492" s="26" t="s">
        <v>1004</v>
      </c>
    </row>
    <row r="493" spans="1:3" x14ac:dyDescent="0.25">
      <c r="A493" s="36">
        <v>41188</v>
      </c>
      <c r="B493" s="122">
        <v>7.2916666666666671E-2</v>
      </c>
      <c r="C493" s="26" t="s">
        <v>1013</v>
      </c>
    </row>
    <row r="494" spans="1:3" x14ac:dyDescent="0.25">
      <c r="A494" s="36">
        <v>41188</v>
      </c>
      <c r="B494" s="122">
        <v>7.2939814814814818E-2</v>
      </c>
      <c r="C494" s="26" t="s">
        <v>1037</v>
      </c>
    </row>
    <row r="495" spans="1:3" x14ac:dyDescent="0.25">
      <c r="A495" s="36">
        <v>41188</v>
      </c>
      <c r="B495" s="122">
        <v>7.2939814814814818E-2</v>
      </c>
      <c r="C495" s="26" t="s">
        <v>1038</v>
      </c>
    </row>
    <row r="496" spans="1:3" x14ac:dyDescent="0.25">
      <c r="A496" s="36">
        <v>41188</v>
      </c>
      <c r="B496" s="122">
        <v>7.2939814814814818E-2</v>
      </c>
      <c r="C496" s="26" t="s">
        <v>1039</v>
      </c>
    </row>
    <row r="497" spans="1:3" x14ac:dyDescent="0.25">
      <c r="A497" s="36">
        <v>41188</v>
      </c>
      <c r="B497" s="122">
        <v>7.2939814814814818E-2</v>
      </c>
      <c r="C497" s="26" t="s">
        <v>987</v>
      </c>
    </row>
    <row r="498" spans="1:3" x14ac:dyDescent="0.25">
      <c r="A498" s="36">
        <v>41188</v>
      </c>
      <c r="B498" s="122">
        <v>7.2939814814814818E-2</v>
      </c>
      <c r="C498" s="26" t="s">
        <v>1023</v>
      </c>
    </row>
    <row r="499" spans="1:3" x14ac:dyDescent="0.25">
      <c r="A499" s="36">
        <v>41188</v>
      </c>
      <c r="B499" s="122">
        <v>7.2939814814814818E-2</v>
      </c>
      <c r="C499" s="26" t="s">
        <v>1040</v>
      </c>
    </row>
    <row r="500" spans="1:3" x14ac:dyDescent="0.25">
      <c r="A500" s="36">
        <v>41188</v>
      </c>
      <c r="B500" s="122">
        <v>7.2939814814814818E-2</v>
      </c>
      <c r="C500" s="26" t="s">
        <v>1041</v>
      </c>
    </row>
    <row r="501" spans="1:3" x14ac:dyDescent="0.25">
      <c r="A501" s="36">
        <v>41188</v>
      </c>
      <c r="B501" s="122">
        <v>7.2951388888888885E-2</v>
      </c>
      <c r="C501" s="26" t="s">
        <v>1042</v>
      </c>
    </row>
    <row r="502" spans="1:3" x14ac:dyDescent="0.25">
      <c r="A502" s="36">
        <v>41188</v>
      </c>
      <c r="B502" s="122">
        <v>7.2951388888888885E-2</v>
      </c>
      <c r="C502" s="26" t="s">
        <v>1043</v>
      </c>
    </row>
    <row r="503" spans="1:3" x14ac:dyDescent="0.25">
      <c r="A503" s="36">
        <v>41188</v>
      </c>
      <c r="B503" s="122">
        <v>7.2951388888888885E-2</v>
      </c>
      <c r="C503" s="26" t="s">
        <v>1044</v>
      </c>
    </row>
    <row r="504" spans="1:3" x14ac:dyDescent="0.25">
      <c r="A504" s="36">
        <v>41188</v>
      </c>
      <c r="B504" s="122">
        <v>7.2951388888888885E-2</v>
      </c>
      <c r="C504" s="26" t="s">
        <v>1040</v>
      </c>
    </row>
    <row r="505" spans="1:3" x14ac:dyDescent="0.25">
      <c r="A505" s="36">
        <v>41188</v>
      </c>
      <c r="B505" s="122">
        <v>7.2951388888888885E-2</v>
      </c>
      <c r="C505" s="26" t="s">
        <v>1041</v>
      </c>
    </row>
    <row r="506" spans="1:3" x14ac:dyDescent="0.25">
      <c r="A506" s="36">
        <v>41188</v>
      </c>
      <c r="B506" s="122">
        <v>7.2962962962962966E-2</v>
      </c>
      <c r="C506" s="26" t="s">
        <v>1004</v>
      </c>
    </row>
    <row r="507" spans="1:3" x14ac:dyDescent="0.25">
      <c r="A507" s="36">
        <v>41188</v>
      </c>
      <c r="B507" s="122">
        <v>7.2974537037037032E-2</v>
      </c>
      <c r="C507" s="26" t="s">
        <v>1040</v>
      </c>
    </row>
    <row r="508" spans="1:3" x14ac:dyDescent="0.25">
      <c r="A508" s="36">
        <v>41188</v>
      </c>
      <c r="B508" s="122">
        <v>7.2974537037037032E-2</v>
      </c>
      <c r="C508" s="26" t="s">
        <v>1041</v>
      </c>
    </row>
    <row r="509" spans="1:3" x14ac:dyDescent="0.25">
      <c r="A509" s="36">
        <v>41188</v>
      </c>
      <c r="B509" s="122">
        <v>7.2974537037037032E-2</v>
      </c>
      <c r="C509" s="26" t="s">
        <v>1045</v>
      </c>
    </row>
    <row r="510" spans="1:3" x14ac:dyDescent="0.25">
      <c r="A510" s="36">
        <v>41188</v>
      </c>
      <c r="B510" s="122">
        <v>7.2986111111111113E-2</v>
      </c>
      <c r="C510" s="26" t="s">
        <v>1046</v>
      </c>
    </row>
    <row r="511" spans="1:3" x14ac:dyDescent="0.25">
      <c r="A511" s="36">
        <v>41188</v>
      </c>
      <c r="B511" s="122">
        <v>7.2997685185185179E-2</v>
      </c>
      <c r="C511" s="26" t="s">
        <v>1047</v>
      </c>
    </row>
    <row r="512" spans="1:3" x14ac:dyDescent="0.25">
      <c r="A512" s="36">
        <v>41188</v>
      </c>
      <c r="B512" s="122">
        <v>7.2997685185185179E-2</v>
      </c>
      <c r="C512" s="26" t="s">
        <v>1048</v>
      </c>
    </row>
    <row r="513" spans="1:3" x14ac:dyDescent="0.25">
      <c r="A513" s="36">
        <v>41188</v>
      </c>
      <c r="B513" s="122">
        <v>7.2997685185185179E-2</v>
      </c>
      <c r="C513" s="26" t="s">
        <v>1044</v>
      </c>
    </row>
    <row r="514" spans="1:3" x14ac:dyDescent="0.25">
      <c r="A514" s="36">
        <v>41188</v>
      </c>
      <c r="B514" s="122">
        <v>7.2997685185185179E-2</v>
      </c>
      <c r="C514" s="26" t="s">
        <v>1040</v>
      </c>
    </row>
    <row r="515" spans="1:3" x14ac:dyDescent="0.25">
      <c r="A515" s="36">
        <v>41188</v>
      </c>
      <c r="B515" s="122">
        <v>7.2997685185185179E-2</v>
      </c>
      <c r="C515" s="26" t="s">
        <v>1041</v>
      </c>
    </row>
    <row r="516" spans="1:3" x14ac:dyDescent="0.25">
      <c r="A516" s="36">
        <v>41188</v>
      </c>
      <c r="B516" s="122">
        <v>7.300925925925926E-2</v>
      </c>
      <c r="C516" s="26" t="s">
        <v>1015</v>
      </c>
    </row>
    <row r="517" spans="1:3" x14ac:dyDescent="0.25">
      <c r="A517" s="36">
        <v>41188</v>
      </c>
      <c r="B517" s="122">
        <v>7.300925925925926E-2</v>
      </c>
      <c r="C517" s="26" t="s">
        <v>1004</v>
      </c>
    </row>
    <row r="518" spans="1:3" x14ac:dyDescent="0.25">
      <c r="A518" s="36">
        <v>41188</v>
      </c>
      <c r="B518" s="122">
        <v>7.3020833333333326E-2</v>
      </c>
      <c r="C518" s="26" t="s">
        <v>1004</v>
      </c>
    </row>
    <row r="519" spans="1:3" x14ac:dyDescent="0.25">
      <c r="A519" s="36">
        <v>41188</v>
      </c>
      <c r="B519" s="122">
        <v>7.3020833333333326E-2</v>
      </c>
      <c r="C519" s="26" t="s">
        <v>1049</v>
      </c>
    </row>
    <row r="520" spans="1:3" x14ac:dyDescent="0.25">
      <c r="A520" s="36">
        <v>41188</v>
      </c>
      <c r="B520" s="122">
        <v>7.3020833333333326E-2</v>
      </c>
      <c r="C520" s="26" t="s">
        <v>1050</v>
      </c>
    </row>
    <row r="521" spans="1:3" x14ac:dyDescent="0.25">
      <c r="A521" s="36">
        <v>41188</v>
      </c>
      <c r="B521" s="122">
        <v>7.3020833333333326E-2</v>
      </c>
      <c r="C521" s="26" t="s">
        <v>1044</v>
      </c>
    </row>
    <row r="522" spans="1:3" x14ac:dyDescent="0.25">
      <c r="A522" s="36">
        <v>41188</v>
      </c>
      <c r="B522" s="122">
        <v>7.3020833333333326E-2</v>
      </c>
      <c r="C522" s="26" t="s">
        <v>1013</v>
      </c>
    </row>
    <row r="523" spans="1:3" x14ac:dyDescent="0.25">
      <c r="A523" s="36">
        <v>41188</v>
      </c>
      <c r="B523" s="122">
        <v>7.3032407407407407E-2</v>
      </c>
      <c r="C523" s="26" t="s">
        <v>1051</v>
      </c>
    </row>
    <row r="524" spans="1:3" x14ac:dyDescent="0.25">
      <c r="A524" s="36">
        <v>41188</v>
      </c>
      <c r="B524" s="122">
        <v>7.3032407407407407E-2</v>
      </c>
      <c r="C524" s="26" t="s">
        <v>1052</v>
      </c>
    </row>
    <row r="525" spans="1:3" x14ac:dyDescent="0.25">
      <c r="A525" s="36">
        <v>41188</v>
      </c>
      <c r="B525" s="122">
        <v>7.3032407407407407E-2</v>
      </c>
      <c r="C525" s="26" t="s">
        <v>1053</v>
      </c>
    </row>
    <row r="526" spans="1:3" x14ac:dyDescent="0.25">
      <c r="A526" s="36">
        <v>41188</v>
      </c>
      <c r="B526" s="122">
        <v>7.3032407407407407E-2</v>
      </c>
      <c r="C526" s="26" t="s">
        <v>1004</v>
      </c>
    </row>
    <row r="527" spans="1:3" x14ac:dyDescent="0.25">
      <c r="A527" s="36">
        <v>41188</v>
      </c>
      <c r="B527" s="122">
        <v>7.3043981481481488E-2</v>
      </c>
      <c r="C527" s="26" t="s">
        <v>1004</v>
      </c>
    </row>
    <row r="528" spans="1:3" x14ac:dyDescent="0.25">
      <c r="A528" s="36">
        <v>41188</v>
      </c>
      <c r="B528" s="122">
        <v>7.3043981481481488E-2</v>
      </c>
      <c r="C528" s="26" t="s">
        <v>999</v>
      </c>
    </row>
    <row r="529" spans="1:3" x14ac:dyDescent="0.25">
      <c r="A529" s="36">
        <v>41188</v>
      </c>
      <c r="B529" s="122">
        <v>7.3043981481481488E-2</v>
      </c>
      <c r="C529" s="26" t="s">
        <v>999</v>
      </c>
    </row>
    <row r="530" spans="1:3" x14ac:dyDescent="0.25">
      <c r="A530" s="36">
        <v>41188</v>
      </c>
      <c r="B530" s="122">
        <v>7.3043981481481488E-2</v>
      </c>
      <c r="C530" s="26" t="s">
        <v>1004</v>
      </c>
    </row>
    <row r="531" spans="1:3" x14ac:dyDescent="0.25">
      <c r="A531" s="36">
        <v>41188</v>
      </c>
      <c r="B531" s="122">
        <v>7.3055555555555554E-2</v>
      </c>
      <c r="C531" s="26" t="s">
        <v>1001</v>
      </c>
    </row>
    <row r="532" spans="1:3" x14ac:dyDescent="0.25">
      <c r="A532" s="36">
        <v>41188</v>
      </c>
      <c r="B532" s="122">
        <v>7.3067129629629635E-2</v>
      </c>
      <c r="C532" s="26" t="s">
        <v>1013</v>
      </c>
    </row>
    <row r="533" spans="1:3" x14ac:dyDescent="0.25">
      <c r="A533" s="36">
        <v>41188</v>
      </c>
      <c r="B533" s="122">
        <v>7.3067129629629635E-2</v>
      </c>
      <c r="C533" s="26" t="s">
        <v>1054</v>
      </c>
    </row>
    <row r="534" spans="1:3" x14ac:dyDescent="0.25">
      <c r="A534" s="36">
        <v>41188</v>
      </c>
      <c r="B534" s="122">
        <v>7.4467592592592599E-2</v>
      </c>
      <c r="C534" s="26" t="s">
        <v>1058</v>
      </c>
    </row>
    <row r="535" spans="1:3" x14ac:dyDescent="0.25">
      <c r="A535" s="36">
        <v>41188</v>
      </c>
      <c r="B535" s="122">
        <v>0.59208333333333341</v>
      </c>
      <c r="C535" s="26" t="s">
        <v>1059</v>
      </c>
    </row>
    <row r="536" spans="1:3" x14ac:dyDescent="0.25">
      <c r="A536" s="36">
        <v>41188</v>
      </c>
      <c r="B536" s="122">
        <v>0.59401620370370367</v>
      </c>
      <c r="C536" s="26" t="s">
        <v>1060</v>
      </c>
    </row>
    <row r="537" spans="1:3" x14ac:dyDescent="0.25">
      <c r="A537" s="36">
        <v>41188</v>
      </c>
      <c r="B537" s="122">
        <v>0.59862268518518513</v>
      </c>
      <c r="C537" s="26" t="s">
        <v>1061</v>
      </c>
    </row>
    <row r="538" spans="1:3" x14ac:dyDescent="0.25">
      <c r="A538" s="36">
        <v>41188</v>
      </c>
      <c r="B538" s="122">
        <v>0.6015625</v>
      </c>
      <c r="C538" s="26" t="s">
        <v>1062</v>
      </c>
    </row>
    <row r="539" spans="1:3" x14ac:dyDescent="0.25">
      <c r="A539" s="36">
        <v>41188</v>
      </c>
      <c r="B539" s="122">
        <v>0.61732638888888891</v>
      </c>
      <c r="C539" s="26" t="s">
        <v>1063</v>
      </c>
    </row>
    <row r="540" spans="1:3" x14ac:dyDescent="0.25">
      <c r="A540" s="36">
        <v>41188</v>
      </c>
      <c r="B540" s="122">
        <v>0.63846064814814818</v>
      </c>
      <c r="C540" s="26" t="s">
        <v>1061</v>
      </c>
    </row>
    <row r="541" spans="1:3" x14ac:dyDescent="0.25">
      <c r="A541" s="36">
        <v>41188</v>
      </c>
      <c r="B541" s="122">
        <v>0.6425925925925926</v>
      </c>
      <c r="C541" s="26" t="s">
        <v>1064</v>
      </c>
    </row>
    <row r="542" spans="1:3" x14ac:dyDescent="0.25">
      <c r="A542" s="36">
        <v>41188</v>
      </c>
      <c r="B542" s="122">
        <v>0.64430555555555558</v>
      </c>
      <c r="C542" s="26" t="s">
        <v>1061</v>
      </c>
    </row>
    <row r="543" spans="1:3" x14ac:dyDescent="0.25">
      <c r="A543" s="36">
        <v>41188</v>
      </c>
      <c r="B543" s="122">
        <v>0.6482175925925926</v>
      </c>
      <c r="C543" s="26" t="s">
        <v>1065</v>
      </c>
    </row>
    <row r="544" spans="1:3" x14ac:dyDescent="0.25">
      <c r="A544" s="36">
        <v>41188</v>
      </c>
      <c r="B544" s="122">
        <v>0.64951388888888884</v>
      </c>
      <c r="C544" s="26" t="s">
        <v>1065</v>
      </c>
    </row>
    <row r="545" spans="1:3" x14ac:dyDescent="0.25">
      <c r="A545" s="36">
        <v>41188</v>
      </c>
      <c r="B545" s="122">
        <v>0.64962962962962967</v>
      </c>
      <c r="C545" s="26" t="s">
        <v>1066</v>
      </c>
    </row>
    <row r="546" spans="1:3" x14ac:dyDescent="0.25">
      <c r="A546" s="36">
        <v>41188</v>
      </c>
      <c r="B546" s="122">
        <v>0.65201388888888889</v>
      </c>
      <c r="C546" s="26" t="s">
        <v>1065</v>
      </c>
    </row>
    <row r="547" spans="1:3" x14ac:dyDescent="0.25">
      <c r="A547" s="36">
        <v>41188</v>
      </c>
      <c r="B547" s="122">
        <v>0.65201388888888889</v>
      </c>
      <c r="C547" s="26" t="s">
        <v>1067</v>
      </c>
    </row>
    <row r="548" spans="1:3" x14ac:dyDescent="0.25">
      <c r="A548" s="36">
        <v>41188</v>
      </c>
      <c r="B548" s="122">
        <v>0.65204861111111112</v>
      </c>
      <c r="C548" s="26" t="s">
        <v>1068</v>
      </c>
    </row>
    <row r="549" spans="1:3" x14ac:dyDescent="0.25">
      <c r="A549" s="36">
        <v>41188</v>
      </c>
      <c r="B549" s="122">
        <v>0.65615740740740736</v>
      </c>
      <c r="C549" s="26" t="s">
        <v>1069</v>
      </c>
    </row>
    <row r="550" spans="1:3" x14ac:dyDescent="0.25">
      <c r="A550" s="36">
        <v>41188</v>
      </c>
      <c r="B550" s="122">
        <v>0.65855324074074073</v>
      </c>
      <c r="C550" s="26" t="s">
        <v>1066</v>
      </c>
    </row>
    <row r="551" spans="1:3" x14ac:dyDescent="0.25">
      <c r="A551" s="36">
        <v>41188</v>
      </c>
      <c r="B551" s="122">
        <v>0.65863425925925922</v>
      </c>
      <c r="C551" s="26" t="s">
        <v>1072</v>
      </c>
    </row>
    <row r="552" spans="1:3" x14ac:dyDescent="0.25">
      <c r="A552" s="36">
        <v>41188</v>
      </c>
      <c r="B552" s="122">
        <v>0.65924768518518517</v>
      </c>
      <c r="C552" s="26" t="s">
        <v>1073</v>
      </c>
    </row>
    <row r="553" spans="1:3" x14ac:dyDescent="0.25">
      <c r="A553" s="36">
        <v>41188</v>
      </c>
      <c r="B553" s="122">
        <v>0.65939814814814812</v>
      </c>
      <c r="C553" s="26" t="s">
        <v>1074</v>
      </c>
    </row>
    <row r="554" spans="1:3" x14ac:dyDescent="0.25">
      <c r="A554" s="36">
        <v>41188</v>
      </c>
      <c r="B554" s="122">
        <v>0.66048611111111111</v>
      </c>
      <c r="C554" s="26" t="s">
        <v>1061</v>
      </c>
    </row>
    <row r="555" spans="1:3" x14ac:dyDescent="0.25">
      <c r="A555" s="36">
        <v>41188</v>
      </c>
      <c r="B555" s="122">
        <v>0.66054398148148141</v>
      </c>
      <c r="C555" s="26" t="s">
        <v>1066</v>
      </c>
    </row>
    <row r="556" spans="1:3" x14ac:dyDescent="0.25">
      <c r="A556" s="36">
        <v>41188</v>
      </c>
      <c r="B556" s="122">
        <v>0.66064814814814821</v>
      </c>
      <c r="C556" s="26" t="s">
        <v>1072</v>
      </c>
    </row>
    <row r="557" spans="1:3" x14ac:dyDescent="0.25">
      <c r="A557" s="36">
        <v>41188</v>
      </c>
      <c r="B557" s="122">
        <v>0.66074074074074074</v>
      </c>
      <c r="C557" s="26" t="s">
        <v>1073</v>
      </c>
    </row>
    <row r="558" spans="1:3" x14ac:dyDescent="0.25">
      <c r="A558" s="36">
        <v>41188</v>
      </c>
      <c r="B558" s="122">
        <v>0.66082175925925923</v>
      </c>
      <c r="C558" s="26" t="s">
        <v>1074</v>
      </c>
    </row>
    <row r="559" spans="1:3" x14ac:dyDescent="0.25">
      <c r="A559" s="36">
        <v>41189</v>
      </c>
      <c r="B559" s="122">
        <v>0.93638888888888883</v>
      </c>
      <c r="C559" s="26" t="s">
        <v>1075</v>
      </c>
    </row>
    <row r="560" spans="1:3" x14ac:dyDescent="0.25">
      <c r="A560" s="36">
        <v>41189</v>
      </c>
      <c r="B560" s="122">
        <v>0.94527777777777777</v>
      </c>
      <c r="C560" s="26" t="s">
        <v>1076</v>
      </c>
    </row>
    <row r="561" spans="1:3" x14ac:dyDescent="0.25">
      <c r="A561" s="36">
        <v>41190</v>
      </c>
      <c r="B561" s="122">
        <v>3.7604166666666668E-2</v>
      </c>
      <c r="C561" s="26" t="s">
        <v>1061</v>
      </c>
    </row>
    <row r="562" spans="1:3" x14ac:dyDescent="0.25">
      <c r="A562" s="36">
        <v>41190</v>
      </c>
      <c r="B562" s="122">
        <v>3.7638888888888895E-2</v>
      </c>
      <c r="C562" s="26" t="s">
        <v>1066</v>
      </c>
    </row>
    <row r="563" spans="1:3" x14ac:dyDescent="0.25">
      <c r="A563" s="36">
        <v>41190</v>
      </c>
      <c r="B563" s="122">
        <v>3.7800925925925925E-2</v>
      </c>
      <c r="C563" s="26" t="s">
        <v>1072</v>
      </c>
    </row>
    <row r="564" spans="1:3" x14ac:dyDescent="0.25">
      <c r="A564" s="36">
        <v>41190</v>
      </c>
      <c r="B564" s="122">
        <v>3.788194444444444E-2</v>
      </c>
      <c r="C564" s="26" t="s">
        <v>1073</v>
      </c>
    </row>
    <row r="565" spans="1:3" x14ac:dyDescent="0.25">
      <c r="A565" s="36">
        <v>41190</v>
      </c>
      <c r="B565" s="122">
        <v>3.7951388888888889E-2</v>
      </c>
      <c r="C565" s="26" t="s">
        <v>1074</v>
      </c>
    </row>
    <row r="566" spans="1:3" x14ac:dyDescent="0.25">
      <c r="A566" s="36">
        <v>41190</v>
      </c>
      <c r="B566" s="122">
        <v>0.04</v>
      </c>
      <c r="C566" s="26" t="s">
        <v>1075</v>
      </c>
    </row>
    <row r="567" spans="1:3" x14ac:dyDescent="0.25">
      <c r="A567" s="36">
        <v>41190</v>
      </c>
      <c r="B567" s="122">
        <v>0.04</v>
      </c>
      <c r="C567" s="26" t="s">
        <v>1078</v>
      </c>
    </row>
    <row r="568" spans="1:3" x14ac:dyDescent="0.25">
      <c r="A568" s="36">
        <v>41190</v>
      </c>
      <c r="B568" s="122">
        <v>4.0023148148148148E-2</v>
      </c>
      <c r="C568" s="26" t="s">
        <v>1079</v>
      </c>
    </row>
    <row r="569" spans="1:3" x14ac:dyDescent="0.25">
      <c r="A569" s="36">
        <v>41190</v>
      </c>
      <c r="B569" s="122">
        <v>4.0115740740740737E-2</v>
      </c>
      <c r="C569" s="26" t="s">
        <v>1080</v>
      </c>
    </row>
    <row r="570" spans="1:3" x14ac:dyDescent="0.25">
      <c r="A570" s="36">
        <v>41190</v>
      </c>
      <c r="B570" s="122">
        <v>4.0196759259259258E-2</v>
      </c>
      <c r="C570" s="26" t="s">
        <v>1081</v>
      </c>
    </row>
    <row r="571" spans="1:3" x14ac:dyDescent="0.25">
      <c r="A571" s="36">
        <v>41190</v>
      </c>
      <c r="B571" s="122">
        <v>4.0231481481481479E-2</v>
      </c>
      <c r="C571" s="26" t="s">
        <v>1082</v>
      </c>
    </row>
    <row r="572" spans="1:3" x14ac:dyDescent="0.25">
      <c r="A572" s="36">
        <v>41190</v>
      </c>
      <c r="B572" s="122">
        <v>4.0254629629629633E-2</v>
      </c>
      <c r="C572" s="26" t="s">
        <v>1083</v>
      </c>
    </row>
    <row r="573" spans="1:3" x14ac:dyDescent="0.25">
      <c r="A573" s="36">
        <v>41190</v>
      </c>
      <c r="B573" s="122">
        <v>4.0509259259259259E-2</v>
      </c>
      <c r="C573" s="26" t="s">
        <v>1084</v>
      </c>
    </row>
    <row r="574" spans="1:3" x14ac:dyDescent="0.25">
      <c r="A574" s="36">
        <v>41190</v>
      </c>
      <c r="B574" s="122">
        <v>4.099537037037037E-2</v>
      </c>
      <c r="C574" s="26" t="s">
        <v>1085</v>
      </c>
    </row>
    <row r="575" spans="1:3" x14ac:dyDescent="0.25">
      <c r="A575" s="36">
        <v>41190</v>
      </c>
      <c r="B575" s="122">
        <v>4.2187499999999996E-2</v>
      </c>
      <c r="C575" s="26" t="s">
        <v>1086</v>
      </c>
    </row>
    <row r="576" spans="1:3" x14ac:dyDescent="0.25">
      <c r="A576" s="36">
        <v>41190</v>
      </c>
      <c r="B576" s="122">
        <v>4.2615740740740739E-2</v>
      </c>
      <c r="C576" s="26" t="s">
        <v>1087</v>
      </c>
    </row>
    <row r="577" spans="1:3" x14ac:dyDescent="0.25">
      <c r="A577" s="36">
        <v>41190</v>
      </c>
      <c r="B577" s="122">
        <v>4.2812500000000003E-2</v>
      </c>
      <c r="C577" s="26" t="s">
        <v>1088</v>
      </c>
    </row>
    <row r="578" spans="1:3" x14ac:dyDescent="0.25">
      <c r="A578" s="36">
        <v>41190</v>
      </c>
      <c r="B578" s="122">
        <v>4.3009259259259254E-2</v>
      </c>
      <c r="C578" s="26" t="s">
        <v>1089</v>
      </c>
    </row>
    <row r="579" spans="1:3" x14ac:dyDescent="0.25">
      <c r="A579" s="36">
        <v>41190</v>
      </c>
      <c r="B579" s="122">
        <v>4.3009259259259254E-2</v>
      </c>
      <c r="C579" s="26" t="s">
        <v>1090</v>
      </c>
    </row>
    <row r="580" spans="1:3" x14ac:dyDescent="0.25">
      <c r="A580" s="36">
        <v>41190</v>
      </c>
      <c r="B580" s="122">
        <v>4.3009259259259254E-2</v>
      </c>
      <c r="C580" s="26" t="s">
        <v>1091</v>
      </c>
    </row>
    <row r="581" spans="1:3" x14ac:dyDescent="0.25">
      <c r="A581" s="36">
        <v>41190</v>
      </c>
      <c r="B581" s="122">
        <v>4.3009259259259254E-2</v>
      </c>
      <c r="C581" s="26" t="s">
        <v>1092</v>
      </c>
    </row>
    <row r="582" spans="1:3" x14ac:dyDescent="0.25">
      <c r="A582" s="36">
        <v>41190</v>
      </c>
      <c r="B582" s="122">
        <v>4.3009259259259254E-2</v>
      </c>
      <c r="C582" s="26" t="s">
        <v>1001</v>
      </c>
    </row>
    <row r="583" spans="1:3" x14ac:dyDescent="0.25">
      <c r="A583" s="36">
        <v>41190</v>
      </c>
      <c r="B583" s="122">
        <v>4.3009259259259254E-2</v>
      </c>
      <c r="C583" s="26" t="s">
        <v>1093</v>
      </c>
    </row>
    <row r="584" spans="1:3" x14ac:dyDescent="0.25">
      <c r="A584" s="36">
        <v>41190</v>
      </c>
      <c r="B584" s="122">
        <v>4.3009259259259254E-2</v>
      </c>
      <c r="C584" s="26" t="s">
        <v>1094</v>
      </c>
    </row>
    <row r="585" spans="1:3" x14ac:dyDescent="0.25">
      <c r="A585" s="36">
        <v>41190</v>
      </c>
      <c r="B585" s="122">
        <v>4.3009259259259254E-2</v>
      </c>
      <c r="C585" s="26" t="s">
        <v>1095</v>
      </c>
    </row>
    <row r="586" spans="1:3" x14ac:dyDescent="0.25">
      <c r="A586" s="36">
        <v>41190</v>
      </c>
      <c r="B586" s="122">
        <v>4.3009259259259254E-2</v>
      </c>
      <c r="C586" s="26" t="s">
        <v>1094</v>
      </c>
    </row>
    <row r="587" spans="1:3" x14ac:dyDescent="0.25">
      <c r="A587" s="36">
        <v>41190</v>
      </c>
      <c r="B587" s="122">
        <v>4.3009259259259254E-2</v>
      </c>
      <c r="C587" s="26" t="s">
        <v>1096</v>
      </c>
    </row>
    <row r="588" spans="1:3" x14ac:dyDescent="0.25">
      <c r="A588" s="36">
        <v>41190</v>
      </c>
      <c r="B588" s="122">
        <v>4.3009259259259254E-2</v>
      </c>
      <c r="C588" s="26" t="s">
        <v>1097</v>
      </c>
    </row>
    <row r="589" spans="1:3" x14ac:dyDescent="0.25">
      <c r="A589" s="36">
        <v>41190</v>
      </c>
      <c r="B589" s="122">
        <v>4.3020833333333335E-2</v>
      </c>
      <c r="C589" s="26" t="s">
        <v>1098</v>
      </c>
    </row>
    <row r="590" spans="1:3" x14ac:dyDescent="0.25">
      <c r="A590" s="36">
        <v>41190</v>
      </c>
      <c r="B590" s="122">
        <v>4.3020833333333335E-2</v>
      </c>
      <c r="C590" s="26" t="s">
        <v>1097</v>
      </c>
    </row>
    <row r="591" spans="1:3" x14ac:dyDescent="0.25">
      <c r="A591" s="36">
        <v>41190</v>
      </c>
      <c r="B591" s="122">
        <v>4.3020833333333335E-2</v>
      </c>
      <c r="C591" s="26" t="s">
        <v>1099</v>
      </c>
    </row>
    <row r="592" spans="1:3" x14ac:dyDescent="0.25">
      <c r="A592" s="36">
        <v>41190</v>
      </c>
      <c r="B592" s="122">
        <v>4.3020833333333335E-2</v>
      </c>
      <c r="C592" s="26" t="s">
        <v>1100</v>
      </c>
    </row>
    <row r="593" spans="1:3" x14ac:dyDescent="0.25">
      <c r="A593" s="36">
        <v>41190</v>
      </c>
      <c r="B593" s="122">
        <v>4.3020833333333335E-2</v>
      </c>
      <c r="C593" s="26" t="s">
        <v>1101</v>
      </c>
    </row>
    <row r="594" spans="1:3" x14ac:dyDescent="0.25">
      <c r="A594" s="36">
        <v>41190</v>
      </c>
      <c r="B594" s="122">
        <v>4.3020833333333335E-2</v>
      </c>
      <c r="C594" s="26" t="s">
        <v>1100</v>
      </c>
    </row>
    <row r="595" spans="1:3" x14ac:dyDescent="0.25">
      <c r="A595" s="36">
        <v>41190</v>
      </c>
      <c r="B595" s="122">
        <v>4.3020833333333335E-2</v>
      </c>
      <c r="C595" s="26" t="s">
        <v>1101</v>
      </c>
    </row>
    <row r="596" spans="1:3" x14ac:dyDescent="0.25">
      <c r="A596" s="36">
        <v>41190</v>
      </c>
      <c r="B596" s="122">
        <v>4.3020833333333335E-2</v>
      </c>
      <c r="C596" s="26" t="s">
        <v>1102</v>
      </c>
    </row>
    <row r="597" spans="1:3" x14ac:dyDescent="0.25">
      <c r="A597" s="36">
        <v>41190</v>
      </c>
      <c r="B597" s="122">
        <v>4.3159722222222224E-2</v>
      </c>
      <c r="C597" s="26" t="s">
        <v>1103</v>
      </c>
    </row>
    <row r="598" spans="1:3" x14ac:dyDescent="0.25">
      <c r="A598" s="36">
        <v>41190</v>
      </c>
      <c r="B598" s="122">
        <v>4.3171296296296298E-2</v>
      </c>
      <c r="C598" s="26" t="s">
        <v>1104</v>
      </c>
    </row>
    <row r="599" spans="1:3" x14ac:dyDescent="0.25">
      <c r="A599" s="36">
        <v>41190</v>
      </c>
      <c r="B599" s="122">
        <v>4.3784722222222218E-2</v>
      </c>
      <c r="C599" s="26" t="s">
        <v>1105</v>
      </c>
    </row>
    <row r="600" spans="1:3" x14ac:dyDescent="0.25">
      <c r="A600" s="36">
        <v>41190</v>
      </c>
      <c r="B600" s="122">
        <v>4.6192129629629632E-2</v>
      </c>
      <c r="C600" s="26" t="s">
        <v>1106</v>
      </c>
    </row>
    <row r="601" spans="1:3" x14ac:dyDescent="0.25">
      <c r="A601" s="36">
        <v>41190</v>
      </c>
      <c r="B601" s="122">
        <v>4.628472222222222E-2</v>
      </c>
      <c r="C601" s="26" t="s">
        <v>1066</v>
      </c>
    </row>
    <row r="602" spans="1:3" x14ac:dyDescent="0.25">
      <c r="A602" s="36">
        <v>41190</v>
      </c>
      <c r="B602" s="122">
        <v>4.6354166666666669E-2</v>
      </c>
      <c r="C602" s="26" t="s">
        <v>1072</v>
      </c>
    </row>
    <row r="603" spans="1:3" x14ac:dyDescent="0.25">
      <c r="A603" s="36">
        <v>41190</v>
      </c>
      <c r="B603" s="122">
        <v>4.6400462962962963E-2</v>
      </c>
      <c r="C603" s="26" t="s">
        <v>1073</v>
      </c>
    </row>
    <row r="604" spans="1:3" x14ac:dyDescent="0.25">
      <c r="A604" s="36">
        <v>41190</v>
      </c>
      <c r="B604" s="122">
        <v>4.6435185185185184E-2</v>
      </c>
      <c r="C604" s="26" t="s">
        <v>1074</v>
      </c>
    </row>
    <row r="605" spans="1:3" x14ac:dyDescent="0.25">
      <c r="A605" s="36">
        <v>41190</v>
      </c>
      <c r="B605" s="122">
        <v>4.673611111111111E-2</v>
      </c>
      <c r="C605" s="26" t="s">
        <v>1104</v>
      </c>
    </row>
    <row r="606" spans="1:3" x14ac:dyDescent="0.25">
      <c r="A606" s="36">
        <v>41190</v>
      </c>
      <c r="B606" s="122">
        <v>4.704861111111111E-2</v>
      </c>
      <c r="C606" s="26" t="s">
        <v>1086</v>
      </c>
    </row>
    <row r="607" spans="1:3" x14ac:dyDescent="0.25">
      <c r="A607" s="36">
        <v>41190</v>
      </c>
      <c r="B607" s="122">
        <v>4.7152777777777773E-2</v>
      </c>
      <c r="C607" s="26" t="s">
        <v>1087</v>
      </c>
    </row>
    <row r="608" spans="1:3" x14ac:dyDescent="0.25">
      <c r="A608" s="36">
        <v>41190</v>
      </c>
      <c r="B608" s="122">
        <v>4.7210648148148147E-2</v>
      </c>
      <c r="C608" s="26" t="s">
        <v>1088</v>
      </c>
    </row>
    <row r="609" spans="1:3" x14ac:dyDescent="0.25">
      <c r="A609" s="36">
        <v>41190</v>
      </c>
      <c r="B609" s="122">
        <v>4.731481481481481E-2</v>
      </c>
      <c r="C609" s="26" t="s">
        <v>1089</v>
      </c>
    </row>
    <row r="610" spans="1:3" x14ac:dyDescent="0.25">
      <c r="A610" s="36">
        <v>41190</v>
      </c>
      <c r="B610" s="122">
        <v>4.731481481481481E-2</v>
      </c>
      <c r="C610" s="26" t="s">
        <v>1090</v>
      </c>
    </row>
    <row r="611" spans="1:3" x14ac:dyDescent="0.25">
      <c r="A611" s="36">
        <v>41190</v>
      </c>
      <c r="B611" s="122">
        <v>4.731481481481481E-2</v>
      </c>
      <c r="C611" s="26" t="s">
        <v>1091</v>
      </c>
    </row>
    <row r="612" spans="1:3" x14ac:dyDescent="0.25">
      <c r="A612" s="36">
        <v>41190</v>
      </c>
      <c r="B612" s="122">
        <v>4.731481481481481E-2</v>
      </c>
      <c r="C612" s="26" t="s">
        <v>1092</v>
      </c>
    </row>
    <row r="613" spans="1:3" x14ac:dyDescent="0.25">
      <c r="A613" s="36">
        <v>41190</v>
      </c>
      <c r="B613" s="122">
        <v>4.731481481481481E-2</v>
      </c>
      <c r="C613" s="26" t="s">
        <v>1001</v>
      </c>
    </row>
    <row r="614" spans="1:3" x14ac:dyDescent="0.25">
      <c r="A614" s="36">
        <v>41190</v>
      </c>
      <c r="B614" s="122">
        <v>4.731481481481481E-2</v>
      </c>
      <c r="C614" s="26" t="s">
        <v>1093</v>
      </c>
    </row>
    <row r="615" spans="1:3" x14ac:dyDescent="0.25">
      <c r="A615" s="36">
        <v>41190</v>
      </c>
      <c r="B615" s="122">
        <v>4.731481481481481E-2</v>
      </c>
      <c r="C615" s="26" t="s">
        <v>1094</v>
      </c>
    </row>
    <row r="616" spans="1:3" x14ac:dyDescent="0.25">
      <c r="A616" s="36">
        <v>41190</v>
      </c>
      <c r="B616" s="122">
        <v>4.731481481481481E-2</v>
      </c>
      <c r="C616" s="26" t="s">
        <v>1095</v>
      </c>
    </row>
    <row r="617" spans="1:3" x14ac:dyDescent="0.25">
      <c r="A617" s="36">
        <v>41190</v>
      </c>
      <c r="B617" s="122">
        <v>4.731481481481481E-2</v>
      </c>
      <c r="C617" s="26" t="s">
        <v>1094</v>
      </c>
    </row>
    <row r="618" spans="1:3" x14ac:dyDescent="0.25">
      <c r="A618" s="36">
        <v>41190</v>
      </c>
      <c r="B618" s="122">
        <v>4.731481481481481E-2</v>
      </c>
      <c r="C618" s="26" t="s">
        <v>1096</v>
      </c>
    </row>
    <row r="619" spans="1:3" x14ac:dyDescent="0.25">
      <c r="A619" s="36">
        <v>41190</v>
      </c>
      <c r="B619" s="122">
        <v>4.731481481481481E-2</v>
      </c>
      <c r="C619" s="26" t="s">
        <v>1097</v>
      </c>
    </row>
    <row r="620" spans="1:3" x14ac:dyDescent="0.25">
      <c r="A620" s="36">
        <v>41190</v>
      </c>
      <c r="B620" s="122">
        <v>4.731481481481481E-2</v>
      </c>
      <c r="C620" s="26" t="s">
        <v>1098</v>
      </c>
    </row>
    <row r="621" spans="1:3" x14ac:dyDescent="0.25">
      <c r="A621" s="36">
        <v>41190</v>
      </c>
      <c r="B621" s="122">
        <v>4.731481481481481E-2</v>
      </c>
      <c r="C621" s="26" t="s">
        <v>1097</v>
      </c>
    </row>
    <row r="622" spans="1:3" x14ac:dyDescent="0.25">
      <c r="A622" s="36">
        <v>41190</v>
      </c>
      <c r="B622" s="122">
        <v>4.731481481481481E-2</v>
      </c>
      <c r="C622" s="26" t="s">
        <v>1099</v>
      </c>
    </row>
    <row r="623" spans="1:3" x14ac:dyDescent="0.25">
      <c r="A623" s="36">
        <v>41190</v>
      </c>
      <c r="B623" s="122">
        <v>4.731481481481481E-2</v>
      </c>
      <c r="C623" s="26" t="s">
        <v>1100</v>
      </c>
    </row>
    <row r="624" spans="1:3" x14ac:dyDescent="0.25">
      <c r="A624" s="36">
        <v>41190</v>
      </c>
      <c r="B624" s="122">
        <v>4.731481481481481E-2</v>
      </c>
      <c r="C624" s="26" t="s">
        <v>1101</v>
      </c>
    </row>
    <row r="625" spans="1:3" x14ac:dyDescent="0.25">
      <c r="A625" s="36">
        <v>41190</v>
      </c>
      <c r="B625" s="122">
        <v>4.731481481481481E-2</v>
      </c>
      <c r="C625" s="26" t="s">
        <v>1100</v>
      </c>
    </row>
    <row r="626" spans="1:3" x14ac:dyDescent="0.25">
      <c r="A626" s="36">
        <v>41190</v>
      </c>
      <c r="B626" s="122">
        <v>4.731481481481481E-2</v>
      </c>
      <c r="C626" s="26" t="s">
        <v>1101</v>
      </c>
    </row>
    <row r="627" spans="1:3" x14ac:dyDescent="0.25">
      <c r="A627" s="36">
        <v>41190</v>
      </c>
      <c r="B627" s="122">
        <v>4.731481481481481E-2</v>
      </c>
      <c r="C627" s="26" t="s">
        <v>1102</v>
      </c>
    </row>
    <row r="628" spans="1:3" x14ac:dyDescent="0.25">
      <c r="A628" s="36">
        <v>41190</v>
      </c>
      <c r="B628" s="122">
        <v>4.7592592592592596E-2</v>
      </c>
      <c r="C628" s="26" t="s">
        <v>1104</v>
      </c>
    </row>
    <row r="629" spans="1:3" x14ac:dyDescent="0.25">
      <c r="A629" s="36">
        <v>41190</v>
      </c>
      <c r="B629" s="122">
        <v>4.7789351851851847E-2</v>
      </c>
      <c r="C629" s="26" t="s">
        <v>1107</v>
      </c>
    </row>
    <row r="630" spans="1:3" x14ac:dyDescent="0.25">
      <c r="A630" s="36">
        <v>41190</v>
      </c>
      <c r="B630" s="122">
        <v>4.7939814814814817E-2</v>
      </c>
      <c r="C630" s="26" t="s">
        <v>914</v>
      </c>
    </row>
    <row r="631" spans="1:3" x14ac:dyDescent="0.25">
      <c r="A631" s="36">
        <v>41190</v>
      </c>
      <c r="B631" s="122">
        <v>5.0960648148148151E-2</v>
      </c>
      <c r="C631" s="26" t="s">
        <v>914</v>
      </c>
    </row>
    <row r="632" spans="1:3" x14ac:dyDescent="0.25">
      <c r="A632" s="36">
        <v>41190</v>
      </c>
      <c r="B632" s="122">
        <v>5.4953703703703706E-2</v>
      </c>
      <c r="C632" s="26" t="s">
        <v>914</v>
      </c>
    </row>
    <row r="633" spans="1:3" x14ac:dyDescent="0.25">
      <c r="A633" s="36">
        <v>41190</v>
      </c>
      <c r="B633" s="122">
        <v>5.65162037037037E-2</v>
      </c>
      <c r="C633" s="26" t="s">
        <v>914</v>
      </c>
    </row>
    <row r="634" spans="1:3" x14ac:dyDescent="0.25">
      <c r="A634" s="36">
        <v>41190</v>
      </c>
      <c r="B634" s="122">
        <v>6.7951388888888895E-2</v>
      </c>
      <c r="C634" s="26" t="s">
        <v>914</v>
      </c>
    </row>
    <row r="635" spans="1:3" x14ac:dyDescent="0.25">
      <c r="A635" s="36">
        <v>41190</v>
      </c>
      <c r="B635" s="122">
        <v>8.4965277777777778E-2</v>
      </c>
      <c r="C635" s="26" t="s">
        <v>1108</v>
      </c>
    </row>
    <row r="636" spans="1:3" x14ac:dyDescent="0.25">
      <c r="A636" s="36">
        <v>41190</v>
      </c>
      <c r="B636" s="122">
        <v>8.548611111111111E-2</v>
      </c>
      <c r="C636" s="26" t="s">
        <v>914</v>
      </c>
    </row>
    <row r="637" spans="1:3" x14ac:dyDescent="0.25">
      <c r="A637" s="36">
        <v>41190</v>
      </c>
      <c r="B637" s="122">
        <v>8.6990740740740743E-2</v>
      </c>
      <c r="C637" s="26" t="s">
        <v>914</v>
      </c>
    </row>
    <row r="638" spans="1:3" x14ac:dyDescent="0.25">
      <c r="A638" s="36">
        <v>41190</v>
      </c>
      <c r="B638" s="122">
        <v>9.224537037037038E-2</v>
      </c>
      <c r="C638" s="26" t="s">
        <v>1108</v>
      </c>
    </row>
    <row r="639" spans="1:3" x14ac:dyDescent="0.25">
      <c r="A639" s="36">
        <v>41190</v>
      </c>
      <c r="B639" s="122">
        <v>0.97729166666666656</v>
      </c>
      <c r="C639" s="26" t="s">
        <v>914</v>
      </c>
    </row>
    <row r="640" spans="1:3" x14ac:dyDescent="0.25">
      <c r="A640" s="36">
        <v>41190</v>
      </c>
      <c r="B640" s="122">
        <v>0.98313657407407407</v>
      </c>
      <c r="C640" s="26" t="s">
        <v>914</v>
      </c>
    </row>
    <row r="641" spans="1:3" x14ac:dyDescent="0.25">
      <c r="A641" s="36">
        <v>41190</v>
      </c>
      <c r="B641" s="122">
        <v>0.98755787037037035</v>
      </c>
      <c r="C641" s="26" t="s">
        <v>914</v>
      </c>
    </row>
    <row r="642" spans="1:3" x14ac:dyDescent="0.25">
      <c r="A642" s="36">
        <v>41190</v>
      </c>
      <c r="B642" s="122">
        <v>0.99408564814814815</v>
      </c>
      <c r="C642" s="26" t="s">
        <v>914</v>
      </c>
    </row>
    <row r="643" spans="1:3" x14ac:dyDescent="0.25">
      <c r="A643" s="36">
        <v>41191</v>
      </c>
      <c r="B643" s="122">
        <v>6.168981481481481E-3</v>
      </c>
      <c r="C643" s="26" t="s">
        <v>914</v>
      </c>
    </row>
    <row r="644" spans="1:3" x14ac:dyDescent="0.25">
      <c r="A644" s="36">
        <v>41191</v>
      </c>
      <c r="B644" s="122">
        <v>7.8125E-3</v>
      </c>
      <c r="C644" s="26" t="s">
        <v>914</v>
      </c>
    </row>
    <row r="645" spans="1:3" x14ac:dyDescent="0.25">
      <c r="A645" s="36">
        <v>41191</v>
      </c>
      <c r="B645" s="122">
        <v>8.2407407407407412E-3</v>
      </c>
      <c r="C645" s="26" t="s">
        <v>914</v>
      </c>
    </row>
    <row r="646" spans="1:3" x14ac:dyDescent="0.25">
      <c r="A646" s="36">
        <v>41191</v>
      </c>
      <c r="B646" s="122">
        <v>1.0578703703703703E-2</v>
      </c>
      <c r="C646" s="26" t="s">
        <v>914</v>
      </c>
    </row>
    <row r="647" spans="1:3" x14ac:dyDescent="0.25">
      <c r="A647" s="36">
        <v>41191</v>
      </c>
      <c r="B647" s="122">
        <v>1.252314814814815E-2</v>
      </c>
      <c r="C647" s="26" t="s">
        <v>914</v>
      </c>
    </row>
    <row r="648" spans="1:3" x14ac:dyDescent="0.25">
      <c r="A648" s="36">
        <v>41191</v>
      </c>
      <c r="B648" s="122">
        <v>1.4849537037037036E-2</v>
      </c>
      <c r="C648" s="26" t="s">
        <v>914</v>
      </c>
    </row>
    <row r="649" spans="1:3" x14ac:dyDescent="0.25">
      <c r="A649" s="36">
        <v>41191</v>
      </c>
      <c r="B649" s="122">
        <v>1.6631944444444446E-2</v>
      </c>
      <c r="C649" s="26" t="s">
        <v>914</v>
      </c>
    </row>
    <row r="650" spans="1:3" x14ac:dyDescent="0.25">
      <c r="A650" s="36">
        <v>41191</v>
      </c>
      <c r="B650" s="122">
        <v>1.7337962962962961E-2</v>
      </c>
      <c r="C650" s="26" t="s">
        <v>914</v>
      </c>
    </row>
    <row r="651" spans="1:3" x14ac:dyDescent="0.25">
      <c r="A651" s="36">
        <v>41191</v>
      </c>
      <c r="B651" s="122">
        <v>2.4525462962962968E-2</v>
      </c>
      <c r="C651" s="26" t="s">
        <v>914</v>
      </c>
    </row>
    <row r="652" spans="1:3" x14ac:dyDescent="0.25">
      <c r="A652" s="36">
        <v>41191</v>
      </c>
      <c r="B652" s="122">
        <v>2.9282407407407406E-2</v>
      </c>
      <c r="C652" s="26" t="s">
        <v>914</v>
      </c>
    </row>
    <row r="653" spans="1:3" x14ac:dyDescent="0.25">
      <c r="A653" s="36">
        <v>41191</v>
      </c>
      <c r="B653" s="122">
        <v>3.1006944444444445E-2</v>
      </c>
      <c r="C653" s="26" t="s">
        <v>914</v>
      </c>
    </row>
    <row r="654" spans="1:3" x14ac:dyDescent="0.25">
      <c r="A654" s="36">
        <v>41191</v>
      </c>
      <c r="B654" s="122">
        <v>3.4895833333333334E-2</v>
      </c>
      <c r="C654" s="26" t="s">
        <v>914</v>
      </c>
    </row>
    <row r="655" spans="1:3" x14ac:dyDescent="0.25">
      <c r="A655" s="36">
        <v>41191</v>
      </c>
      <c r="B655" s="122">
        <v>4.0474537037037038E-2</v>
      </c>
      <c r="C655" s="26" t="s">
        <v>914</v>
      </c>
    </row>
    <row r="656" spans="1:3" x14ac:dyDescent="0.25">
      <c r="A656" s="36">
        <v>41191</v>
      </c>
      <c r="B656" s="122">
        <v>4.3888888888888887E-2</v>
      </c>
      <c r="C656" s="26" t="s">
        <v>914</v>
      </c>
    </row>
    <row r="657" spans="1:3" x14ac:dyDescent="0.25">
      <c r="A657" s="36">
        <v>41191</v>
      </c>
      <c r="B657" s="122">
        <v>4.5648148148148153E-2</v>
      </c>
      <c r="C657" s="26" t="s">
        <v>914</v>
      </c>
    </row>
    <row r="658" spans="1:3" x14ac:dyDescent="0.25">
      <c r="A658" s="36">
        <v>41191</v>
      </c>
      <c r="B658" s="122">
        <v>4.7106481481481478E-2</v>
      </c>
      <c r="C658" s="26" t="s">
        <v>914</v>
      </c>
    </row>
    <row r="659" spans="1:3" x14ac:dyDescent="0.25">
      <c r="A659" s="36">
        <v>41191</v>
      </c>
      <c r="B659" s="122">
        <v>5.0185185185185187E-2</v>
      </c>
      <c r="C659" s="26" t="s">
        <v>914</v>
      </c>
    </row>
    <row r="660" spans="1:3" x14ac:dyDescent="0.25">
      <c r="A660" s="36">
        <v>41191</v>
      </c>
      <c r="B660" s="122">
        <v>5.168981481481482E-2</v>
      </c>
      <c r="C660" s="26" t="s">
        <v>914</v>
      </c>
    </row>
    <row r="661" spans="1:3" x14ac:dyDescent="0.25">
      <c r="A661" s="36">
        <v>41191</v>
      </c>
      <c r="B661" s="122">
        <v>5.7233796296296297E-2</v>
      </c>
      <c r="C661" s="26" t="s">
        <v>914</v>
      </c>
    </row>
    <row r="662" spans="1:3" x14ac:dyDescent="0.25">
      <c r="A662" s="36">
        <v>41191</v>
      </c>
      <c r="B662" s="122">
        <v>6.6180555555555562E-2</v>
      </c>
      <c r="C662" s="26" t="s">
        <v>914</v>
      </c>
    </row>
    <row r="663" spans="1:3" x14ac:dyDescent="0.25">
      <c r="A663" s="36">
        <v>41191</v>
      </c>
      <c r="B663" s="122">
        <v>8.0312499999999995E-2</v>
      </c>
      <c r="C663" s="26" t="s">
        <v>1115</v>
      </c>
    </row>
    <row r="664" spans="1:3" x14ac:dyDescent="0.25">
      <c r="A664" s="36">
        <v>41191</v>
      </c>
      <c r="B664" s="122">
        <v>8.0324074074074062E-2</v>
      </c>
      <c r="C664" s="26" t="s">
        <v>1115</v>
      </c>
    </row>
    <row r="665" spans="1:3" x14ac:dyDescent="0.25">
      <c r="A665" s="36">
        <v>41191</v>
      </c>
      <c r="B665" s="122">
        <v>8.0347222222222223E-2</v>
      </c>
      <c r="C665" s="26" t="s">
        <v>1115</v>
      </c>
    </row>
    <row r="666" spans="1:3" x14ac:dyDescent="0.25">
      <c r="A666" s="36">
        <v>41191</v>
      </c>
      <c r="B666" s="122">
        <v>8.0358796296296289E-2</v>
      </c>
      <c r="C666" s="26" t="s">
        <v>1115</v>
      </c>
    </row>
    <row r="667" spans="1:3" x14ac:dyDescent="0.25">
      <c r="A667" s="36">
        <v>41191</v>
      </c>
      <c r="B667" s="122">
        <v>8.037037037037037E-2</v>
      </c>
      <c r="C667" s="26" t="s">
        <v>1115</v>
      </c>
    </row>
    <row r="668" spans="1:3" x14ac:dyDescent="0.25">
      <c r="A668" s="36">
        <v>41191</v>
      </c>
      <c r="B668" s="122">
        <v>8.0532407407407414E-2</v>
      </c>
      <c r="C668" s="26" t="s">
        <v>914</v>
      </c>
    </row>
    <row r="669" spans="1:3" x14ac:dyDescent="0.25">
      <c r="A669" s="36">
        <v>41191</v>
      </c>
      <c r="B669" s="122">
        <v>9.1851851851851851E-2</v>
      </c>
      <c r="C669" s="26" t="s">
        <v>914</v>
      </c>
    </row>
    <row r="670" spans="1:3" x14ac:dyDescent="0.25">
      <c r="A670" s="36">
        <v>41192</v>
      </c>
      <c r="B670" s="122">
        <v>0.80462962962962958</v>
      </c>
      <c r="C670" s="26" t="s">
        <v>914</v>
      </c>
    </row>
    <row r="671" spans="1:3" x14ac:dyDescent="0.25">
      <c r="A671" s="36">
        <v>41192</v>
      </c>
      <c r="B671" s="122">
        <v>0.80837962962962961</v>
      </c>
      <c r="C671" s="26" t="s">
        <v>914</v>
      </c>
    </row>
    <row r="672" spans="1:3" x14ac:dyDescent="0.25">
      <c r="A672" s="36">
        <v>41192</v>
      </c>
      <c r="B672" s="122">
        <v>0.80893518518518526</v>
      </c>
      <c r="C672" s="26" t="s">
        <v>1119</v>
      </c>
    </row>
    <row r="673" spans="1:3" x14ac:dyDescent="0.25">
      <c r="A673" s="36">
        <v>41192</v>
      </c>
      <c r="B673" s="122">
        <v>0.80907407407407417</v>
      </c>
      <c r="C673" s="26" t="s">
        <v>1120</v>
      </c>
    </row>
    <row r="674" spans="1:3" x14ac:dyDescent="0.25">
      <c r="A674" s="36">
        <v>41192</v>
      </c>
      <c r="B674" s="122">
        <v>0.80910879629629628</v>
      </c>
      <c r="C674" s="26" t="s">
        <v>1120</v>
      </c>
    </row>
    <row r="675" spans="1:3" x14ac:dyDescent="0.25">
      <c r="A675" s="36">
        <v>41192</v>
      </c>
      <c r="B675" s="122">
        <v>0.80912037037037043</v>
      </c>
      <c r="C675" s="26" t="s">
        <v>1120</v>
      </c>
    </row>
    <row r="676" spans="1:3" x14ac:dyDescent="0.25">
      <c r="A676" s="36">
        <v>41192</v>
      </c>
      <c r="B676" s="122">
        <v>0.80962962962962959</v>
      </c>
      <c r="C676" s="26" t="s">
        <v>914</v>
      </c>
    </row>
    <row r="677" spans="1:3" x14ac:dyDescent="0.25">
      <c r="A677" s="36">
        <v>41192</v>
      </c>
      <c r="B677" s="122">
        <v>0.80972222222222223</v>
      </c>
      <c r="C677" s="26" t="s">
        <v>1119</v>
      </c>
    </row>
    <row r="678" spans="1:3" x14ac:dyDescent="0.25">
      <c r="A678" s="36">
        <v>41192</v>
      </c>
      <c r="B678" s="122">
        <v>0.80975694444444446</v>
      </c>
      <c r="C678" s="26" t="s">
        <v>1120</v>
      </c>
    </row>
    <row r="679" spans="1:3" x14ac:dyDescent="0.25">
      <c r="A679" s="36">
        <v>41192</v>
      </c>
      <c r="B679" s="122">
        <v>0.8097685185185185</v>
      </c>
      <c r="C679" s="26" t="s">
        <v>1120</v>
      </c>
    </row>
    <row r="680" spans="1:3" x14ac:dyDescent="0.25">
      <c r="A680" s="36">
        <v>41192</v>
      </c>
      <c r="B680" s="122">
        <v>0.81104166666666666</v>
      </c>
      <c r="C680" s="26" t="s">
        <v>914</v>
      </c>
    </row>
    <row r="681" spans="1:3" x14ac:dyDescent="0.25">
      <c r="A681" s="36">
        <v>41192</v>
      </c>
      <c r="B681" s="122">
        <v>0.81312499999999999</v>
      </c>
      <c r="C681" s="26" t="s">
        <v>914</v>
      </c>
    </row>
    <row r="682" spans="1:3" x14ac:dyDescent="0.25">
      <c r="A682" s="36">
        <v>41192</v>
      </c>
      <c r="B682" s="122">
        <v>0.81437500000000007</v>
      </c>
      <c r="C682" s="26" t="s">
        <v>914</v>
      </c>
    </row>
    <row r="683" spans="1:3" x14ac:dyDescent="0.25">
      <c r="A683" s="36">
        <v>41192</v>
      </c>
      <c r="B683" s="122">
        <v>0.82179398148148142</v>
      </c>
      <c r="C683" s="26" t="s">
        <v>914</v>
      </c>
    </row>
    <row r="684" spans="1:3" x14ac:dyDescent="0.25">
      <c r="A684" s="36">
        <v>41192</v>
      </c>
      <c r="B684" s="122">
        <v>0.83006944444444442</v>
      </c>
      <c r="C684" s="26" t="s">
        <v>914</v>
      </c>
    </row>
    <row r="685" spans="1:3" x14ac:dyDescent="0.25">
      <c r="A685" s="36">
        <v>41192</v>
      </c>
      <c r="B685" s="122">
        <v>0.83398148148148143</v>
      </c>
      <c r="C685" s="26" t="s">
        <v>914</v>
      </c>
    </row>
    <row r="686" spans="1:3" x14ac:dyDescent="0.25">
      <c r="A686" s="36">
        <v>41192</v>
      </c>
      <c r="B686" s="122">
        <v>0.84674768518518517</v>
      </c>
      <c r="C686" s="26" t="s">
        <v>914</v>
      </c>
    </row>
    <row r="687" spans="1:3" x14ac:dyDescent="0.25">
      <c r="A687" s="36">
        <v>41192</v>
      </c>
      <c r="B687" s="122">
        <v>0.84946759259259252</v>
      </c>
      <c r="C687" s="26" t="s">
        <v>914</v>
      </c>
    </row>
    <row r="688" spans="1:3" x14ac:dyDescent="0.25">
      <c r="A688" s="36">
        <v>41192</v>
      </c>
      <c r="B688" s="122">
        <v>0.8560416666666667</v>
      </c>
      <c r="C688" s="26" t="s">
        <v>914</v>
      </c>
    </row>
    <row r="689" spans="1:3" x14ac:dyDescent="0.25">
      <c r="A689" s="36">
        <v>41192</v>
      </c>
      <c r="B689" s="122">
        <v>0.95420138888888895</v>
      </c>
      <c r="C689" s="26" t="s">
        <v>914</v>
      </c>
    </row>
    <row r="690" spans="1:3" x14ac:dyDescent="0.25">
      <c r="A690" s="36">
        <v>41192</v>
      </c>
      <c r="B690" s="122">
        <v>0.97538194444444448</v>
      </c>
      <c r="C690" s="26" t="s">
        <v>914</v>
      </c>
    </row>
    <row r="691" spans="1:3" x14ac:dyDescent="0.25">
      <c r="A691" s="36">
        <v>41192</v>
      </c>
      <c r="B691" s="122">
        <v>0.97781250000000008</v>
      </c>
      <c r="C691" s="26" t="s">
        <v>914</v>
      </c>
    </row>
    <row r="692" spans="1:3" x14ac:dyDescent="0.25">
      <c r="A692" s="36">
        <v>41192</v>
      </c>
      <c r="B692" s="122">
        <v>0.97961805555555559</v>
      </c>
      <c r="C692" s="26" t="s">
        <v>914</v>
      </c>
    </row>
    <row r="693" spans="1:3" x14ac:dyDescent="0.25">
      <c r="A693" s="36">
        <v>41192</v>
      </c>
      <c r="B693" s="122">
        <v>0.98101851851851851</v>
      </c>
      <c r="C693" s="26" t="s">
        <v>914</v>
      </c>
    </row>
    <row r="694" spans="1:3" x14ac:dyDescent="0.25">
      <c r="A694" s="36">
        <v>41192</v>
      </c>
      <c r="B694" s="122">
        <v>0.98381944444444447</v>
      </c>
      <c r="C694" s="26" t="s">
        <v>914</v>
      </c>
    </row>
    <row r="695" spans="1:3" x14ac:dyDescent="0.25">
      <c r="A695" s="36">
        <v>41192</v>
      </c>
      <c r="B695" s="122">
        <v>0.98642361111111121</v>
      </c>
      <c r="C695" s="26" t="s">
        <v>914</v>
      </c>
    </row>
    <row r="696" spans="1:3" x14ac:dyDescent="0.25">
      <c r="A696" s="36">
        <v>41192</v>
      </c>
      <c r="B696" s="122">
        <v>0.99114583333333339</v>
      </c>
      <c r="C696" s="26" t="s">
        <v>914</v>
      </c>
    </row>
    <row r="697" spans="1:3" x14ac:dyDescent="0.25">
      <c r="A697" s="36">
        <v>41193</v>
      </c>
      <c r="B697" s="122">
        <v>1.1018518518518518E-2</v>
      </c>
      <c r="C697" s="26" t="s">
        <v>914</v>
      </c>
    </row>
    <row r="698" spans="1:3" x14ac:dyDescent="0.25">
      <c r="A698" s="36">
        <v>41193</v>
      </c>
      <c r="B698" s="122">
        <v>1.2488425925925925E-2</v>
      </c>
      <c r="C698" s="26" t="s">
        <v>914</v>
      </c>
    </row>
    <row r="699" spans="1:3" x14ac:dyDescent="0.25">
      <c r="A699" s="36">
        <v>41193</v>
      </c>
      <c r="B699" s="122">
        <v>1.3877314814814815E-2</v>
      </c>
      <c r="C699" s="26" t="s">
        <v>914</v>
      </c>
    </row>
    <row r="700" spans="1:3" x14ac:dyDescent="0.25">
      <c r="A700" s="36">
        <v>41193</v>
      </c>
      <c r="B700" s="122">
        <v>2.1886574074074072E-2</v>
      </c>
      <c r="C700" s="26" t="s">
        <v>914</v>
      </c>
    </row>
    <row r="701" spans="1:3" x14ac:dyDescent="0.25">
      <c r="A701" s="36">
        <v>41193</v>
      </c>
      <c r="B701" s="122">
        <v>2.3043981481481481E-2</v>
      </c>
      <c r="C701" s="26" t="s">
        <v>914</v>
      </c>
    </row>
    <row r="702" spans="1:3" x14ac:dyDescent="0.25">
      <c r="A702" s="36">
        <v>41193</v>
      </c>
      <c r="B702" s="122">
        <v>2.4247685185185181E-2</v>
      </c>
      <c r="C702" s="26" t="s">
        <v>914</v>
      </c>
    </row>
    <row r="703" spans="1:3" x14ac:dyDescent="0.25">
      <c r="A703" s="36">
        <v>41193</v>
      </c>
      <c r="B703" s="122">
        <v>2.5243055555555557E-2</v>
      </c>
      <c r="C703" s="26" t="s">
        <v>914</v>
      </c>
    </row>
    <row r="704" spans="1:3" x14ac:dyDescent="0.25">
      <c r="A704" s="36">
        <v>41193</v>
      </c>
      <c r="B704" s="122">
        <v>2.5949074074074072E-2</v>
      </c>
      <c r="C704" s="26" t="s">
        <v>914</v>
      </c>
    </row>
    <row r="705" spans="1:3" x14ac:dyDescent="0.25">
      <c r="A705" s="36">
        <v>41193</v>
      </c>
      <c r="B705" s="122">
        <v>2.7418981481481485E-2</v>
      </c>
      <c r="C705" s="26" t="s">
        <v>914</v>
      </c>
    </row>
    <row r="706" spans="1:3" x14ac:dyDescent="0.25">
      <c r="A706" s="36">
        <v>41193</v>
      </c>
      <c r="B706" s="122">
        <v>7.1539351851851854E-2</v>
      </c>
      <c r="C706" s="26" t="s">
        <v>914</v>
      </c>
    </row>
    <row r="707" spans="1:3" x14ac:dyDescent="0.25">
      <c r="A707" s="36">
        <v>41193</v>
      </c>
      <c r="B707" s="122">
        <v>8.0810185185185179E-2</v>
      </c>
      <c r="C707" s="26" t="s">
        <v>914</v>
      </c>
    </row>
    <row r="708" spans="1:3" x14ac:dyDescent="0.25">
      <c r="A708" s="36">
        <v>41193</v>
      </c>
      <c r="B708" s="122">
        <v>8.1076388888888892E-2</v>
      </c>
      <c r="C708" s="26" t="s">
        <v>1122</v>
      </c>
    </row>
    <row r="709" spans="1:3" x14ac:dyDescent="0.25">
      <c r="A709" s="36">
        <v>41193</v>
      </c>
      <c r="B709" s="122">
        <v>8.1863425925925923E-2</v>
      </c>
      <c r="C709" s="26" t="s">
        <v>914</v>
      </c>
    </row>
    <row r="710" spans="1:3" x14ac:dyDescent="0.25">
      <c r="A710" s="36">
        <v>41193</v>
      </c>
      <c r="B710" s="122">
        <v>8.2083333333333341E-2</v>
      </c>
      <c r="C710" s="26" t="s">
        <v>1122</v>
      </c>
    </row>
    <row r="711" spans="1:3" x14ac:dyDescent="0.25">
      <c r="A711" s="36">
        <v>41193</v>
      </c>
      <c r="B711" s="122">
        <v>8.2511574074074071E-2</v>
      </c>
      <c r="C711" s="26" t="s">
        <v>914</v>
      </c>
    </row>
    <row r="712" spans="1:3" x14ac:dyDescent="0.25">
      <c r="A712" s="36">
        <v>41193</v>
      </c>
      <c r="B712" s="122">
        <v>0.10461805555555555</v>
      </c>
      <c r="C712" s="26" t="s">
        <v>914</v>
      </c>
    </row>
    <row r="713" spans="1:3" x14ac:dyDescent="0.25">
      <c r="A713" s="36">
        <v>41193</v>
      </c>
      <c r="B713" s="122">
        <v>0.10510416666666667</v>
      </c>
      <c r="C713" s="26" t="s">
        <v>1123</v>
      </c>
    </row>
    <row r="714" spans="1:3" x14ac:dyDescent="0.25">
      <c r="A714" s="36">
        <v>41193</v>
      </c>
      <c r="B714" s="122">
        <v>0.10592592592592592</v>
      </c>
      <c r="C714" s="26" t="s">
        <v>1123</v>
      </c>
    </row>
    <row r="715" spans="1:3" x14ac:dyDescent="0.25">
      <c r="A715" s="36">
        <v>41193</v>
      </c>
      <c r="B715" s="122">
        <v>0.10718749999999999</v>
      </c>
      <c r="C715" s="26" t="s">
        <v>1123</v>
      </c>
    </row>
    <row r="716" spans="1:3" x14ac:dyDescent="0.25">
      <c r="A716" s="36">
        <v>41193</v>
      </c>
      <c r="B716" s="122">
        <v>0.88415509259259262</v>
      </c>
      <c r="C716" s="26" t="s">
        <v>914</v>
      </c>
    </row>
    <row r="717" spans="1:3" x14ac:dyDescent="0.25">
      <c r="A717" s="36">
        <v>41193</v>
      </c>
      <c r="B717" s="122">
        <v>0.91751157407407413</v>
      </c>
      <c r="C717" s="26" t="s">
        <v>914</v>
      </c>
    </row>
    <row r="718" spans="1:3" x14ac:dyDescent="0.25">
      <c r="A718" s="36">
        <v>41193</v>
      </c>
      <c r="B718" s="122">
        <v>0.92571759259259256</v>
      </c>
      <c r="C718" s="26" t="s">
        <v>914</v>
      </c>
    </row>
    <row r="719" spans="1:3" x14ac:dyDescent="0.25">
      <c r="A719" s="36">
        <v>41193</v>
      </c>
      <c r="B719" s="122">
        <v>0.93671296296296302</v>
      </c>
      <c r="C719" s="26" t="s">
        <v>914</v>
      </c>
    </row>
    <row r="720" spans="1:3" x14ac:dyDescent="0.25">
      <c r="A720" s="36">
        <v>41193</v>
      </c>
      <c r="B720" s="122">
        <v>0.93866898148148159</v>
      </c>
      <c r="C720" s="26" t="s">
        <v>914</v>
      </c>
    </row>
    <row r="721" spans="1:3" x14ac:dyDescent="0.25">
      <c r="A721" s="36">
        <v>41193</v>
      </c>
      <c r="B721" s="122">
        <v>0.9439467592592593</v>
      </c>
      <c r="C721" s="26" t="s">
        <v>914</v>
      </c>
    </row>
    <row r="722" spans="1:3" x14ac:dyDescent="0.25">
      <c r="A722" s="36">
        <v>41193</v>
      </c>
      <c r="B722" s="122">
        <v>0.95407407407407396</v>
      </c>
      <c r="C722" s="26" t="s">
        <v>914</v>
      </c>
    </row>
    <row r="723" spans="1:3" x14ac:dyDescent="0.25">
      <c r="A723" s="36">
        <v>41193</v>
      </c>
      <c r="B723" s="122">
        <v>0.95725694444444442</v>
      </c>
      <c r="C723" s="26" t="s">
        <v>914</v>
      </c>
    </row>
    <row r="724" spans="1:3" x14ac:dyDescent="0.25">
      <c r="A724" s="36">
        <v>41193</v>
      </c>
      <c r="B724" s="122">
        <v>0.95895833333333336</v>
      </c>
      <c r="C724" s="26" t="s">
        <v>914</v>
      </c>
    </row>
    <row r="725" spans="1:3" x14ac:dyDescent="0.25">
      <c r="A725" s="36">
        <v>41193</v>
      </c>
      <c r="B725" s="122">
        <v>0.96218750000000008</v>
      </c>
      <c r="C725" s="26" t="s">
        <v>914</v>
      </c>
    </row>
    <row r="726" spans="1:3" x14ac:dyDescent="0.25">
      <c r="A726" s="36">
        <v>41193</v>
      </c>
      <c r="B726" s="122">
        <v>0.96512731481481484</v>
      </c>
      <c r="C726" s="26" t="s">
        <v>914</v>
      </c>
    </row>
    <row r="727" spans="1:3" x14ac:dyDescent="0.25">
      <c r="A727" s="36">
        <v>41193</v>
      </c>
      <c r="B727" s="122">
        <v>0.9792939814814815</v>
      </c>
      <c r="C727" s="26" t="s">
        <v>914</v>
      </c>
    </row>
    <row r="728" spans="1:3" x14ac:dyDescent="0.25">
      <c r="A728" s="36">
        <v>41193</v>
      </c>
      <c r="B728" s="122">
        <v>0.97965277777777782</v>
      </c>
      <c r="C728" s="26" t="s">
        <v>1131</v>
      </c>
    </row>
    <row r="729" spans="1:3" x14ac:dyDescent="0.25">
      <c r="A729" s="36">
        <v>41193</v>
      </c>
      <c r="B729" s="122">
        <v>0.98386574074074085</v>
      </c>
      <c r="C729" s="26" t="s">
        <v>914</v>
      </c>
    </row>
    <row r="730" spans="1:3" x14ac:dyDescent="0.25">
      <c r="A730" s="36">
        <v>41193</v>
      </c>
      <c r="B730" s="122">
        <v>0.98405092592592591</v>
      </c>
      <c r="C730" s="26" t="s">
        <v>1131</v>
      </c>
    </row>
    <row r="731" spans="1:3" x14ac:dyDescent="0.25">
      <c r="A731" s="36">
        <v>41193</v>
      </c>
      <c r="B731" s="122">
        <v>0.98405092592592591</v>
      </c>
      <c r="C731" s="26" t="s">
        <v>1134</v>
      </c>
    </row>
    <row r="732" spans="1:3" x14ac:dyDescent="0.25">
      <c r="A732" s="36">
        <v>41193</v>
      </c>
      <c r="B732" s="122">
        <v>0.98662037037037031</v>
      </c>
      <c r="C732" s="26" t="s">
        <v>914</v>
      </c>
    </row>
    <row r="733" spans="1:3" x14ac:dyDescent="0.25">
      <c r="A733" s="36">
        <v>41193</v>
      </c>
      <c r="B733" s="122">
        <v>0.98679398148148145</v>
      </c>
      <c r="C733" s="26" t="s">
        <v>1131</v>
      </c>
    </row>
    <row r="734" spans="1:3" x14ac:dyDescent="0.25">
      <c r="A734" s="36">
        <v>41193</v>
      </c>
      <c r="B734" s="122">
        <v>0.98679398148148145</v>
      </c>
      <c r="C734" s="26" t="s">
        <v>1134</v>
      </c>
    </row>
    <row r="735" spans="1:3" x14ac:dyDescent="0.25">
      <c r="A735" s="36">
        <v>41193</v>
      </c>
      <c r="B735" s="122">
        <v>0.99167824074074085</v>
      </c>
      <c r="C735" s="26" t="s">
        <v>1135</v>
      </c>
    </row>
    <row r="736" spans="1:3" x14ac:dyDescent="0.25">
      <c r="A736" s="36">
        <v>41193</v>
      </c>
      <c r="B736" s="122">
        <v>0.99225694444444434</v>
      </c>
      <c r="C736" s="26" t="s">
        <v>1066</v>
      </c>
    </row>
    <row r="737" spans="1:3" x14ac:dyDescent="0.25">
      <c r="A737" s="36">
        <v>41193</v>
      </c>
      <c r="B737" s="122">
        <v>0.99231481481481476</v>
      </c>
      <c r="C737" s="26" t="s">
        <v>1136</v>
      </c>
    </row>
    <row r="738" spans="1:3" x14ac:dyDescent="0.25">
      <c r="A738" s="36">
        <v>41193</v>
      </c>
      <c r="B738" s="122">
        <v>0.99254629629629632</v>
      </c>
      <c r="C738" s="26" t="s">
        <v>1136</v>
      </c>
    </row>
    <row r="739" spans="1:3" x14ac:dyDescent="0.25">
      <c r="A739" s="36">
        <v>41193</v>
      </c>
      <c r="B739" s="122">
        <v>0.99255787037037047</v>
      </c>
      <c r="C739" s="26" t="s">
        <v>1136</v>
      </c>
    </row>
    <row r="740" spans="1:3" x14ac:dyDescent="0.25">
      <c r="A740" s="36">
        <v>41193</v>
      </c>
      <c r="B740" s="122">
        <v>0.99255787037037047</v>
      </c>
      <c r="C740" s="26" t="s">
        <v>1136</v>
      </c>
    </row>
    <row r="741" spans="1:3" x14ac:dyDescent="0.25">
      <c r="A741" s="36">
        <v>41193</v>
      </c>
      <c r="B741" s="122">
        <v>0.99256944444444439</v>
      </c>
      <c r="C741" s="26" t="s">
        <v>1136</v>
      </c>
    </row>
    <row r="742" spans="1:3" x14ac:dyDescent="0.25">
      <c r="A742" s="36">
        <v>41193</v>
      </c>
      <c r="B742" s="122">
        <v>0.99256944444444439</v>
      </c>
      <c r="C742" s="26" t="s">
        <v>1136</v>
      </c>
    </row>
    <row r="743" spans="1:3" x14ac:dyDescent="0.25">
      <c r="A743" s="36">
        <v>41193</v>
      </c>
      <c r="B743" s="122">
        <v>0.99258101851851854</v>
      </c>
      <c r="C743" s="26" t="s">
        <v>1136</v>
      </c>
    </row>
    <row r="744" spans="1:3" x14ac:dyDescent="0.25">
      <c r="A744" s="36">
        <v>41193</v>
      </c>
      <c r="B744" s="122">
        <v>0.99258101851851854</v>
      </c>
      <c r="C744" s="26" t="s">
        <v>1136</v>
      </c>
    </row>
    <row r="745" spans="1:3" x14ac:dyDescent="0.25">
      <c r="A745" s="36">
        <v>41193</v>
      </c>
      <c r="B745" s="122">
        <v>0.99259259259259258</v>
      </c>
      <c r="C745" s="26" t="s">
        <v>1136</v>
      </c>
    </row>
    <row r="746" spans="1:3" x14ac:dyDescent="0.25">
      <c r="A746" s="36">
        <v>41193</v>
      </c>
      <c r="B746" s="122">
        <v>0.99259259259259258</v>
      </c>
      <c r="C746" s="26" t="s">
        <v>1136</v>
      </c>
    </row>
    <row r="747" spans="1:3" x14ac:dyDescent="0.25">
      <c r="A747" s="36">
        <v>41193</v>
      </c>
      <c r="B747" s="122">
        <v>0.99260416666666673</v>
      </c>
      <c r="C747" s="26" t="s">
        <v>1136</v>
      </c>
    </row>
    <row r="748" spans="1:3" x14ac:dyDescent="0.25">
      <c r="A748" s="36">
        <v>41193</v>
      </c>
      <c r="B748" s="122">
        <v>0.99260416666666673</v>
      </c>
      <c r="C748" s="26" t="s">
        <v>1136</v>
      </c>
    </row>
    <row r="749" spans="1:3" x14ac:dyDescent="0.25">
      <c r="A749" s="36">
        <v>41193</v>
      </c>
      <c r="B749" s="122">
        <v>0.99261574074074066</v>
      </c>
      <c r="C749" s="26" t="s">
        <v>1136</v>
      </c>
    </row>
    <row r="750" spans="1:3" x14ac:dyDescent="0.25">
      <c r="A750" s="36">
        <v>41193</v>
      </c>
      <c r="B750" s="122">
        <v>0.99261574074074066</v>
      </c>
      <c r="C750" s="26" t="s">
        <v>1136</v>
      </c>
    </row>
    <row r="751" spans="1:3" x14ac:dyDescent="0.25">
      <c r="A751" s="36">
        <v>41193</v>
      </c>
      <c r="B751" s="122">
        <v>0.99261574074074066</v>
      </c>
      <c r="C751" s="26" t="s">
        <v>1136</v>
      </c>
    </row>
    <row r="752" spans="1:3" x14ac:dyDescent="0.25">
      <c r="A752" s="36">
        <v>41193</v>
      </c>
      <c r="B752" s="122">
        <v>0.99262731481481481</v>
      </c>
      <c r="C752" s="26" t="s">
        <v>1136</v>
      </c>
    </row>
    <row r="753" spans="1:3" x14ac:dyDescent="0.25">
      <c r="A753" s="36">
        <v>41193</v>
      </c>
      <c r="B753" s="122">
        <v>0.99262731481481481</v>
      </c>
      <c r="C753" s="26" t="s">
        <v>1136</v>
      </c>
    </row>
    <row r="754" spans="1:3" x14ac:dyDescent="0.25">
      <c r="A754" s="36">
        <v>41193</v>
      </c>
      <c r="B754" s="122">
        <v>0.99262731481481481</v>
      </c>
      <c r="C754" s="26" t="s">
        <v>1136</v>
      </c>
    </row>
    <row r="755" spans="1:3" x14ac:dyDescent="0.25">
      <c r="A755" s="36">
        <v>41193</v>
      </c>
      <c r="B755" s="122">
        <v>0.99262731481481481</v>
      </c>
      <c r="C755" s="26" t="s">
        <v>1136</v>
      </c>
    </row>
    <row r="756" spans="1:3" x14ac:dyDescent="0.25">
      <c r="A756" s="36">
        <v>41193</v>
      </c>
      <c r="B756" s="122">
        <v>0.99263888888888896</v>
      </c>
      <c r="C756" s="26" t="s">
        <v>1136</v>
      </c>
    </row>
    <row r="757" spans="1:3" x14ac:dyDescent="0.25">
      <c r="A757" s="36">
        <v>41193</v>
      </c>
      <c r="B757" s="122">
        <v>0.99387731481481489</v>
      </c>
      <c r="C757" s="26" t="s">
        <v>1066</v>
      </c>
    </row>
    <row r="758" spans="1:3" x14ac:dyDescent="0.25">
      <c r="A758" s="36">
        <v>41194</v>
      </c>
      <c r="B758" s="122">
        <v>5.6018518518518518E-3</v>
      </c>
      <c r="C758" s="26" t="s">
        <v>1066</v>
      </c>
    </row>
    <row r="759" spans="1:3" x14ac:dyDescent="0.25">
      <c r="A759" s="36">
        <v>41194</v>
      </c>
      <c r="B759" s="122">
        <v>5.6712962962962958E-3</v>
      </c>
      <c r="C759" s="26" t="s">
        <v>1072</v>
      </c>
    </row>
    <row r="760" spans="1:3" x14ac:dyDescent="0.25">
      <c r="A760" s="36">
        <v>41194</v>
      </c>
      <c r="B760" s="122">
        <v>5.7407407407407416E-3</v>
      </c>
      <c r="C760" s="26" t="s">
        <v>1073</v>
      </c>
    </row>
    <row r="761" spans="1:3" x14ac:dyDescent="0.25">
      <c r="A761" s="36">
        <v>41194</v>
      </c>
      <c r="B761" s="122">
        <v>5.7754629629629623E-3</v>
      </c>
      <c r="C761" s="26" t="s">
        <v>1074</v>
      </c>
    </row>
    <row r="762" spans="1:3" x14ac:dyDescent="0.25">
      <c r="A762" s="36">
        <v>41194</v>
      </c>
      <c r="B762" s="122">
        <v>6.0879629629629643E-3</v>
      </c>
      <c r="C762" s="26" t="s">
        <v>1137</v>
      </c>
    </row>
    <row r="763" spans="1:3" x14ac:dyDescent="0.25">
      <c r="A763" s="36">
        <v>41194</v>
      </c>
      <c r="B763" s="122">
        <v>7.0023148148148154E-3</v>
      </c>
      <c r="C763" s="26" t="s">
        <v>914</v>
      </c>
    </row>
    <row r="764" spans="1:3" x14ac:dyDescent="0.25">
      <c r="A764" s="36">
        <v>41194</v>
      </c>
      <c r="B764" s="122">
        <v>7.0486111111111105E-3</v>
      </c>
      <c r="C764" s="26" t="s">
        <v>1138</v>
      </c>
    </row>
    <row r="765" spans="1:3" x14ac:dyDescent="0.25">
      <c r="A765" s="36">
        <v>41194</v>
      </c>
      <c r="B765" s="122">
        <v>7.0486111111111105E-3</v>
      </c>
      <c r="C765" s="26" t="s">
        <v>1139</v>
      </c>
    </row>
    <row r="766" spans="1:3" x14ac:dyDescent="0.25">
      <c r="A766" s="36">
        <v>41194</v>
      </c>
      <c r="B766" s="122">
        <v>7.0486111111111105E-3</v>
      </c>
      <c r="C766" s="26" t="s">
        <v>1140</v>
      </c>
    </row>
    <row r="767" spans="1:3" x14ac:dyDescent="0.25">
      <c r="A767" s="36">
        <v>41194</v>
      </c>
      <c r="B767" s="122">
        <v>9.3287037037037036E-3</v>
      </c>
      <c r="C767" s="26" t="s">
        <v>914</v>
      </c>
    </row>
    <row r="768" spans="1:3" x14ac:dyDescent="0.25">
      <c r="A768" s="36">
        <v>41194</v>
      </c>
      <c r="B768" s="122">
        <v>2.4259259259259258E-2</v>
      </c>
      <c r="C768" s="26" t="s">
        <v>1141</v>
      </c>
    </row>
    <row r="769" spans="1:3" x14ac:dyDescent="0.25">
      <c r="A769" s="36">
        <v>41194</v>
      </c>
      <c r="B769" s="122">
        <v>2.5949074074074072E-2</v>
      </c>
      <c r="C769" s="26" t="s">
        <v>1142</v>
      </c>
    </row>
    <row r="770" spans="1:3" x14ac:dyDescent="0.25">
      <c r="A770" s="36">
        <v>41194</v>
      </c>
      <c r="B770" s="122">
        <v>2.7951388888888887E-2</v>
      </c>
      <c r="C770" s="26" t="s">
        <v>1143</v>
      </c>
    </row>
    <row r="771" spans="1:3" x14ac:dyDescent="0.25">
      <c r="A771" s="36">
        <v>41194</v>
      </c>
      <c r="B771" s="122">
        <v>3.0046296296296297E-2</v>
      </c>
      <c r="C771" s="26" t="s">
        <v>1144</v>
      </c>
    </row>
    <row r="772" spans="1:3" x14ac:dyDescent="0.25">
      <c r="A772" s="36">
        <v>41194</v>
      </c>
      <c r="B772" s="122">
        <v>3.2199074074074074E-2</v>
      </c>
      <c r="C772" s="26" t="s">
        <v>1145</v>
      </c>
    </row>
    <row r="773" spans="1:3" x14ac:dyDescent="0.25">
      <c r="A773" s="36">
        <v>41194</v>
      </c>
      <c r="B773" s="122">
        <v>3.4074074074074076E-2</v>
      </c>
      <c r="C773" s="26" t="s">
        <v>1146</v>
      </c>
    </row>
    <row r="774" spans="1:3" x14ac:dyDescent="0.25">
      <c r="A774" s="36">
        <v>41194</v>
      </c>
      <c r="B774" s="122">
        <v>3.6655092592592593E-2</v>
      </c>
      <c r="C774" s="26" t="s">
        <v>914</v>
      </c>
    </row>
    <row r="775" spans="1:3" x14ac:dyDescent="0.25">
      <c r="A775" s="36">
        <v>41194</v>
      </c>
      <c r="B775" s="122">
        <v>3.9907407407407412E-2</v>
      </c>
      <c r="C775" s="26" t="s">
        <v>1131</v>
      </c>
    </row>
    <row r="776" spans="1:3" x14ac:dyDescent="0.25">
      <c r="A776" s="36">
        <v>41194</v>
      </c>
      <c r="B776" s="122">
        <v>8.7974537037037046E-2</v>
      </c>
      <c r="C776" s="26" t="s">
        <v>914</v>
      </c>
    </row>
    <row r="777" spans="1:3" x14ac:dyDescent="0.25">
      <c r="A777" s="36">
        <v>41194</v>
      </c>
      <c r="B777" s="122">
        <v>8.8275462962962958E-2</v>
      </c>
      <c r="C777" s="26" t="s">
        <v>1131</v>
      </c>
    </row>
    <row r="778" spans="1:3" x14ac:dyDescent="0.25">
      <c r="A778" s="36">
        <v>41194</v>
      </c>
      <c r="B778" s="122">
        <v>0.10219907407407408</v>
      </c>
      <c r="C778" s="26" t="s">
        <v>914</v>
      </c>
    </row>
    <row r="779" spans="1:3" x14ac:dyDescent="0.25">
      <c r="A779" s="36">
        <v>41194</v>
      </c>
      <c r="B779" s="122">
        <v>0.10233796296296298</v>
      </c>
      <c r="C779" s="26" t="s">
        <v>1131</v>
      </c>
    </row>
    <row r="780" spans="1:3" x14ac:dyDescent="0.25">
      <c r="A780" s="36">
        <v>41194</v>
      </c>
      <c r="B780" s="122">
        <v>0.10237268518518518</v>
      </c>
      <c r="C780" s="26" t="s">
        <v>1149</v>
      </c>
    </row>
    <row r="781" spans="1:3" x14ac:dyDescent="0.25">
      <c r="A781" s="36">
        <v>41194</v>
      </c>
      <c r="B781" s="122">
        <v>0.10237268518518518</v>
      </c>
      <c r="C781" s="26" t="s">
        <v>1150</v>
      </c>
    </row>
    <row r="782" spans="1:3" x14ac:dyDescent="0.25">
      <c r="A782" s="36">
        <v>41194</v>
      </c>
      <c r="B782" s="122">
        <v>0.10364583333333333</v>
      </c>
      <c r="C782" s="26" t="s">
        <v>914</v>
      </c>
    </row>
    <row r="783" spans="1:3" x14ac:dyDescent="0.25">
      <c r="A783" s="36">
        <v>41194</v>
      </c>
      <c r="B783" s="122">
        <v>0.10378472222222222</v>
      </c>
      <c r="C783" s="26" t="s">
        <v>1131</v>
      </c>
    </row>
    <row r="784" spans="1:3" x14ac:dyDescent="0.25">
      <c r="A784" s="36">
        <v>41194</v>
      </c>
      <c r="B784" s="122">
        <v>0.13422453703703704</v>
      </c>
      <c r="C784" s="26" t="s">
        <v>914</v>
      </c>
    </row>
    <row r="785" spans="1:3" x14ac:dyDescent="0.25">
      <c r="A785" s="36">
        <v>41194</v>
      </c>
      <c r="B785" s="122">
        <v>0.1350925925925926</v>
      </c>
      <c r="C785" s="26" t="s">
        <v>1131</v>
      </c>
    </row>
    <row r="786" spans="1:3" x14ac:dyDescent="0.25">
      <c r="A786" s="36">
        <v>41194</v>
      </c>
      <c r="B786" s="122">
        <v>0.92803240740740733</v>
      </c>
      <c r="C786" s="26" t="s">
        <v>914</v>
      </c>
    </row>
    <row r="787" spans="1:3" x14ac:dyDescent="0.25">
      <c r="A787" s="36">
        <v>41194</v>
      </c>
      <c r="B787" s="122">
        <v>0.92834490740740738</v>
      </c>
      <c r="C787" s="26" t="s">
        <v>1131</v>
      </c>
    </row>
    <row r="788" spans="1:3" x14ac:dyDescent="0.25">
      <c r="A788" s="36">
        <v>41194</v>
      </c>
      <c r="B788" s="122">
        <v>0.92834490740740738</v>
      </c>
      <c r="C788" s="26" t="s">
        <v>1149</v>
      </c>
    </row>
    <row r="789" spans="1:3" x14ac:dyDescent="0.25">
      <c r="A789" s="36">
        <v>41194</v>
      </c>
      <c r="B789" s="122">
        <v>0.92834490740740738</v>
      </c>
      <c r="C789" s="26" t="s">
        <v>1150</v>
      </c>
    </row>
    <row r="790" spans="1:3" x14ac:dyDescent="0.25">
      <c r="A790" s="36">
        <v>41194</v>
      </c>
      <c r="B790" s="122">
        <v>0.94839120370370367</v>
      </c>
      <c r="C790" s="26" t="s">
        <v>914</v>
      </c>
    </row>
    <row r="791" spans="1:3" x14ac:dyDescent="0.25">
      <c r="A791" s="36">
        <v>41194</v>
      </c>
      <c r="B791" s="122">
        <v>0.94855324074074077</v>
      </c>
      <c r="C791" s="26" t="s">
        <v>1131</v>
      </c>
    </row>
    <row r="792" spans="1:3" x14ac:dyDescent="0.25">
      <c r="A792" s="36">
        <v>41194</v>
      </c>
      <c r="B792" s="122">
        <v>0.94855324074074077</v>
      </c>
      <c r="C792" s="26" t="s">
        <v>1149</v>
      </c>
    </row>
    <row r="793" spans="1:3" x14ac:dyDescent="0.25">
      <c r="A793" s="36">
        <v>41194</v>
      </c>
      <c r="B793" s="122">
        <v>0.94855324074074077</v>
      </c>
      <c r="C793" s="26" t="s">
        <v>1150</v>
      </c>
    </row>
    <row r="794" spans="1:3" x14ac:dyDescent="0.25">
      <c r="A794" s="36">
        <v>41195</v>
      </c>
      <c r="B794" s="122">
        <v>0.1102662037037037</v>
      </c>
      <c r="C794" s="26" t="s">
        <v>914</v>
      </c>
    </row>
    <row r="795" spans="1:3" x14ac:dyDescent="0.25">
      <c r="A795" s="36">
        <v>41195</v>
      </c>
      <c r="B795" s="122">
        <v>0.11312499999999999</v>
      </c>
      <c r="C795" s="26" t="s">
        <v>914</v>
      </c>
    </row>
    <row r="796" spans="1:3" x14ac:dyDescent="0.25">
      <c r="A796" s="36">
        <v>41195</v>
      </c>
      <c r="B796" s="122">
        <v>0.1162962962962963</v>
      </c>
      <c r="C796" s="26" t="s">
        <v>1131</v>
      </c>
    </row>
    <row r="797" spans="1:3" x14ac:dyDescent="0.25">
      <c r="A797" s="36">
        <v>41195</v>
      </c>
      <c r="B797" s="122">
        <v>0.12047453703703703</v>
      </c>
      <c r="C797" s="26" t="s">
        <v>914</v>
      </c>
    </row>
    <row r="798" spans="1:3" x14ac:dyDescent="0.25">
      <c r="A798" s="36">
        <v>41195</v>
      </c>
      <c r="B798" s="122">
        <v>0.12087962962962963</v>
      </c>
      <c r="C798" s="26" t="s">
        <v>1131</v>
      </c>
    </row>
    <row r="799" spans="1:3" x14ac:dyDescent="0.25">
      <c r="A799" s="36">
        <v>41195</v>
      </c>
      <c r="B799" s="122">
        <v>0.12266203703703704</v>
      </c>
      <c r="C799" s="26" t="s">
        <v>914</v>
      </c>
    </row>
    <row r="800" spans="1:3" x14ac:dyDescent="0.25">
      <c r="A800" s="36">
        <v>41195</v>
      </c>
      <c r="B800" s="122">
        <v>0.15209490740740741</v>
      </c>
      <c r="C800" s="26" t="s">
        <v>914</v>
      </c>
    </row>
    <row r="801" spans="1:3" x14ac:dyDescent="0.25">
      <c r="A801" s="36">
        <v>41195</v>
      </c>
      <c r="B801" s="122">
        <v>0.15215277777777778</v>
      </c>
      <c r="C801" s="26" t="s">
        <v>1131</v>
      </c>
    </row>
    <row r="802" spans="1:3" x14ac:dyDescent="0.25">
      <c r="A802" s="36">
        <v>41195</v>
      </c>
      <c r="B802" s="122">
        <v>0.15653935185185186</v>
      </c>
      <c r="C802" s="26" t="s">
        <v>914</v>
      </c>
    </row>
    <row r="803" spans="1:3" x14ac:dyDescent="0.25">
      <c r="A803" s="36">
        <v>41195</v>
      </c>
      <c r="B803" s="122">
        <v>0.15658564814814815</v>
      </c>
      <c r="C803" s="26" t="s">
        <v>1131</v>
      </c>
    </row>
    <row r="804" spans="1:3" x14ac:dyDescent="0.25">
      <c r="A804" s="36">
        <v>41195</v>
      </c>
      <c r="B804" s="122">
        <v>0.16371527777777778</v>
      </c>
      <c r="C804" s="26" t="s">
        <v>914</v>
      </c>
    </row>
    <row r="805" spans="1:3" x14ac:dyDescent="0.25">
      <c r="A805" s="36">
        <v>41195</v>
      </c>
      <c r="B805" s="122">
        <v>0.16374999999999998</v>
      </c>
      <c r="C805" s="26" t="s">
        <v>1131</v>
      </c>
    </row>
    <row r="806" spans="1:3" x14ac:dyDescent="0.25">
      <c r="A806" s="36">
        <v>41195</v>
      </c>
      <c r="B806" s="122">
        <v>0.16513888888888889</v>
      </c>
      <c r="C806" s="26" t="s">
        <v>914</v>
      </c>
    </row>
    <row r="807" spans="1:3" x14ac:dyDescent="0.25">
      <c r="A807" s="36">
        <v>41195</v>
      </c>
      <c r="B807" s="122">
        <v>0.16517361111111112</v>
      </c>
      <c r="C807" s="26" t="s">
        <v>1131</v>
      </c>
    </row>
    <row r="808" spans="1:3" x14ac:dyDescent="0.25">
      <c r="A808" s="36">
        <v>41195</v>
      </c>
      <c r="B808" s="122">
        <v>0.16651620370370371</v>
      </c>
      <c r="C808" s="26" t="s">
        <v>914</v>
      </c>
    </row>
    <row r="809" spans="1:3" x14ac:dyDescent="0.25">
      <c r="A809" s="36">
        <v>41195</v>
      </c>
      <c r="B809" s="122">
        <v>0.16655092592592594</v>
      </c>
      <c r="C809" s="26" t="s">
        <v>1131</v>
      </c>
    </row>
    <row r="810" spans="1:3" x14ac:dyDescent="0.25">
      <c r="A810" s="36">
        <v>41196</v>
      </c>
      <c r="B810" s="122">
        <v>5.5833333333333325E-2</v>
      </c>
      <c r="C810" s="26" t="s">
        <v>914</v>
      </c>
    </row>
    <row r="811" spans="1:3" x14ac:dyDescent="0.25">
      <c r="A811" s="36">
        <v>41196</v>
      </c>
      <c r="B811" s="122">
        <v>5.590277777777778E-2</v>
      </c>
      <c r="C811" s="26" t="s">
        <v>1131</v>
      </c>
    </row>
    <row r="812" spans="1:3" x14ac:dyDescent="0.25">
      <c r="A812" s="36">
        <v>41196</v>
      </c>
      <c r="B812" s="122">
        <v>6.4942129629629627E-2</v>
      </c>
      <c r="C812" s="26" t="s">
        <v>914</v>
      </c>
    </row>
    <row r="813" spans="1:3" x14ac:dyDescent="0.25">
      <c r="A813" s="36">
        <v>41196</v>
      </c>
      <c r="B813" s="122">
        <v>6.4976851851851855E-2</v>
      </c>
      <c r="C813" s="26" t="s">
        <v>1131</v>
      </c>
    </row>
    <row r="814" spans="1:3" x14ac:dyDescent="0.25">
      <c r="A814" s="36">
        <v>41196</v>
      </c>
      <c r="B814" s="122">
        <v>6.9652777777777772E-2</v>
      </c>
      <c r="C814" s="26" t="s">
        <v>914</v>
      </c>
    </row>
    <row r="815" spans="1:3" x14ac:dyDescent="0.25">
      <c r="A815" s="36">
        <v>41196</v>
      </c>
      <c r="B815" s="122">
        <v>6.9756944444444455E-2</v>
      </c>
      <c r="C815" s="26" t="s">
        <v>1131</v>
      </c>
    </row>
    <row r="816" spans="1:3" x14ac:dyDescent="0.25">
      <c r="A816" s="36">
        <v>41196</v>
      </c>
      <c r="B816" s="122">
        <v>7.1180555555555566E-2</v>
      </c>
      <c r="C816" s="26" t="s">
        <v>914</v>
      </c>
    </row>
    <row r="817" spans="1:3" x14ac:dyDescent="0.25">
      <c r="A817" s="36">
        <v>41196</v>
      </c>
      <c r="B817" s="122">
        <v>7.1226851851851861E-2</v>
      </c>
      <c r="C817" s="26" t="s">
        <v>1131</v>
      </c>
    </row>
    <row r="818" spans="1:3" x14ac:dyDescent="0.25">
      <c r="A818" s="36">
        <v>41196</v>
      </c>
      <c r="B818" s="122">
        <v>8.217592592592593E-2</v>
      </c>
      <c r="C818" s="26" t="s">
        <v>914</v>
      </c>
    </row>
    <row r="819" spans="1:3" x14ac:dyDescent="0.25">
      <c r="A819" s="36">
        <v>41196</v>
      </c>
      <c r="B819" s="122">
        <v>8.222222222222221E-2</v>
      </c>
      <c r="C819" s="26" t="s">
        <v>1131</v>
      </c>
    </row>
    <row r="820" spans="1:3" x14ac:dyDescent="0.25">
      <c r="A820" s="36">
        <v>41196</v>
      </c>
      <c r="B820" s="122">
        <v>0.95098379629629637</v>
      </c>
      <c r="C820" s="26" t="s">
        <v>914</v>
      </c>
    </row>
    <row r="821" spans="1:3" x14ac:dyDescent="0.25">
      <c r="A821" s="36">
        <v>41196</v>
      </c>
      <c r="B821" s="122">
        <v>0.95130787037037035</v>
      </c>
      <c r="C821" s="26" t="s">
        <v>1131</v>
      </c>
    </row>
    <row r="822" spans="1:3" x14ac:dyDescent="0.25">
      <c r="A822" s="36">
        <v>41196</v>
      </c>
      <c r="B822" s="122">
        <v>0.96494212962962955</v>
      </c>
      <c r="C822" s="26" t="s">
        <v>914</v>
      </c>
    </row>
    <row r="823" spans="1:3" x14ac:dyDescent="0.25">
      <c r="A823" s="36">
        <v>41196</v>
      </c>
      <c r="B823" s="122">
        <v>0.96497685185185178</v>
      </c>
      <c r="C823" s="26" t="s">
        <v>1131</v>
      </c>
    </row>
    <row r="824" spans="1:3" x14ac:dyDescent="0.25">
      <c r="A824" s="36">
        <v>41196</v>
      </c>
      <c r="B824" s="122">
        <v>0.96767361111111105</v>
      </c>
      <c r="C824" s="26" t="s">
        <v>914</v>
      </c>
    </row>
    <row r="825" spans="1:3" x14ac:dyDescent="0.25">
      <c r="A825" s="36">
        <v>41196</v>
      </c>
      <c r="B825" s="122">
        <v>0.96773148148148147</v>
      </c>
      <c r="C825" s="26" t="s">
        <v>1131</v>
      </c>
    </row>
    <row r="826" spans="1:3" x14ac:dyDescent="0.25">
      <c r="A826" s="36">
        <v>41196</v>
      </c>
      <c r="B826" s="122">
        <v>0.9694328703703704</v>
      </c>
      <c r="C826" s="26" t="s">
        <v>914</v>
      </c>
    </row>
    <row r="827" spans="1:3" x14ac:dyDescent="0.25">
      <c r="A827" s="36">
        <v>41196</v>
      </c>
      <c r="B827" s="122">
        <v>0.96953703703703698</v>
      </c>
      <c r="C827" s="26" t="s">
        <v>1131</v>
      </c>
    </row>
    <row r="828" spans="1:3" x14ac:dyDescent="0.25">
      <c r="A828" s="36">
        <v>41197</v>
      </c>
      <c r="B828" s="122">
        <v>4.9849537037037039E-2</v>
      </c>
      <c r="C828" s="26" t="s">
        <v>914</v>
      </c>
    </row>
    <row r="829" spans="1:3" x14ac:dyDescent="0.25">
      <c r="A829" s="36">
        <v>41197</v>
      </c>
      <c r="B829" s="122">
        <v>5.5509259259259258E-2</v>
      </c>
      <c r="C829" s="26" t="s">
        <v>1131</v>
      </c>
    </row>
    <row r="830" spans="1:3" x14ac:dyDescent="0.25">
      <c r="A830" s="36">
        <v>41197</v>
      </c>
      <c r="B830" s="122">
        <v>6.0196759259259262E-2</v>
      </c>
      <c r="C830" s="26" t="s">
        <v>914</v>
      </c>
    </row>
    <row r="831" spans="1:3" x14ac:dyDescent="0.25">
      <c r="A831" s="36">
        <v>41197</v>
      </c>
      <c r="B831" s="122">
        <v>6.5706018518518525E-2</v>
      </c>
      <c r="C831" s="26" t="s">
        <v>1131</v>
      </c>
    </row>
    <row r="832" spans="1:3" x14ac:dyDescent="0.25">
      <c r="A832" s="36">
        <v>41197</v>
      </c>
      <c r="B832" s="122">
        <v>6.9548611111111117E-2</v>
      </c>
      <c r="C832" s="26" t="s">
        <v>914</v>
      </c>
    </row>
    <row r="833" spans="1:3" x14ac:dyDescent="0.25">
      <c r="A833" s="36">
        <v>41197</v>
      </c>
      <c r="B833" s="122">
        <v>6.958333333333333E-2</v>
      </c>
      <c r="C833" s="26" t="s">
        <v>1131</v>
      </c>
    </row>
    <row r="834" spans="1:3" x14ac:dyDescent="0.25">
      <c r="A834" s="36">
        <v>41197</v>
      </c>
      <c r="B834" s="122">
        <v>7.1145833333333339E-2</v>
      </c>
      <c r="C834" s="26" t="s">
        <v>914</v>
      </c>
    </row>
    <row r="835" spans="1:3" x14ac:dyDescent="0.25">
      <c r="A835" s="36">
        <v>41197</v>
      </c>
      <c r="B835" s="122">
        <v>7.1180555555555566E-2</v>
      </c>
      <c r="C835" s="26" t="s">
        <v>1131</v>
      </c>
    </row>
    <row r="836" spans="1:3" x14ac:dyDescent="0.25">
      <c r="A836" s="36">
        <v>41197</v>
      </c>
      <c r="B836" s="122">
        <v>7.2789351851851855E-2</v>
      </c>
      <c r="C836" s="26" t="s">
        <v>914</v>
      </c>
    </row>
    <row r="837" spans="1:3" x14ac:dyDescent="0.25">
      <c r="A837" s="36">
        <v>41197</v>
      </c>
      <c r="B837" s="122">
        <v>7.2835648148148149E-2</v>
      </c>
      <c r="C837" s="26" t="s">
        <v>1131</v>
      </c>
    </row>
    <row r="838" spans="1:3" x14ac:dyDescent="0.25">
      <c r="A838" s="36">
        <v>41197</v>
      </c>
      <c r="B838" s="122">
        <v>7.4456018518518519E-2</v>
      </c>
      <c r="C838" s="26" t="s">
        <v>914</v>
      </c>
    </row>
    <row r="839" spans="1:3" x14ac:dyDescent="0.25">
      <c r="A839" s="36">
        <v>41197</v>
      </c>
      <c r="B839" s="122">
        <v>7.4513888888888893E-2</v>
      </c>
      <c r="C839" s="26" t="s">
        <v>1131</v>
      </c>
    </row>
    <row r="840" spans="1:3" x14ac:dyDescent="0.25">
      <c r="A840" s="36">
        <v>41197</v>
      </c>
      <c r="B840" s="122">
        <v>7.6423611111111109E-2</v>
      </c>
      <c r="C840" s="26" t="s">
        <v>914</v>
      </c>
    </row>
    <row r="841" spans="1:3" x14ac:dyDescent="0.25">
      <c r="A841" s="36">
        <v>41197</v>
      </c>
      <c r="B841" s="122">
        <v>7.6458333333333336E-2</v>
      </c>
      <c r="C841" s="26" t="s">
        <v>1131</v>
      </c>
    </row>
    <row r="842" spans="1:3" x14ac:dyDescent="0.25">
      <c r="A842" s="36">
        <v>41197</v>
      </c>
      <c r="B842" s="122">
        <v>7.9282407407407399E-2</v>
      </c>
      <c r="C842" s="26" t="s">
        <v>914</v>
      </c>
    </row>
    <row r="843" spans="1:3" x14ac:dyDescent="0.25">
      <c r="A843" s="36">
        <v>41197</v>
      </c>
      <c r="B843" s="122">
        <v>7.9328703703703707E-2</v>
      </c>
      <c r="C843" s="26" t="s">
        <v>1131</v>
      </c>
    </row>
    <row r="844" spans="1:3" x14ac:dyDescent="0.25">
      <c r="A844" s="36">
        <v>41197</v>
      </c>
      <c r="B844" s="122">
        <v>8.2743055555555556E-2</v>
      </c>
      <c r="C844" s="26" t="s">
        <v>1131</v>
      </c>
    </row>
    <row r="845" spans="1:3" x14ac:dyDescent="0.25">
      <c r="A845" s="36">
        <v>41197</v>
      </c>
      <c r="B845" s="122">
        <v>0.95136574074074076</v>
      </c>
      <c r="C845" s="26" t="s">
        <v>1153</v>
      </c>
    </row>
    <row r="846" spans="1:3" x14ac:dyDescent="0.25">
      <c r="A846" s="36">
        <v>41197</v>
      </c>
      <c r="B846" s="122">
        <v>0.95427083333333329</v>
      </c>
      <c r="C846" s="26" t="s">
        <v>1154</v>
      </c>
    </row>
    <row r="847" spans="1:3" x14ac:dyDescent="0.25">
      <c r="A847" s="36">
        <v>41197</v>
      </c>
      <c r="B847" s="122">
        <v>0.95571759259259259</v>
      </c>
      <c r="C847" s="26" t="s">
        <v>1155</v>
      </c>
    </row>
    <row r="848" spans="1:3" x14ac:dyDescent="0.25">
      <c r="A848" s="36">
        <v>41197</v>
      </c>
      <c r="B848" s="122">
        <v>0.95821759259259265</v>
      </c>
      <c r="C848" s="26" t="s">
        <v>1131</v>
      </c>
    </row>
    <row r="849" spans="1:3" x14ac:dyDescent="0.25">
      <c r="A849" s="36">
        <v>41197</v>
      </c>
      <c r="B849" s="122">
        <v>0.96332175925925922</v>
      </c>
      <c r="C849" s="26" t="s">
        <v>1131</v>
      </c>
    </row>
    <row r="850" spans="1:3" x14ac:dyDescent="0.25">
      <c r="A850" s="36">
        <v>41197</v>
      </c>
      <c r="B850" s="122">
        <v>0.98664351851851861</v>
      </c>
      <c r="C850" s="26" t="s">
        <v>1131</v>
      </c>
    </row>
    <row r="851" spans="1:3" x14ac:dyDescent="0.25">
      <c r="A851" s="36">
        <v>41197</v>
      </c>
      <c r="B851" s="122">
        <v>0.98797453703703697</v>
      </c>
      <c r="C851" s="26" t="s">
        <v>1131</v>
      </c>
    </row>
    <row r="852" spans="1:3" x14ac:dyDescent="0.25">
      <c r="A852" s="36">
        <v>41197</v>
      </c>
      <c r="B852" s="122">
        <v>0.99157407407407405</v>
      </c>
      <c r="C852" s="26" t="s">
        <v>1131</v>
      </c>
    </row>
    <row r="853" spans="1:3" x14ac:dyDescent="0.25">
      <c r="A853" s="36">
        <v>41197</v>
      </c>
      <c r="B853" s="122">
        <v>0.99313657407407396</v>
      </c>
      <c r="C853" s="26" t="s">
        <v>1131</v>
      </c>
    </row>
    <row r="854" spans="1:3" x14ac:dyDescent="0.25">
      <c r="A854" s="36">
        <v>41197</v>
      </c>
      <c r="B854" s="122">
        <v>0.99486111111111108</v>
      </c>
      <c r="C854" s="26" t="s">
        <v>1131</v>
      </c>
    </row>
    <row r="855" spans="1:3" x14ac:dyDescent="0.25">
      <c r="A855" s="36">
        <v>41197</v>
      </c>
      <c r="B855" s="122">
        <v>0.99575231481481474</v>
      </c>
      <c r="C855" s="26" t="s">
        <v>1131</v>
      </c>
    </row>
    <row r="856" spans="1:3" x14ac:dyDescent="0.25">
      <c r="A856" s="36">
        <v>41197</v>
      </c>
      <c r="B856" s="122">
        <v>0.99857638888888889</v>
      </c>
      <c r="C856" s="26" t="s">
        <v>1131</v>
      </c>
    </row>
    <row r="857" spans="1:3" x14ac:dyDescent="0.25">
      <c r="A857" s="36">
        <v>41198</v>
      </c>
      <c r="B857" s="122">
        <v>1.261574074074074E-3</v>
      </c>
      <c r="C857" s="26" t="s">
        <v>1131</v>
      </c>
    </row>
    <row r="858" spans="1:3" x14ac:dyDescent="0.25">
      <c r="A858" s="36">
        <v>41198</v>
      </c>
      <c r="B858" s="122">
        <v>1.0046296296296296E-2</v>
      </c>
      <c r="C858" s="26" t="s">
        <v>1131</v>
      </c>
    </row>
    <row r="859" spans="1:3" x14ac:dyDescent="0.25">
      <c r="A859" s="36">
        <v>41198</v>
      </c>
      <c r="B859" s="122">
        <v>1.1828703703703704E-2</v>
      </c>
      <c r="C859" s="26" t="s">
        <v>1131</v>
      </c>
    </row>
    <row r="860" spans="1:3" x14ac:dyDescent="0.25">
      <c r="A860" s="36">
        <v>41198</v>
      </c>
      <c r="B860" s="122">
        <v>1.2939814814814814E-2</v>
      </c>
      <c r="C860" s="26" t="s">
        <v>1131</v>
      </c>
    </row>
    <row r="861" spans="1:3" x14ac:dyDescent="0.25">
      <c r="A861" s="36">
        <v>41198</v>
      </c>
      <c r="B861" s="122">
        <v>1.4513888888888889E-2</v>
      </c>
      <c r="C861" s="26" t="s">
        <v>1131</v>
      </c>
    </row>
    <row r="862" spans="1:3" x14ac:dyDescent="0.25">
      <c r="A862" s="36">
        <v>41198</v>
      </c>
      <c r="B862" s="122">
        <v>2.431712962962963E-2</v>
      </c>
      <c r="C862" s="26" t="s">
        <v>1131</v>
      </c>
    </row>
    <row r="863" spans="1:3" x14ac:dyDescent="0.25">
      <c r="A863" s="36">
        <v>41198</v>
      </c>
      <c r="B863" s="122">
        <v>2.6516203703703698E-2</v>
      </c>
      <c r="C863" s="26" t="s">
        <v>1131</v>
      </c>
    </row>
    <row r="864" spans="1:3" x14ac:dyDescent="0.25">
      <c r="A864" s="36">
        <v>41198</v>
      </c>
      <c r="B864" s="122">
        <v>4.162037037037037E-2</v>
      </c>
      <c r="C864" s="26" t="s">
        <v>1131</v>
      </c>
    </row>
    <row r="865" spans="1:3" x14ac:dyDescent="0.25">
      <c r="A865" s="36">
        <v>41198</v>
      </c>
      <c r="B865" s="122">
        <v>4.8460648148148149E-2</v>
      </c>
      <c r="C865" s="26" t="s">
        <v>1131</v>
      </c>
    </row>
    <row r="866" spans="1:3" x14ac:dyDescent="0.25">
      <c r="A866" s="36">
        <v>41198</v>
      </c>
      <c r="B866" s="122">
        <v>5.1666666666666666E-2</v>
      </c>
      <c r="C866" s="26" t="s">
        <v>1131</v>
      </c>
    </row>
    <row r="867" spans="1:3" x14ac:dyDescent="0.25">
      <c r="A867" s="36">
        <v>41198</v>
      </c>
      <c r="B867" s="122">
        <v>5.7175925925925929E-2</v>
      </c>
      <c r="C867" s="26" t="s">
        <v>1131</v>
      </c>
    </row>
    <row r="868" spans="1:3" x14ac:dyDescent="0.25">
      <c r="A868" s="36">
        <v>41198</v>
      </c>
      <c r="B868" s="122">
        <v>5.8368055555555555E-2</v>
      </c>
      <c r="C868" s="26" t="s">
        <v>1131</v>
      </c>
    </row>
    <row r="869" spans="1:3" x14ac:dyDescent="0.25">
      <c r="A869" s="36">
        <v>41198</v>
      </c>
      <c r="B869" s="122">
        <v>6.0856481481481484E-2</v>
      </c>
      <c r="C869" s="26" t="s">
        <v>1131</v>
      </c>
    </row>
    <row r="870" spans="1:3" x14ac:dyDescent="0.25">
      <c r="A870" s="36">
        <v>41198</v>
      </c>
      <c r="B870" s="122">
        <v>6.2511574074074081E-2</v>
      </c>
      <c r="C870" s="26" t="s">
        <v>1131</v>
      </c>
    </row>
    <row r="871" spans="1:3" x14ac:dyDescent="0.25">
      <c r="A871" s="36">
        <v>41199</v>
      </c>
      <c r="B871" s="122">
        <v>0.75214120370370363</v>
      </c>
      <c r="C871" s="26" t="s">
        <v>1131</v>
      </c>
    </row>
    <row r="872" spans="1:3" x14ac:dyDescent="0.25">
      <c r="A872" s="36">
        <v>41199</v>
      </c>
      <c r="B872" s="122">
        <v>0.89569444444444446</v>
      </c>
      <c r="C872" s="26" t="s">
        <v>1131</v>
      </c>
    </row>
    <row r="873" spans="1:3" x14ac:dyDescent="0.25">
      <c r="A873" s="36">
        <v>41199</v>
      </c>
      <c r="B873" s="122">
        <v>0.89932870370370377</v>
      </c>
      <c r="C873" s="26" t="s">
        <v>1131</v>
      </c>
    </row>
    <row r="874" spans="1:3" x14ac:dyDescent="0.25">
      <c r="A874" s="36">
        <v>41199</v>
      </c>
      <c r="B874" s="122">
        <v>0.90744212962962967</v>
      </c>
      <c r="C874" s="26" t="s">
        <v>1131</v>
      </c>
    </row>
    <row r="875" spans="1:3" x14ac:dyDescent="0.25">
      <c r="A875" s="36">
        <v>41199</v>
      </c>
      <c r="B875" s="122">
        <v>0.92278935185185185</v>
      </c>
      <c r="C875" s="26" t="s">
        <v>1160</v>
      </c>
    </row>
    <row r="876" spans="1:3" x14ac:dyDescent="0.25">
      <c r="A876" s="36">
        <v>41199</v>
      </c>
      <c r="B876" s="122">
        <v>0.92280092592592589</v>
      </c>
      <c r="C876" s="26" t="s">
        <v>1161</v>
      </c>
    </row>
    <row r="877" spans="1:3" x14ac:dyDescent="0.25">
      <c r="A877" s="36">
        <v>41199</v>
      </c>
      <c r="B877" s="122">
        <v>0.92280092592592589</v>
      </c>
      <c r="C877" s="26" t="s">
        <v>1162</v>
      </c>
    </row>
    <row r="878" spans="1:3" x14ac:dyDescent="0.25">
      <c r="A878" s="36">
        <v>41199</v>
      </c>
      <c r="B878" s="122">
        <v>0.92280092592592589</v>
      </c>
      <c r="C878" s="26" t="s">
        <v>1163</v>
      </c>
    </row>
    <row r="879" spans="1:3" x14ac:dyDescent="0.25">
      <c r="A879" s="36">
        <v>41199</v>
      </c>
      <c r="B879" s="122">
        <v>0.92280092592592589</v>
      </c>
      <c r="C879" s="26" t="s">
        <v>1164</v>
      </c>
    </row>
    <row r="880" spans="1:3" x14ac:dyDescent="0.25">
      <c r="A880" s="36">
        <v>41199</v>
      </c>
      <c r="B880" s="122">
        <v>0.92280092592592589</v>
      </c>
      <c r="C880" s="26" t="s">
        <v>1165</v>
      </c>
    </row>
    <row r="881" spans="1:3" x14ac:dyDescent="0.25">
      <c r="A881" s="36">
        <v>41199</v>
      </c>
      <c r="B881" s="122">
        <v>0.92280092592592589</v>
      </c>
      <c r="C881" s="26" t="s">
        <v>1166</v>
      </c>
    </row>
    <row r="882" spans="1:3" x14ac:dyDescent="0.25">
      <c r="A882" s="36">
        <v>41199</v>
      </c>
      <c r="B882" s="122">
        <v>0.92280092592592589</v>
      </c>
      <c r="C882" s="26" t="s">
        <v>1167</v>
      </c>
    </row>
    <row r="883" spans="1:3" x14ac:dyDescent="0.25">
      <c r="A883" s="36">
        <v>41199</v>
      </c>
      <c r="B883" s="122">
        <v>0.92280092592592589</v>
      </c>
      <c r="C883" s="26" t="s">
        <v>1168</v>
      </c>
    </row>
    <row r="884" spans="1:3" x14ac:dyDescent="0.25">
      <c r="A884" s="36">
        <v>41199</v>
      </c>
      <c r="B884" s="122">
        <v>0.92353009259259267</v>
      </c>
      <c r="C884" s="26" t="s">
        <v>1160</v>
      </c>
    </row>
    <row r="885" spans="1:3" x14ac:dyDescent="0.25">
      <c r="A885" s="36">
        <v>41199</v>
      </c>
      <c r="B885" s="122">
        <v>0.92353009259259267</v>
      </c>
      <c r="C885" s="26" t="s">
        <v>1161</v>
      </c>
    </row>
    <row r="886" spans="1:3" x14ac:dyDescent="0.25">
      <c r="A886" s="36">
        <v>41199</v>
      </c>
      <c r="B886" s="122">
        <v>0.92353009259259267</v>
      </c>
      <c r="C886" s="26" t="s">
        <v>1162</v>
      </c>
    </row>
    <row r="887" spans="1:3" x14ac:dyDescent="0.25">
      <c r="A887" s="36">
        <v>41199</v>
      </c>
      <c r="B887" s="122">
        <v>0.92353009259259267</v>
      </c>
      <c r="C887" s="26" t="s">
        <v>1163</v>
      </c>
    </row>
    <row r="888" spans="1:3" x14ac:dyDescent="0.25">
      <c r="A888" s="36">
        <v>41199</v>
      </c>
      <c r="B888" s="122">
        <v>0.92353009259259267</v>
      </c>
      <c r="C888" s="26" t="s">
        <v>1164</v>
      </c>
    </row>
    <row r="889" spans="1:3" x14ac:dyDescent="0.25">
      <c r="A889" s="36">
        <v>41199</v>
      </c>
      <c r="B889" s="122">
        <v>0.92353009259259267</v>
      </c>
      <c r="C889" s="26" t="s">
        <v>1165</v>
      </c>
    </row>
    <row r="890" spans="1:3" x14ac:dyDescent="0.25">
      <c r="A890" s="36">
        <v>41199</v>
      </c>
      <c r="B890" s="122">
        <v>0.92353009259259267</v>
      </c>
      <c r="C890" s="26" t="s">
        <v>1166</v>
      </c>
    </row>
    <row r="891" spans="1:3" x14ac:dyDescent="0.25">
      <c r="A891" s="36">
        <v>41199</v>
      </c>
      <c r="B891" s="122">
        <v>0.92353009259259267</v>
      </c>
      <c r="C891" s="26" t="s">
        <v>1167</v>
      </c>
    </row>
    <row r="892" spans="1:3" x14ac:dyDescent="0.25">
      <c r="A892" s="36">
        <v>41199</v>
      </c>
      <c r="B892" s="122">
        <v>0.92353009259259267</v>
      </c>
      <c r="C892" s="26" t="s">
        <v>1168</v>
      </c>
    </row>
    <row r="893" spans="1:3" x14ac:dyDescent="0.25">
      <c r="A893" s="36">
        <v>41199</v>
      </c>
      <c r="B893" s="122">
        <v>0.92413194444444446</v>
      </c>
      <c r="C893" s="26" t="s">
        <v>1160</v>
      </c>
    </row>
    <row r="894" spans="1:3" x14ac:dyDescent="0.25">
      <c r="A894" s="36">
        <v>41199</v>
      </c>
      <c r="B894" s="122">
        <v>0.92413194444444446</v>
      </c>
      <c r="C894" s="26" t="s">
        <v>1161</v>
      </c>
    </row>
    <row r="895" spans="1:3" x14ac:dyDescent="0.25">
      <c r="A895" s="36">
        <v>41199</v>
      </c>
      <c r="B895" s="122">
        <v>0.92413194444444446</v>
      </c>
      <c r="C895" s="26" t="s">
        <v>1162</v>
      </c>
    </row>
    <row r="896" spans="1:3" x14ac:dyDescent="0.25">
      <c r="A896" s="36">
        <v>41199</v>
      </c>
      <c r="B896" s="122">
        <v>0.92413194444444446</v>
      </c>
      <c r="C896" s="26" t="s">
        <v>1163</v>
      </c>
    </row>
    <row r="897" spans="1:3" x14ac:dyDescent="0.25">
      <c r="A897" s="36">
        <v>41199</v>
      </c>
      <c r="B897" s="122">
        <v>0.92413194444444446</v>
      </c>
      <c r="C897" s="26" t="s">
        <v>1164</v>
      </c>
    </row>
    <row r="898" spans="1:3" x14ac:dyDescent="0.25">
      <c r="A898" s="36">
        <v>41199</v>
      </c>
      <c r="B898" s="122">
        <v>0.92413194444444446</v>
      </c>
      <c r="C898" s="26" t="s">
        <v>1165</v>
      </c>
    </row>
    <row r="899" spans="1:3" x14ac:dyDescent="0.25">
      <c r="A899" s="36">
        <v>41199</v>
      </c>
      <c r="B899" s="122">
        <v>0.92413194444444446</v>
      </c>
      <c r="C899" s="26" t="s">
        <v>1166</v>
      </c>
    </row>
    <row r="900" spans="1:3" x14ac:dyDescent="0.25">
      <c r="A900" s="36">
        <v>41199</v>
      </c>
      <c r="B900" s="122">
        <v>0.92413194444444446</v>
      </c>
      <c r="C900" s="26" t="s">
        <v>1167</v>
      </c>
    </row>
    <row r="901" spans="1:3" x14ac:dyDescent="0.25">
      <c r="A901" s="36">
        <v>41199</v>
      </c>
      <c r="B901" s="122">
        <v>0.92413194444444446</v>
      </c>
      <c r="C901" s="26" t="s">
        <v>1168</v>
      </c>
    </row>
    <row r="902" spans="1:3" x14ac:dyDescent="0.25">
      <c r="A902" s="36">
        <v>41199</v>
      </c>
      <c r="B902" s="122">
        <v>0.92532407407407413</v>
      </c>
      <c r="C902" s="26" t="s">
        <v>1160</v>
      </c>
    </row>
    <row r="903" spans="1:3" x14ac:dyDescent="0.25">
      <c r="A903" s="36">
        <v>41199</v>
      </c>
      <c r="B903" s="122">
        <v>0.92532407407407413</v>
      </c>
      <c r="C903" s="26" t="s">
        <v>1161</v>
      </c>
    </row>
    <row r="904" spans="1:3" x14ac:dyDescent="0.25">
      <c r="A904" s="36">
        <v>41199</v>
      </c>
      <c r="B904" s="122">
        <v>0.92532407407407413</v>
      </c>
      <c r="C904" s="26" t="s">
        <v>1162</v>
      </c>
    </row>
    <row r="905" spans="1:3" x14ac:dyDescent="0.25">
      <c r="A905" s="36">
        <v>41199</v>
      </c>
      <c r="B905" s="122">
        <v>0.92532407407407413</v>
      </c>
      <c r="C905" s="26" t="s">
        <v>1163</v>
      </c>
    </row>
    <row r="906" spans="1:3" x14ac:dyDescent="0.25">
      <c r="A906" s="36">
        <v>41199</v>
      </c>
      <c r="B906" s="122">
        <v>0.92532407407407413</v>
      </c>
      <c r="C906" s="26" t="s">
        <v>1164</v>
      </c>
    </row>
    <row r="907" spans="1:3" x14ac:dyDescent="0.25">
      <c r="A907" s="36">
        <v>41199</v>
      </c>
      <c r="B907" s="122">
        <v>0.92532407407407413</v>
      </c>
      <c r="C907" s="26" t="s">
        <v>1165</v>
      </c>
    </row>
    <row r="908" spans="1:3" x14ac:dyDescent="0.25">
      <c r="A908" s="36">
        <v>41199</v>
      </c>
      <c r="B908" s="122">
        <v>0.92532407407407413</v>
      </c>
      <c r="C908" s="26" t="s">
        <v>1166</v>
      </c>
    </row>
    <row r="909" spans="1:3" x14ac:dyDescent="0.25">
      <c r="A909" s="36">
        <v>41199</v>
      </c>
      <c r="B909" s="122">
        <v>0.92532407407407413</v>
      </c>
      <c r="C909" s="26" t="s">
        <v>1167</v>
      </c>
    </row>
    <row r="910" spans="1:3" x14ac:dyDescent="0.25">
      <c r="A910" s="36">
        <v>41199</v>
      </c>
      <c r="B910" s="122">
        <v>0.92532407407407413</v>
      </c>
      <c r="C910" s="26" t="s">
        <v>1168</v>
      </c>
    </row>
    <row r="911" spans="1:3" x14ac:dyDescent="0.25">
      <c r="A911" s="36">
        <v>41199</v>
      </c>
      <c r="B911" s="122">
        <v>0.9278587962962962</v>
      </c>
      <c r="C911" s="26" t="s">
        <v>1160</v>
      </c>
    </row>
    <row r="912" spans="1:3" x14ac:dyDescent="0.25">
      <c r="A912" s="36">
        <v>41199</v>
      </c>
      <c r="B912" s="122">
        <v>0.9278587962962962</v>
      </c>
      <c r="C912" s="26" t="s">
        <v>1161</v>
      </c>
    </row>
    <row r="913" spans="1:3" x14ac:dyDescent="0.25">
      <c r="A913" s="36">
        <v>41199</v>
      </c>
      <c r="B913" s="122">
        <v>0.9278587962962962</v>
      </c>
      <c r="C913" s="26" t="s">
        <v>1162</v>
      </c>
    </row>
    <row r="914" spans="1:3" x14ac:dyDescent="0.25">
      <c r="A914" s="36">
        <v>41199</v>
      </c>
      <c r="B914" s="122">
        <v>0.9278587962962962</v>
      </c>
      <c r="C914" s="26" t="s">
        <v>1163</v>
      </c>
    </row>
    <row r="915" spans="1:3" x14ac:dyDescent="0.25">
      <c r="A915" s="36">
        <v>41199</v>
      </c>
      <c r="B915" s="122">
        <v>0.9278587962962962</v>
      </c>
      <c r="C915" s="26" t="s">
        <v>1164</v>
      </c>
    </row>
    <row r="916" spans="1:3" x14ac:dyDescent="0.25">
      <c r="A916" s="36">
        <v>41199</v>
      </c>
      <c r="B916" s="122">
        <v>0.9278587962962962</v>
      </c>
      <c r="C916" s="26" t="s">
        <v>1165</v>
      </c>
    </row>
    <row r="917" spans="1:3" x14ac:dyDescent="0.25">
      <c r="A917" s="36">
        <v>41199</v>
      </c>
      <c r="B917" s="122">
        <v>0.9278587962962962</v>
      </c>
      <c r="C917" s="26" t="s">
        <v>1166</v>
      </c>
    </row>
    <row r="918" spans="1:3" x14ac:dyDescent="0.25">
      <c r="A918" s="36">
        <v>41199</v>
      </c>
      <c r="B918" s="122">
        <v>0.9278587962962962</v>
      </c>
      <c r="C918" s="26" t="s">
        <v>1167</v>
      </c>
    </row>
    <row r="919" spans="1:3" x14ac:dyDescent="0.25">
      <c r="A919" s="36">
        <v>41199</v>
      </c>
      <c r="B919" s="122">
        <v>0.9278587962962962</v>
      </c>
      <c r="C919" s="26" t="s">
        <v>1168</v>
      </c>
    </row>
    <row r="920" spans="1:3" x14ac:dyDescent="0.25">
      <c r="A920" s="36">
        <v>41200</v>
      </c>
      <c r="B920" s="122">
        <v>5.0925925925925921E-4</v>
      </c>
      <c r="C920" s="26" t="s">
        <v>1160</v>
      </c>
    </row>
    <row r="921" spans="1:3" x14ac:dyDescent="0.25">
      <c r="A921" s="36">
        <v>41200</v>
      </c>
      <c r="B921" s="122">
        <v>5.0925925925925921E-4</v>
      </c>
      <c r="C921" s="26" t="s">
        <v>1161</v>
      </c>
    </row>
    <row r="922" spans="1:3" x14ac:dyDescent="0.25">
      <c r="A922" s="36">
        <v>41200</v>
      </c>
      <c r="B922" s="122">
        <v>5.0925925925925921E-4</v>
      </c>
      <c r="C922" s="26" t="s">
        <v>1162</v>
      </c>
    </row>
    <row r="923" spans="1:3" x14ac:dyDescent="0.25">
      <c r="A923" s="36">
        <v>41200</v>
      </c>
      <c r="B923" s="122">
        <v>5.0925925925925921E-4</v>
      </c>
      <c r="C923" s="26" t="s">
        <v>1163</v>
      </c>
    </row>
    <row r="924" spans="1:3" x14ac:dyDescent="0.25">
      <c r="A924" s="36">
        <v>41200</v>
      </c>
      <c r="B924" s="122">
        <v>5.0925925925925921E-4</v>
      </c>
      <c r="C924" s="26" t="s">
        <v>1164</v>
      </c>
    </row>
    <row r="925" spans="1:3" x14ac:dyDescent="0.25">
      <c r="A925" s="36">
        <v>41200</v>
      </c>
      <c r="B925" s="122">
        <v>5.0925925925925921E-4</v>
      </c>
      <c r="C925" s="26" t="s">
        <v>1165</v>
      </c>
    </row>
    <row r="926" spans="1:3" x14ac:dyDescent="0.25">
      <c r="A926" s="36">
        <v>41200</v>
      </c>
      <c r="B926" s="122">
        <v>5.0925925925925921E-4</v>
      </c>
      <c r="C926" s="26" t="s">
        <v>1166</v>
      </c>
    </row>
    <row r="927" spans="1:3" x14ac:dyDescent="0.25">
      <c r="A927" s="36">
        <v>41200</v>
      </c>
      <c r="B927" s="122">
        <v>5.0925925925925921E-4</v>
      </c>
      <c r="C927" s="26" t="s">
        <v>1167</v>
      </c>
    </row>
    <row r="928" spans="1:3" x14ac:dyDescent="0.25">
      <c r="A928" s="36">
        <v>41200</v>
      </c>
      <c r="B928" s="122">
        <v>5.0925925925925921E-4</v>
      </c>
      <c r="C928" s="26" t="s">
        <v>1168</v>
      </c>
    </row>
    <row r="929" spans="1:3" x14ac:dyDescent="0.25">
      <c r="A929" s="36">
        <v>41200</v>
      </c>
      <c r="B929" s="122">
        <v>5.9143518518518521E-3</v>
      </c>
      <c r="C929" s="26" t="s">
        <v>1169</v>
      </c>
    </row>
    <row r="930" spans="1:3" x14ac:dyDescent="0.25">
      <c r="A930" s="36">
        <v>41200</v>
      </c>
      <c r="B930" s="122">
        <v>5.9143518518518521E-3</v>
      </c>
      <c r="C930" s="26" t="s">
        <v>1170</v>
      </c>
    </row>
    <row r="931" spans="1:3" x14ac:dyDescent="0.25">
      <c r="A931" s="36">
        <v>41200</v>
      </c>
      <c r="B931" s="122">
        <v>5.9143518518518521E-3</v>
      </c>
      <c r="C931" s="26" t="s">
        <v>1171</v>
      </c>
    </row>
    <row r="932" spans="1:3" x14ac:dyDescent="0.25">
      <c r="A932" s="36">
        <v>41200</v>
      </c>
      <c r="B932" s="122">
        <v>5.9143518518518521E-3</v>
      </c>
      <c r="C932" s="26" t="s">
        <v>1172</v>
      </c>
    </row>
    <row r="933" spans="1:3" x14ac:dyDescent="0.25">
      <c r="A933" s="36">
        <v>41200</v>
      </c>
      <c r="B933" s="122">
        <v>5.9143518518518521E-3</v>
      </c>
      <c r="C933" s="26" t="s">
        <v>1173</v>
      </c>
    </row>
    <row r="934" spans="1:3" x14ac:dyDescent="0.25">
      <c r="A934" s="36">
        <v>41200</v>
      </c>
      <c r="B934" s="122">
        <v>5.9143518518518521E-3</v>
      </c>
      <c r="C934" s="26" t="s">
        <v>1174</v>
      </c>
    </row>
    <row r="935" spans="1:3" x14ac:dyDescent="0.25">
      <c r="A935" s="36">
        <v>41200</v>
      </c>
      <c r="B935" s="122">
        <v>5.9143518518518521E-3</v>
      </c>
      <c r="C935" s="26" t="s">
        <v>1175</v>
      </c>
    </row>
    <row r="936" spans="1:3" x14ac:dyDescent="0.25">
      <c r="A936" s="36">
        <v>41200</v>
      </c>
      <c r="B936" s="122">
        <v>5.9143518518518521E-3</v>
      </c>
      <c r="C936" s="26" t="s">
        <v>1176</v>
      </c>
    </row>
    <row r="937" spans="1:3" x14ac:dyDescent="0.25">
      <c r="A937" s="36">
        <v>41200</v>
      </c>
      <c r="B937" s="122">
        <v>5.9143518518518521E-3</v>
      </c>
      <c r="C937" s="26" t="s">
        <v>1177</v>
      </c>
    </row>
    <row r="938" spans="1:3" x14ac:dyDescent="0.25">
      <c r="A938" s="36">
        <v>41200</v>
      </c>
      <c r="B938" s="122">
        <v>5.9143518518518521E-3</v>
      </c>
      <c r="C938" s="26" t="s">
        <v>1178</v>
      </c>
    </row>
    <row r="939" spans="1:3" x14ac:dyDescent="0.25">
      <c r="A939" s="36">
        <v>41200</v>
      </c>
      <c r="B939" s="122">
        <v>8.9699074074074073E-3</v>
      </c>
      <c r="C939" s="26" t="s">
        <v>1131</v>
      </c>
    </row>
    <row r="940" spans="1:3" x14ac:dyDescent="0.25">
      <c r="A940" s="36">
        <v>41200</v>
      </c>
      <c r="B940" s="122">
        <v>1.8067129629629631E-2</v>
      </c>
      <c r="C940" s="26" t="s">
        <v>1131</v>
      </c>
    </row>
    <row r="941" spans="1:3" x14ac:dyDescent="0.25">
      <c r="A941" s="36">
        <v>41200</v>
      </c>
      <c r="B941" s="122">
        <v>2.5266203703703704E-2</v>
      </c>
      <c r="C941" s="26" t="s">
        <v>1131</v>
      </c>
    </row>
    <row r="942" spans="1:3" x14ac:dyDescent="0.25">
      <c r="A942" s="36">
        <v>41200</v>
      </c>
      <c r="B942" s="122">
        <v>8.5462962962962963E-2</v>
      </c>
      <c r="C942" s="26" t="s">
        <v>914</v>
      </c>
    </row>
    <row r="943" spans="1:3" x14ac:dyDescent="0.25">
      <c r="A943" s="36">
        <v>41200</v>
      </c>
      <c r="B943" s="122">
        <v>9.4756944444444449E-2</v>
      </c>
      <c r="C943" s="26" t="s">
        <v>1131</v>
      </c>
    </row>
    <row r="944" spans="1:3" x14ac:dyDescent="0.25">
      <c r="A944" s="36">
        <v>41200</v>
      </c>
      <c r="B944" s="122">
        <v>0.10942129629629631</v>
      </c>
      <c r="C944" s="26" t="s">
        <v>914</v>
      </c>
    </row>
    <row r="945" spans="1:3" x14ac:dyDescent="0.25">
      <c r="A945" s="36">
        <v>41200</v>
      </c>
      <c r="B945" s="122">
        <v>0.10961805555555555</v>
      </c>
      <c r="C945" s="26" t="s">
        <v>1131</v>
      </c>
    </row>
    <row r="946" spans="1:3" x14ac:dyDescent="0.25">
      <c r="A946" s="36">
        <v>41200</v>
      </c>
      <c r="B946" s="122">
        <v>0.11057870370370371</v>
      </c>
      <c r="C946" s="26" t="s">
        <v>914</v>
      </c>
    </row>
    <row r="947" spans="1:3" x14ac:dyDescent="0.25">
      <c r="A947" s="36">
        <v>41200</v>
      </c>
      <c r="B947" s="122">
        <v>0.1106712962962963</v>
      </c>
      <c r="C947" s="26" t="s">
        <v>1131</v>
      </c>
    </row>
    <row r="948" spans="1:3" x14ac:dyDescent="0.25">
      <c r="A948" s="36">
        <v>41200</v>
      </c>
      <c r="B948" s="122">
        <v>0.91350694444444447</v>
      </c>
      <c r="C948" s="26" t="s">
        <v>914</v>
      </c>
    </row>
    <row r="949" spans="1:3" x14ac:dyDescent="0.25">
      <c r="A949" s="36">
        <v>41200</v>
      </c>
      <c r="B949" s="122">
        <v>0.91377314814814825</v>
      </c>
      <c r="C949" s="26" t="s">
        <v>1179</v>
      </c>
    </row>
    <row r="950" spans="1:3" x14ac:dyDescent="0.25">
      <c r="A950" s="36">
        <v>41200</v>
      </c>
      <c r="B950" s="122">
        <v>0.94241898148148151</v>
      </c>
      <c r="C950" s="26" t="s">
        <v>1180</v>
      </c>
    </row>
    <row r="951" spans="1:3" x14ac:dyDescent="0.25">
      <c r="A951" s="36">
        <v>41200</v>
      </c>
      <c r="B951" s="122">
        <v>0.94643518518518521</v>
      </c>
      <c r="C951" s="26" t="s">
        <v>1145</v>
      </c>
    </row>
    <row r="952" spans="1:3" x14ac:dyDescent="0.25">
      <c r="A952" s="36">
        <v>41200</v>
      </c>
      <c r="B952" s="122">
        <v>0.94762731481481488</v>
      </c>
      <c r="C952" s="26" t="s">
        <v>1181</v>
      </c>
    </row>
    <row r="953" spans="1:3" x14ac:dyDescent="0.25">
      <c r="A953" s="36">
        <v>41200</v>
      </c>
      <c r="B953" s="122">
        <v>0.94879629629629625</v>
      </c>
      <c r="C953" s="26" t="s">
        <v>914</v>
      </c>
    </row>
    <row r="954" spans="1:3" x14ac:dyDescent="0.25">
      <c r="A954" s="36">
        <v>41200</v>
      </c>
      <c r="B954" s="122">
        <v>0.94918981481481479</v>
      </c>
      <c r="C954" s="26" t="s">
        <v>914</v>
      </c>
    </row>
    <row r="955" spans="1:3" x14ac:dyDescent="0.25">
      <c r="A955" s="36">
        <v>41200</v>
      </c>
      <c r="B955" s="122">
        <v>0.94924768518518521</v>
      </c>
      <c r="C955" s="26" t="s">
        <v>1182</v>
      </c>
    </row>
    <row r="956" spans="1:3" x14ac:dyDescent="0.25">
      <c r="A956" s="36">
        <v>41200</v>
      </c>
      <c r="B956" s="122">
        <v>0.96483796296296298</v>
      </c>
      <c r="C956" s="26" t="s">
        <v>1183</v>
      </c>
    </row>
    <row r="957" spans="1:3" x14ac:dyDescent="0.25">
      <c r="A957" s="36">
        <v>41200</v>
      </c>
      <c r="B957" s="122">
        <v>0.96592592592592597</v>
      </c>
      <c r="C957" s="26" t="s">
        <v>1145</v>
      </c>
    </row>
    <row r="958" spans="1:3" x14ac:dyDescent="0.25">
      <c r="A958" s="36">
        <v>41200</v>
      </c>
      <c r="B958" s="122">
        <v>0.9671412037037036</v>
      </c>
      <c r="C958" s="26" t="s">
        <v>1184</v>
      </c>
    </row>
    <row r="959" spans="1:3" x14ac:dyDescent="0.25">
      <c r="A959" s="36">
        <v>41200</v>
      </c>
      <c r="B959" s="122">
        <v>0.99938657407407405</v>
      </c>
      <c r="C959" s="26" t="s">
        <v>1107</v>
      </c>
    </row>
    <row r="960" spans="1:3" x14ac:dyDescent="0.25">
      <c r="A960" s="36">
        <v>41201</v>
      </c>
      <c r="B960" s="122">
        <v>6.5740740740740733E-3</v>
      </c>
      <c r="C960" s="26" t="s">
        <v>1107</v>
      </c>
    </row>
    <row r="961" spans="1:3" x14ac:dyDescent="0.25">
      <c r="A961" s="36">
        <v>41201</v>
      </c>
      <c r="B961" s="122">
        <v>8.4259259259259253E-3</v>
      </c>
      <c r="C961" s="26" t="s">
        <v>1107</v>
      </c>
    </row>
    <row r="962" spans="1:3" x14ac:dyDescent="0.25">
      <c r="A962" s="36">
        <v>41201</v>
      </c>
      <c r="B962" s="122">
        <v>1.0011574074074074E-2</v>
      </c>
      <c r="C962" s="26" t="s">
        <v>1107</v>
      </c>
    </row>
    <row r="963" spans="1:3" x14ac:dyDescent="0.25">
      <c r="A963" s="36">
        <v>41201</v>
      </c>
      <c r="B963" s="122">
        <v>1.019675925925926E-2</v>
      </c>
      <c r="C963" s="26" t="s">
        <v>1107</v>
      </c>
    </row>
    <row r="964" spans="1:3" x14ac:dyDescent="0.25">
      <c r="A964" s="36">
        <v>41201</v>
      </c>
      <c r="B964" s="122">
        <v>1.0844907407407407E-2</v>
      </c>
      <c r="C964" s="26" t="s">
        <v>1107</v>
      </c>
    </row>
    <row r="965" spans="1:3" x14ac:dyDescent="0.25">
      <c r="A965" s="36">
        <v>41201</v>
      </c>
      <c r="B965" s="122">
        <v>1.0960648148148148E-2</v>
      </c>
      <c r="C965" s="26" t="s">
        <v>1185</v>
      </c>
    </row>
    <row r="966" spans="1:3" x14ac:dyDescent="0.25">
      <c r="A966" s="36">
        <v>41201</v>
      </c>
      <c r="B966" s="122">
        <v>1.1446759259259261E-2</v>
      </c>
      <c r="C966" s="26" t="s">
        <v>1107</v>
      </c>
    </row>
    <row r="967" spans="1:3" x14ac:dyDescent="0.25">
      <c r="A967" s="36">
        <v>41201</v>
      </c>
      <c r="B967" s="122">
        <v>1.1516203703703702E-2</v>
      </c>
      <c r="C967" s="26" t="s">
        <v>1107</v>
      </c>
    </row>
    <row r="968" spans="1:3" x14ac:dyDescent="0.25">
      <c r="A968" s="36">
        <v>41201</v>
      </c>
      <c r="B968" s="122">
        <v>1.3796296296296298E-2</v>
      </c>
      <c r="C968" s="26" t="s">
        <v>1107</v>
      </c>
    </row>
    <row r="969" spans="1:3" x14ac:dyDescent="0.25">
      <c r="A969" s="36">
        <v>41201</v>
      </c>
      <c r="B969" s="122">
        <v>1.4143518518518519E-2</v>
      </c>
      <c r="C969" s="26" t="s">
        <v>1107</v>
      </c>
    </row>
    <row r="970" spans="1:3" x14ac:dyDescent="0.25">
      <c r="A970" s="36">
        <v>41201</v>
      </c>
      <c r="B970" s="122">
        <v>3.3460648148148149E-2</v>
      </c>
      <c r="C970" s="26" t="s">
        <v>1186</v>
      </c>
    </row>
    <row r="971" spans="1:3" x14ac:dyDescent="0.25">
      <c r="A971" s="36">
        <v>41201</v>
      </c>
      <c r="B971" s="122">
        <v>3.6342592592592593E-2</v>
      </c>
      <c r="C971" s="26" t="s">
        <v>1187</v>
      </c>
    </row>
    <row r="972" spans="1:3" x14ac:dyDescent="0.25">
      <c r="A972" s="36">
        <v>41201</v>
      </c>
      <c r="B972" s="122">
        <v>3.6921296296296292E-2</v>
      </c>
      <c r="C972" s="26" t="s">
        <v>1186</v>
      </c>
    </row>
    <row r="973" spans="1:3" x14ac:dyDescent="0.25">
      <c r="A973" s="36">
        <v>41201</v>
      </c>
      <c r="B973" s="122">
        <v>3.7928240740740742E-2</v>
      </c>
      <c r="C973" s="26" t="s">
        <v>1188</v>
      </c>
    </row>
    <row r="974" spans="1:3" x14ac:dyDescent="0.25">
      <c r="A974" s="36">
        <v>41201</v>
      </c>
      <c r="B974" s="122">
        <v>3.7928240740740742E-2</v>
      </c>
      <c r="C974" s="26" t="s">
        <v>1189</v>
      </c>
    </row>
    <row r="975" spans="1:3" x14ac:dyDescent="0.25">
      <c r="A975" s="36">
        <v>41201</v>
      </c>
      <c r="B975" s="122">
        <v>3.8275462962962963E-2</v>
      </c>
      <c r="C975" s="26" t="s">
        <v>1188</v>
      </c>
    </row>
    <row r="976" spans="1:3" x14ac:dyDescent="0.25">
      <c r="A976" s="36">
        <v>41201</v>
      </c>
      <c r="B976" s="122">
        <v>3.8275462962962963E-2</v>
      </c>
      <c r="C976" s="26" t="s">
        <v>1189</v>
      </c>
    </row>
    <row r="977" spans="1:3" x14ac:dyDescent="0.25">
      <c r="A977" s="36">
        <v>41201</v>
      </c>
      <c r="B977" s="122">
        <v>3.9074074074074074E-2</v>
      </c>
      <c r="C977" s="26" t="s">
        <v>1190</v>
      </c>
    </row>
    <row r="978" spans="1:3" x14ac:dyDescent="0.25">
      <c r="A978" s="36">
        <v>41201</v>
      </c>
      <c r="B978" s="122">
        <v>3.920138888888889E-2</v>
      </c>
      <c r="C978" s="26" t="s">
        <v>1191</v>
      </c>
    </row>
    <row r="979" spans="1:3" x14ac:dyDescent="0.25">
      <c r="A979" s="36">
        <v>41201</v>
      </c>
      <c r="B979" s="122">
        <v>3.9606481481481479E-2</v>
      </c>
      <c r="C979" s="26" t="s">
        <v>1192</v>
      </c>
    </row>
    <row r="980" spans="1:3" x14ac:dyDescent="0.25">
      <c r="A980" s="36">
        <v>41201</v>
      </c>
      <c r="B980" s="122">
        <v>4.1354166666666664E-2</v>
      </c>
      <c r="C980" s="26" t="s">
        <v>1192</v>
      </c>
    </row>
    <row r="981" spans="1:3" x14ac:dyDescent="0.25">
      <c r="A981" s="36">
        <v>41201</v>
      </c>
      <c r="B981" s="122">
        <v>4.1608796296296297E-2</v>
      </c>
      <c r="C981" s="26" t="s">
        <v>1193</v>
      </c>
    </row>
    <row r="982" spans="1:3" x14ac:dyDescent="0.25">
      <c r="A982" s="36">
        <v>41201</v>
      </c>
      <c r="B982" s="122">
        <v>4.2986111111111114E-2</v>
      </c>
      <c r="C982" s="26" t="s">
        <v>1194</v>
      </c>
    </row>
    <row r="983" spans="1:3" x14ac:dyDescent="0.25">
      <c r="A983" s="36">
        <v>41201</v>
      </c>
      <c r="B983" s="122">
        <v>4.3356481481481475E-2</v>
      </c>
      <c r="C983" s="26" t="s">
        <v>1195</v>
      </c>
    </row>
    <row r="984" spans="1:3" x14ac:dyDescent="0.25">
      <c r="A984" s="36">
        <v>41201</v>
      </c>
      <c r="B984" s="122">
        <v>4.3356481481481475E-2</v>
      </c>
      <c r="C984" s="26" t="s">
        <v>1196</v>
      </c>
    </row>
    <row r="985" spans="1:3" x14ac:dyDescent="0.25">
      <c r="A985" s="36">
        <v>41201</v>
      </c>
      <c r="B985" s="122">
        <v>4.3356481481481475E-2</v>
      </c>
      <c r="C985" s="26" t="s">
        <v>1197</v>
      </c>
    </row>
    <row r="986" spans="1:3" x14ac:dyDescent="0.25">
      <c r="A986" s="36">
        <v>41201</v>
      </c>
      <c r="B986" s="122">
        <v>4.341435185185185E-2</v>
      </c>
      <c r="C986" s="26" t="s">
        <v>1179</v>
      </c>
    </row>
    <row r="987" spans="1:3" x14ac:dyDescent="0.25">
      <c r="A987" s="36">
        <v>41201</v>
      </c>
      <c r="B987" s="122">
        <v>4.3495370370370372E-2</v>
      </c>
      <c r="C987" s="26" t="s">
        <v>1198</v>
      </c>
    </row>
    <row r="988" spans="1:3" x14ac:dyDescent="0.25">
      <c r="A988" s="36">
        <v>41201</v>
      </c>
      <c r="B988" s="122">
        <v>4.5081018518518513E-2</v>
      </c>
      <c r="C988" s="26" t="s">
        <v>1199</v>
      </c>
    </row>
    <row r="989" spans="1:3" x14ac:dyDescent="0.25">
      <c r="A989" s="36">
        <v>41201</v>
      </c>
      <c r="B989" s="122">
        <v>4.5081018518518513E-2</v>
      </c>
      <c r="C989" s="26" t="s">
        <v>1200</v>
      </c>
    </row>
    <row r="990" spans="1:3" x14ac:dyDescent="0.25">
      <c r="A990" s="36">
        <v>41201</v>
      </c>
      <c r="B990" s="122">
        <v>4.5277777777777778E-2</v>
      </c>
      <c r="C990" s="26" t="s">
        <v>1201</v>
      </c>
    </row>
    <row r="991" spans="1:3" x14ac:dyDescent="0.25">
      <c r="A991" s="36">
        <v>41201</v>
      </c>
      <c r="B991" s="122">
        <v>4.6793981481481478E-2</v>
      </c>
      <c r="C991" s="26" t="s">
        <v>1202</v>
      </c>
    </row>
    <row r="992" spans="1:3" x14ac:dyDescent="0.25">
      <c r="A992" s="36">
        <v>41201</v>
      </c>
      <c r="B992" s="122">
        <v>5.167824074074074E-2</v>
      </c>
      <c r="C992" s="26" t="s">
        <v>1186</v>
      </c>
    </row>
    <row r="993" spans="1:3" x14ac:dyDescent="0.25">
      <c r="A993" s="36">
        <v>41201</v>
      </c>
      <c r="B993" s="122">
        <v>5.185185185185185E-2</v>
      </c>
      <c r="C993" s="26" t="s">
        <v>1188</v>
      </c>
    </row>
    <row r="994" spans="1:3" x14ac:dyDescent="0.25">
      <c r="A994" s="36">
        <v>41201</v>
      </c>
      <c r="B994" s="122">
        <v>5.185185185185185E-2</v>
      </c>
      <c r="C994" s="26" t="s">
        <v>1189</v>
      </c>
    </row>
    <row r="995" spans="1:3" x14ac:dyDescent="0.25">
      <c r="A995" s="36">
        <v>41201</v>
      </c>
      <c r="B995" s="122">
        <v>5.3831018518518514E-2</v>
      </c>
      <c r="C995" s="26" t="s">
        <v>1186</v>
      </c>
    </row>
    <row r="996" spans="1:3" x14ac:dyDescent="0.25">
      <c r="A996" s="36">
        <v>41201</v>
      </c>
      <c r="B996" s="122">
        <v>5.3900462962962963E-2</v>
      </c>
      <c r="C996" s="26" t="s">
        <v>1188</v>
      </c>
    </row>
    <row r="997" spans="1:3" x14ac:dyDescent="0.25">
      <c r="A997" s="36">
        <v>41201</v>
      </c>
      <c r="B997" s="122">
        <v>5.3900462962962963E-2</v>
      </c>
      <c r="C997" s="26" t="s">
        <v>1189</v>
      </c>
    </row>
    <row r="998" spans="1:3" x14ac:dyDescent="0.25">
      <c r="A998" s="36">
        <v>41201</v>
      </c>
      <c r="B998" s="122">
        <v>5.6840277777777781E-2</v>
      </c>
      <c r="C998" s="26" t="s">
        <v>1186</v>
      </c>
    </row>
    <row r="999" spans="1:3" x14ac:dyDescent="0.25">
      <c r="A999" s="36">
        <v>41201</v>
      </c>
      <c r="B999" s="122">
        <v>5.6886574074074076E-2</v>
      </c>
      <c r="C999" s="26" t="s">
        <v>1188</v>
      </c>
    </row>
    <row r="1000" spans="1:3" x14ac:dyDescent="0.25">
      <c r="A1000" s="36">
        <v>41201</v>
      </c>
      <c r="B1000" s="122">
        <v>5.6886574074074076E-2</v>
      </c>
      <c r="C1000" s="26" t="s">
        <v>1189</v>
      </c>
    </row>
    <row r="1001" spans="1:3" x14ac:dyDescent="0.25">
      <c r="A1001" s="36">
        <v>41201</v>
      </c>
      <c r="B1001" s="122">
        <v>5.7581018518518517E-2</v>
      </c>
      <c r="C1001" s="26" t="s">
        <v>1186</v>
      </c>
    </row>
    <row r="1002" spans="1:3" x14ac:dyDescent="0.25">
      <c r="A1002" s="36">
        <v>41201</v>
      </c>
      <c r="B1002" s="122">
        <v>6.3067129629629626E-2</v>
      </c>
      <c r="C1002" s="26" t="s">
        <v>1186</v>
      </c>
    </row>
    <row r="1003" spans="1:3" x14ac:dyDescent="0.25">
      <c r="A1003" s="36">
        <v>41201</v>
      </c>
      <c r="B1003" s="122">
        <v>6.4201388888888891E-2</v>
      </c>
      <c r="C1003" s="26" t="s">
        <v>1186</v>
      </c>
    </row>
    <row r="1004" spans="1:3" x14ac:dyDescent="0.25">
      <c r="A1004" s="36">
        <v>41201</v>
      </c>
      <c r="B1004" s="122">
        <v>7.2291666666666657E-2</v>
      </c>
      <c r="C1004" s="26" t="s">
        <v>1186</v>
      </c>
    </row>
    <row r="1005" spans="1:3" x14ac:dyDescent="0.25">
      <c r="A1005" s="36">
        <v>41201</v>
      </c>
      <c r="B1005" s="122">
        <v>7.2326388888888885E-2</v>
      </c>
      <c r="C1005" s="26" t="s">
        <v>1188</v>
      </c>
    </row>
    <row r="1006" spans="1:3" x14ac:dyDescent="0.25">
      <c r="A1006" s="36">
        <v>41201</v>
      </c>
      <c r="B1006" s="122">
        <v>7.2326388888888885E-2</v>
      </c>
      <c r="C1006" s="26" t="s">
        <v>1189</v>
      </c>
    </row>
    <row r="1007" spans="1:3" x14ac:dyDescent="0.25">
      <c r="A1007" s="36">
        <v>41201</v>
      </c>
      <c r="B1007" s="122">
        <v>7.4305555555555555E-2</v>
      </c>
      <c r="C1007" s="26" t="s">
        <v>1186</v>
      </c>
    </row>
    <row r="1008" spans="1:3" x14ac:dyDescent="0.25">
      <c r="A1008" s="36">
        <v>41201</v>
      </c>
      <c r="B1008" s="122">
        <v>7.7129629629629631E-2</v>
      </c>
      <c r="C1008" s="26" t="s">
        <v>1186</v>
      </c>
    </row>
    <row r="1009" spans="1:3" x14ac:dyDescent="0.25">
      <c r="A1009" s="36">
        <v>41201</v>
      </c>
      <c r="B1009" s="122">
        <v>7.7175925925925926E-2</v>
      </c>
      <c r="C1009" s="26" t="s">
        <v>1188</v>
      </c>
    </row>
    <row r="1010" spans="1:3" x14ac:dyDescent="0.25">
      <c r="A1010" s="36">
        <v>41201</v>
      </c>
      <c r="B1010" s="122">
        <v>7.7175925925925926E-2</v>
      </c>
      <c r="C1010" s="26" t="s">
        <v>1189</v>
      </c>
    </row>
    <row r="1011" spans="1:3" x14ac:dyDescent="0.25">
      <c r="A1011" s="36">
        <v>41202</v>
      </c>
      <c r="B1011" s="122">
        <v>4.8460648148148149E-2</v>
      </c>
      <c r="C1011" s="26" t="s">
        <v>1187</v>
      </c>
    </row>
    <row r="1012" spans="1:3" x14ac:dyDescent="0.25">
      <c r="A1012" s="36">
        <v>41202</v>
      </c>
      <c r="B1012" s="122">
        <v>0.13693287037037036</v>
      </c>
      <c r="C1012" s="26" t="s">
        <v>1186</v>
      </c>
    </row>
    <row r="1013" spans="1:3" x14ac:dyDescent="0.25">
      <c r="A1013" s="36">
        <v>41204</v>
      </c>
      <c r="B1013" s="122">
        <v>0.99892361111111105</v>
      </c>
      <c r="C1013" s="26" t="s">
        <v>1211</v>
      </c>
    </row>
    <row r="1014" spans="1:3" x14ac:dyDescent="0.25">
      <c r="A1014" s="36">
        <v>41205</v>
      </c>
      <c r="B1014" s="122">
        <v>0.96807870370370364</v>
      </c>
      <c r="C1014" s="26" t="s">
        <v>1187</v>
      </c>
    </row>
    <row r="1015" spans="1:3" x14ac:dyDescent="0.25">
      <c r="A1015" s="36">
        <v>41205</v>
      </c>
      <c r="B1015" s="122">
        <v>0.9778472222222222</v>
      </c>
      <c r="C1015" s="26" t="s">
        <v>1120</v>
      </c>
    </row>
    <row r="1016" spans="1:3" x14ac:dyDescent="0.25">
      <c r="A1016" s="36">
        <v>41206</v>
      </c>
      <c r="B1016" s="122">
        <v>2.0370370370370369E-2</v>
      </c>
      <c r="C1016" s="26" t="s">
        <v>1216</v>
      </c>
    </row>
    <row r="1017" spans="1:3" x14ac:dyDescent="0.25">
      <c r="A1017" s="36">
        <v>41206</v>
      </c>
      <c r="B1017" s="122">
        <v>2.0370370370370369E-2</v>
      </c>
      <c r="C1017" s="26" t="s">
        <v>1186</v>
      </c>
    </row>
    <row r="1018" spans="1:3" x14ac:dyDescent="0.25">
      <c r="A1018" s="36">
        <v>41206</v>
      </c>
      <c r="B1018" s="122">
        <v>2.4884259259259259E-2</v>
      </c>
      <c r="C1018" s="26" t="s">
        <v>1217</v>
      </c>
    </row>
    <row r="1019" spans="1:3" x14ac:dyDescent="0.25">
      <c r="A1019" s="36">
        <v>41206</v>
      </c>
      <c r="B1019" s="122">
        <v>2.4884259259259259E-2</v>
      </c>
      <c r="C1019" s="26" t="s">
        <v>1188</v>
      </c>
    </row>
    <row r="1020" spans="1:3" x14ac:dyDescent="0.25">
      <c r="A1020" s="36">
        <v>41206</v>
      </c>
      <c r="B1020" s="122">
        <v>2.4884259259259259E-2</v>
      </c>
      <c r="C1020" s="26" t="s">
        <v>1189</v>
      </c>
    </row>
    <row r="1021" spans="1:3" x14ac:dyDescent="0.25">
      <c r="A1021" s="36">
        <v>41206</v>
      </c>
      <c r="B1021" s="122">
        <v>2.5011574074074075E-2</v>
      </c>
      <c r="C1021" s="26" t="s">
        <v>1188</v>
      </c>
    </row>
    <row r="1022" spans="1:3" x14ac:dyDescent="0.25">
      <c r="A1022" s="36">
        <v>41206</v>
      </c>
      <c r="B1022" s="122">
        <v>2.5011574074074075E-2</v>
      </c>
      <c r="C1022" s="26" t="s">
        <v>1189</v>
      </c>
    </row>
    <row r="1023" spans="1:3" x14ac:dyDescent="0.25">
      <c r="A1023" s="36">
        <v>41206</v>
      </c>
      <c r="B1023" s="122">
        <v>2.5104166666666664E-2</v>
      </c>
      <c r="C1023" s="26" t="s">
        <v>1190</v>
      </c>
    </row>
    <row r="1024" spans="1:3" x14ac:dyDescent="0.25">
      <c r="A1024" s="36">
        <v>41206</v>
      </c>
      <c r="B1024" s="122">
        <v>2.6238425925925925E-2</v>
      </c>
      <c r="C1024" s="26" t="s">
        <v>1216</v>
      </c>
    </row>
    <row r="1025" spans="1:3" x14ac:dyDescent="0.25">
      <c r="A1025" s="36">
        <v>41206</v>
      </c>
      <c r="B1025" s="122">
        <v>2.6249999999999999E-2</v>
      </c>
      <c r="C1025" s="26" t="s">
        <v>1186</v>
      </c>
    </row>
    <row r="1026" spans="1:3" x14ac:dyDescent="0.25">
      <c r="A1026" s="36">
        <v>41206</v>
      </c>
      <c r="B1026" s="122">
        <v>2.6354166666666668E-2</v>
      </c>
      <c r="C1026" s="26" t="s">
        <v>1217</v>
      </c>
    </row>
    <row r="1027" spans="1:3" x14ac:dyDescent="0.25">
      <c r="A1027" s="36">
        <v>41206</v>
      </c>
      <c r="B1027" s="122">
        <v>2.6354166666666668E-2</v>
      </c>
      <c r="C1027" s="26" t="s">
        <v>1188</v>
      </c>
    </row>
    <row r="1028" spans="1:3" x14ac:dyDescent="0.25">
      <c r="A1028" s="36">
        <v>41206</v>
      </c>
      <c r="B1028" s="122">
        <v>2.6354166666666668E-2</v>
      </c>
      <c r="C1028" s="26" t="s">
        <v>1189</v>
      </c>
    </row>
    <row r="1029" spans="1:3" x14ac:dyDescent="0.25">
      <c r="A1029" s="36">
        <v>41206</v>
      </c>
      <c r="B1029" s="122">
        <v>2.642361111111111E-2</v>
      </c>
      <c r="C1029" s="26" t="s">
        <v>1188</v>
      </c>
    </row>
    <row r="1030" spans="1:3" x14ac:dyDescent="0.25">
      <c r="A1030" s="36">
        <v>41206</v>
      </c>
      <c r="B1030" s="122">
        <v>2.642361111111111E-2</v>
      </c>
      <c r="C1030" s="26" t="s">
        <v>1189</v>
      </c>
    </row>
    <row r="1031" spans="1:3" x14ac:dyDescent="0.25">
      <c r="A1031" s="36">
        <v>41206</v>
      </c>
      <c r="B1031" s="122">
        <v>2.6493055555555558E-2</v>
      </c>
      <c r="C1031" s="26" t="s">
        <v>1190</v>
      </c>
    </row>
    <row r="1032" spans="1:3" x14ac:dyDescent="0.25">
      <c r="A1032" s="36">
        <v>41206</v>
      </c>
      <c r="B1032" s="122">
        <v>3.9247685185185184E-2</v>
      </c>
      <c r="C1032" s="26" t="s">
        <v>1216</v>
      </c>
    </row>
    <row r="1033" spans="1:3" x14ac:dyDescent="0.25">
      <c r="A1033" s="36">
        <v>41206</v>
      </c>
      <c r="B1033" s="122">
        <v>3.9247685185185184E-2</v>
      </c>
      <c r="C1033" s="26" t="s">
        <v>1186</v>
      </c>
    </row>
    <row r="1034" spans="1:3" x14ac:dyDescent="0.25">
      <c r="A1034" s="36">
        <v>41206</v>
      </c>
      <c r="B1034" s="122">
        <v>4.1365740740740745E-2</v>
      </c>
      <c r="C1034" s="26" t="s">
        <v>1217</v>
      </c>
    </row>
    <row r="1035" spans="1:3" x14ac:dyDescent="0.25">
      <c r="A1035" s="36">
        <v>41206</v>
      </c>
      <c r="B1035" s="122">
        <v>4.1365740740740745E-2</v>
      </c>
      <c r="C1035" s="26" t="s">
        <v>1188</v>
      </c>
    </row>
    <row r="1036" spans="1:3" x14ac:dyDescent="0.25">
      <c r="A1036" s="36">
        <v>41206</v>
      </c>
      <c r="B1036" s="122">
        <v>4.1365740740740745E-2</v>
      </c>
      <c r="C1036" s="26" t="s">
        <v>1189</v>
      </c>
    </row>
    <row r="1037" spans="1:3" x14ac:dyDescent="0.25">
      <c r="A1037" s="36">
        <v>41206</v>
      </c>
      <c r="B1037" s="122">
        <v>4.1435185185185179E-2</v>
      </c>
      <c r="C1037" s="26" t="s">
        <v>1188</v>
      </c>
    </row>
    <row r="1038" spans="1:3" x14ac:dyDescent="0.25">
      <c r="A1038" s="36">
        <v>41206</v>
      </c>
      <c r="B1038" s="122">
        <v>4.1435185185185179E-2</v>
      </c>
      <c r="C1038" s="26" t="s">
        <v>1189</v>
      </c>
    </row>
    <row r="1039" spans="1:3" x14ac:dyDescent="0.25">
      <c r="A1039" s="36">
        <v>41206</v>
      </c>
      <c r="B1039" s="122">
        <v>4.1493055555555554E-2</v>
      </c>
      <c r="C1039" s="26" t="s">
        <v>1190</v>
      </c>
    </row>
    <row r="1040" spans="1:3" x14ac:dyDescent="0.25">
      <c r="A1040" s="36">
        <v>41206</v>
      </c>
      <c r="B1040" s="122">
        <v>5.0081018518518518E-2</v>
      </c>
      <c r="C1040" s="26" t="s">
        <v>1216</v>
      </c>
    </row>
    <row r="1041" spans="1:3" x14ac:dyDescent="0.25">
      <c r="A1041" s="36">
        <v>41206</v>
      </c>
      <c r="B1041" s="122">
        <v>5.0081018518518518E-2</v>
      </c>
      <c r="C1041" s="26" t="s">
        <v>1186</v>
      </c>
    </row>
    <row r="1042" spans="1:3" x14ac:dyDescent="0.25">
      <c r="A1042" s="36">
        <v>41206</v>
      </c>
      <c r="B1042" s="122">
        <v>5.0127314814814812E-2</v>
      </c>
      <c r="C1042" s="26" t="s">
        <v>1217</v>
      </c>
    </row>
    <row r="1043" spans="1:3" x14ac:dyDescent="0.25">
      <c r="A1043" s="36">
        <v>41206</v>
      </c>
      <c r="B1043" s="122">
        <v>5.0127314814814812E-2</v>
      </c>
      <c r="C1043" s="26" t="s">
        <v>1188</v>
      </c>
    </row>
    <row r="1044" spans="1:3" x14ac:dyDescent="0.25">
      <c r="A1044" s="36">
        <v>41206</v>
      </c>
      <c r="B1044" s="122">
        <v>5.0127314814814812E-2</v>
      </c>
      <c r="C1044" s="26" t="s">
        <v>1189</v>
      </c>
    </row>
    <row r="1045" spans="1:3" x14ac:dyDescent="0.25">
      <c r="A1045" s="36">
        <v>41206</v>
      </c>
      <c r="B1045" s="122">
        <v>5.0173611111111106E-2</v>
      </c>
      <c r="C1045" s="26" t="s">
        <v>1188</v>
      </c>
    </row>
    <row r="1046" spans="1:3" x14ac:dyDescent="0.25">
      <c r="A1046" s="36">
        <v>41206</v>
      </c>
      <c r="B1046" s="122">
        <v>5.0173611111111106E-2</v>
      </c>
      <c r="C1046" s="26" t="s">
        <v>1189</v>
      </c>
    </row>
    <row r="1047" spans="1:3" x14ac:dyDescent="0.25">
      <c r="A1047" s="36">
        <v>41206</v>
      </c>
      <c r="B1047" s="122">
        <v>5.0208333333333334E-2</v>
      </c>
      <c r="C1047" s="26" t="s">
        <v>1190</v>
      </c>
    </row>
    <row r="1048" spans="1:3" x14ac:dyDescent="0.25">
      <c r="A1048" s="36">
        <v>41206</v>
      </c>
      <c r="B1048" s="122">
        <v>8.3043981481481483E-2</v>
      </c>
      <c r="C1048" s="26" t="s">
        <v>1216</v>
      </c>
    </row>
    <row r="1049" spans="1:3" x14ac:dyDescent="0.25">
      <c r="A1049" s="36">
        <v>41206</v>
      </c>
      <c r="B1049" s="122">
        <v>8.3043981481481483E-2</v>
      </c>
      <c r="C1049" s="26" t="s">
        <v>1186</v>
      </c>
    </row>
    <row r="1050" spans="1:3" x14ac:dyDescent="0.25">
      <c r="A1050" s="36">
        <v>41206</v>
      </c>
      <c r="B1050" s="122">
        <v>8.3101851851851857E-2</v>
      </c>
      <c r="C1050" s="26" t="s">
        <v>1217</v>
      </c>
    </row>
    <row r="1051" spans="1:3" x14ac:dyDescent="0.25">
      <c r="A1051" s="36">
        <v>41206</v>
      </c>
      <c r="B1051" s="122">
        <v>8.3101851851851857E-2</v>
      </c>
      <c r="C1051" s="26" t="s">
        <v>1188</v>
      </c>
    </row>
    <row r="1052" spans="1:3" x14ac:dyDescent="0.25">
      <c r="A1052" s="36">
        <v>41206</v>
      </c>
      <c r="B1052" s="122">
        <v>8.3101851851851857E-2</v>
      </c>
      <c r="C1052" s="26" t="s">
        <v>1189</v>
      </c>
    </row>
    <row r="1053" spans="1:3" x14ac:dyDescent="0.25">
      <c r="A1053" s="36">
        <v>41206</v>
      </c>
      <c r="B1053" s="122">
        <v>8.3159722222222218E-2</v>
      </c>
      <c r="C1053" s="26" t="s">
        <v>1188</v>
      </c>
    </row>
    <row r="1054" spans="1:3" x14ac:dyDescent="0.25">
      <c r="A1054" s="36">
        <v>41206</v>
      </c>
      <c r="B1054" s="122">
        <v>8.3159722222222218E-2</v>
      </c>
      <c r="C1054" s="26" t="s">
        <v>1189</v>
      </c>
    </row>
    <row r="1055" spans="1:3" x14ac:dyDescent="0.25">
      <c r="A1055" s="36">
        <v>41206</v>
      </c>
      <c r="B1055" s="122">
        <v>8.3206018518518512E-2</v>
      </c>
      <c r="C1055" s="26" t="s">
        <v>1190</v>
      </c>
    </row>
    <row r="1056" spans="1:3" x14ac:dyDescent="0.25">
      <c r="A1056" s="36">
        <v>41206</v>
      </c>
      <c r="B1056" s="122">
        <v>8.3252314814814821E-2</v>
      </c>
      <c r="C1056" s="26" t="s">
        <v>1191</v>
      </c>
    </row>
    <row r="1057" spans="1:3" x14ac:dyDescent="0.25">
      <c r="A1057" s="36">
        <v>41206</v>
      </c>
      <c r="B1057" s="122">
        <v>8.3310185185185182E-2</v>
      </c>
      <c r="C1057" s="26" t="s">
        <v>1192</v>
      </c>
    </row>
    <row r="1058" spans="1:3" x14ac:dyDescent="0.25">
      <c r="A1058" s="36">
        <v>41206</v>
      </c>
      <c r="B1058" s="122">
        <v>8.3368055555555556E-2</v>
      </c>
      <c r="C1058" s="26" t="s">
        <v>1192</v>
      </c>
    </row>
    <row r="1059" spans="1:3" x14ac:dyDescent="0.25">
      <c r="A1059" s="36">
        <v>41206</v>
      </c>
      <c r="B1059" s="122">
        <v>8.3414351851851851E-2</v>
      </c>
      <c r="C1059" s="26" t="s">
        <v>1193</v>
      </c>
    </row>
    <row r="1060" spans="1:3" x14ac:dyDescent="0.25">
      <c r="A1060" s="36">
        <v>41206</v>
      </c>
      <c r="B1060" s="122">
        <v>8.3460648148148145E-2</v>
      </c>
      <c r="C1060" s="26" t="s">
        <v>1218</v>
      </c>
    </row>
    <row r="1061" spans="1:3" x14ac:dyDescent="0.25">
      <c r="A1061" s="36">
        <v>41206</v>
      </c>
      <c r="B1061" s="122">
        <v>8.3460648148148145E-2</v>
      </c>
      <c r="C1061" s="26" t="s">
        <v>1194</v>
      </c>
    </row>
    <row r="1062" spans="1:3" x14ac:dyDescent="0.25">
      <c r="A1062" s="36">
        <v>41206</v>
      </c>
      <c r="B1062" s="122">
        <v>8.3622685185185189E-2</v>
      </c>
      <c r="C1062" s="26" t="s">
        <v>1219</v>
      </c>
    </row>
    <row r="1063" spans="1:3" x14ac:dyDescent="0.25">
      <c r="A1063" s="36">
        <v>41206</v>
      </c>
      <c r="B1063" s="122">
        <v>8.3622685185185189E-2</v>
      </c>
      <c r="C1063" s="26" t="s">
        <v>1195</v>
      </c>
    </row>
    <row r="1064" spans="1:3" x14ac:dyDescent="0.25">
      <c r="A1064" s="36">
        <v>41206</v>
      </c>
      <c r="B1064" s="122">
        <v>8.3622685185185189E-2</v>
      </c>
      <c r="C1064" s="26" t="s">
        <v>1196</v>
      </c>
    </row>
    <row r="1065" spans="1:3" x14ac:dyDescent="0.25">
      <c r="A1065" s="36">
        <v>41206</v>
      </c>
      <c r="B1065" s="122">
        <v>8.3622685185185189E-2</v>
      </c>
      <c r="C1065" s="26" t="s">
        <v>1197</v>
      </c>
    </row>
    <row r="1066" spans="1:3" x14ac:dyDescent="0.25">
      <c r="A1066" s="36">
        <v>41206</v>
      </c>
      <c r="B1066" s="122">
        <v>8.368055555555555E-2</v>
      </c>
      <c r="C1066" s="26" t="s">
        <v>1179</v>
      </c>
    </row>
    <row r="1067" spans="1:3" x14ac:dyDescent="0.25">
      <c r="A1067" s="36">
        <v>41206</v>
      </c>
      <c r="B1067" s="122">
        <v>8.3912037037037035E-2</v>
      </c>
      <c r="C1067" s="26" t="s">
        <v>1216</v>
      </c>
    </row>
    <row r="1068" spans="1:3" x14ac:dyDescent="0.25">
      <c r="A1068" s="36">
        <v>41206</v>
      </c>
      <c r="B1068" s="122">
        <v>8.3912037037037035E-2</v>
      </c>
      <c r="C1068" s="26" t="s">
        <v>1186</v>
      </c>
    </row>
    <row r="1069" spans="1:3" x14ac:dyDescent="0.25">
      <c r="A1069" s="36">
        <v>41206</v>
      </c>
      <c r="B1069" s="122">
        <v>8.4062499999999998E-2</v>
      </c>
      <c r="C1069" s="26" t="s">
        <v>1217</v>
      </c>
    </row>
    <row r="1070" spans="1:3" x14ac:dyDescent="0.25">
      <c r="A1070" s="36">
        <v>41206</v>
      </c>
      <c r="B1070" s="122">
        <v>8.4062499999999998E-2</v>
      </c>
      <c r="C1070" s="26" t="s">
        <v>1188</v>
      </c>
    </row>
    <row r="1071" spans="1:3" x14ac:dyDescent="0.25">
      <c r="A1071" s="36">
        <v>41206</v>
      </c>
      <c r="B1071" s="122">
        <v>8.4062499999999998E-2</v>
      </c>
      <c r="C1071" s="26" t="s">
        <v>1189</v>
      </c>
    </row>
    <row r="1072" spans="1:3" x14ac:dyDescent="0.25">
      <c r="A1072" s="36">
        <v>41206</v>
      </c>
      <c r="B1072" s="122">
        <v>8.4212962962962976E-2</v>
      </c>
      <c r="C1072" s="26" t="s">
        <v>1188</v>
      </c>
    </row>
    <row r="1073" spans="1:3" x14ac:dyDescent="0.25">
      <c r="A1073" s="36">
        <v>41206</v>
      </c>
      <c r="B1073" s="122">
        <v>8.4212962962962976E-2</v>
      </c>
      <c r="C1073" s="26" t="s">
        <v>1189</v>
      </c>
    </row>
    <row r="1074" spans="1:3" x14ac:dyDescent="0.25">
      <c r="A1074" s="36">
        <v>41206</v>
      </c>
      <c r="B1074" s="122">
        <v>8.443287037037038E-2</v>
      </c>
      <c r="C1074" s="26" t="s">
        <v>1190</v>
      </c>
    </row>
    <row r="1075" spans="1:3" x14ac:dyDescent="0.25">
      <c r="A1075" s="36">
        <v>41206</v>
      </c>
      <c r="B1075" s="122">
        <v>8.4502314814814808E-2</v>
      </c>
      <c r="C1075" s="26" t="s">
        <v>1191</v>
      </c>
    </row>
    <row r="1076" spans="1:3" x14ac:dyDescent="0.25">
      <c r="A1076" s="36">
        <v>41206</v>
      </c>
      <c r="B1076" s="122">
        <v>8.4571759259259263E-2</v>
      </c>
      <c r="C1076" s="26" t="s">
        <v>1192</v>
      </c>
    </row>
    <row r="1077" spans="1:3" x14ac:dyDescent="0.25">
      <c r="A1077" s="36">
        <v>41206</v>
      </c>
      <c r="B1077" s="122">
        <v>8.4641203703703705E-2</v>
      </c>
      <c r="C1077" s="26" t="s">
        <v>1192</v>
      </c>
    </row>
    <row r="1078" spans="1:3" x14ac:dyDescent="0.25">
      <c r="A1078" s="36">
        <v>41206</v>
      </c>
      <c r="B1078" s="122">
        <v>8.6932870370370383E-2</v>
      </c>
      <c r="C1078" s="26" t="s">
        <v>1216</v>
      </c>
    </row>
    <row r="1079" spans="1:3" x14ac:dyDescent="0.25">
      <c r="A1079" s="36">
        <v>41206</v>
      </c>
      <c r="B1079" s="122">
        <v>8.6932870370370383E-2</v>
      </c>
      <c r="C1079" s="26" t="s">
        <v>1186</v>
      </c>
    </row>
    <row r="1080" spans="1:3" x14ac:dyDescent="0.25">
      <c r="A1080" s="36">
        <v>41206</v>
      </c>
      <c r="B1080" s="122">
        <v>8.8773148148148143E-2</v>
      </c>
      <c r="C1080" s="26" t="s">
        <v>1217</v>
      </c>
    </row>
    <row r="1081" spans="1:3" x14ac:dyDescent="0.25">
      <c r="A1081" s="36">
        <v>41206</v>
      </c>
      <c r="B1081" s="122">
        <v>8.8784722222222223E-2</v>
      </c>
      <c r="C1081" s="26" t="s">
        <v>1188</v>
      </c>
    </row>
    <row r="1082" spans="1:3" x14ac:dyDescent="0.25">
      <c r="A1082" s="36">
        <v>41206</v>
      </c>
      <c r="B1082" s="122">
        <v>8.8784722222222223E-2</v>
      </c>
      <c r="C1082" s="26" t="s">
        <v>1189</v>
      </c>
    </row>
    <row r="1083" spans="1:3" x14ac:dyDescent="0.25">
      <c r="A1083" s="36">
        <v>41206</v>
      </c>
      <c r="B1083" s="122">
        <v>9.0983796296296285E-2</v>
      </c>
      <c r="C1083" s="26" t="s">
        <v>1188</v>
      </c>
    </row>
    <row r="1084" spans="1:3" x14ac:dyDescent="0.25">
      <c r="A1084" s="36">
        <v>41206</v>
      </c>
      <c r="B1084" s="122">
        <v>9.0983796296296285E-2</v>
      </c>
      <c r="C1084" s="26" t="s">
        <v>1189</v>
      </c>
    </row>
    <row r="1085" spans="1:3" x14ac:dyDescent="0.25">
      <c r="A1085" s="36">
        <v>41206</v>
      </c>
      <c r="B1085" s="122">
        <v>9.1747685185185182E-2</v>
      </c>
      <c r="C1085" s="26" t="s">
        <v>1216</v>
      </c>
    </row>
    <row r="1086" spans="1:3" x14ac:dyDescent="0.25">
      <c r="A1086" s="36">
        <v>41206</v>
      </c>
      <c r="B1086" s="122">
        <v>9.1747685185185182E-2</v>
      </c>
      <c r="C1086" s="26" t="s">
        <v>1186</v>
      </c>
    </row>
    <row r="1087" spans="1:3" x14ac:dyDescent="0.25">
      <c r="A1087" s="36">
        <v>41206</v>
      </c>
      <c r="B1087" s="122">
        <v>9.1817129629629624E-2</v>
      </c>
      <c r="C1087" s="26" t="s">
        <v>1217</v>
      </c>
    </row>
    <row r="1088" spans="1:3" x14ac:dyDescent="0.25">
      <c r="A1088" s="36">
        <v>41206</v>
      </c>
      <c r="B1088" s="122">
        <v>9.1828703703703704E-2</v>
      </c>
      <c r="C1088" s="26" t="s">
        <v>1188</v>
      </c>
    </row>
    <row r="1089" spans="1:3" x14ac:dyDescent="0.25">
      <c r="A1089" s="36">
        <v>41206</v>
      </c>
      <c r="B1089" s="122">
        <v>9.1828703703703704E-2</v>
      </c>
      <c r="C1089" s="26" t="s">
        <v>1189</v>
      </c>
    </row>
    <row r="1090" spans="1:3" x14ac:dyDescent="0.25">
      <c r="A1090" s="36">
        <v>41206</v>
      </c>
      <c r="B1090" s="122">
        <v>9.1932870370370359E-2</v>
      </c>
      <c r="C1090" s="26" t="s">
        <v>1188</v>
      </c>
    </row>
    <row r="1091" spans="1:3" x14ac:dyDescent="0.25">
      <c r="A1091" s="36">
        <v>41206</v>
      </c>
      <c r="B1091" s="122">
        <v>9.1932870370370359E-2</v>
      </c>
      <c r="C1091" s="26" t="s">
        <v>1189</v>
      </c>
    </row>
    <row r="1092" spans="1:3" x14ac:dyDescent="0.25">
      <c r="A1092" s="36">
        <v>41206</v>
      </c>
      <c r="B1092" s="122">
        <v>9.2013888888888895E-2</v>
      </c>
      <c r="C1092" s="26" t="s">
        <v>1190</v>
      </c>
    </row>
    <row r="1093" spans="1:3" x14ac:dyDescent="0.25">
      <c r="A1093" s="36">
        <v>41206</v>
      </c>
      <c r="B1093" s="122">
        <v>9.2071759259259256E-2</v>
      </c>
      <c r="C1093" s="26" t="s">
        <v>1191</v>
      </c>
    </row>
    <row r="1094" spans="1:3" x14ac:dyDescent="0.25">
      <c r="A1094" s="36">
        <v>41206</v>
      </c>
      <c r="B1094" s="122">
        <v>9.22337962962963E-2</v>
      </c>
      <c r="C1094" s="26" t="s">
        <v>1192</v>
      </c>
    </row>
    <row r="1095" spans="1:3" x14ac:dyDescent="0.25">
      <c r="A1095" s="36">
        <v>41206</v>
      </c>
      <c r="B1095" s="122">
        <v>9.2303240740740741E-2</v>
      </c>
      <c r="C1095" s="26" t="s">
        <v>1192</v>
      </c>
    </row>
    <row r="1096" spans="1:3" x14ac:dyDescent="0.25">
      <c r="A1096" s="36">
        <v>41206</v>
      </c>
      <c r="B1096" s="122">
        <v>9.2372685185185197E-2</v>
      </c>
      <c r="C1096" s="26" t="s">
        <v>1193</v>
      </c>
    </row>
    <row r="1097" spans="1:3" x14ac:dyDescent="0.25">
      <c r="A1097" s="36">
        <v>41206</v>
      </c>
      <c r="B1097" s="122">
        <v>9.2465277777777785E-2</v>
      </c>
      <c r="C1097" s="26" t="s">
        <v>1218</v>
      </c>
    </row>
    <row r="1098" spans="1:3" x14ac:dyDescent="0.25">
      <c r="A1098" s="36">
        <v>41206</v>
      </c>
      <c r="B1098" s="122">
        <v>9.2465277777777785E-2</v>
      </c>
      <c r="C1098" s="26" t="s">
        <v>1194</v>
      </c>
    </row>
    <row r="1099" spans="1:3" x14ac:dyDescent="0.25">
      <c r="A1099" s="36">
        <v>41206</v>
      </c>
      <c r="B1099" s="122">
        <v>9.2534722222222213E-2</v>
      </c>
      <c r="C1099" s="26" t="s">
        <v>1219</v>
      </c>
    </row>
    <row r="1100" spans="1:3" x14ac:dyDescent="0.25">
      <c r="A1100" s="36">
        <v>41206</v>
      </c>
      <c r="B1100" s="122">
        <v>9.2546296296296293E-2</v>
      </c>
      <c r="C1100" s="26" t="s">
        <v>1195</v>
      </c>
    </row>
    <row r="1101" spans="1:3" x14ac:dyDescent="0.25">
      <c r="A1101" s="36">
        <v>41206</v>
      </c>
      <c r="B1101" s="122">
        <v>9.2546296296296293E-2</v>
      </c>
      <c r="C1101" s="26" t="s">
        <v>1196</v>
      </c>
    </row>
    <row r="1102" spans="1:3" x14ac:dyDescent="0.25">
      <c r="A1102" s="36">
        <v>41206</v>
      </c>
      <c r="B1102" s="122">
        <v>9.2546296296296293E-2</v>
      </c>
      <c r="C1102" s="26" t="s">
        <v>1197</v>
      </c>
    </row>
    <row r="1103" spans="1:3" x14ac:dyDescent="0.25">
      <c r="A1103" s="36">
        <v>41206</v>
      </c>
      <c r="B1103" s="122">
        <v>9.2592592592592601E-2</v>
      </c>
      <c r="C1103" s="26" t="s">
        <v>1179</v>
      </c>
    </row>
    <row r="1104" spans="1:3" x14ac:dyDescent="0.25">
      <c r="A1104" s="36">
        <v>41206</v>
      </c>
      <c r="B1104" s="122">
        <v>9.2673611111111109E-2</v>
      </c>
      <c r="C1104" s="26" t="s">
        <v>1198</v>
      </c>
    </row>
    <row r="1105" spans="1:3" x14ac:dyDescent="0.25">
      <c r="A1105" s="36">
        <v>41206</v>
      </c>
      <c r="B1105" s="122">
        <v>9.302083333333333E-2</v>
      </c>
      <c r="C1105" s="26" t="s">
        <v>1199</v>
      </c>
    </row>
    <row r="1106" spans="1:3" x14ac:dyDescent="0.25">
      <c r="A1106" s="36">
        <v>41206</v>
      </c>
      <c r="B1106" s="122">
        <v>9.302083333333333E-2</v>
      </c>
      <c r="C1106" s="26" t="s">
        <v>1200</v>
      </c>
    </row>
    <row r="1107" spans="1:3" x14ac:dyDescent="0.25">
      <c r="A1107" s="36">
        <v>41207</v>
      </c>
      <c r="B1107" s="122">
        <v>2.4039351851851853E-2</v>
      </c>
      <c r="C1107" s="26" t="s">
        <v>1216</v>
      </c>
    </row>
    <row r="1108" spans="1:3" x14ac:dyDescent="0.25">
      <c r="A1108" s="36">
        <v>41207</v>
      </c>
      <c r="B1108" s="122">
        <v>2.4039351851851853E-2</v>
      </c>
      <c r="C1108" s="26" t="s">
        <v>1186</v>
      </c>
    </row>
    <row r="1109" spans="1:3" x14ac:dyDescent="0.25">
      <c r="A1109" s="36">
        <v>41207</v>
      </c>
      <c r="B1109" s="122">
        <v>2.4085648148148148E-2</v>
      </c>
      <c r="C1109" s="26" t="s">
        <v>1217</v>
      </c>
    </row>
    <row r="1110" spans="1:3" x14ac:dyDescent="0.25">
      <c r="A1110" s="36">
        <v>41207</v>
      </c>
      <c r="B1110" s="122">
        <v>2.4097222222222225E-2</v>
      </c>
      <c r="C1110" s="26" t="s">
        <v>1188</v>
      </c>
    </row>
    <row r="1111" spans="1:3" x14ac:dyDescent="0.25">
      <c r="A1111" s="36">
        <v>41207</v>
      </c>
      <c r="B1111" s="122">
        <v>2.4097222222222225E-2</v>
      </c>
      <c r="C1111" s="26" t="s">
        <v>1189</v>
      </c>
    </row>
    <row r="1112" spans="1:3" x14ac:dyDescent="0.25">
      <c r="A1112" s="36">
        <v>41207</v>
      </c>
      <c r="B1112" s="122">
        <v>2.4143518518518519E-2</v>
      </c>
      <c r="C1112" s="26" t="s">
        <v>1188</v>
      </c>
    </row>
    <row r="1113" spans="1:3" x14ac:dyDescent="0.25">
      <c r="A1113" s="36">
        <v>41207</v>
      </c>
      <c r="B1113" s="122">
        <v>2.4143518518518519E-2</v>
      </c>
      <c r="C1113" s="26" t="s">
        <v>1189</v>
      </c>
    </row>
    <row r="1114" spans="1:3" x14ac:dyDescent="0.25">
      <c r="A1114" s="36">
        <v>41207</v>
      </c>
      <c r="B1114" s="122">
        <v>2.4201388888888887E-2</v>
      </c>
      <c r="C1114" s="26" t="s">
        <v>1190</v>
      </c>
    </row>
    <row r="1115" spans="1:3" x14ac:dyDescent="0.25">
      <c r="A1115" s="36">
        <v>41207</v>
      </c>
      <c r="B1115" s="122">
        <v>2.8506944444444442E-2</v>
      </c>
      <c r="C1115" s="26" t="s">
        <v>1216</v>
      </c>
    </row>
    <row r="1116" spans="1:3" x14ac:dyDescent="0.25">
      <c r="A1116" s="36">
        <v>41207</v>
      </c>
      <c r="B1116" s="122">
        <v>2.8506944444444442E-2</v>
      </c>
      <c r="C1116" s="26" t="s">
        <v>1186</v>
      </c>
    </row>
    <row r="1117" spans="1:3" x14ac:dyDescent="0.25">
      <c r="A1117" s="36">
        <v>41207</v>
      </c>
      <c r="B1117" s="122">
        <v>2.855324074074074E-2</v>
      </c>
      <c r="C1117" s="26" t="s">
        <v>1217</v>
      </c>
    </row>
    <row r="1118" spans="1:3" x14ac:dyDescent="0.25">
      <c r="A1118" s="36">
        <v>41207</v>
      </c>
      <c r="B1118" s="122">
        <v>2.855324074074074E-2</v>
      </c>
      <c r="C1118" s="26" t="s">
        <v>1188</v>
      </c>
    </row>
    <row r="1119" spans="1:3" x14ac:dyDescent="0.25">
      <c r="A1119" s="36">
        <v>41207</v>
      </c>
      <c r="B1119" s="122">
        <v>2.855324074074074E-2</v>
      </c>
      <c r="C1119" s="26" t="s">
        <v>1189</v>
      </c>
    </row>
    <row r="1120" spans="1:3" x14ac:dyDescent="0.25">
      <c r="A1120" s="36">
        <v>41207</v>
      </c>
      <c r="B1120" s="122">
        <v>2.8622685185185185E-2</v>
      </c>
      <c r="C1120" s="26" t="s">
        <v>1188</v>
      </c>
    </row>
    <row r="1121" spans="1:3" x14ac:dyDescent="0.25">
      <c r="A1121" s="36">
        <v>41207</v>
      </c>
      <c r="B1121" s="122">
        <v>2.8622685185185185E-2</v>
      </c>
      <c r="C1121" s="26" t="s">
        <v>1189</v>
      </c>
    </row>
    <row r="1122" spans="1:3" x14ac:dyDescent="0.25">
      <c r="A1122" s="36">
        <v>41207</v>
      </c>
      <c r="B1122" s="122">
        <v>2.8680555555555553E-2</v>
      </c>
      <c r="C1122" s="26" t="s">
        <v>1190</v>
      </c>
    </row>
    <row r="1123" spans="1:3" x14ac:dyDescent="0.25">
      <c r="A1123" s="36">
        <v>41207</v>
      </c>
      <c r="B1123" s="122">
        <v>4.445601851851852E-2</v>
      </c>
      <c r="C1123" s="26" t="s">
        <v>1216</v>
      </c>
    </row>
    <row r="1124" spans="1:3" x14ac:dyDescent="0.25">
      <c r="A1124" s="36">
        <v>41207</v>
      </c>
      <c r="B1124" s="122">
        <v>4.445601851851852E-2</v>
      </c>
      <c r="C1124" s="26" t="s">
        <v>1186</v>
      </c>
    </row>
    <row r="1125" spans="1:3" x14ac:dyDescent="0.25">
      <c r="A1125" s="36">
        <v>41207</v>
      </c>
      <c r="B1125" s="122">
        <v>4.4502314814814814E-2</v>
      </c>
      <c r="C1125" s="26" t="s">
        <v>1217</v>
      </c>
    </row>
    <row r="1126" spans="1:3" x14ac:dyDescent="0.25">
      <c r="A1126" s="36">
        <v>41207</v>
      </c>
      <c r="B1126" s="122">
        <v>4.4502314814814814E-2</v>
      </c>
      <c r="C1126" s="26" t="s">
        <v>1188</v>
      </c>
    </row>
    <row r="1127" spans="1:3" x14ac:dyDescent="0.25">
      <c r="A1127" s="36">
        <v>41207</v>
      </c>
      <c r="B1127" s="122">
        <v>4.4502314814814814E-2</v>
      </c>
      <c r="C1127" s="26" t="s">
        <v>1189</v>
      </c>
    </row>
    <row r="1128" spans="1:3" x14ac:dyDescent="0.25">
      <c r="A1128" s="36">
        <v>41207</v>
      </c>
      <c r="B1128" s="122">
        <v>4.4548611111111108E-2</v>
      </c>
      <c r="C1128" s="26" t="s">
        <v>1188</v>
      </c>
    </row>
    <row r="1129" spans="1:3" x14ac:dyDescent="0.25">
      <c r="A1129" s="36">
        <v>41207</v>
      </c>
      <c r="B1129" s="122">
        <v>4.4548611111111108E-2</v>
      </c>
      <c r="C1129" s="26" t="s">
        <v>1189</v>
      </c>
    </row>
    <row r="1130" spans="1:3" x14ac:dyDescent="0.25">
      <c r="A1130" s="36">
        <v>41207</v>
      </c>
      <c r="B1130" s="122">
        <v>4.4594907407407409E-2</v>
      </c>
      <c r="C1130" s="26" t="s">
        <v>1190</v>
      </c>
    </row>
    <row r="1131" spans="1:3" x14ac:dyDescent="0.25">
      <c r="A1131" s="36">
        <v>41207</v>
      </c>
      <c r="B1131" s="122">
        <v>0.71572916666666664</v>
      </c>
      <c r="C1131" s="26" t="s">
        <v>1221</v>
      </c>
    </row>
    <row r="1132" spans="1:3" x14ac:dyDescent="0.25">
      <c r="A1132" s="36">
        <v>41207</v>
      </c>
      <c r="B1132" s="122">
        <v>0.72103009259259254</v>
      </c>
      <c r="C1132" s="26" t="s">
        <v>1222</v>
      </c>
    </row>
    <row r="1133" spans="1:3" x14ac:dyDescent="0.25">
      <c r="A1133" s="36">
        <v>41207</v>
      </c>
      <c r="B1133" s="122">
        <v>0.72288194444444442</v>
      </c>
      <c r="C1133" s="26" t="s">
        <v>1089</v>
      </c>
    </row>
    <row r="1134" spans="1:3" x14ac:dyDescent="0.25">
      <c r="A1134" s="36">
        <v>41207</v>
      </c>
      <c r="B1134" s="122">
        <v>0.72288194444444442</v>
      </c>
      <c r="C1134" s="26" t="s">
        <v>1090</v>
      </c>
    </row>
    <row r="1135" spans="1:3" x14ac:dyDescent="0.25">
      <c r="A1135" s="36">
        <v>41207</v>
      </c>
      <c r="B1135" s="122">
        <v>0.72288194444444442</v>
      </c>
      <c r="C1135" s="26" t="s">
        <v>1091</v>
      </c>
    </row>
    <row r="1136" spans="1:3" x14ac:dyDescent="0.25">
      <c r="A1136" s="36">
        <v>41207</v>
      </c>
      <c r="B1136" s="122">
        <v>0.72288194444444442</v>
      </c>
      <c r="C1136" s="26" t="s">
        <v>1092</v>
      </c>
    </row>
    <row r="1137" spans="1:3" x14ac:dyDescent="0.25">
      <c r="A1137" s="36">
        <v>41207</v>
      </c>
      <c r="B1137" s="122">
        <v>0.72288194444444442</v>
      </c>
      <c r="C1137" s="26" t="s">
        <v>1001</v>
      </c>
    </row>
    <row r="1138" spans="1:3" x14ac:dyDescent="0.25">
      <c r="A1138" s="36">
        <v>41207</v>
      </c>
      <c r="B1138" s="122">
        <v>0.72288194444444442</v>
      </c>
      <c r="C1138" s="26" t="s">
        <v>1093</v>
      </c>
    </row>
    <row r="1139" spans="1:3" x14ac:dyDescent="0.25">
      <c r="A1139" s="36">
        <v>41207</v>
      </c>
      <c r="B1139" s="122">
        <v>0.72288194444444442</v>
      </c>
      <c r="C1139" s="26" t="s">
        <v>1094</v>
      </c>
    </row>
    <row r="1140" spans="1:3" x14ac:dyDescent="0.25">
      <c r="A1140" s="36">
        <v>41207</v>
      </c>
      <c r="B1140" s="122">
        <v>0.72288194444444442</v>
      </c>
      <c r="C1140" s="26" t="s">
        <v>1095</v>
      </c>
    </row>
    <row r="1141" spans="1:3" x14ac:dyDescent="0.25">
      <c r="A1141" s="36">
        <v>41207</v>
      </c>
      <c r="B1141" s="122">
        <v>0.72288194444444442</v>
      </c>
      <c r="C1141" s="26" t="s">
        <v>1094</v>
      </c>
    </row>
    <row r="1142" spans="1:3" x14ac:dyDescent="0.25">
      <c r="A1142" s="36">
        <v>41207</v>
      </c>
      <c r="B1142" s="122">
        <v>0.72288194444444442</v>
      </c>
      <c r="C1142" s="26" t="s">
        <v>1096</v>
      </c>
    </row>
    <row r="1143" spans="1:3" x14ac:dyDescent="0.25">
      <c r="A1143" s="36">
        <v>41207</v>
      </c>
      <c r="B1143" s="122">
        <v>0.72288194444444442</v>
      </c>
      <c r="C1143" s="26" t="s">
        <v>1097</v>
      </c>
    </row>
    <row r="1144" spans="1:3" x14ac:dyDescent="0.25">
      <c r="A1144" s="36">
        <v>41207</v>
      </c>
      <c r="B1144" s="122">
        <v>0.72288194444444442</v>
      </c>
      <c r="C1144" s="26" t="s">
        <v>1098</v>
      </c>
    </row>
    <row r="1145" spans="1:3" x14ac:dyDescent="0.25">
      <c r="A1145" s="36">
        <v>41207</v>
      </c>
      <c r="B1145" s="122">
        <v>0.72288194444444442</v>
      </c>
      <c r="C1145" s="26" t="s">
        <v>1097</v>
      </c>
    </row>
    <row r="1146" spans="1:3" x14ac:dyDescent="0.25">
      <c r="A1146" s="36">
        <v>41207</v>
      </c>
      <c r="B1146" s="122">
        <v>0.72288194444444442</v>
      </c>
      <c r="C1146" s="26" t="s">
        <v>1099</v>
      </c>
    </row>
    <row r="1147" spans="1:3" x14ac:dyDescent="0.25">
      <c r="A1147" s="36">
        <v>41207</v>
      </c>
      <c r="B1147" s="122">
        <v>0.72288194444444442</v>
      </c>
      <c r="C1147" s="26" t="s">
        <v>1100</v>
      </c>
    </row>
    <row r="1148" spans="1:3" x14ac:dyDescent="0.25">
      <c r="A1148" s="36">
        <v>41207</v>
      </c>
      <c r="B1148" s="122">
        <v>0.72288194444444442</v>
      </c>
      <c r="C1148" s="26" t="s">
        <v>1101</v>
      </c>
    </row>
    <row r="1149" spans="1:3" x14ac:dyDescent="0.25">
      <c r="A1149" s="36">
        <v>41207</v>
      </c>
      <c r="B1149" s="122">
        <v>0.72288194444444442</v>
      </c>
      <c r="C1149" s="26" t="s">
        <v>1100</v>
      </c>
    </row>
    <row r="1150" spans="1:3" x14ac:dyDescent="0.25">
      <c r="A1150" s="36">
        <v>41207</v>
      </c>
      <c r="B1150" s="122">
        <v>0.72288194444444442</v>
      </c>
      <c r="C1150" s="26" t="s">
        <v>1223</v>
      </c>
    </row>
    <row r="1151" spans="1:3" x14ac:dyDescent="0.25">
      <c r="A1151" s="36">
        <v>41207</v>
      </c>
      <c r="B1151" s="122">
        <v>0.72289351851851846</v>
      </c>
      <c r="C1151" s="26" t="s">
        <v>1100</v>
      </c>
    </row>
    <row r="1152" spans="1:3" x14ac:dyDescent="0.25">
      <c r="A1152" s="36">
        <v>41207</v>
      </c>
      <c r="B1152" s="122">
        <v>0.72289351851851846</v>
      </c>
      <c r="C1152" s="26" t="s">
        <v>1224</v>
      </c>
    </row>
    <row r="1153" spans="1:3" x14ac:dyDescent="0.25">
      <c r="A1153" s="36">
        <v>41207</v>
      </c>
      <c r="B1153" s="122">
        <v>0.72289351851851846</v>
      </c>
      <c r="C1153" s="26" t="s">
        <v>1225</v>
      </c>
    </row>
    <row r="1154" spans="1:3" x14ac:dyDescent="0.25">
      <c r="A1154" s="36">
        <v>41207</v>
      </c>
      <c r="B1154" s="122">
        <v>0.72429398148148139</v>
      </c>
      <c r="C1154" s="26" t="s">
        <v>1145</v>
      </c>
    </row>
    <row r="1155" spans="1:3" x14ac:dyDescent="0.25">
      <c r="A1155" s="36">
        <v>41207</v>
      </c>
      <c r="B1155" s="122">
        <v>0.72599537037037043</v>
      </c>
      <c r="C1155" s="26" t="s">
        <v>1089</v>
      </c>
    </row>
    <row r="1156" spans="1:3" x14ac:dyDescent="0.25">
      <c r="A1156" s="36">
        <v>41207</v>
      </c>
      <c r="B1156" s="122">
        <v>0.72599537037037043</v>
      </c>
      <c r="C1156" s="26" t="s">
        <v>1090</v>
      </c>
    </row>
    <row r="1157" spans="1:3" x14ac:dyDescent="0.25">
      <c r="A1157" s="36">
        <v>41207</v>
      </c>
      <c r="B1157" s="122">
        <v>0.72599537037037043</v>
      </c>
      <c r="C1157" s="26" t="s">
        <v>1091</v>
      </c>
    </row>
    <row r="1158" spans="1:3" x14ac:dyDescent="0.25">
      <c r="A1158" s="36">
        <v>41207</v>
      </c>
      <c r="B1158" s="122">
        <v>0.72599537037037043</v>
      </c>
      <c r="C1158" s="26" t="s">
        <v>1092</v>
      </c>
    </row>
    <row r="1159" spans="1:3" x14ac:dyDescent="0.25">
      <c r="A1159" s="36">
        <v>41207</v>
      </c>
      <c r="B1159" s="122">
        <v>0.72599537037037043</v>
      </c>
      <c r="C1159" s="26" t="s">
        <v>1001</v>
      </c>
    </row>
    <row r="1160" spans="1:3" x14ac:dyDescent="0.25">
      <c r="A1160" s="36">
        <v>41207</v>
      </c>
      <c r="B1160" s="122">
        <v>0.72599537037037043</v>
      </c>
      <c r="C1160" s="26" t="s">
        <v>1093</v>
      </c>
    </row>
    <row r="1161" spans="1:3" x14ac:dyDescent="0.25">
      <c r="A1161" s="36">
        <v>41207</v>
      </c>
      <c r="B1161" s="122">
        <v>0.72599537037037043</v>
      </c>
      <c r="C1161" s="26" t="s">
        <v>1094</v>
      </c>
    </row>
    <row r="1162" spans="1:3" x14ac:dyDescent="0.25">
      <c r="A1162" s="36">
        <v>41207</v>
      </c>
      <c r="B1162" s="122">
        <v>0.72599537037037043</v>
      </c>
      <c r="C1162" s="26" t="s">
        <v>1095</v>
      </c>
    </row>
    <row r="1163" spans="1:3" x14ac:dyDescent="0.25">
      <c r="A1163" s="36">
        <v>41207</v>
      </c>
      <c r="B1163" s="122">
        <v>0.72599537037037043</v>
      </c>
      <c r="C1163" s="26" t="s">
        <v>1094</v>
      </c>
    </row>
    <row r="1164" spans="1:3" x14ac:dyDescent="0.25">
      <c r="A1164" s="36">
        <v>41207</v>
      </c>
      <c r="B1164" s="122">
        <v>0.72599537037037043</v>
      </c>
      <c r="C1164" s="26" t="s">
        <v>1096</v>
      </c>
    </row>
    <row r="1165" spans="1:3" x14ac:dyDescent="0.25">
      <c r="A1165" s="36">
        <v>41207</v>
      </c>
      <c r="B1165" s="122">
        <v>0.72599537037037043</v>
      </c>
      <c r="C1165" s="26" t="s">
        <v>1097</v>
      </c>
    </row>
    <row r="1166" spans="1:3" x14ac:dyDescent="0.25">
      <c r="A1166" s="36">
        <v>41207</v>
      </c>
      <c r="B1166" s="122">
        <v>0.72599537037037043</v>
      </c>
      <c r="C1166" s="26" t="s">
        <v>1098</v>
      </c>
    </row>
    <row r="1167" spans="1:3" x14ac:dyDescent="0.25">
      <c r="A1167" s="36">
        <v>41207</v>
      </c>
      <c r="B1167" s="122">
        <v>0.72599537037037043</v>
      </c>
      <c r="C1167" s="26" t="s">
        <v>1097</v>
      </c>
    </row>
    <row r="1168" spans="1:3" x14ac:dyDescent="0.25">
      <c r="A1168" s="36">
        <v>41207</v>
      </c>
      <c r="B1168" s="122">
        <v>0.72599537037037043</v>
      </c>
      <c r="C1168" s="26" t="s">
        <v>1099</v>
      </c>
    </row>
    <row r="1169" spans="1:3" x14ac:dyDescent="0.25">
      <c r="A1169" s="36">
        <v>41207</v>
      </c>
      <c r="B1169" s="122">
        <v>0.72599537037037043</v>
      </c>
      <c r="C1169" s="26" t="s">
        <v>1100</v>
      </c>
    </row>
    <row r="1170" spans="1:3" x14ac:dyDescent="0.25">
      <c r="A1170" s="36">
        <v>41207</v>
      </c>
      <c r="B1170" s="122">
        <v>0.72599537037037043</v>
      </c>
      <c r="C1170" s="26" t="s">
        <v>1101</v>
      </c>
    </row>
    <row r="1171" spans="1:3" x14ac:dyDescent="0.25">
      <c r="A1171" s="36">
        <v>41207</v>
      </c>
      <c r="B1171" s="122">
        <v>0.72599537037037043</v>
      </c>
      <c r="C1171" s="26" t="s">
        <v>1100</v>
      </c>
    </row>
    <row r="1172" spans="1:3" x14ac:dyDescent="0.25">
      <c r="A1172" s="36">
        <v>41207</v>
      </c>
      <c r="B1172" s="122">
        <v>0.72599537037037043</v>
      </c>
      <c r="C1172" s="26" t="s">
        <v>1223</v>
      </c>
    </row>
    <row r="1173" spans="1:3" x14ac:dyDescent="0.25">
      <c r="A1173" s="36">
        <v>41207</v>
      </c>
      <c r="B1173" s="122">
        <v>0.72600694444444447</v>
      </c>
      <c r="C1173" s="26" t="s">
        <v>1100</v>
      </c>
    </row>
    <row r="1174" spans="1:3" x14ac:dyDescent="0.25">
      <c r="A1174" s="36">
        <v>41207</v>
      </c>
      <c r="B1174" s="122">
        <v>0.72600694444444447</v>
      </c>
      <c r="C1174" s="26" t="s">
        <v>1224</v>
      </c>
    </row>
    <row r="1175" spans="1:3" x14ac:dyDescent="0.25">
      <c r="A1175" s="36">
        <v>41207</v>
      </c>
      <c r="B1175" s="122">
        <v>0.72600694444444447</v>
      </c>
      <c r="C1175" s="26" t="s">
        <v>1225</v>
      </c>
    </row>
    <row r="1176" spans="1:3" x14ac:dyDescent="0.25">
      <c r="A1176" s="36">
        <v>41207</v>
      </c>
      <c r="B1176" s="122">
        <v>0.72853009259259249</v>
      </c>
      <c r="C1176" s="26" t="s">
        <v>1226</v>
      </c>
    </row>
    <row r="1177" spans="1:3" x14ac:dyDescent="0.25">
      <c r="A1177" s="36">
        <v>41208</v>
      </c>
      <c r="B1177" s="122">
        <v>0.82184027777777768</v>
      </c>
      <c r="C1177" s="26" t="s">
        <v>1089</v>
      </c>
    </row>
    <row r="1178" spans="1:3" x14ac:dyDescent="0.25">
      <c r="A1178" s="36">
        <v>41208</v>
      </c>
      <c r="B1178" s="122">
        <v>0.82184027777777768</v>
      </c>
      <c r="C1178" s="26" t="s">
        <v>1090</v>
      </c>
    </row>
    <row r="1179" spans="1:3" x14ac:dyDescent="0.25">
      <c r="A1179" s="36">
        <v>41208</v>
      </c>
      <c r="B1179" s="122">
        <v>0.82184027777777768</v>
      </c>
      <c r="C1179" s="26" t="s">
        <v>1091</v>
      </c>
    </row>
    <row r="1180" spans="1:3" x14ac:dyDescent="0.25">
      <c r="A1180" s="36">
        <v>41208</v>
      </c>
      <c r="B1180" s="122">
        <v>0.82184027777777768</v>
      </c>
      <c r="C1180" s="26" t="s">
        <v>1092</v>
      </c>
    </row>
    <row r="1181" spans="1:3" x14ac:dyDescent="0.25">
      <c r="A1181" s="36">
        <v>41208</v>
      </c>
      <c r="B1181" s="122">
        <v>0.82184027777777768</v>
      </c>
      <c r="C1181" s="26" t="s">
        <v>1001</v>
      </c>
    </row>
    <row r="1182" spans="1:3" x14ac:dyDescent="0.25">
      <c r="A1182" s="36">
        <v>41208</v>
      </c>
      <c r="B1182" s="122">
        <v>0.82184027777777768</v>
      </c>
      <c r="C1182" s="26" t="s">
        <v>1093</v>
      </c>
    </row>
    <row r="1183" spans="1:3" x14ac:dyDescent="0.25">
      <c r="A1183" s="36">
        <v>41208</v>
      </c>
      <c r="B1183" s="122">
        <v>0.82184027777777768</v>
      </c>
      <c r="C1183" s="26" t="s">
        <v>1094</v>
      </c>
    </row>
    <row r="1184" spans="1:3" x14ac:dyDescent="0.25">
      <c r="A1184" s="36">
        <v>41208</v>
      </c>
      <c r="B1184" s="122">
        <v>0.82184027777777768</v>
      </c>
      <c r="C1184" s="26" t="s">
        <v>1095</v>
      </c>
    </row>
    <row r="1185" spans="1:3" x14ac:dyDescent="0.25">
      <c r="A1185" s="36">
        <v>41208</v>
      </c>
      <c r="B1185" s="122">
        <v>0.82184027777777768</v>
      </c>
      <c r="C1185" s="26" t="s">
        <v>1094</v>
      </c>
    </row>
    <row r="1186" spans="1:3" x14ac:dyDescent="0.25">
      <c r="A1186" s="36">
        <v>41208</v>
      </c>
      <c r="B1186" s="122">
        <v>0.82184027777777768</v>
      </c>
      <c r="C1186" s="26" t="s">
        <v>1096</v>
      </c>
    </row>
    <row r="1187" spans="1:3" x14ac:dyDescent="0.25">
      <c r="A1187" s="36">
        <v>41208</v>
      </c>
      <c r="B1187" s="122">
        <v>0.82184027777777768</v>
      </c>
      <c r="C1187" s="26" t="s">
        <v>1097</v>
      </c>
    </row>
    <row r="1188" spans="1:3" x14ac:dyDescent="0.25">
      <c r="A1188" s="36">
        <v>41208</v>
      </c>
      <c r="B1188" s="122">
        <v>0.82184027777777768</v>
      </c>
      <c r="C1188" s="26" t="s">
        <v>1098</v>
      </c>
    </row>
    <row r="1189" spans="1:3" x14ac:dyDescent="0.25">
      <c r="A1189" s="36">
        <v>41208</v>
      </c>
      <c r="B1189" s="122">
        <v>0.82184027777777768</v>
      </c>
      <c r="C1189" s="26" t="s">
        <v>1097</v>
      </c>
    </row>
    <row r="1190" spans="1:3" x14ac:dyDescent="0.25">
      <c r="A1190" s="36">
        <v>41208</v>
      </c>
      <c r="B1190" s="122">
        <v>0.82184027777777768</v>
      </c>
      <c r="C1190" s="26" t="s">
        <v>1099</v>
      </c>
    </row>
    <row r="1191" spans="1:3" x14ac:dyDescent="0.25">
      <c r="A1191" s="36">
        <v>41208</v>
      </c>
      <c r="B1191" s="122">
        <v>0.82184027777777768</v>
      </c>
      <c r="C1191" s="26" t="s">
        <v>1100</v>
      </c>
    </row>
    <row r="1192" spans="1:3" x14ac:dyDescent="0.25">
      <c r="A1192" s="36">
        <v>41208</v>
      </c>
      <c r="B1192" s="122">
        <v>0.82184027777777768</v>
      </c>
      <c r="C1192" s="26" t="s">
        <v>1101</v>
      </c>
    </row>
    <row r="1193" spans="1:3" x14ac:dyDescent="0.25">
      <c r="A1193" s="36">
        <v>41208</v>
      </c>
      <c r="B1193" s="122">
        <v>0.82184027777777768</v>
      </c>
      <c r="C1193" s="26" t="s">
        <v>1100</v>
      </c>
    </row>
    <row r="1194" spans="1:3" x14ac:dyDescent="0.25">
      <c r="A1194" s="36">
        <v>41208</v>
      </c>
      <c r="B1194" s="122">
        <v>0.82184027777777768</v>
      </c>
      <c r="C1194" s="26" t="s">
        <v>1223</v>
      </c>
    </row>
    <row r="1195" spans="1:3" x14ac:dyDescent="0.25">
      <c r="A1195" s="36">
        <v>41208</v>
      </c>
      <c r="B1195" s="122">
        <v>0.82184027777777768</v>
      </c>
      <c r="C1195" s="26" t="s">
        <v>1100</v>
      </c>
    </row>
    <row r="1196" spans="1:3" x14ac:dyDescent="0.25">
      <c r="A1196" s="36">
        <v>41208</v>
      </c>
      <c r="B1196" s="122">
        <v>0.82184027777777768</v>
      </c>
      <c r="C1196" s="26" t="s">
        <v>1224</v>
      </c>
    </row>
    <row r="1197" spans="1:3" x14ac:dyDescent="0.25">
      <c r="A1197" s="36">
        <v>41208</v>
      </c>
      <c r="B1197" s="122">
        <v>0.82276620370370368</v>
      </c>
      <c r="C1197" s="26" t="s">
        <v>1087</v>
      </c>
    </row>
    <row r="1198" spans="1:3" x14ac:dyDescent="0.25">
      <c r="A1198" s="36">
        <v>41208</v>
      </c>
      <c r="B1198" s="122">
        <v>0.82289351851851855</v>
      </c>
      <c r="C1198" s="26" t="s">
        <v>1088</v>
      </c>
    </row>
    <row r="1199" spans="1:3" x14ac:dyDescent="0.25">
      <c r="A1199" s="36">
        <v>41208</v>
      </c>
      <c r="B1199" s="122">
        <v>0.85282407407407401</v>
      </c>
      <c r="C1199" s="26" t="s">
        <v>1089</v>
      </c>
    </row>
    <row r="1200" spans="1:3" x14ac:dyDescent="0.25">
      <c r="A1200" s="36">
        <v>41208</v>
      </c>
      <c r="B1200" s="122">
        <v>0.87796296296296295</v>
      </c>
      <c r="C1200" s="26" t="s">
        <v>1090</v>
      </c>
    </row>
    <row r="1201" spans="1:3" x14ac:dyDescent="0.25">
      <c r="A1201" s="36">
        <v>41208</v>
      </c>
      <c r="B1201" s="122">
        <v>0.87959490740740742</v>
      </c>
      <c r="C1201" s="26" t="s">
        <v>1091</v>
      </c>
    </row>
    <row r="1202" spans="1:3" x14ac:dyDescent="0.25">
      <c r="A1202" s="36">
        <v>41208</v>
      </c>
      <c r="B1202" s="122">
        <v>0.88049768518518512</v>
      </c>
      <c r="C1202" s="26" t="s">
        <v>1092</v>
      </c>
    </row>
    <row r="1203" spans="1:3" x14ac:dyDescent="0.25">
      <c r="A1203" s="36">
        <v>41208</v>
      </c>
      <c r="B1203" s="122">
        <v>0.88167824074074075</v>
      </c>
      <c r="C1203" s="26" t="s">
        <v>1001</v>
      </c>
    </row>
    <row r="1204" spans="1:3" x14ac:dyDescent="0.25">
      <c r="A1204" s="36">
        <v>41208</v>
      </c>
      <c r="B1204" s="122">
        <v>0.88210648148148152</v>
      </c>
      <c r="C1204" s="26" t="s">
        <v>1093</v>
      </c>
    </row>
    <row r="1205" spans="1:3" x14ac:dyDescent="0.25">
      <c r="A1205" s="36">
        <v>41208</v>
      </c>
      <c r="B1205" s="122">
        <v>0.88488425925925929</v>
      </c>
      <c r="C1205" s="26" t="s">
        <v>1094</v>
      </c>
    </row>
    <row r="1206" spans="1:3" x14ac:dyDescent="0.25">
      <c r="A1206" s="36">
        <v>41208</v>
      </c>
      <c r="B1206" s="122">
        <v>0.88511574074074073</v>
      </c>
      <c r="C1206" s="26" t="s">
        <v>1095</v>
      </c>
    </row>
    <row r="1207" spans="1:3" x14ac:dyDescent="0.25">
      <c r="A1207" s="36">
        <v>41208</v>
      </c>
      <c r="B1207" s="122">
        <v>0.88546296296296301</v>
      </c>
      <c r="C1207" s="26" t="s">
        <v>1094</v>
      </c>
    </row>
    <row r="1208" spans="1:3" x14ac:dyDescent="0.25">
      <c r="A1208" s="36">
        <v>41208</v>
      </c>
      <c r="B1208" s="122">
        <v>0.88585648148148144</v>
      </c>
      <c r="C1208" s="26" t="s">
        <v>1096</v>
      </c>
    </row>
    <row r="1209" spans="1:3" x14ac:dyDescent="0.25">
      <c r="A1209" s="36">
        <v>41208</v>
      </c>
      <c r="B1209" s="122">
        <v>0.88912037037037039</v>
      </c>
      <c r="C1209" s="26" t="s">
        <v>1097</v>
      </c>
    </row>
    <row r="1210" spans="1:3" x14ac:dyDescent="0.25">
      <c r="A1210" s="36">
        <v>41208</v>
      </c>
      <c r="B1210" s="122">
        <v>0.88973379629629623</v>
      </c>
      <c r="C1210" s="26" t="s">
        <v>1098</v>
      </c>
    </row>
    <row r="1211" spans="1:3" x14ac:dyDescent="0.25">
      <c r="A1211" s="36">
        <v>41208</v>
      </c>
      <c r="B1211" s="122">
        <v>0.89023148148148146</v>
      </c>
      <c r="C1211" s="26" t="s">
        <v>1097</v>
      </c>
    </row>
    <row r="1212" spans="1:3" x14ac:dyDescent="0.25">
      <c r="A1212" s="36">
        <v>41208</v>
      </c>
      <c r="B1212" s="122">
        <v>0.89559027777777767</v>
      </c>
      <c r="C1212" s="26" t="s">
        <v>1099</v>
      </c>
    </row>
    <row r="1213" spans="1:3" x14ac:dyDescent="0.25">
      <c r="A1213" s="36">
        <v>41208</v>
      </c>
      <c r="B1213" s="122">
        <v>0.90828703703703706</v>
      </c>
      <c r="C1213" s="26" t="s">
        <v>1227</v>
      </c>
    </row>
    <row r="1214" spans="1:3" x14ac:dyDescent="0.25">
      <c r="A1214" s="36">
        <v>41208</v>
      </c>
      <c r="B1214" s="122">
        <v>0.9092824074074074</v>
      </c>
      <c r="C1214" s="26" t="s">
        <v>1087</v>
      </c>
    </row>
    <row r="1215" spans="1:3" x14ac:dyDescent="0.25">
      <c r="A1215" s="36">
        <v>41208</v>
      </c>
      <c r="B1215" s="122">
        <v>0.90934027777777782</v>
      </c>
      <c r="C1215" s="26" t="s">
        <v>1088</v>
      </c>
    </row>
    <row r="1216" spans="1:3" x14ac:dyDescent="0.25">
      <c r="A1216" s="36">
        <v>41208</v>
      </c>
      <c r="B1216" s="122">
        <v>0.90947916666666673</v>
      </c>
      <c r="C1216" s="26" t="s">
        <v>1089</v>
      </c>
    </row>
    <row r="1217" spans="1:3" x14ac:dyDescent="0.25">
      <c r="A1217" s="36">
        <v>41208</v>
      </c>
      <c r="B1217" s="122">
        <v>0.90949074074074077</v>
      </c>
      <c r="C1217" s="26" t="s">
        <v>1090</v>
      </c>
    </row>
    <row r="1218" spans="1:3" x14ac:dyDescent="0.25">
      <c r="A1218" s="36">
        <v>41208</v>
      </c>
      <c r="B1218" s="122">
        <v>0.90951388888888884</v>
      </c>
      <c r="C1218" s="26" t="s">
        <v>1091</v>
      </c>
    </row>
    <row r="1219" spans="1:3" x14ac:dyDescent="0.25">
      <c r="A1219" s="36">
        <v>41208</v>
      </c>
      <c r="B1219" s="122">
        <v>0.90953703703703714</v>
      </c>
      <c r="C1219" s="26" t="s">
        <v>1092</v>
      </c>
    </row>
    <row r="1220" spans="1:3" x14ac:dyDescent="0.25">
      <c r="A1220" s="36">
        <v>41208</v>
      </c>
      <c r="B1220" s="122">
        <v>0.90954861111111107</v>
      </c>
      <c r="C1220" s="26" t="s">
        <v>1001</v>
      </c>
    </row>
    <row r="1221" spans="1:3" x14ac:dyDescent="0.25">
      <c r="A1221" s="36">
        <v>41208</v>
      </c>
      <c r="B1221" s="122">
        <v>0.90956018518518522</v>
      </c>
      <c r="C1221" s="26" t="s">
        <v>1093</v>
      </c>
    </row>
    <row r="1222" spans="1:3" x14ac:dyDescent="0.25">
      <c r="A1222" s="36">
        <v>41208</v>
      </c>
      <c r="B1222" s="122">
        <v>0.90957175925925926</v>
      </c>
      <c r="C1222" s="26" t="s">
        <v>1094</v>
      </c>
    </row>
    <row r="1223" spans="1:3" x14ac:dyDescent="0.25">
      <c r="A1223" s="36">
        <v>41208</v>
      </c>
      <c r="B1223" s="122">
        <v>0.90957175925925926</v>
      </c>
      <c r="C1223" s="26" t="s">
        <v>1095</v>
      </c>
    </row>
    <row r="1224" spans="1:3" x14ac:dyDescent="0.25">
      <c r="A1224" s="36">
        <v>41208</v>
      </c>
      <c r="B1224" s="122">
        <v>0.9095833333333333</v>
      </c>
      <c r="C1224" s="26" t="s">
        <v>1094</v>
      </c>
    </row>
    <row r="1225" spans="1:3" x14ac:dyDescent="0.25">
      <c r="A1225" s="36">
        <v>41208</v>
      </c>
      <c r="B1225" s="122">
        <v>0.9095833333333333</v>
      </c>
      <c r="C1225" s="26" t="s">
        <v>1096</v>
      </c>
    </row>
    <row r="1226" spans="1:3" x14ac:dyDescent="0.25">
      <c r="A1226" s="36">
        <v>41208</v>
      </c>
      <c r="B1226" s="122">
        <v>0.90959490740740734</v>
      </c>
      <c r="C1226" s="26" t="s">
        <v>1097</v>
      </c>
    </row>
    <row r="1227" spans="1:3" x14ac:dyDescent="0.25">
      <c r="A1227" s="36">
        <v>41208</v>
      </c>
      <c r="B1227" s="122">
        <v>0.90960648148148149</v>
      </c>
      <c r="C1227" s="26" t="s">
        <v>1098</v>
      </c>
    </row>
    <row r="1228" spans="1:3" x14ac:dyDescent="0.25">
      <c r="A1228" s="36">
        <v>41208</v>
      </c>
      <c r="B1228" s="122">
        <v>0.91083333333333327</v>
      </c>
      <c r="C1228" s="26" t="s">
        <v>1097</v>
      </c>
    </row>
    <row r="1229" spans="1:3" x14ac:dyDescent="0.25">
      <c r="A1229" s="36">
        <v>41208</v>
      </c>
      <c r="B1229" s="122">
        <v>0.91371527777777783</v>
      </c>
      <c r="C1229" s="26" t="s">
        <v>1100</v>
      </c>
    </row>
    <row r="1230" spans="1:3" x14ac:dyDescent="0.25">
      <c r="A1230" s="36">
        <v>41208</v>
      </c>
      <c r="B1230" s="122">
        <v>0.9137615740740741</v>
      </c>
      <c r="C1230" s="26" t="s">
        <v>1101</v>
      </c>
    </row>
    <row r="1231" spans="1:3" x14ac:dyDescent="0.25">
      <c r="A1231" s="36">
        <v>41208</v>
      </c>
      <c r="B1231" s="122">
        <v>0.91378472222222218</v>
      </c>
      <c r="C1231" s="26" t="s">
        <v>1100</v>
      </c>
    </row>
    <row r="1232" spans="1:3" x14ac:dyDescent="0.25">
      <c r="A1232" s="36">
        <v>41208</v>
      </c>
      <c r="B1232" s="122">
        <v>0.91380787037037037</v>
      </c>
      <c r="C1232" s="26" t="s">
        <v>1223</v>
      </c>
    </row>
    <row r="1233" spans="1:3" x14ac:dyDescent="0.25">
      <c r="A1233" s="36">
        <v>41208</v>
      </c>
      <c r="B1233" s="122">
        <v>0.91383101851851845</v>
      </c>
      <c r="C1233" s="26" t="s">
        <v>1100</v>
      </c>
    </row>
    <row r="1234" spans="1:3" x14ac:dyDescent="0.25">
      <c r="A1234" s="36">
        <v>41208</v>
      </c>
      <c r="B1234" s="122">
        <v>0.9138425925925926</v>
      </c>
      <c r="C1234" s="26" t="s">
        <v>1224</v>
      </c>
    </row>
    <row r="1235" spans="1:3" x14ac:dyDescent="0.25">
      <c r="A1235" s="36">
        <v>41208</v>
      </c>
      <c r="B1235" s="122">
        <v>0.9138425925925926</v>
      </c>
      <c r="C1235" s="26" t="s">
        <v>1102</v>
      </c>
    </row>
    <row r="1236" spans="1:3" x14ac:dyDescent="0.25">
      <c r="A1236" s="36">
        <v>41208</v>
      </c>
      <c r="B1236" s="122">
        <v>0.91442129629629632</v>
      </c>
      <c r="C1236" s="26" t="s">
        <v>1087</v>
      </c>
    </row>
    <row r="1237" spans="1:3" x14ac:dyDescent="0.25">
      <c r="A1237" s="36">
        <v>41208</v>
      </c>
      <c r="B1237" s="122">
        <v>0.91457175925925915</v>
      </c>
      <c r="C1237" s="26" t="s">
        <v>1088</v>
      </c>
    </row>
    <row r="1238" spans="1:3" x14ac:dyDescent="0.25">
      <c r="A1238" s="36">
        <v>41208</v>
      </c>
      <c r="B1238" s="122">
        <v>0.91467592592592595</v>
      </c>
      <c r="C1238" s="26" t="s">
        <v>1089</v>
      </c>
    </row>
    <row r="1239" spans="1:3" x14ac:dyDescent="0.25">
      <c r="A1239" s="36">
        <v>41208</v>
      </c>
      <c r="B1239" s="122">
        <v>0.9153472222222222</v>
      </c>
      <c r="C1239" s="26" t="s">
        <v>1090</v>
      </c>
    </row>
    <row r="1240" spans="1:3" x14ac:dyDescent="0.25">
      <c r="A1240" s="36">
        <v>41208</v>
      </c>
      <c r="B1240" s="122">
        <v>0.91538194444444443</v>
      </c>
      <c r="C1240" s="26" t="s">
        <v>1091</v>
      </c>
    </row>
    <row r="1241" spans="1:3" x14ac:dyDescent="0.25">
      <c r="A1241" s="36">
        <v>41208</v>
      </c>
      <c r="B1241" s="122">
        <v>0.91541666666666666</v>
      </c>
      <c r="C1241" s="26" t="s">
        <v>1092</v>
      </c>
    </row>
    <row r="1242" spans="1:3" x14ac:dyDescent="0.25">
      <c r="A1242" s="36">
        <v>41208</v>
      </c>
      <c r="B1242" s="122">
        <v>0.91546296296296292</v>
      </c>
      <c r="C1242" s="26" t="s">
        <v>1001</v>
      </c>
    </row>
    <row r="1243" spans="1:3" x14ac:dyDescent="0.25">
      <c r="A1243" s="36">
        <v>41208</v>
      </c>
      <c r="B1243" s="122">
        <v>0.91548611111111111</v>
      </c>
      <c r="C1243" s="26" t="s">
        <v>1093</v>
      </c>
    </row>
    <row r="1244" spans="1:3" x14ac:dyDescent="0.25">
      <c r="A1244" s="36">
        <v>41208</v>
      </c>
      <c r="B1244" s="122">
        <v>0.91549768518518526</v>
      </c>
      <c r="C1244" s="26" t="s">
        <v>1094</v>
      </c>
    </row>
    <row r="1245" spans="1:3" x14ac:dyDescent="0.25">
      <c r="A1245" s="36">
        <v>41208</v>
      </c>
      <c r="B1245" s="122">
        <v>0.91550925925925919</v>
      </c>
      <c r="C1245" s="26" t="s">
        <v>1095</v>
      </c>
    </row>
    <row r="1246" spans="1:3" x14ac:dyDescent="0.25">
      <c r="A1246" s="36">
        <v>41208</v>
      </c>
      <c r="B1246" s="122">
        <v>0.91552083333333334</v>
      </c>
      <c r="C1246" s="26" t="s">
        <v>1094</v>
      </c>
    </row>
    <row r="1247" spans="1:3" x14ac:dyDescent="0.25">
      <c r="A1247" s="36">
        <v>41208</v>
      </c>
      <c r="B1247" s="122">
        <v>0.91553240740740749</v>
      </c>
      <c r="C1247" s="26" t="s">
        <v>1096</v>
      </c>
    </row>
    <row r="1248" spans="1:3" x14ac:dyDescent="0.25">
      <c r="A1248" s="36">
        <v>41208</v>
      </c>
      <c r="B1248" s="122">
        <v>0.91553240740740749</v>
      </c>
      <c r="C1248" s="26" t="s">
        <v>1097</v>
      </c>
    </row>
    <row r="1249" spans="1:3" x14ac:dyDescent="0.25">
      <c r="A1249" s="36">
        <v>41208</v>
      </c>
      <c r="B1249" s="122">
        <v>0.91556712962962961</v>
      </c>
      <c r="C1249" s="26" t="s">
        <v>1098</v>
      </c>
    </row>
    <row r="1250" spans="1:3" x14ac:dyDescent="0.25">
      <c r="A1250" s="36">
        <v>41208</v>
      </c>
      <c r="B1250" s="122">
        <v>0.9156481481481481</v>
      </c>
      <c r="C1250" s="26" t="s">
        <v>1097</v>
      </c>
    </row>
    <row r="1251" spans="1:3" x14ac:dyDescent="0.25">
      <c r="A1251" s="36">
        <v>41208</v>
      </c>
      <c r="B1251" s="122">
        <v>0.91592592592592592</v>
      </c>
      <c r="C1251" s="26" t="s">
        <v>1100</v>
      </c>
    </row>
    <row r="1252" spans="1:3" x14ac:dyDescent="0.25">
      <c r="A1252" s="36">
        <v>41208</v>
      </c>
      <c r="B1252" s="122">
        <v>0.93355324074074064</v>
      </c>
      <c r="C1252" s="26" t="s">
        <v>1101</v>
      </c>
    </row>
    <row r="1253" spans="1:3" x14ac:dyDescent="0.25">
      <c r="A1253" s="36">
        <v>41208</v>
      </c>
      <c r="B1253" s="122">
        <v>0.93379629629629635</v>
      </c>
      <c r="C1253" s="26" t="s">
        <v>1100</v>
      </c>
    </row>
    <row r="1254" spans="1:3" x14ac:dyDescent="0.25">
      <c r="A1254" s="36">
        <v>41208</v>
      </c>
      <c r="B1254" s="122">
        <v>0.93685185185185194</v>
      </c>
      <c r="C1254" s="26" t="s">
        <v>1223</v>
      </c>
    </row>
    <row r="1255" spans="1:3" x14ac:dyDescent="0.25">
      <c r="A1255" s="36">
        <v>41208</v>
      </c>
      <c r="B1255" s="122">
        <v>0.93695601851851851</v>
      </c>
      <c r="C1255" s="26" t="s">
        <v>1100</v>
      </c>
    </row>
    <row r="1256" spans="1:3" x14ac:dyDescent="0.25">
      <c r="A1256" s="36">
        <v>41208</v>
      </c>
      <c r="B1256" s="122">
        <v>0.9381828703703704</v>
      </c>
      <c r="C1256" s="26" t="s">
        <v>1224</v>
      </c>
    </row>
    <row r="1257" spans="1:3" x14ac:dyDescent="0.25">
      <c r="A1257" s="36">
        <v>41208</v>
      </c>
      <c r="B1257" s="122">
        <v>0.93836805555555547</v>
      </c>
      <c r="C1257" s="26" t="s">
        <v>1102</v>
      </c>
    </row>
    <row r="1258" spans="1:3" x14ac:dyDescent="0.25">
      <c r="A1258" s="36">
        <v>41208</v>
      </c>
      <c r="B1258" s="122">
        <v>0.93964120370370363</v>
      </c>
      <c r="C1258" s="26" t="s">
        <v>1228</v>
      </c>
    </row>
    <row r="1259" spans="1:3" x14ac:dyDescent="0.25">
      <c r="A1259" s="36">
        <v>41208</v>
      </c>
      <c r="B1259" s="122">
        <v>0.94145833333333329</v>
      </c>
      <c r="C1259" s="26" t="s">
        <v>1087</v>
      </c>
    </row>
    <row r="1260" spans="1:3" x14ac:dyDescent="0.25">
      <c r="A1260" s="36">
        <v>41208</v>
      </c>
      <c r="B1260" s="122">
        <v>0.94155092592592593</v>
      </c>
      <c r="C1260" s="26" t="s">
        <v>1088</v>
      </c>
    </row>
    <row r="1261" spans="1:3" x14ac:dyDescent="0.25">
      <c r="A1261" s="36">
        <v>41208</v>
      </c>
      <c r="B1261" s="122">
        <v>0.94163194444444442</v>
      </c>
      <c r="C1261" s="26" t="s">
        <v>1089</v>
      </c>
    </row>
    <row r="1262" spans="1:3" x14ac:dyDescent="0.25">
      <c r="A1262" s="36">
        <v>41208</v>
      </c>
      <c r="B1262" s="122">
        <v>0.94164351851851846</v>
      </c>
      <c r="C1262" s="26" t="s">
        <v>1090</v>
      </c>
    </row>
    <row r="1263" spans="1:3" x14ac:dyDescent="0.25">
      <c r="A1263" s="36">
        <v>41208</v>
      </c>
      <c r="B1263" s="122">
        <v>0.94165509259259261</v>
      </c>
      <c r="C1263" s="26" t="s">
        <v>1091</v>
      </c>
    </row>
    <row r="1264" spans="1:3" x14ac:dyDescent="0.25">
      <c r="A1264" s="36">
        <v>41208</v>
      </c>
      <c r="B1264" s="122">
        <v>0.94166666666666676</v>
      </c>
      <c r="C1264" s="26" t="s">
        <v>1092</v>
      </c>
    </row>
    <row r="1265" spans="1:3" x14ac:dyDescent="0.25">
      <c r="A1265" s="36">
        <v>41208</v>
      </c>
      <c r="B1265" s="122">
        <v>0.94166666666666676</v>
      </c>
      <c r="C1265" s="26" t="s">
        <v>1001</v>
      </c>
    </row>
    <row r="1266" spans="1:3" x14ac:dyDescent="0.25">
      <c r="A1266" s="36">
        <v>41208</v>
      </c>
      <c r="B1266" s="122">
        <v>0.94167824074074069</v>
      </c>
      <c r="C1266" s="26" t="s">
        <v>1093</v>
      </c>
    </row>
    <row r="1267" spans="1:3" x14ac:dyDescent="0.25">
      <c r="A1267" s="36">
        <v>41208</v>
      </c>
      <c r="B1267" s="122">
        <v>0.94167824074074069</v>
      </c>
      <c r="C1267" s="26" t="s">
        <v>1094</v>
      </c>
    </row>
    <row r="1268" spans="1:3" x14ac:dyDescent="0.25">
      <c r="A1268" s="36">
        <v>41208</v>
      </c>
      <c r="B1268" s="122">
        <v>0.94168981481481484</v>
      </c>
      <c r="C1268" s="26" t="s">
        <v>1095</v>
      </c>
    </row>
    <row r="1269" spans="1:3" x14ac:dyDescent="0.25">
      <c r="A1269" s="36">
        <v>41208</v>
      </c>
      <c r="B1269" s="122">
        <v>0.94168981481481484</v>
      </c>
      <c r="C1269" s="26" t="s">
        <v>1094</v>
      </c>
    </row>
    <row r="1270" spans="1:3" x14ac:dyDescent="0.25">
      <c r="A1270" s="36">
        <v>41208</v>
      </c>
      <c r="B1270" s="122">
        <v>0.94170138888888888</v>
      </c>
      <c r="C1270" s="26" t="s">
        <v>1096</v>
      </c>
    </row>
    <row r="1271" spans="1:3" x14ac:dyDescent="0.25">
      <c r="A1271" s="36">
        <v>41208</v>
      </c>
      <c r="B1271" s="122">
        <v>0.94171296296296303</v>
      </c>
      <c r="C1271" s="26" t="s">
        <v>1097</v>
      </c>
    </row>
    <row r="1272" spans="1:3" x14ac:dyDescent="0.25">
      <c r="A1272" s="36">
        <v>41208</v>
      </c>
      <c r="B1272" s="122">
        <v>0.94172453703703696</v>
      </c>
      <c r="C1272" s="26" t="s">
        <v>1098</v>
      </c>
    </row>
    <row r="1273" spans="1:3" x14ac:dyDescent="0.25">
      <c r="A1273" s="36">
        <v>41208</v>
      </c>
      <c r="B1273" s="122">
        <v>0.94173611111111111</v>
      </c>
      <c r="C1273" s="26" t="s">
        <v>1097</v>
      </c>
    </row>
    <row r="1274" spans="1:3" x14ac:dyDescent="0.25">
      <c r="A1274" s="36">
        <v>41208</v>
      </c>
      <c r="B1274" s="122">
        <v>0.94180555555555545</v>
      </c>
      <c r="C1274" s="26" t="s">
        <v>1100</v>
      </c>
    </row>
    <row r="1275" spans="1:3" x14ac:dyDescent="0.25">
      <c r="A1275" s="36">
        <v>41208</v>
      </c>
      <c r="B1275" s="122">
        <v>0.9418171296296296</v>
      </c>
      <c r="C1275" s="26" t="s">
        <v>1101</v>
      </c>
    </row>
    <row r="1276" spans="1:3" x14ac:dyDescent="0.25">
      <c r="A1276" s="36">
        <v>41208</v>
      </c>
      <c r="B1276" s="122">
        <v>0.94182870370370375</v>
      </c>
      <c r="C1276" s="26" t="s">
        <v>1100</v>
      </c>
    </row>
    <row r="1277" spans="1:3" x14ac:dyDescent="0.25">
      <c r="A1277" s="36">
        <v>41208</v>
      </c>
      <c r="B1277" s="122">
        <v>0.94184027777777779</v>
      </c>
      <c r="C1277" s="26" t="s">
        <v>1100</v>
      </c>
    </row>
    <row r="1278" spans="1:3" x14ac:dyDescent="0.25">
      <c r="A1278" s="36">
        <v>41208</v>
      </c>
      <c r="B1278" s="122">
        <v>0.94186342592592587</v>
      </c>
      <c r="C1278" s="26" t="s">
        <v>1102</v>
      </c>
    </row>
    <row r="1279" spans="1:3" x14ac:dyDescent="0.25">
      <c r="A1279" s="36">
        <v>41208</v>
      </c>
      <c r="B1279" s="122">
        <v>0.94196759259259266</v>
      </c>
      <c r="C1279" s="26" t="s">
        <v>1229</v>
      </c>
    </row>
    <row r="1280" spans="1:3" x14ac:dyDescent="0.25">
      <c r="A1280" s="36">
        <v>41208</v>
      </c>
      <c r="B1280" s="122">
        <v>0.94409722222222225</v>
      </c>
      <c r="C1280" s="26" t="s">
        <v>1230</v>
      </c>
    </row>
    <row r="1281" spans="1:3" x14ac:dyDescent="0.25">
      <c r="A1281" s="36">
        <v>41208</v>
      </c>
      <c r="B1281" s="122">
        <v>0.94409722222222225</v>
      </c>
      <c r="C1281" s="26" t="s">
        <v>1231</v>
      </c>
    </row>
    <row r="1282" spans="1:3" x14ac:dyDescent="0.25">
      <c r="A1282" s="36">
        <v>41208</v>
      </c>
      <c r="B1282" s="122">
        <v>0.94413194444444448</v>
      </c>
      <c r="C1282" s="26" t="s">
        <v>1232</v>
      </c>
    </row>
    <row r="1283" spans="1:3" x14ac:dyDescent="0.25">
      <c r="A1283" s="36">
        <v>41208</v>
      </c>
      <c r="B1283" s="122">
        <v>0.94421296296296298</v>
      </c>
      <c r="C1283" s="26" t="s">
        <v>1233</v>
      </c>
    </row>
    <row r="1284" spans="1:3" x14ac:dyDescent="0.25">
      <c r="A1284" s="36">
        <v>41208</v>
      </c>
      <c r="B1284" s="122">
        <v>0.94429398148148147</v>
      </c>
      <c r="C1284" s="26" t="s">
        <v>1234</v>
      </c>
    </row>
    <row r="1285" spans="1:3" x14ac:dyDescent="0.25">
      <c r="A1285" s="36">
        <v>41208</v>
      </c>
      <c r="B1285" s="122">
        <v>0.94436342592592604</v>
      </c>
      <c r="C1285" s="26" t="s">
        <v>1235</v>
      </c>
    </row>
    <row r="1286" spans="1:3" x14ac:dyDescent="0.25">
      <c r="A1286" s="36">
        <v>41208</v>
      </c>
      <c r="B1286" s="122">
        <v>0.94442129629629623</v>
      </c>
      <c r="C1286" s="26" t="s">
        <v>1066</v>
      </c>
    </row>
    <row r="1287" spans="1:3" x14ac:dyDescent="0.25">
      <c r="A1287" s="36">
        <v>41208</v>
      </c>
      <c r="B1287" s="122">
        <v>0.94450231481481473</v>
      </c>
      <c r="C1287" s="26" t="s">
        <v>1072</v>
      </c>
    </row>
    <row r="1288" spans="1:3" x14ac:dyDescent="0.25">
      <c r="A1288" s="36">
        <v>41208</v>
      </c>
      <c r="B1288" s="122">
        <v>0.9445486111111111</v>
      </c>
      <c r="C1288" s="26" t="s">
        <v>1073</v>
      </c>
    </row>
    <row r="1289" spans="1:3" x14ac:dyDescent="0.25">
      <c r="A1289" s="36">
        <v>41208</v>
      </c>
      <c r="B1289" s="122">
        <v>0.94460648148148152</v>
      </c>
      <c r="C1289" s="26" t="s">
        <v>1074</v>
      </c>
    </row>
    <row r="1290" spans="1:3" x14ac:dyDescent="0.25">
      <c r="A1290" s="36">
        <v>41208</v>
      </c>
      <c r="B1290" s="122">
        <v>0.9459953703703704</v>
      </c>
      <c r="C1290" s="26" t="s">
        <v>1087</v>
      </c>
    </row>
    <row r="1291" spans="1:3" x14ac:dyDescent="0.25">
      <c r="A1291" s="36">
        <v>41208</v>
      </c>
      <c r="B1291" s="122">
        <v>0.94611111111111112</v>
      </c>
      <c r="C1291" s="26" t="s">
        <v>1088</v>
      </c>
    </row>
    <row r="1292" spans="1:3" x14ac:dyDescent="0.25">
      <c r="A1292" s="36">
        <v>41208</v>
      </c>
      <c r="B1292" s="122">
        <v>0.94622685185185185</v>
      </c>
      <c r="C1292" s="26" t="s">
        <v>1089</v>
      </c>
    </row>
    <row r="1293" spans="1:3" x14ac:dyDescent="0.25">
      <c r="A1293" s="36">
        <v>41208</v>
      </c>
      <c r="B1293" s="122">
        <v>0.94625000000000004</v>
      </c>
      <c r="C1293" s="26" t="s">
        <v>1090</v>
      </c>
    </row>
    <row r="1294" spans="1:3" x14ac:dyDescent="0.25">
      <c r="A1294" s="36">
        <v>41208</v>
      </c>
      <c r="B1294" s="122">
        <v>0.94626157407407396</v>
      </c>
      <c r="C1294" s="26" t="s">
        <v>1091</v>
      </c>
    </row>
    <row r="1295" spans="1:3" x14ac:dyDescent="0.25">
      <c r="A1295" s="36">
        <v>41208</v>
      </c>
      <c r="B1295" s="122">
        <v>0.94627314814814811</v>
      </c>
      <c r="C1295" s="26" t="s">
        <v>1092</v>
      </c>
    </row>
    <row r="1296" spans="1:3" x14ac:dyDescent="0.25">
      <c r="A1296" s="36">
        <v>41208</v>
      </c>
      <c r="B1296" s="122">
        <v>0.94628472222222226</v>
      </c>
      <c r="C1296" s="26" t="s">
        <v>1001</v>
      </c>
    </row>
    <row r="1297" spans="1:3" x14ac:dyDescent="0.25">
      <c r="A1297" s="36">
        <v>41208</v>
      </c>
      <c r="B1297" s="122">
        <v>0.9462962962962963</v>
      </c>
      <c r="C1297" s="26" t="s">
        <v>1093</v>
      </c>
    </row>
    <row r="1298" spans="1:3" x14ac:dyDescent="0.25">
      <c r="A1298" s="36">
        <v>41208</v>
      </c>
      <c r="B1298" s="122">
        <v>0.94630787037037034</v>
      </c>
      <c r="C1298" s="26" t="s">
        <v>1094</v>
      </c>
    </row>
    <row r="1299" spans="1:3" x14ac:dyDescent="0.25">
      <c r="A1299" s="36">
        <v>41208</v>
      </c>
      <c r="B1299" s="122">
        <v>0.94633101851851853</v>
      </c>
      <c r="C1299" s="26" t="s">
        <v>1095</v>
      </c>
    </row>
    <row r="1300" spans="1:3" x14ac:dyDescent="0.25">
      <c r="A1300" s="36">
        <v>41208</v>
      </c>
      <c r="B1300" s="122">
        <v>0.94634259259259268</v>
      </c>
      <c r="C1300" s="26" t="s">
        <v>1094</v>
      </c>
    </row>
    <row r="1301" spans="1:3" x14ac:dyDescent="0.25">
      <c r="A1301" s="36">
        <v>41208</v>
      </c>
      <c r="B1301" s="122">
        <v>0.94638888888888895</v>
      </c>
      <c r="C1301" s="26" t="s">
        <v>1096</v>
      </c>
    </row>
    <row r="1302" spans="1:3" x14ac:dyDescent="0.25">
      <c r="A1302" s="36">
        <v>41208</v>
      </c>
      <c r="B1302" s="122">
        <v>0.94641203703703702</v>
      </c>
      <c r="C1302" s="26" t="s">
        <v>1097</v>
      </c>
    </row>
    <row r="1303" spans="1:3" x14ac:dyDescent="0.25">
      <c r="A1303" s="36">
        <v>41208</v>
      </c>
      <c r="B1303" s="122">
        <v>0.94642361111111117</v>
      </c>
      <c r="C1303" s="26" t="s">
        <v>1098</v>
      </c>
    </row>
    <row r="1304" spans="1:3" x14ac:dyDescent="0.25">
      <c r="A1304" s="36">
        <v>41208</v>
      </c>
      <c r="B1304" s="122">
        <v>0.94644675925925925</v>
      </c>
      <c r="C1304" s="26" t="s">
        <v>1097</v>
      </c>
    </row>
    <row r="1305" spans="1:3" x14ac:dyDescent="0.25">
      <c r="A1305" s="36">
        <v>41208</v>
      </c>
      <c r="B1305" s="122">
        <v>0.94686342592592598</v>
      </c>
      <c r="C1305" s="26" t="s">
        <v>1101</v>
      </c>
    </row>
    <row r="1306" spans="1:3" x14ac:dyDescent="0.25">
      <c r="A1306" s="36">
        <v>41208</v>
      </c>
      <c r="B1306" s="122">
        <v>0.9468981481481481</v>
      </c>
      <c r="C1306" s="26" t="s">
        <v>1102</v>
      </c>
    </row>
    <row r="1307" spans="1:3" x14ac:dyDescent="0.25">
      <c r="A1307" s="36">
        <v>41208</v>
      </c>
      <c r="B1307" s="122">
        <v>0.94729166666666664</v>
      </c>
      <c r="C1307" s="26" t="s">
        <v>1229</v>
      </c>
    </row>
    <row r="1308" spans="1:3" x14ac:dyDescent="0.25">
      <c r="A1308" s="36">
        <v>41208</v>
      </c>
      <c r="B1308" s="122">
        <v>0.94846064814814823</v>
      </c>
      <c r="C1308" s="26" t="s">
        <v>1228</v>
      </c>
    </row>
    <row r="1309" spans="1:3" x14ac:dyDescent="0.25">
      <c r="A1309" s="36">
        <v>41208</v>
      </c>
      <c r="B1309" s="122">
        <v>0.94846064814814823</v>
      </c>
      <c r="C1309" s="26" t="s">
        <v>1236</v>
      </c>
    </row>
    <row r="1310" spans="1:3" x14ac:dyDescent="0.25">
      <c r="A1310" s="36">
        <v>41208</v>
      </c>
      <c r="B1310" s="122">
        <v>0.9485069444444445</v>
      </c>
      <c r="C1310" s="26" t="s">
        <v>1083</v>
      </c>
    </row>
    <row r="1311" spans="1:3" x14ac:dyDescent="0.25">
      <c r="A1311" s="36">
        <v>41208</v>
      </c>
      <c r="B1311" s="122">
        <v>0.94914351851851853</v>
      </c>
      <c r="C1311" s="26" t="s">
        <v>1084</v>
      </c>
    </row>
    <row r="1312" spans="1:3" x14ac:dyDescent="0.25">
      <c r="A1312" s="36">
        <v>41208</v>
      </c>
      <c r="B1312" s="122">
        <v>0.9496296296296296</v>
      </c>
      <c r="C1312" s="26" t="s">
        <v>1085</v>
      </c>
    </row>
    <row r="1313" spans="1:3" x14ac:dyDescent="0.25">
      <c r="A1313" s="36">
        <v>41208</v>
      </c>
      <c r="B1313" s="122">
        <v>0.94997685185185177</v>
      </c>
      <c r="C1313" s="26" t="s">
        <v>1236</v>
      </c>
    </row>
    <row r="1314" spans="1:3" x14ac:dyDescent="0.25">
      <c r="A1314" s="36">
        <v>41208</v>
      </c>
      <c r="B1314" s="122">
        <v>0.95005787037037026</v>
      </c>
      <c r="C1314" s="26" t="s">
        <v>1066</v>
      </c>
    </row>
    <row r="1315" spans="1:3" x14ac:dyDescent="0.25">
      <c r="A1315" s="36">
        <v>41208</v>
      </c>
      <c r="B1315" s="122">
        <v>0.95017361111111109</v>
      </c>
      <c r="C1315" s="26" t="s">
        <v>1072</v>
      </c>
    </row>
    <row r="1316" spans="1:3" x14ac:dyDescent="0.25">
      <c r="A1316" s="36">
        <v>41208</v>
      </c>
      <c r="B1316" s="122">
        <v>0.95021990740740747</v>
      </c>
      <c r="C1316" s="26" t="s">
        <v>1073</v>
      </c>
    </row>
    <row r="1317" spans="1:3" x14ac:dyDescent="0.25">
      <c r="A1317" s="36">
        <v>41208</v>
      </c>
      <c r="B1317" s="122">
        <v>0.95025462962962959</v>
      </c>
      <c r="C1317" s="26" t="s">
        <v>1074</v>
      </c>
    </row>
    <row r="1318" spans="1:3" x14ac:dyDescent="0.25">
      <c r="A1318" s="36">
        <v>41208</v>
      </c>
      <c r="B1318" s="122">
        <v>0.95027777777777767</v>
      </c>
      <c r="C1318" s="26" t="s">
        <v>1236</v>
      </c>
    </row>
    <row r="1319" spans="1:3" x14ac:dyDescent="0.25">
      <c r="A1319" s="36">
        <v>41208</v>
      </c>
      <c r="B1319" s="122">
        <v>0.9503125</v>
      </c>
      <c r="C1319" s="26" t="s">
        <v>1137</v>
      </c>
    </row>
    <row r="1320" spans="1:3" x14ac:dyDescent="0.25">
      <c r="A1320" s="36">
        <v>41208</v>
      </c>
      <c r="B1320" s="122">
        <v>0.95084490740740746</v>
      </c>
      <c r="C1320" s="26" t="s">
        <v>1087</v>
      </c>
    </row>
    <row r="1321" spans="1:3" x14ac:dyDescent="0.25">
      <c r="A1321" s="36">
        <v>41208</v>
      </c>
      <c r="B1321" s="122">
        <v>0.95103009259259252</v>
      </c>
      <c r="C1321" s="26" t="s">
        <v>1088</v>
      </c>
    </row>
    <row r="1322" spans="1:3" x14ac:dyDescent="0.25">
      <c r="A1322" s="36">
        <v>41208</v>
      </c>
      <c r="B1322" s="122">
        <v>0.95112268518518517</v>
      </c>
      <c r="C1322" s="26" t="s">
        <v>1089</v>
      </c>
    </row>
    <row r="1323" spans="1:3" x14ac:dyDescent="0.25">
      <c r="A1323" s="36">
        <v>41208</v>
      </c>
      <c r="B1323" s="122">
        <v>0.95113425925925921</v>
      </c>
      <c r="C1323" s="26" t="s">
        <v>1090</v>
      </c>
    </row>
    <row r="1324" spans="1:3" x14ac:dyDescent="0.25">
      <c r="A1324" s="36">
        <v>41208</v>
      </c>
      <c r="B1324" s="122">
        <v>0.95114583333333336</v>
      </c>
      <c r="C1324" s="26" t="s">
        <v>1091</v>
      </c>
    </row>
    <row r="1325" spans="1:3" x14ac:dyDescent="0.25">
      <c r="A1325" s="36">
        <v>41208</v>
      </c>
      <c r="B1325" s="122">
        <v>0.95114583333333336</v>
      </c>
      <c r="C1325" s="26" t="s">
        <v>1092</v>
      </c>
    </row>
    <row r="1326" spans="1:3" x14ac:dyDescent="0.25">
      <c r="A1326" s="36">
        <v>41208</v>
      </c>
      <c r="B1326" s="122">
        <v>0.95115740740740751</v>
      </c>
      <c r="C1326" s="26" t="s">
        <v>1001</v>
      </c>
    </row>
    <row r="1327" spans="1:3" x14ac:dyDescent="0.25">
      <c r="A1327" s="36">
        <v>41208</v>
      </c>
      <c r="B1327" s="122">
        <v>0.95115740740740751</v>
      </c>
      <c r="C1327" s="26" t="s">
        <v>1093</v>
      </c>
    </row>
    <row r="1328" spans="1:3" x14ac:dyDescent="0.25">
      <c r="A1328" s="36">
        <v>41208</v>
      </c>
      <c r="B1328" s="122">
        <v>0.95116898148148143</v>
      </c>
      <c r="C1328" s="26" t="s">
        <v>1094</v>
      </c>
    </row>
    <row r="1329" spans="1:3" x14ac:dyDescent="0.25">
      <c r="A1329" s="36">
        <v>41208</v>
      </c>
      <c r="B1329" s="122">
        <v>0.95116898148148143</v>
      </c>
      <c r="C1329" s="26" t="s">
        <v>1095</v>
      </c>
    </row>
    <row r="1330" spans="1:3" x14ac:dyDescent="0.25">
      <c r="A1330" s="36">
        <v>41208</v>
      </c>
      <c r="B1330" s="122">
        <v>0.95118055555555558</v>
      </c>
      <c r="C1330" s="26" t="s">
        <v>1094</v>
      </c>
    </row>
    <row r="1331" spans="1:3" x14ac:dyDescent="0.25">
      <c r="A1331" s="36">
        <v>41208</v>
      </c>
      <c r="B1331" s="122">
        <v>0.95119212962962962</v>
      </c>
      <c r="C1331" s="26" t="s">
        <v>1096</v>
      </c>
    </row>
    <row r="1332" spans="1:3" x14ac:dyDescent="0.25">
      <c r="A1332" s="36">
        <v>41208</v>
      </c>
      <c r="B1332" s="122">
        <v>0.95120370370370377</v>
      </c>
      <c r="C1332" s="26" t="s">
        <v>1097</v>
      </c>
    </row>
    <row r="1333" spans="1:3" x14ac:dyDescent="0.25">
      <c r="A1333" s="36">
        <v>41208</v>
      </c>
      <c r="B1333" s="122">
        <v>0.95120370370370377</v>
      </c>
      <c r="C1333" s="26" t="s">
        <v>1098</v>
      </c>
    </row>
    <row r="1334" spans="1:3" x14ac:dyDescent="0.25">
      <c r="A1334" s="36">
        <v>41208</v>
      </c>
      <c r="B1334" s="122">
        <v>0.9512152777777777</v>
      </c>
      <c r="C1334" s="26" t="s">
        <v>1097</v>
      </c>
    </row>
    <row r="1335" spans="1:3" x14ac:dyDescent="0.25">
      <c r="A1335" s="36">
        <v>41208</v>
      </c>
      <c r="B1335" s="122">
        <v>0.95190972222222225</v>
      </c>
      <c r="C1335" s="26" t="s">
        <v>1101</v>
      </c>
    </row>
    <row r="1336" spans="1:3" x14ac:dyDescent="0.25">
      <c r="A1336" s="36">
        <v>41208</v>
      </c>
      <c r="B1336" s="122">
        <v>0.95229166666666665</v>
      </c>
      <c r="C1336" s="26" t="s">
        <v>1102</v>
      </c>
    </row>
    <row r="1337" spans="1:3" x14ac:dyDescent="0.25">
      <c r="A1337" s="36">
        <v>41208</v>
      </c>
      <c r="B1337" s="122">
        <v>0.95246527777777779</v>
      </c>
      <c r="C1337" s="26" t="s">
        <v>1229</v>
      </c>
    </row>
    <row r="1338" spans="1:3" x14ac:dyDescent="0.25">
      <c r="A1338" s="36">
        <v>41208</v>
      </c>
      <c r="B1338" s="122">
        <v>0.96456018518518516</v>
      </c>
      <c r="C1338" s="26" t="s">
        <v>1216</v>
      </c>
    </row>
    <row r="1339" spans="1:3" x14ac:dyDescent="0.25">
      <c r="A1339" s="36">
        <v>41208</v>
      </c>
      <c r="B1339" s="122">
        <v>0.96456018518518516</v>
      </c>
      <c r="C1339" s="26" t="s">
        <v>1186</v>
      </c>
    </row>
    <row r="1340" spans="1:3" x14ac:dyDescent="0.25">
      <c r="A1340" s="36">
        <v>41208</v>
      </c>
      <c r="B1340" s="122">
        <v>0.9646527777777778</v>
      </c>
      <c r="C1340" s="26" t="s">
        <v>1217</v>
      </c>
    </row>
    <row r="1341" spans="1:3" x14ac:dyDescent="0.25">
      <c r="A1341" s="36">
        <v>41208</v>
      </c>
      <c r="B1341" s="122">
        <v>0.9646527777777778</v>
      </c>
      <c r="C1341" s="26" t="s">
        <v>1188</v>
      </c>
    </row>
    <row r="1342" spans="1:3" x14ac:dyDescent="0.25">
      <c r="A1342" s="36">
        <v>41208</v>
      </c>
      <c r="B1342" s="122">
        <v>0.9646527777777778</v>
      </c>
      <c r="C1342" s="26" t="s">
        <v>1189</v>
      </c>
    </row>
    <row r="1343" spans="1:3" x14ac:dyDescent="0.25">
      <c r="A1343" s="36">
        <v>41208</v>
      </c>
      <c r="B1343" s="122">
        <v>0.96471064814814822</v>
      </c>
      <c r="C1343" s="26" t="s">
        <v>1188</v>
      </c>
    </row>
    <row r="1344" spans="1:3" x14ac:dyDescent="0.25">
      <c r="A1344" s="36">
        <v>41208</v>
      </c>
      <c r="B1344" s="122">
        <v>0.96471064814814822</v>
      </c>
      <c r="C1344" s="26" t="s">
        <v>1189</v>
      </c>
    </row>
    <row r="1345" spans="1:3" x14ac:dyDescent="0.25">
      <c r="A1345" s="36">
        <v>41208</v>
      </c>
      <c r="B1345" s="122">
        <v>0.96475694444444438</v>
      </c>
      <c r="C1345" s="26" t="s">
        <v>1190</v>
      </c>
    </row>
    <row r="1346" spans="1:3" x14ac:dyDescent="0.25">
      <c r="A1346" s="36">
        <v>41208</v>
      </c>
      <c r="B1346" s="122">
        <v>0.96885416666666668</v>
      </c>
      <c r="C1346" s="26" t="s">
        <v>1216</v>
      </c>
    </row>
    <row r="1347" spans="1:3" x14ac:dyDescent="0.25">
      <c r="A1347" s="36">
        <v>41208</v>
      </c>
      <c r="B1347" s="122">
        <v>0.96885416666666668</v>
      </c>
      <c r="C1347" s="26" t="s">
        <v>1186</v>
      </c>
    </row>
    <row r="1348" spans="1:3" x14ac:dyDescent="0.25">
      <c r="A1348" s="36">
        <v>41208</v>
      </c>
      <c r="B1348" s="122">
        <v>0.96890046296296306</v>
      </c>
      <c r="C1348" s="26" t="s">
        <v>1217</v>
      </c>
    </row>
    <row r="1349" spans="1:3" x14ac:dyDescent="0.25">
      <c r="A1349" s="36">
        <v>41208</v>
      </c>
      <c r="B1349" s="122">
        <v>0.96890046296296306</v>
      </c>
      <c r="C1349" s="26" t="s">
        <v>1188</v>
      </c>
    </row>
    <row r="1350" spans="1:3" x14ac:dyDescent="0.25">
      <c r="A1350" s="36">
        <v>41208</v>
      </c>
      <c r="B1350" s="122">
        <v>0.96890046296296306</v>
      </c>
      <c r="C1350" s="26" t="s">
        <v>1189</v>
      </c>
    </row>
    <row r="1351" spans="1:3" x14ac:dyDescent="0.25">
      <c r="A1351" s="36">
        <v>41208</v>
      </c>
      <c r="B1351" s="122">
        <v>0.96894675925925933</v>
      </c>
      <c r="C1351" s="26" t="s">
        <v>1188</v>
      </c>
    </row>
    <row r="1352" spans="1:3" x14ac:dyDescent="0.25">
      <c r="A1352" s="36">
        <v>41208</v>
      </c>
      <c r="B1352" s="122">
        <v>0.96894675925925933</v>
      </c>
      <c r="C1352" s="26" t="s">
        <v>1189</v>
      </c>
    </row>
    <row r="1353" spans="1:3" x14ac:dyDescent="0.25">
      <c r="A1353" s="36">
        <v>41208</v>
      </c>
      <c r="B1353" s="122">
        <v>0.96900462962962963</v>
      </c>
      <c r="C1353" s="26" t="s">
        <v>1190</v>
      </c>
    </row>
    <row r="1354" spans="1:3" x14ac:dyDescent="0.25">
      <c r="A1354" s="36">
        <v>41209</v>
      </c>
      <c r="B1354" s="122">
        <v>1.4490740740740742E-2</v>
      </c>
      <c r="C1354" s="26" t="s">
        <v>1216</v>
      </c>
    </row>
    <row r="1355" spans="1:3" x14ac:dyDescent="0.25">
      <c r="A1355" s="36">
        <v>41209</v>
      </c>
      <c r="B1355" s="122">
        <v>1.4490740740740742E-2</v>
      </c>
      <c r="C1355" s="26" t="s">
        <v>1186</v>
      </c>
    </row>
    <row r="1356" spans="1:3" x14ac:dyDescent="0.25">
      <c r="A1356" s="36">
        <v>41209</v>
      </c>
      <c r="B1356" s="122">
        <v>1.4537037037037038E-2</v>
      </c>
      <c r="C1356" s="26" t="s">
        <v>1217</v>
      </c>
    </row>
    <row r="1357" spans="1:3" x14ac:dyDescent="0.25">
      <c r="A1357" s="36">
        <v>41209</v>
      </c>
      <c r="B1357" s="122">
        <v>1.4537037037037038E-2</v>
      </c>
      <c r="C1357" s="26" t="s">
        <v>1188</v>
      </c>
    </row>
    <row r="1358" spans="1:3" x14ac:dyDescent="0.25">
      <c r="A1358" s="36">
        <v>41209</v>
      </c>
      <c r="B1358" s="122">
        <v>1.4537037037037038E-2</v>
      </c>
      <c r="C1358" s="26" t="s">
        <v>1189</v>
      </c>
    </row>
    <row r="1359" spans="1:3" x14ac:dyDescent="0.25">
      <c r="A1359" s="36">
        <v>41209</v>
      </c>
      <c r="B1359" s="122">
        <v>1.4583333333333332E-2</v>
      </c>
      <c r="C1359" s="26" t="s">
        <v>1188</v>
      </c>
    </row>
    <row r="1360" spans="1:3" x14ac:dyDescent="0.25">
      <c r="A1360" s="36">
        <v>41209</v>
      </c>
      <c r="B1360" s="122">
        <v>1.4583333333333332E-2</v>
      </c>
      <c r="C1360" s="26" t="s">
        <v>1189</v>
      </c>
    </row>
    <row r="1361" spans="1:3" x14ac:dyDescent="0.25">
      <c r="A1361" s="36">
        <v>41209</v>
      </c>
      <c r="B1361" s="122">
        <v>1.462962962962963E-2</v>
      </c>
      <c r="C1361" s="26" t="s">
        <v>1190</v>
      </c>
    </row>
    <row r="1362" spans="1:3" x14ac:dyDescent="0.25">
      <c r="A1362" s="36">
        <v>41209</v>
      </c>
      <c r="B1362" s="122">
        <v>0.93081018518518521</v>
      </c>
      <c r="C1362" s="26" t="s">
        <v>1107</v>
      </c>
    </row>
    <row r="1363" spans="1:3" x14ac:dyDescent="0.25">
      <c r="A1363" s="36">
        <v>41209</v>
      </c>
      <c r="B1363" s="122">
        <v>0.93247685185185192</v>
      </c>
      <c r="C1363" s="26" t="s">
        <v>1246</v>
      </c>
    </row>
    <row r="1364" spans="1:3" x14ac:dyDescent="0.25">
      <c r="A1364" s="36">
        <v>41209</v>
      </c>
      <c r="B1364" s="122">
        <v>0.93369212962962955</v>
      </c>
      <c r="C1364" s="26" t="s">
        <v>1107</v>
      </c>
    </row>
    <row r="1365" spans="1:3" x14ac:dyDescent="0.25">
      <c r="A1365" s="36">
        <v>41209</v>
      </c>
      <c r="B1365" s="122">
        <v>0.93401620370370375</v>
      </c>
      <c r="C1365" s="26" t="s">
        <v>1246</v>
      </c>
    </row>
    <row r="1366" spans="1:3" x14ac:dyDescent="0.25">
      <c r="A1366" s="36">
        <v>41209</v>
      </c>
      <c r="B1366" s="122">
        <v>0.93432870370370369</v>
      </c>
      <c r="C1366" s="26" t="s">
        <v>1107</v>
      </c>
    </row>
    <row r="1367" spans="1:3" x14ac:dyDescent="0.25">
      <c r="A1367" s="36">
        <v>41209</v>
      </c>
      <c r="B1367" s="122">
        <v>0.93782407407407409</v>
      </c>
      <c r="C1367" s="26" t="s">
        <v>1107</v>
      </c>
    </row>
    <row r="1368" spans="1:3" x14ac:dyDescent="0.25">
      <c r="A1368" s="36">
        <v>41209</v>
      </c>
      <c r="B1368" s="122">
        <v>0.93907407407407406</v>
      </c>
      <c r="C1368" s="26" t="s">
        <v>1107</v>
      </c>
    </row>
    <row r="1369" spans="1:3" x14ac:dyDescent="0.25">
      <c r="A1369" s="36">
        <v>41209</v>
      </c>
      <c r="B1369" s="122">
        <v>0.94170138888888888</v>
      </c>
      <c r="C1369" s="26" t="s">
        <v>1107</v>
      </c>
    </row>
    <row r="1370" spans="1:3" x14ac:dyDescent="0.25">
      <c r="A1370" s="36">
        <v>41209</v>
      </c>
      <c r="B1370" s="122">
        <v>0.9512152777777777</v>
      </c>
      <c r="C1370" s="26" t="s">
        <v>1107</v>
      </c>
    </row>
    <row r="1371" spans="1:3" x14ac:dyDescent="0.25">
      <c r="A1371" s="36">
        <v>41209</v>
      </c>
      <c r="B1371" s="122">
        <v>0.95141203703703703</v>
      </c>
      <c r="C1371" s="26" t="s">
        <v>1248</v>
      </c>
    </row>
    <row r="1372" spans="1:3" x14ac:dyDescent="0.25">
      <c r="A1372" s="36">
        <v>41209</v>
      </c>
      <c r="B1372" s="122">
        <v>0.98093750000000002</v>
      </c>
      <c r="C1372" s="26" t="s">
        <v>1107</v>
      </c>
    </row>
    <row r="1373" spans="1:3" x14ac:dyDescent="0.25">
      <c r="A1373" s="36">
        <v>41209</v>
      </c>
      <c r="B1373" s="122">
        <v>0.9865624999999999</v>
      </c>
      <c r="C1373" s="26" t="s">
        <v>1107</v>
      </c>
    </row>
    <row r="1374" spans="1:3" x14ac:dyDescent="0.25">
      <c r="A1374" s="36">
        <v>41209</v>
      </c>
      <c r="B1374" s="122">
        <v>0.99275462962962957</v>
      </c>
      <c r="C1374" s="26" t="s">
        <v>914</v>
      </c>
    </row>
    <row r="1375" spans="1:3" x14ac:dyDescent="0.25">
      <c r="A1375" s="36">
        <v>41209</v>
      </c>
      <c r="B1375" s="122">
        <v>0.99363425925925919</v>
      </c>
      <c r="C1375" s="26" t="s">
        <v>1107</v>
      </c>
    </row>
    <row r="1376" spans="1:3" x14ac:dyDescent="0.25">
      <c r="A1376" s="36">
        <v>41209</v>
      </c>
      <c r="B1376" s="122">
        <v>0.99693287037037026</v>
      </c>
      <c r="C1376" s="26" t="s">
        <v>1107</v>
      </c>
    </row>
    <row r="1377" spans="1:3" x14ac:dyDescent="0.25">
      <c r="A1377" s="36">
        <v>41209</v>
      </c>
      <c r="B1377" s="122">
        <v>0.99774305555555554</v>
      </c>
      <c r="C1377" s="26" t="s">
        <v>1107</v>
      </c>
    </row>
    <row r="1378" spans="1:3" x14ac:dyDescent="0.25">
      <c r="A1378" s="36">
        <v>41209</v>
      </c>
      <c r="B1378" s="122">
        <v>0.99857638888888889</v>
      </c>
      <c r="C1378" s="26" t="s">
        <v>1107</v>
      </c>
    </row>
    <row r="1379" spans="1:3" x14ac:dyDescent="0.25">
      <c r="A1379" s="36">
        <v>41210</v>
      </c>
      <c r="B1379" s="122">
        <v>5.7754629629629623E-3</v>
      </c>
      <c r="C1379" s="26" t="s">
        <v>1107</v>
      </c>
    </row>
    <row r="1380" spans="1:3" x14ac:dyDescent="0.25">
      <c r="A1380" s="36">
        <v>41210</v>
      </c>
      <c r="B1380" s="122">
        <v>7.743055555555556E-3</v>
      </c>
      <c r="C1380" s="26" t="s">
        <v>1107</v>
      </c>
    </row>
    <row r="1381" spans="1:3" x14ac:dyDescent="0.25">
      <c r="A1381" s="36">
        <v>41210</v>
      </c>
      <c r="B1381" s="122">
        <v>9.9652777777777778E-3</v>
      </c>
      <c r="C1381" s="26" t="s">
        <v>1107</v>
      </c>
    </row>
    <row r="1382" spans="1:3" x14ac:dyDescent="0.25">
      <c r="A1382" s="36">
        <v>41210</v>
      </c>
      <c r="B1382" s="122">
        <v>1.3217592592592593E-2</v>
      </c>
      <c r="C1382" s="26" t="s">
        <v>1107</v>
      </c>
    </row>
    <row r="1383" spans="1:3" x14ac:dyDescent="0.25">
      <c r="A1383" s="36">
        <v>41210</v>
      </c>
      <c r="B1383" s="122">
        <v>1.3530092592592594E-2</v>
      </c>
      <c r="C1383" s="26" t="s">
        <v>1107</v>
      </c>
    </row>
    <row r="1384" spans="1:3" x14ac:dyDescent="0.25">
      <c r="A1384" s="36">
        <v>41210</v>
      </c>
      <c r="B1384" s="122">
        <v>1.7488425925925925E-2</v>
      </c>
      <c r="C1384" s="26" t="s">
        <v>1107</v>
      </c>
    </row>
    <row r="1385" spans="1:3" x14ac:dyDescent="0.25">
      <c r="A1385" s="36">
        <v>41210</v>
      </c>
      <c r="B1385" s="122">
        <v>2.0520833333333332E-2</v>
      </c>
      <c r="C1385" s="26" t="s">
        <v>1187</v>
      </c>
    </row>
    <row r="1386" spans="1:3" x14ac:dyDescent="0.25">
      <c r="A1386" s="36">
        <v>41210</v>
      </c>
      <c r="B1386" s="122">
        <v>2.0682870370370372E-2</v>
      </c>
      <c r="C1386" s="26" t="s">
        <v>1107</v>
      </c>
    </row>
    <row r="1387" spans="1:3" x14ac:dyDescent="0.25">
      <c r="A1387" s="36">
        <v>41210</v>
      </c>
      <c r="B1387" s="122">
        <v>2.1250000000000002E-2</v>
      </c>
      <c r="C1387" s="26" t="s">
        <v>1107</v>
      </c>
    </row>
    <row r="1388" spans="1:3" x14ac:dyDescent="0.25">
      <c r="A1388" s="36">
        <v>41210</v>
      </c>
      <c r="B1388" s="122">
        <v>2.2094907407407407E-2</v>
      </c>
      <c r="C1388" s="26" t="s">
        <v>1107</v>
      </c>
    </row>
    <row r="1389" spans="1:3" x14ac:dyDescent="0.25">
      <c r="A1389" s="36">
        <v>41210</v>
      </c>
      <c r="B1389" s="122">
        <v>0.38613425925925932</v>
      </c>
      <c r="C1389" s="26" t="s">
        <v>914</v>
      </c>
    </row>
    <row r="1390" spans="1:3" x14ac:dyDescent="0.25">
      <c r="A1390" s="36">
        <v>41210</v>
      </c>
      <c r="B1390" s="122">
        <v>0.42598379629629629</v>
      </c>
      <c r="C1390" s="26" t="s">
        <v>914</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8"/>
  <sheetViews>
    <sheetView topLeftCell="A106" workbookViewId="0">
      <selection activeCell="Q118" sqref="Q1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41208</v>
      </c>
    </row>
    <row r="2" spans="1:30" s="317" customFormat="1" ht="19.5" x14ac:dyDescent="0.3">
      <c r="C2" s="318" t="s">
        <v>710</v>
      </c>
    </row>
    <row r="3" spans="1:30" s="317" customFormat="1" x14ac:dyDescent="0.25"/>
    <row r="4" spans="1:30" s="317" customFormat="1" ht="15.75" thickBot="1" x14ac:dyDescent="0.3">
      <c r="A4" s="317" t="s">
        <v>791</v>
      </c>
    </row>
    <row r="5" spans="1:30" s="317" customFormat="1" ht="23.25" thickBot="1" x14ac:dyDescent="0.3">
      <c r="A5" s="254" t="s">
        <v>798</v>
      </c>
      <c r="B5" s="319" t="s">
        <v>711</v>
      </c>
      <c r="C5" s="320" t="s">
        <v>580</v>
      </c>
      <c r="D5" s="320" t="s">
        <v>712</v>
      </c>
      <c r="E5" s="320" t="s">
        <v>591</v>
      </c>
      <c r="F5" s="321"/>
      <c r="G5" s="322" t="s">
        <v>68</v>
      </c>
      <c r="H5" s="323" t="s">
        <v>67</v>
      </c>
      <c r="I5" s="322" t="s">
        <v>66</v>
      </c>
      <c r="J5" s="324" t="s">
        <v>65</v>
      </c>
      <c r="K5" s="325" t="s">
        <v>713</v>
      </c>
      <c r="L5" s="325" t="s">
        <v>714</v>
      </c>
      <c r="M5" s="325" t="s">
        <v>715</v>
      </c>
      <c r="N5" s="326" t="s">
        <v>716</v>
      </c>
      <c r="O5" s="326" t="s">
        <v>717</v>
      </c>
      <c r="P5" s="326" t="s">
        <v>718</v>
      </c>
      <c r="Q5" s="326" t="s">
        <v>719</v>
      </c>
      <c r="R5" s="326" t="s">
        <v>720</v>
      </c>
      <c r="S5" s="325" t="s">
        <v>0</v>
      </c>
      <c r="T5" s="324" t="s">
        <v>2</v>
      </c>
      <c r="U5" s="324" t="s">
        <v>721</v>
      </c>
      <c r="V5" s="324" t="s">
        <v>722</v>
      </c>
      <c r="W5" s="324" t="s">
        <v>1</v>
      </c>
      <c r="X5" s="324" t="s">
        <v>723</v>
      </c>
      <c r="Y5" s="324" t="s">
        <v>724</v>
      </c>
      <c r="Z5" s="322" t="s">
        <v>62</v>
      </c>
      <c r="AA5" s="324" t="s">
        <v>64</v>
      </c>
      <c r="AB5" s="325" t="s">
        <v>61</v>
      </c>
      <c r="AC5" s="324" t="s">
        <v>63</v>
      </c>
      <c r="AD5" s="324" t="s">
        <v>57</v>
      </c>
    </row>
    <row r="6" spans="1:30" s="317" customFormat="1" x14ac:dyDescent="0.25">
      <c r="A6" s="255" t="s">
        <v>799</v>
      </c>
      <c r="B6" s="327" t="s">
        <v>201</v>
      </c>
      <c r="C6" s="328" t="str">
        <f>IF(D6="","",1)</f>
        <v/>
      </c>
      <c r="D6" s="515"/>
      <c r="E6" s="515"/>
      <c r="F6" s="329" t="str">
        <f>TRIM(G6)&amp;TRIM(J6)&amp;ROUND(S6/1000,0)</f>
        <v>0</v>
      </c>
    </row>
    <row r="7" spans="1:30" s="317" customFormat="1" x14ac:dyDescent="0.25">
      <c r="A7" s="254" t="s">
        <v>800</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801</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802</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803</v>
      </c>
      <c r="B10" s="488" t="s">
        <v>794</v>
      </c>
      <c r="C10" s="488"/>
      <c r="D10" s="488" t="s">
        <v>833</v>
      </c>
      <c r="E10" s="488" t="s">
        <v>834</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790</v>
      </c>
    </row>
    <row r="13" spans="1:30" s="317" customFormat="1" ht="15.75" thickBot="1" x14ac:dyDescent="0.3">
      <c r="B13" s="317" t="s">
        <v>725</v>
      </c>
      <c r="C13" s="317" t="s">
        <v>726</v>
      </c>
      <c r="D13" s="317" t="s">
        <v>726</v>
      </c>
      <c r="E13" s="317" t="s">
        <v>726</v>
      </c>
      <c r="F13" s="317" t="s">
        <v>726</v>
      </c>
      <c r="H13" s="317" t="s">
        <v>726</v>
      </c>
      <c r="I13" s="317" t="s">
        <v>726</v>
      </c>
      <c r="J13" s="317" t="s">
        <v>726</v>
      </c>
      <c r="K13" s="317" t="s">
        <v>726</v>
      </c>
      <c r="R13" s="333" t="s">
        <v>725</v>
      </c>
    </row>
    <row r="14" spans="1:30" s="317" customFormat="1" ht="15.75" thickBot="1" x14ac:dyDescent="0.3">
      <c r="A14" s="710">
        <f>1 - COUNTIF(A$3:A12,"")/COUNTA(A$3:A12)</f>
        <v>0.75</v>
      </c>
      <c r="B14" s="711"/>
      <c r="C14" s="711"/>
      <c r="D14" s="712"/>
      <c r="E14" s="334"/>
      <c r="F14" s="335">
        <f>SUMIF(B$1:B7,"",R$1:R7)</f>
        <v>0</v>
      </c>
      <c r="G14" s="336" t="e">
        <f>F14/R14</f>
        <v>#DIV/0!</v>
      </c>
      <c r="H14" s="337" t="e">
        <f>1-G14</f>
        <v>#DIV/0!</v>
      </c>
      <c r="I14" s="338" t="s">
        <v>727</v>
      </c>
      <c r="J14" s="339"/>
      <c r="K14" s="340"/>
      <c r="L14" s="341"/>
      <c r="M14" s="341"/>
      <c r="N14" s="341"/>
      <c r="O14" s="341"/>
      <c r="P14" s="341"/>
      <c r="Q14" s="341"/>
      <c r="R14" s="335">
        <f>SUM(R$3:R12)</f>
        <v>0</v>
      </c>
    </row>
    <row r="15" spans="1:30" s="317" customFormat="1" x14ac:dyDescent="0.25"/>
    <row r="16" spans="1:30" s="317" customFormat="1" ht="15.75" thickBot="1" x14ac:dyDescent="0.3">
      <c r="A16" s="317" t="s">
        <v>792</v>
      </c>
    </row>
    <row r="17" spans="1:27" s="353" customFormat="1" ht="60" thickBot="1" x14ac:dyDescent="0.3">
      <c r="A17" s="254" t="s">
        <v>798</v>
      </c>
      <c r="B17" s="342" t="s">
        <v>728</v>
      </c>
      <c r="C17" s="343" t="s">
        <v>729</v>
      </c>
      <c r="D17" s="343" t="s">
        <v>730</v>
      </c>
      <c r="E17" s="344" t="s">
        <v>731</v>
      </c>
      <c r="F17" s="345" t="s">
        <v>732</v>
      </c>
      <c r="G17" s="346" t="s">
        <v>733</v>
      </c>
      <c r="H17" s="347" t="s">
        <v>734</v>
      </c>
      <c r="I17" s="348"/>
      <c r="J17" s="349"/>
      <c r="K17" s="350" t="s">
        <v>606</v>
      </c>
      <c r="L17" s="350"/>
      <c r="M17" s="351" t="s">
        <v>607</v>
      </c>
      <c r="N17" s="349" t="s">
        <v>721</v>
      </c>
      <c r="O17" s="349" t="s">
        <v>1</v>
      </c>
      <c r="P17" s="349" t="s">
        <v>58</v>
      </c>
      <c r="Q17" s="349" t="s">
        <v>735</v>
      </c>
      <c r="R17" s="349" t="s">
        <v>736</v>
      </c>
      <c r="S17" s="349" t="s">
        <v>737</v>
      </c>
      <c r="T17" s="350" t="s">
        <v>738</v>
      </c>
      <c r="U17" s="352" t="s">
        <v>739</v>
      </c>
      <c r="V17" s="352" t="s">
        <v>740</v>
      </c>
      <c r="W17" s="352" t="s">
        <v>741</v>
      </c>
      <c r="X17" s="349" t="s">
        <v>742</v>
      </c>
      <c r="Y17" s="349" t="s">
        <v>743</v>
      </c>
      <c r="Z17" s="349" t="s">
        <v>57</v>
      </c>
      <c r="AA17" s="349" t="s">
        <v>744</v>
      </c>
    </row>
    <row r="18" spans="1:27" s="317" customFormat="1" ht="18" customHeight="1" x14ac:dyDescent="0.25">
      <c r="A18" s="255" t="s">
        <v>799</v>
      </c>
      <c r="B18" s="354" t="s">
        <v>70</v>
      </c>
      <c r="C18" s="355" t="s">
        <v>755</v>
      </c>
      <c r="D18" s="356"/>
      <c r="E18" s="357">
        <v>1</v>
      </c>
      <c r="F18" s="358" t="str">
        <f>IF(AND(U18=W18,W18&gt;0),"1","")</f>
        <v/>
      </c>
      <c r="G18" s="359" t="str">
        <f>IF(U18=V18,"1","")</f>
        <v/>
      </c>
      <c r="H18" s="360"/>
      <c r="I18" s="361" t="str">
        <f>IF(S18="",TRIM(K18),TRIM(MID(S18,9,55))&amp;"/"&amp;TRIM(K18))</f>
        <v>2009-1-065</v>
      </c>
      <c r="J18" s="362"/>
      <c r="K18" s="363" t="s">
        <v>745</v>
      </c>
      <c r="L18" s="363"/>
      <c r="M18" s="364">
        <v>40058</v>
      </c>
      <c r="N18" s="362" t="s">
        <v>11</v>
      </c>
      <c r="O18" s="362" t="s">
        <v>80</v>
      </c>
      <c r="P18" s="362" t="s">
        <v>746</v>
      </c>
      <c r="Q18" s="362"/>
      <c r="R18" s="362" t="s">
        <v>747</v>
      </c>
      <c r="S18" s="362"/>
      <c r="T18" s="363" t="s">
        <v>100</v>
      </c>
      <c r="U18" s="365">
        <v>324000</v>
      </c>
      <c r="V18" s="365">
        <v>0</v>
      </c>
      <c r="W18" s="365">
        <v>0</v>
      </c>
      <c r="X18" s="362" t="s">
        <v>45</v>
      </c>
      <c r="Y18" s="366"/>
      <c r="Z18" s="366" t="s">
        <v>748</v>
      </c>
      <c r="AA18" s="362" t="s">
        <v>749</v>
      </c>
    </row>
    <row r="19" spans="1:27" s="317" customFormat="1" x14ac:dyDescent="0.25">
      <c r="A19" s="254" t="s">
        <v>800</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801</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802</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803</v>
      </c>
      <c r="B22" s="330" t="s">
        <v>794</v>
      </c>
      <c r="C22" s="330" t="s">
        <v>806</v>
      </c>
      <c r="D22" s="317" t="s">
        <v>804</v>
      </c>
      <c r="E22" s="330"/>
      <c r="F22" s="331"/>
      <c r="G22" s="330"/>
      <c r="H22" s="330" t="s">
        <v>805</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793</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750</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727</v>
      </c>
      <c r="T26" s="387">
        <f>SUM(T$1:T25)</f>
        <v>48</v>
      </c>
      <c r="U26" s="387">
        <f>SUM(U$1:U25)</f>
        <v>324012</v>
      </c>
      <c r="V26" s="387">
        <f>SUM(V$1:V25)</f>
        <v>11</v>
      </c>
      <c r="W26" s="378" t="s">
        <v>751</v>
      </c>
      <c r="X26" s="381"/>
      <c r="Y26" s="381"/>
      <c r="Z26" s="378"/>
    </row>
    <row r="27" spans="1:27" s="382" customFormat="1" ht="15" customHeight="1" x14ac:dyDescent="0.25">
      <c r="A27" s="368"/>
      <c r="B27" s="388" t="s">
        <v>752</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753</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754</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755</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756</v>
      </c>
    </row>
    <row r="34" spans="1:9" s="317" customFormat="1" ht="17.25" x14ac:dyDescent="0.4">
      <c r="A34" s="408" t="s">
        <v>711</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757</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758</v>
      </c>
    </row>
    <row r="42" spans="1:9" s="317" customFormat="1" x14ac:dyDescent="0.25">
      <c r="A42" s="415" t="s">
        <v>759</v>
      </c>
      <c r="B42" s="415" t="s">
        <v>760</v>
      </c>
      <c r="C42" s="415" t="s">
        <v>761</v>
      </c>
      <c r="D42" s="415" t="s">
        <v>762</v>
      </c>
      <c r="E42" s="415" t="s">
        <v>763</v>
      </c>
      <c r="F42" s="415" t="s">
        <v>764</v>
      </c>
      <c r="G42" s="415" t="s">
        <v>765</v>
      </c>
      <c r="H42" s="415" t="s">
        <v>766</v>
      </c>
      <c r="I42" s="415" t="s">
        <v>767</v>
      </c>
    </row>
    <row r="43" spans="1:9" s="317" customFormat="1" x14ac:dyDescent="0.25">
      <c r="A43" s="317" t="s">
        <v>768</v>
      </c>
      <c r="B43" s="317" t="s">
        <v>769</v>
      </c>
      <c r="D43" s="330" t="s">
        <v>580</v>
      </c>
      <c r="E43" s="330">
        <v>1</v>
      </c>
      <c r="F43" s="317" t="s">
        <v>770</v>
      </c>
      <c r="G43" s="317" t="s">
        <v>771</v>
      </c>
      <c r="H43" s="317" t="s">
        <v>573</v>
      </c>
      <c r="I43" s="317" t="s">
        <v>772</v>
      </c>
    </row>
    <row r="44" spans="1:9" s="430" customFormat="1" ht="7.5" customHeight="1" x14ac:dyDescent="0.25">
      <c r="D44" s="431"/>
      <c r="E44" s="431"/>
    </row>
    <row r="45" spans="1:9" s="414" customFormat="1" ht="19.5" x14ac:dyDescent="0.3">
      <c r="A45" s="317"/>
      <c r="C45" s="416" t="s">
        <v>773</v>
      </c>
    </row>
    <row r="46" spans="1:9" s="414" customFormat="1" x14ac:dyDescent="0.25"/>
    <row r="47" spans="1:9" s="414" customFormat="1" x14ac:dyDescent="0.25">
      <c r="A47" s="414" t="s">
        <v>774</v>
      </c>
    </row>
    <row r="48" spans="1:9" s="414" customFormat="1" ht="17.25" x14ac:dyDescent="0.4">
      <c r="A48" s="409" t="s">
        <v>775</v>
      </c>
      <c r="B48" s="417" t="s">
        <v>776</v>
      </c>
      <c r="E48" s="414" t="s">
        <v>777</v>
      </c>
    </row>
    <row r="49" spans="1:6" s="414" customFormat="1" x14ac:dyDescent="0.25">
      <c r="A49" s="418">
        <v>4240</v>
      </c>
      <c r="B49" s="419" t="str">
        <f>IF(D49="&lt;&lt;ПУСТО&gt;&gt;",C49&amp;ROUND(F49/1000,0),D49&amp;C49&amp;ROUND(F49/1000,0))</f>
        <v>0</v>
      </c>
      <c r="E49" s="414" t="s">
        <v>778</v>
      </c>
    </row>
    <row r="50" spans="1:6" s="414" customFormat="1" x14ac:dyDescent="0.25">
      <c r="A50" s="420">
        <v>8</v>
      </c>
      <c r="B50" s="420">
        <v>1</v>
      </c>
      <c r="E50" s="414" t="s">
        <v>779</v>
      </c>
    </row>
    <row r="51" spans="1:6" s="414" customFormat="1" x14ac:dyDescent="0.25"/>
    <row r="52" spans="1:6" s="414" customFormat="1" ht="15.75" thickBot="1" x14ac:dyDescent="0.3">
      <c r="A52" s="414" t="s">
        <v>780</v>
      </c>
    </row>
    <row r="53" spans="1:6" s="414" customFormat="1" ht="15.75" x14ac:dyDescent="0.3">
      <c r="A53" s="421">
        <f>(SUMIF(A$45:A49,0,F$45:F49)-F53)/1000000</f>
        <v>0</v>
      </c>
      <c r="B53" s="412"/>
      <c r="C53" s="413"/>
      <c r="E53" s="422" t="s">
        <v>781</v>
      </c>
      <c r="F53" s="423">
        <f>SUMIF(I$45:I50,"Наталья Константиновна Лидер",F$45:F50)</f>
        <v>0</v>
      </c>
    </row>
    <row r="54" spans="1:6" s="414" customFormat="1" ht="16.5" thickBot="1" x14ac:dyDescent="0.35">
      <c r="A54" s="424">
        <f>COUNTIF(A$45:A49,0)-F54</f>
        <v>0</v>
      </c>
      <c r="B54" s="412"/>
      <c r="C54" s="413" t="s">
        <v>624</v>
      </c>
      <c r="E54" s="425"/>
      <c r="F54" s="426">
        <f>COUNTIF(I$45:I55,"Наталья Константиновна Лидер")</f>
        <v>0</v>
      </c>
    </row>
    <row r="55" spans="1:6" s="414" customFormat="1" x14ac:dyDescent="0.25"/>
    <row r="56" spans="1:6" s="414" customFormat="1" x14ac:dyDescent="0.25">
      <c r="A56" s="414" t="s">
        <v>782</v>
      </c>
    </row>
    <row r="57" spans="1:6" s="414" customFormat="1" ht="17.25" x14ac:dyDescent="0.4">
      <c r="A57" s="409" t="s">
        <v>775</v>
      </c>
      <c r="B57" s="409" t="s">
        <v>783</v>
      </c>
      <c r="E57" s="414" t="s">
        <v>777</v>
      </c>
    </row>
    <row r="58" spans="1:6" s="414" customFormat="1" x14ac:dyDescent="0.25">
      <c r="A58" s="410" t="str">
        <f>IFERROR(MATCH(B58,#REF!,0),IF(L59="Не состоялся","-"," "))</f>
        <v xml:space="preserve"> </v>
      </c>
      <c r="B58" s="427" t="str">
        <f>IF(E58="",D58,E58&amp;"/"&amp;D58)</f>
        <v>Match=&lt;номер строки Договора1С&gt;/</v>
      </c>
      <c r="E58" s="414" t="s">
        <v>784</v>
      </c>
    </row>
    <row r="59" spans="1:6" s="414" customFormat="1" x14ac:dyDescent="0.25">
      <c r="A59" s="420">
        <v>10</v>
      </c>
      <c r="B59" s="420">
        <v>1</v>
      </c>
      <c r="E59" s="414" t="s">
        <v>785</v>
      </c>
    </row>
    <row r="60" spans="1:6" s="414" customFormat="1" x14ac:dyDescent="0.25"/>
    <row r="61" spans="1:6" s="414" customFormat="1" ht="15.75" thickBot="1" x14ac:dyDescent="0.3">
      <c r="A61" s="414" t="s">
        <v>786</v>
      </c>
    </row>
    <row r="62" spans="1:6" s="414" customFormat="1" ht="15.75" thickBot="1" x14ac:dyDescent="0.3">
      <c r="A62" s="411">
        <f>COUNTIF(A$46:A56,0)</f>
        <v>2</v>
      </c>
      <c r="B62" s="412"/>
    </row>
    <row r="63" spans="1:6" s="414" customFormat="1" ht="15.75" x14ac:dyDescent="0.3">
      <c r="C63" s="413"/>
    </row>
    <row r="64" spans="1:6" s="414" customFormat="1" x14ac:dyDescent="0.25">
      <c r="A64" s="414" t="s">
        <v>758</v>
      </c>
    </row>
    <row r="65" spans="1:35" s="414" customFormat="1" x14ac:dyDescent="0.25">
      <c r="A65" s="428" t="s">
        <v>759</v>
      </c>
      <c r="B65" s="428" t="s">
        <v>760</v>
      </c>
      <c r="C65" s="428" t="s">
        <v>761</v>
      </c>
      <c r="D65" s="428" t="s">
        <v>762</v>
      </c>
      <c r="E65" s="428" t="s">
        <v>763</v>
      </c>
      <c r="F65" s="428" t="s">
        <v>764</v>
      </c>
      <c r="G65" s="428" t="s">
        <v>765</v>
      </c>
      <c r="H65" s="428" t="s">
        <v>766</v>
      </c>
      <c r="I65" s="428" t="s">
        <v>767</v>
      </c>
    </row>
    <row r="66" spans="1:35" s="414" customFormat="1" x14ac:dyDescent="0.25">
      <c r="A66" s="414" t="s">
        <v>768</v>
      </c>
      <c r="B66" s="414" t="s">
        <v>769</v>
      </c>
      <c r="D66" s="420" t="s">
        <v>580</v>
      </c>
      <c r="E66" s="420">
        <v>1</v>
      </c>
      <c r="F66" s="414" t="s">
        <v>770</v>
      </c>
      <c r="G66" s="414" t="s">
        <v>771</v>
      </c>
      <c r="H66" s="414" t="s">
        <v>573</v>
      </c>
      <c r="I66" s="414" t="s">
        <v>772</v>
      </c>
    </row>
    <row r="67" spans="1:35" s="430" customFormat="1" ht="7.5" customHeight="1" x14ac:dyDescent="0.25">
      <c r="D67" s="431"/>
      <c r="E67" s="431"/>
    </row>
    <row r="68" spans="1:35" s="414" customFormat="1" ht="19.5" x14ac:dyDescent="0.3">
      <c r="A68" s="317"/>
      <c r="C68" s="416" t="s">
        <v>858</v>
      </c>
      <c r="I68" s="414">
        <f>G74</f>
        <v>6</v>
      </c>
    </row>
    <row r="69" spans="1:35" s="317" customFormat="1" x14ac:dyDescent="0.25"/>
    <row r="70" spans="1:35" s="317" customFormat="1" x14ac:dyDescent="0.25">
      <c r="A70" s="317" t="s">
        <v>905</v>
      </c>
    </row>
    <row r="71" spans="1:35" s="317" customFormat="1" ht="25.5" x14ac:dyDescent="0.25">
      <c r="A71" s="254" t="s">
        <v>798</v>
      </c>
      <c r="B71" s="584" t="s">
        <v>859</v>
      </c>
      <c r="C71" s="586" t="s">
        <v>363</v>
      </c>
      <c r="D71" s="587" t="s">
        <v>860</v>
      </c>
      <c r="E71" s="561" t="s">
        <v>861</v>
      </c>
      <c r="F71" s="561" t="s">
        <v>58</v>
      </c>
      <c r="G71" s="561" t="s">
        <v>808</v>
      </c>
      <c r="H71" s="561" t="s">
        <v>836</v>
      </c>
      <c r="I71" s="561" t="s">
        <v>908</v>
      </c>
      <c r="K71" s="558" t="s">
        <v>867</v>
      </c>
      <c r="L71" s="559" t="s">
        <v>862</v>
      </c>
      <c r="M71" s="560"/>
      <c r="N71" s="548" t="s">
        <v>702</v>
      </c>
      <c r="O71" s="548" t="s">
        <v>703</v>
      </c>
      <c r="P71" s="548" t="s">
        <v>65</v>
      </c>
      <c r="Q71" s="548" t="s">
        <v>1</v>
      </c>
      <c r="R71" s="549" t="s">
        <v>704</v>
      </c>
      <c r="S71" s="550" t="s">
        <v>863</v>
      </c>
      <c r="T71" s="551" t="s">
        <v>705</v>
      </c>
      <c r="U71" s="548" t="s">
        <v>706</v>
      </c>
      <c r="V71" s="552" t="s">
        <v>699</v>
      </c>
      <c r="W71" s="553" t="s">
        <v>699</v>
      </c>
      <c r="X71" s="553" t="s">
        <v>699</v>
      </c>
      <c r="Y71" s="553" t="s">
        <v>699</v>
      </c>
      <c r="Z71" s="548" t="s">
        <v>699</v>
      </c>
      <c r="AA71" s="548" t="s">
        <v>864</v>
      </c>
      <c r="AB71" s="548" t="s">
        <v>699</v>
      </c>
      <c r="AC71" s="548" t="s">
        <v>699</v>
      </c>
      <c r="AD71" s="554" t="s">
        <v>865</v>
      </c>
      <c r="AE71" s="555" t="s">
        <v>699</v>
      </c>
      <c r="AF71" s="548" t="s">
        <v>699</v>
      </c>
      <c r="AG71" s="548" t="s">
        <v>699</v>
      </c>
      <c r="AH71" s="556" t="s">
        <v>866</v>
      </c>
      <c r="AI71" s="557"/>
    </row>
    <row r="72" spans="1:35" s="317" customFormat="1" x14ac:dyDescent="0.25">
      <c r="A72" s="255" t="s">
        <v>799</v>
      </c>
      <c r="B72" s="585"/>
      <c r="C72" s="328"/>
      <c r="D72" s="588">
        <f>R72</f>
        <v>0</v>
      </c>
      <c r="E72" s="515"/>
      <c r="F72" s="331"/>
      <c r="G72" s="581"/>
    </row>
    <row r="73" spans="1:35" s="317" customFormat="1" x14ac:dyDescent="0.25">
      <c r="A73" s="254" t="s">
        <v>800</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801</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802</v>
      </c>
      <c r="B75" s="582" t="s">
        <v>906</v>
      </c>
      <c r="C75" s="582" t="s">
        <v>907</v>
      </c>
      <c r="D75" s="330"/>
      <c r="E75" s="582" t="s">
        <v>886</v>
      </c>
      <c r="F75" s="582" t="s">
        <v>885</v>
      </c>
      <c r="G75" s="583"/>
      <c r="H75" s="583" t="s">
        <v>897</v>
      </c>
      <c r="I75" s="583" t="s">
        <v>909</v>
      </c>
      <c r="J75" s="330"/>
      <c r="K75" s="330"/>
      <c r="N75" s="578" t="s">
        <v>895</v>
      </c>
      <c r="O75" s="332"/>
      <c r="P75" s="332"/>
      <c r="Q75" s="332"/>
      <c r="R75" s="332"/>
      <c r="S75" s="332"/>
      <c r="T75" s="332"/>
      <c r="U75" s="332"/>
      <c r="V75" s="332"/>
      <c r="W75" s="332"/>
      <c r="X75" s="367"/>
      <c r="Y75" s="332"/>
      <c r="Z75" s="332"/>
      <c r="AA75" s="332"/>
      <c r="AB75" s="332"/>
      <c r="AC75" s="332"/>
      <c r="AD75" s="332"/>
    </row>
    <row r="76" spans="1:35" s="317" customFormat="1" x14ac:dyDescent="0.25">
      <c r="A76" s="254" t="s">
        <v>803</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896</v>
      </c>
    </row>
    <row r="78" spans="1:35" s="317" customFormat="1" x14ac:dyDescent="0.25">
      <c r="A78" s="317" t="s">
        <v>883</v>
      </c>
      <c r="F78" s="317">
        <v>5</v>
      </c>
      <c r="I78" s="317">
        <v>8</v>
      </c>
      <c r="P78" s="317">
        <v>10</v>
      </c>
      <c r="T78" s="317">
        <v>14</v>
      </c>
    </row>
    <row r="79" spans="1:35" s="317" customFormat="1" ht="75" x14ac:dyDescent="0.25">
      <c r="A79" s="254" t="s">
        <v>798</v>
      </c>
      <c r="B79" s="561" t="s">
        <v>868</v>
      </c>
      <c r="C79" s="562" t="s">
        <v>188</v>
      </c>
      <c r="D79" s="561" t="s">
        <v>869</v>
      </c>
      <c r="E79" s="561" t="s">
        <v>870</v>
      </c>
      <c r="F79" s="561" t="s">
        <v>808</v>
      </c>
      <c r="G79" s="561" t="s">
        <v>373</v>
      </c>
      <c r="H79" s="573" t="s">
        <v>1</v>
      </c>
      <c r="I79" s="561" t="s">
        <v>66</v>
      </c>
      <c r="J79" s="573" t="s">
        <v>887</v>
      </c>
      <c r="K79" s="577" t="s">
        <v>836</v>
      </c>
      <c r="L79" s="577" t="s">
        <v>149</v>
      </c>
      <c r="M79" s="577" t="s">
        <v>62</v>
      </c>
      <c r="N79" s="577"/>
      <c r="O79" s="577"/>
      <c r="P79" s="564" t="s">
        <v>874</v>
      </c>
      <c r="Q79" s="564" t="s">
        <v>697</v>
      </c>
      <c r="R79" s="563" t="s">
        <v>698</v>
      </c>
      <c r="S79" s="564" t="s">
        <v>701</v>
      </c>
      <c r="T79" s="565" t="s">
        <v>699</v>
      </c>
      <c r="U79" s="565" t="s">
        <v>700</v>
      </c>
      <c r="V79" s="565" t="s">
        <v>871</v>
      </c>
      <c r="W79" s="565" t="s">
        <v>872</v>
      </c>
      <c r="X79" s="565" t="s">
        <v>873</v>
      </c>
    </row>
    <row r="80" spans="1:35" s="317" customFormat="1" x14ac:dyDescent="0.25">
      <c r="A80" s="255" t="s">
        <v>799</v>
      </c>
      <c r="B80" s="331"/>
      <c r="C80" s="328"/>
      <c r="D80" s="515"/>
      <c r="E80" s="515"/>
      <c r="F80" s="574"/>
      <c r="P80" s="330" t="s">
        <v>884</v>
      </c>
      <c r="Q80" s="330" t="s">
        <v>884</v>
      </c>
      <c r="R80" s="330" t="s">
        <v>884</v>
      </c>
      <c r="S80" s="330" t="s">
        <v>884</v>
      </c>
      <c r="T80" s="330" t="s">
        <v>884</v>
      </c>
      <c r="U80" s="330" t="s">
        <v>884</v>
      </c>
      <c r="V80" s="330" t="s">
        <v>884</v>
      </c>
      <c r="W80" s="330" t="s">
        <v>884</v>
      </c>
      <c r="X80" s="330" t="s">
        <v>884</v>
      </c>
    </row>
    <row r="81" spans="1:35" s="317" customFormat="1" x14ac:dyDescent="0.25">
      <c r="A81" s="254" t="s">
        <v>800</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801</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802</v>
      </c>
      <c r="B83" s="330"/>
      <c r="C83" s="330"/>
      <c r="D83" s="330"/>
      <c r="E83" s="330"/>
      <c r="F83" s="331"/>
      <c r="G83" s="575" t="s">
        <v>885</v>
      </c>
      <c r="H83" s="575" t="s">
        <v>886</v>
      </c>
      <c r="I83" s="330"/>
      <c r="J83" s="576" t="s">
        <v>888</v>
      </c>
      <c r="K83" s="576" t="s">
        <v>897</v>
      </c>
      <c r="L83" s="576"/>
      <c r="M83" s="576"/>
      <c r="N83" s="576"/>
      <c r="O83" s="576"/>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803</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6" spans="1:35" s="430" customFormat="1" ht="7.5" customHeight="1" x14ac:dyDescent="0.25">
      <c r="D86" s="431"/>
      <c r="E86" s="431"/>
    </row>
    <row r="87" spans="1:35" s="414" customFormat="1" ht="19.5" x14ac:dyDescent="0.3">
      <c r="A87" s="317"/>
      <c r="C87" s="416" t="s">
        <v>787</v>
      </c>
      <c r="I87" s="414">
        <f>G110</f>
        <v>0</v>
      </c>
    </row>
    <row r="89" spans="1:35" ht="15.75" thickBot="1" x14ac:dyDescent="0.3">
      <c r="A89" s="30" t="s">
        <v>250</v>
      </c>
    </row>
    <row r="90" spans="1:35" ht="16.5" thickBot="1" x14ac:dyDescent="0.3">
      <c r="A90" s="33">
        <v>40954</v>
      </c>
      <c r="B90" s="34" t="s">
        <v>215</v>
      </c>
      <c r="D90" s="35">
        <v>1</v>
      </c>
    </row>
    <row r="91" spans="1:35" s="317" customFormat="1" x14ac:dyDescent="0.25">
      <c r="A91" s="488"/>
      <c r="B91" s="488"/>
      <c r="C91" s="488"/>
      <c r="D91" s="488"/>
      <c r="E91" s="488"/>
      <c r="F91" s="331"/>
      <c r="G91" s="330"/>
      <c r="H91" s="330"/>
      <c r="K91" s="330"/>
      <c r="L91" s="332"/>
      <c r="M91" s="332"/>
      <c r="N91" s="332"/>
      <c r="O91" s="332"/>
      <c r="P91" s="332"/>
      <c r="Q91" s="332"/>
      <c r="R91" s="332"/>
      <c r="S91" s="332"/>
      <c r="T91" s="332"/>
      <c r="U91" s="367"/>
      <c r="V91" s="332"/>
      <c r="W91" s="332"/>
      <c r="X91" s="332"/>
      <c r="Y91" s="332"/>
      <c r="Z91" s="332"/>
      <c r="AA91" s="332"/>
    </row>
    <row r="92" spans="1:35" s="677" customFormat="1" ht="7.5" customHeight="1" x14ac:dyDescent="0.25">
      <c r="D92" s="678"/>
      <c r="E92" s="678"/>
    </row>
    <row r="93" spans="1:35" s="317" customFormat="1" ht="19.5" x14ac:dyDescent="0.3">
      <c r="C93" s="318" t="s">
        <v>1243</v>
      </c>
    </row>
    <row r="95" spans="1:35" ht="15.75" thickBot="1" x14ac:dyDescent="0.3">
      <c r="A95" s="30" t="s">
        <v>827</v>
      </c>
    </row>
    <row r="96" spans="1:35" ht="15.75" thickBot="1" x14ac:dyDescent="0.3">
      <c r="A96" s="254" t="s">
        <v>688</v>
      </c>
      <c r="B96" s="4" t="s">
        <v>119</v>
      </c>
      <c r="C96" s="4" t="s">
        <v>120</v>
      </c>
      <c r="D96" s="4" t="s">
        <v>121</v>
      </c>
      <c r="E96" s="4" t="s">
        <v>122</v>
      </c>
      <c r="F96" s="4" t="s">
        <v>123</v>
      </c>
      <c r="G96" s="3" t="s">
        <v>118</v>
      </c>
      <c r="H96" s="64" t="s">
        <v>116</v>
      </c>
      <c r="I96" s="64" t="s">
        <v>832</v>
      </c>
    </row>
    <row r="97" spans="1:23" s="1" customFormat="1" x14ac:dyDescent="0.25">
      <c r="A97" s="255" t="s">
        <v>600</v>
      </c>
      <c r="I97" s="145"/>
      <c r="J97" s="145"/>
      <c r="K97" s="8"/>
      <c r="L97" s="6"/>
      <c r="M97" s="12"/>
      <c r="N97"/>
      <c r="O97"/>
      <c r="P97"/>
      <c r="Q97"/>
      <c r="R97"/>
      <c r="S97"/>
      <c r="T97"/>
      <c r="U97"/>
      <c r="V97"/>
      <c r="W97"/>
    </row>
    <row r="98" spans="1:23" x14ac:dyDescent="0.25">
      <c r="A98" s="254" t="s">
        <v>689</v>
      </c>
      <c r="B98" s="145" t="s">
        <v>113</v>
      </c>
      <c r="C98" s="145" t="s">
        <v>113</v>
      </c>
      <c r="D98" s="145" t="s">
        <v>113</v>
      </c>
      <c r="E98" s="145" t="s">
        <v>113</v>
      </c>
      <c r="F98" s="145" t="s">
        <v>242</v>
      </c>
      <c r="G98" s="145" t="s">
        <v>113</v>
      </c>
      <c r="H98" s="145" t="s">
        <v>128</v>
      </c>
      <c r="I98" s="145" t="s">
        <v>128</v>
      </c>
      <c r="J98" s="145"/>
      <c r="K98" s="145"/>
      <c r="L98" s="145"/>
      <c r="M98" s="145"/>
    </row>
    <row r="99" spans="1:23" x14ac:dyDescent="0.25">
      <c r="A99" s="254" t="s">
        <v>690</v>
      </c>
      <c r="B99" s="145" t="s">
        <v>126</v>
      </c>
      <c r="C99" s="145" t="s">
        <v>112</v>
      </c>
      <c r="D99" s="145" t="s">
        <v>128</v>
      </c>
      <c r="E99" s="145" t="s">
        <v>111</v>
      </c>
      <c r="F99" s="145" t="s">
        <v>828</v>
      </c>
      <c r="G99" s="473" t="s">
        <v>115</v>
      </c>
      <c r="H99" s="605" t="s">
        <v>1057</v>
      </c>
      <c r="I99" s="145" t="s">
        <v>91</v>
      </c>
      <c r="J99" s="145"/>
      <c r="K99" s="145"/>
      <c r="L99" s="145"/>
      <c r="M99" s="145"/>
    </row>
    <row r="100" spans="1:23" x14ac:dyDescent="0.25">
      <c r="A100" s="254" t="s">
        <v>691</v>
      </c>
      <c r="E100" t="s">
        <v>813</v>
      </c>
      <c r="H100" s="57"/>
      <c r="I100" s="92"/>
      <c r="M100" s="92"/>
      <c r="N100" s="92"/>
      <c r="O100" s="460"/>
      <c r="P100" s="92"/>
    </row>
    <row r="101" spans="1:23" x14ac:dyDescent="0.25">
      <c r="A101" s="254" t="s">
        <v>812</v>
      </c>
      <c r="E101" s="252"/>
      <c r="G101" s="252" t="s">
        <v>829</v>
      </c>
      <c r="H101" s="604" t="s">
        <v>1056</v>
      </c>
      <c r="I101" s="330"/>
      <c r="N101" s="253"/>
      <c r="R101" s="461"/>
      <c r="S101" s="461"/>
      <c r="T101" s="461"/>
      <c r="U101" s="461"/>
      <c r="V101" s="461"/>
    </row>
    <row r="103" spans="1:23" ht="15.75" thickBot="1" x14ac:dyDescent="0.3">
      <c r="A103" s="30" t="s">
        <v>687</v>
      </c>
    </row>
    <row r="104" spans="1:23" s="256" customFormat="1" ht="15.75" thickBot="1" x14ac:dyDescent="0.3">
      <c r="A104" s="254" t="s">
        <v>688</v>
      </c>
      <c r="B104" s="257" t="s">
        <v>151</v>
      </c>
      <c r="C104" s="257" t="s">
        <v>120</v>
      </c>
      <c r="D104" s="259" t="s">
        <v>152</v>
      </c>
      <c r="E104" s="258" t="s">
        <v>153</v>
      </c>
      <c r="F104" s="258" t="s">
        <v>154</v>
      </c>
      <c r="G104" s="260" t="s">
        <v>155</v>
      </c>
      <c r="H104" s="259" t="s">
        <v>156</v>
      </c>
      <c r="I104" s="260" t="s">
        <v>157</v>
      </c>
      <c r="J104" s="258" t="s">
        <v>158</v>
      </c>
      <c r="K104" s="260" t="s">
        <v>159</v>
      </c>
      <c r="L104" s="259" t="s">
        <v>160</v>
      </c>
      <c r="M104" s="261" t="s">
        <v>122</v>
      </c>
      <c r="N104" s="262" t="s">
        <v>161</v>
      </c>
      <c r="O104" s="262" t="s">
        <v>162</v>
      </c>
      <c r="P104" s="262" t="s">
        <v>163</v>
      </c>
      <c r="Q104" s="262" t="s">
        <v>164</v>
      </c>
      <c r="R104" s="495" t="s">
        <v>165</v>
      </c>
      <c r="S104" s="495" t="s">
        <v>166</v>
      </c>
      <c r="T104" s="495" t="s">
        <v>167</v>
      </c>
      <c r="U104" s="495" t="s">
        <v>168</v>
      </c>
      <c r="V104" s="495" t="s">
        <v>169</v>
      </c>
    </row>
    <row r="105" spans="1:23" s="1" customFormat="1" x14ac:dyDescent="0.25">
      <c r="A105" s="255" t="s">
        <v>600</v>
      </c>
      <c r="B105" s="6" t="s">
        <v>125</v>
      </c>
      <c r="C105" s="7">
        <v>40918</v>
      </c>
      <c r="D105" s="8" t="s">
        <v>11</v>
      </c>
      <c r="E105" s="9"/>
      <c r="F105" s="8" t="s">
        <v>98</v>
      </c>
      <c r="G105" s="10"/>
      <c r="H105" s="8" t="s">
        <v>99</v>
      </c>
      <c r="I105" s="11"/>
      <c r="J105" s="8" t="s">
        <v>79</v>
      </c>
      <c r="K105" s="8"/>
      <c r="L105" s="6" t="s">
        <v>100</v>
      </c>
      <c r="M105" s="12">
        <v>130000</v>
      </c>
      <c r="N105" s="13" t="s">
        <v>45</v>
      </c>
      <c r="O105" s="459" t="s">
        <v>17</v>
      </c>
      <c r="P105" s="14"/>
      <c r="Q105" s="15"/>
      <c r="R105" s="16"/>
      <c r="S105" s="16"/>
      <c r="T105" s="16"/>
      <c r="U105" s="16"/>
      <c r="V105" s="16"/>
      <c r="W105" s="458"/>
    </row>
    <row r="106" spans="1:23" x14ac:dyDescent="0.25">
      <c r="A106" s="254" t="s">
        <v>689</v>
      </c>
      <c r="B106" s="145">
        <v>10</v>
      </c>
      <c r="C106" s="145">
        <v>10</v>
      </c>
      <c r="D106" s="145" t="s">
        <v>112</v>
      </c>
      <c r="E106" s="145" t="s">
        <v>70</v>
      </c>
      <c r="F106" s="145" t="s">
        <v>112</v>
      </c>
      <c r="G106" s="145" t="s">
        <v>70</v>
      </c>
      <c r="H106" s="145">
        <v>10</v>
      </c>
      <c r="I106" s="145" t="s">
        <v>70</v>
      </c>
      <c r="J106" s="145" t="s">
        <v>112</v>
      </c>
      <c r="K106" s="145">
        <v>10</v>
      </c>
      <c r="L106" s="145" t="s">
        <v>94</v>
      </c>
      <c r="M106" s="145" t="s">
        <v>132</v>
      </c>
      <c r="N106" s="145" t="s">
        <v>112</v>
      </c>
      <c r="O106" s="145" t="s">
        <v>91</v>
      </c>
      <c r="P106" s="145" t="s">
        <v>92</v>
      </c>
      <c r="Q106" s="145" t="s">
        <v>91</v>
      </c>
      <c r="R106" s="145" t="s">
        <v>113</v>
      </c>
      <c r="S106" s="145" t="s">
        <v>113</v>
      </c>
      <c r="T106" s="145" t="s">
        <v>112</v>
      </c>
      <c r="U106" s="145" t="s">
        <v>92</v>
      </c>
      <c r="V106" s="145" t="s">
        <v>92</v>
      </c>
    </row>
    <row r="107" spans="1:23" x14ac:dyDescent="0.25">
      <c r="A107" s="254" t="s">
        <v>690</v>
      </c>
      <c r="B107" s="145">
        <v>10</v>
      </c>
      <c r="C107" s="145">
        <v>12</v>
      </c>
      <c r="D107" s="145" t="s">
        <v>131</v>
      </c>
      <c r="E107" s="145" t="s">
        <v>131</v>
      </c>
      <c r="F107" s="145" t="s">
        <v>130</v>
      </c>
      <c r="G107" s="145" t="s">
        <v>130</v>
      </c>
      <c r="H107" s="145" t="s">
        <v>110</v>
      </c>
      <c r="I107" s="145" t="s">
        <v>70</v>
      </c>
      <c r="J107" s="145" t="s">
        <v>127</v>
      </c>
      <c r="K107" s="145">
        <v>18</v>
      </c>
      <c r="L107" s="145" t="s">
        <v>133</v>
      </c>
      <c r="M107" s="145" t="s">
        <v>242</v>
      </c>
      <c r="N107" s="145" t="s">
        <v>686</v>
      </c>
      <c r="O107" s="145" t="s">
        <v>686</v>
      </c>
      <c r="P107" s="145" t="s">
        <v>686</v>
      </c>
      <c r="Q107" s="145">
        <v>12</v>
      </c>
      <c r="R107" s="145" t="s">
        <v>70</v>
      </c>
      <c r="S107" s="145" t="s">
        <v>70</v>
      </c>
      <c r="T107" s="145" t="s">
        <v>70</v>
      </c>
      <c r="U107" s="145" t="s">
        <v>70</v>
      </c>
      <c r="V107" s="145" t="s">
        <v>70</v>
      </c>
    </row>
    <row r="108" spans="1:23" x14ac:dyDescent="0.25">
      <c r="A108" s="254" t="s">
        <v>691</v>
      </c>
      <c r="E108" s="252" t="s">
        <v>810</v>
      </c>
      <c r="G108" s="252" t="s">
        <v>811</v>
      </c>
      <c r="I108" s="92"/>
      <c r="K108" s="252" t="s">
        <v>159</v>
      </c>
      <c r="M108" s="92" t="s">
        <v>813</v>
      </c>
      <c r="N108" s="92"/>
      <c r="O108" s="460" t="s">
        <v>814</v>
      </c>
      <c r="P108" s="92" t="s">
        <v>820</v>
      </c>
    </row>
    <row r="109" spans="1:23" x14ac:dyDescent="0.25">
      <c r="A109" s="254" t="s">
        <v>812</v>
      </c>
      <c r="E109" s="252"/>
      <c r="G109" s="252"/>
      <c r="I109" s="330"/>
      <c r="K109" s="461" t="s">
        <v>829</v>
      </c>
      <c r="N109" s="253"/>
      <c r="R109" s="461" t="s">
        <v>818</v>
      </c>
      <c r="S109" s="461" t="s">
        <v>819</v>
      </c>
      <c r="T109" s="461" t="s">
        <v>815</v>
      </c>
      <c r="U109" s="461" t="s">
        <v>816</v>
      </c>
      <c r="V109" s="461" t="s">
        <v>817</v>
      </c>
    </row>
    <row r="111" spans="1:23" ht="15.75" thickBot="1" x14ac:dyDescent="0.3">
      <c r="A111" s="30" t="s">
        <v>1250</v>
      </c>
      <c r="B111" s="30"/>
      <c r="C111" s="30"/>
      <c r="D111" s="30"/>
      <c r="E111" s="30"/>
      <c r="F111" s="30"/>
      <c r="G111" s="30"/>
      <c r="H111" s="30"/>
      <c r="I111" s="30"/>
      <c r="J111" s="30"/>
    </row>
    <row r="112" spans="1:23" ht="15.75" thickBot="1" x14ac:dyDescent="0.3">
      <c r="A112" s="254" t="s">
        <v>688</v>
      </c>
      <c r="B112" s="4" t="s">
        <v>205</v>
      </c>
      <c r="C112" s="4" t="s">
        <v>206</v>
      </c>
      <c r="D112" s="4" t="s">
        <v>207</v>
      </c>
      <c r="E112" s="4" t="s">
        <v>208</v>
      </c>
      <c r="F112" s="4" t="s">
        <v>122</v>
      </c>
      <c r="G112" s="4" t="s">
        <v>209</v>
      </c>
      <c r="H112" s="4" t="s">
        <v>210</v>
      </c>
      <c r="I112" s="4" t="s">
        <v>211</v>
      </c>
      <c r="J112" s="4" t="s">
        <v>351</v>
      </c>
      <c r="K112" s="4" t="s">
        <v>350</v>
      </c>
      <c r="L112" s="4" t="s">
        <v>256</v>
      </c>
      <c r="M112" s="4" t="s">
        <v>263</v>
      </c>
    </row>
    <row r="113" spans="1:24" s="1" customFormat="1" x14ac:dyDescent="0.25">
      <c r="A113" s="255" t="s">
        <v>600</v>
      </c>
      <c r="B113" s="514" t="s">
        <v>1252</v>
      </c>
      <c r="C113" s="7" t="s">
        <v>1254</v>
      </c>
      <c r="D113" s="646" t="s">
        <v>1255</v>
      </c>
      <c r="E113" s="9"/>
      <c r="F113" s="728">
        <v>2298687.7200000002</v>
      </c>
      <c r="G113" s="10"/>
      <c r="H113" s="8" t="s">
        <v>141</v>
      </c>
      <c r="I113" s="729"/>
      <c r="J113" s="8" t="s">
        <v>1258</v>
      </c>
      <c r="K113" s="8" t="s">
        <v>141</v>
      </c>
      <c r="L113" s="6" t="s">
        <v>9</v>
      </c>
      <c r="M113" s="12" t="s">
        <v>1261</v>
      </c>
      <c r="N113"/>
      <c r="O113"/>
      <c r="P113"/>
      <c r="Q113"/>
      <c r="R113"/>
      <c r="S113"/>
      <c r="T113"/>
      <c r="U113"/>
      <c r="V113"/>
      <c r="W113"/>
      <c r="X113"/>
    </row>
    <row r="114" spans="1:24" x14ac:dyDescent="0.25">
      <c r="A114" s="254" t="s">
        <v>689</v>
      </c>
      <c r="B114" s="145" t="s">
        <v>110</v>
      </c>
      <c r="C114" s="145" t="s">
        <v>1253</v>
      </c>
      <c r="D114" s="145" t="s">
        <v>132</v>
      </c>
      <c r="E114" s="145" t="s">
        <v>110</v>
      </c>
      <c r="F114" s="145" t="s">
        <v>110</v>
      </c>
      <c r="G114" s="145" t="s">
        <v>91</v>
      </c>
      <c r="H114" s="145">
        <v>10</v>
      </c>
      <c r="I114" s="145" t="s">
        <v>113</v>
      </c>
      <c r="J114" s="145" t="s">
        <v>112</v>
      </c>
      <c r="K114" s="145" t="s">
        <v>132</v>
      </c>
      <c r="L114" s="145" t="s">
        <v>113</v>
      </c>
      <c r="M114" s="145" t="s">
        <v>113</v>
      </c>
    </row>
    <row r="115" spans="1:24" x14ac:dyDescent="0.25">
      <c r="A115" s="254" t="s">
        <v>690</v>
      </c>
      <c r="B115" s="145" t="s">
        <v>91</v>
      </c>
      <c r="C115" s="145" t="s">
        <v>126</v>
      </c>
      <c r="D115" s="145" t="s">
        <v>131</v>
      </c>
      <c r="E115" s="145" t="s">
        <v>828</v>
      </c>
      <c r="F115" s="145" t="s">
        <v>1109</v>
      </c>
      <c r="G115" s="145" t="s">
        <v>686</v>
      </c>
      <c r="H115" s="145" t="s">
        <v>126</v>
      </c>
      <c r="I115" s="145" t="s">
        <v>113</v>
      </c>
      <c r="J115" s="145"/>
      <c r="K115" s="145" t="s">
        <v>113</v>
      </c>
      <c r="L115" s="145" t="s">
        <v>828</v>
      </c>
      <c r="M115" s="145" t="s">
        <v>41</v>
      </c>
    </row>
    <row r="116" spans="1:24" x14ac:dyDescent="0.25">
      <c r="A116" s="254" t="s">
        <v>691</v>
      </c>
      <c r="C116" s="252" t="s">
        <v>1251</v>
      </c>
      <c r="E116" s="252" t="s">
        <v>811</v>
      </c>
      <c r="F116" s="252" t="s">
        <v>1256</v>
      </c>
      <c r="G116" s="252" t="s">
        <v>814</v>
      </c>
      <c r="H116" s="252" t="s">
        <v>210</v>
      </c>
      <c r="I116" s="252" t="s">
        <v>1257</v>
      </c>
      <c r="K116" s="252" t="s">
        <v>1259</v>
      </c>
      <c r="L116" s="252" t="s">
        <v>1260</v>
      </c>
      <c r="M116" s="92"/>
    </row>
    <row r="117" spans="1:24" x14ac:dyDescent="0.25">
      <c r="A117" s="254" t="s">
        <v>812</v>
      </c>
      <c r="E117" s="252"/>
      <c r="G117" s="252"/>
      <c r="I117" s="330"/>
      <c r="K117" s="461"/>
      <c r="M117" t="s">
        <v>1262</v>
      </c>
    </row>
    <row r="119" spans="1:24" ht="15.75" thickBot="1" x14ac:dyDescent="0.3">
      <c r="A119" s="30" t="s">
        <v>251</v>
      </c>
      <c r="B119" s="30"/>
      <c r="C119" s="30"/>
      <c r="D119" s="30"/>
      <c r="E119" s="30"/>
      <c r="F119" s="30"/>
      <c r="G119" s="30"/>
      <c r="H119" s="30"/>
      <c r="I119" s="30"/>
      <c r="J119" s="30"/>
    </row>
    <row r="120" spans="1:24" ht="15.75" thickBot="1" x14ac:dyDescent="0.3">
      <c r="A120" s="3" t="s">
        <v>118</v>
      </c>
      <c r="B120" s="3" t="s">
        <v>117</v>
      </c>
      <c r="J120" s="31"/>
    </row>
    <row r="122" spans="1:24" ht="15.75" thickBot="1" x14ac:dyDescent="0.3">
      <c r="A122" s="30" t="s">
        <v>252</v>
      </c>
      <c r="B122" s="30"/>
      <c r="C122" s="30"/>
      <c r="D122" s="30"/>
      <c r="E122" s="30"/>
      <c r="F122" s="30"/>
      <c r="G122" s="30"/>
      <c r="H122" s="30"/>
      <c r="I122" s="30"/>
      <c r="J122" s="30"/>
    </row>
    <row r="123" spans="1:24" ht="15.75" thickBot="1" x14ac:dyDescent="0.3">
      <c r="A123" s="3" t="s">
        <v>124</v>
      </c>
      <c r="B123" s="3" t="s">
        <v>253</v>
      </c>
      <c r="J123" s="31"/>
    </row>
    <row r="125" spans="1:24" ht="15.75" thickBot="1" x14ac:dyDescent="0.3">
      <c r="A125" s="30" t="s">
        <v>337</v>
      </c>
      <c r="B125" s="30"/>
      <c r="C125" s="30"/>
      <c r="D125" s="30"/>
      <c r="E125" s="30"/>
      <c r="F125" s="30"/>
      <c r="G125" s="30"/>
      <c r="H125" s="30"/>
      <c r="I125" s="30"/>
      <c r="J125" s="30"/>
    </row>
    <row r="126" spans="1:24" ht="15.75" thickBot="1" x14ac:dyDescent="0.3">
      <c r="A126" s="4" t="s">
        <v>338</v>
      </c>
      <c r="B126" s="4" t="s">
        <v>339</v>
      </c>
      <c r="C126" s="4" t="s">
        <v>208</v>
      </c>
      <c r="D126" s="4" t="s">
        <v>347</v>
      </c>
      <c r="E126" s="4" t="s">
        <v>165</v>
      </c>
      <c r="F126" s="4" t="s">
        <v>166</v>
      </c>
      <c r="G126" s="4" t="s">
        <v>167</v>
      </c>
      <c r="H126" s="4" t="s">
        <v>168</v>
      </c>
      <c r="I126" s="4" t="s">
        <v>169</v>
      </c>
      <c r="J126" s="4" t="s">
        <v>340</v>
      </c>
      <c r="K126" s="4" t="s">
        <v>341</v>
      </c>
      <c r="L126" s="4" t="s">
        <v>342</v>
      </c>
      <c r="M126" s="4" t="s">
        <v>343</v>
      </c>
      <c r="N126" s="118" t="s">
        <v>344</v>
      </c>
      <c r="O126" s="118" t="s">
        <v>345</v>
      </c>
      <c r="P126" s="118" t="s">
        <v>346</v>
      </c>
      <c r="Q126" s="118" t="s">
        <v>564</v>
      </c>
      <c r="R126" s="118" t="s">
        <v>563</v>
      </c>
      <c r="S126" s="118" t="s">
        <v>565</v>
      </c>
      <c r="T126" s="118" t="s">
        <v>566</v>
      </c>
      <c r="U126" s="118" t="s">
        <v>567</v>
      </c>
      <c r="V126" s="120" t="s">
        <v>557</v>
      </c>
    </row>
    <row r="128" spans="1:24" ht="15.75" thickBot="1" x14ac:dyDescent="0.3">
      <c r="A128" s="30" t="s">
        <v>572</v>
      </c>
    </row>
    <row r="129" spans="1:14" ht="15.75" thickBot="1" x14ac:dyDescent="0.3">
      <c r="A129" s="118" t="s">
        <v>136</v>
      </c>
      <c r="B129" s="118" t="s">
        <v>373</v>
      </c>
      <c r="C129" s="118" t="s">
        <v>347</v>
      </c>
      <c r="D129" s="118" t="s">
        <v>344</v>
      </c>
      <c r="E129" s="118" t="s">
        <v>165</v>
      </c>
      <c r="F129" s="118" t="s">
        <v>166</v>
      </c>
      <c r="G129" s="118" t="s">
        <v>167</v>
      </c>
      <c r="H129" s="118" t="s">
        <v>168</v>
      </c>
      <c r="I129" s="118" t="s">
        <v>169</v>
      </c>
      <c r="J129" s="118" t="s">
        <v>564</v>
      </c>
      <c r="K129" s="118" t="s">
        <v>563</v>
      </c>
      <c r="L129" s="118" t="s">
        <v>565</v>
      </c>
      <c r="M129" s="118" t="s">
        <v>566</v>
      </c>
      <c r="N129" s="118" t="s">
        <v>567</v>
      </c>
    </row>
    <row r="131" spans="1:14" ht="15.75" thickBot="1" x14ac:dyDescent="0.3">
      <c r="A131" s="30" t="s">
        <v>570</v>
      </c>
    </row>
    <row r="132" spans="1:14" ht="15.75" thickBot="1" x14ac:dyDescent="0.3">
      <c r="A132" s="4" t="s">
        <v>348</v>
      </c>
      <c r="B132" s="4" t="s">
        <v>373</v>
      </c>
      <c r="C132" s="118" t="s">
        <v>571</v>
      </c>
    </row>
    <row r="133" spans="1:14" x14ac:dyDescent="0.25">
      <c r="A133" s="119" t="s">
        <v>110</v>
      </c>
      <c r="B133" s="119" t="s">
        <v>134</v>
      </c>
      <c r="C133" s="119" t="s">
        <v>111</v>
      </c>
    </row>
    <row r="134" spans="1:14" x14ac:dyDescent="0.25">
      <c r="A134" s="26"/>
      <c r="B134" s="26"/>
    </row>
    <row r="135" spans="1:14" ht="15.75" thickBot="1" x14ac:dyDescent="0.3">
      <c r="A135" s="65" t="s">
        <v>361</v>
      </c>
      <c r="B135" s="26"/>
    </row>
    <row r="136" spans="1:14" ht="15.75" thickBot="1" x14ac:dyDescent="0.3">
      <c r="A136" s="4" t="s">
        <v>348</v>
      </c>
      <c r="B136" s="4" t="s">
        <v>167</v>
      </c>
      <c r="C136" s="59"/>
    </row>
    <row r="138" spans="1:14" ht="15.75" thickBot="1" x14ac:dyDescent="0.3">
      <c r="A138" s="65" t="s">
        <v>543</v>
      </c>
      <c r="B138" s="26"/>
    </row>
    <row r="139" spans="1:14" ht="15.75" thickBot="1" x14ac:dyDescent="0.3">
      <c r="A139" s="3" t="s">
        <v>517</v>
      </c>
      <c r="B139" s="3" t="s">
        <v>124</v>
      </c>
      <c r="C139" s="3" t="s">
        <v>501</v>
      </c>
    </row>
    <row r="141" spans="1:14" ht="15.75" thickBot="1" x14ac:dyDescent="0.3">
      <c r="A141" s="65" t="s">
        <v>553</v>
      </c>
      <c r="B141" s="119"/>
    </row>
    <row r="142" spans="1:14" ht="15.75" thickBot="1" x14ac:dyDescent="0.3">
      <c r="A142" s="117" t="s">
        <v>371</v>
      </c>
      <c r="B142" s="117" t="s">
        <v>188</v>
      </c>
      <c r="C142" s="117" t="s">
        <v>550</v>
      </c>
    </row>
    <row r="144" spans="1:14" ht="15.75" thickBot="1" x14ac:dyDescent="0.3">
      <c r="A144" s="65" t="s">
        <v>558</v>
      </c>
      <c r="B144" s="119"/>
    </row>
    <row r="145" spans="1:47" ht="29.25" customHeight="1" thickBot="1" x14ac:dyDescent="0.3">
      <c r="A145" s="117" t="s">
        <v>569</v>
      </c>
      <c r="B145" s="121" t="s">
        <v>360</v>
      </c>
      <c r="C145" s="121" t="s">
        <v>363</v>
      </c>
      <c r="D145" s="121" t="s">
        <v>559</v>
      </c>
      <c r="E145" s="121" t="s">
        <v>362</v>
      </c>
      <c r="F145" s="121" t="s">
        <v>1</v>
      </c>
      <c r="G145" s="121" t="s">
        <v>58</v>
      </c>
      <c r="H145" s="121" t="s">
        <v>371</v>
      </c>
      <c r="I145" s="121" t="s">
        <v>561</v>
      </c>
      <c r="J145" s="121" t="s">
        <v>560</v>
      </c>
    </row>
    <row r="146" spans="1:47" s="119" customFormat="1" x14ac:dyDescent="0.25">
      <c r="A146" s="119" t="s">
        <v>115</v>
      </c>
      <c r="B146" s="119" t="s">
        <v>112</v>
      </c>
      <c r="C146" s="119" t="s">
        <v>129</v>
      </c>
      <c r="D146" s="119" t="s">
        <v>129</v>
      </c>
      <c r="E146" s="119" t="s">
        <v>115</v>
      </c>
      <c r="F146" s="119" t="s">
        <v>242</v>
      </c>
      <c r="G146" s="119" t="s">
        <v>71</v>
      </c>
      <c r="H146" s="119" t="s">
        <v>132</v>
      </c>
      <c r="I146" s="119" t="s">
        <v>115</v>
      </c>
      <c r="J146" s="119" t="s">
        <v>115</v>
      </c>
    </row>
    <row r="148" spans="1:47" ht="15.75" thickBot="1" x14ac:dyDescent="0.3">
      <c r="A148" s="65" t="s">
        <v>525</v>
      </c>
    </row>
    <row r="149" spans="1:47" ht="71.25" thickBot="1" x14ac:dyDescent="0.3">
      <c r="A149" s="96" t="s">
        <v>521</v>
      </c>
      <c r="B149" s="97" t="s">
        <v>522</v>
      </c>
      <c r="C149" s="98">
        <v>40057</v>
      </c>
      <c r="D149" s="98">
        <v>40087</v>
      </c>
      <c r="E149" s="98">
        <v>40118</v>
      </c>
      <c r="F149" s="98">
        <v>40148</v>
      </c>
      <c r="G149" s="99" t="s">
        <v>114</v>
      </c>
      <c r="H149" s="98">
        <v>40179</v>
      </c>
      <c r="I149" s="98">
        <v>40210</v>
      </c>
      <c r="J149" s="98">
        <v>40238</v>
      </c>
      <c r="K149" s="98">
        <v>40269</v>
      </c>
      <c r="L149" s="98">
        <v>40299</v>
      </c>
      <c r="M149" s="98">
        <v>40330</v>
      </c>
      <c r="N149" s="98">
        <v>40360</v>
      </c>
      <c r="O149" s="98">
        <v>40391</v>
      </c>
      <c r="P149" s="98">
        <v>40422</v>
      </c>
      <c r="Q149" s="98">
        <v>40452</v>
      </c>
      <c r="R149" s="98">
        <v>40483</v>
      </c>
      <c r="S149" s="98">
        <v>40513</v>
      </c>
      <c r="T149" s="99" t="s">
        <v>135</v>
      </c>
      <c r="U149" s="98">
        <v>40544</v>
      </c>
      <c r="V149" s="98">
        <v>40575</v>
      </c>
      <c r="W149" s="98">
        <v>40603</v>
      </c>
      <c r="X149" s="98">
        <v>40634</v>
      </c>
      <c r="Y149" s="98">
        <v>40664</v>
      </c>
      <c r="Z149" s="98">
        <v>40695</v>
      </c>
      <c r="AA149" s="98">
        <v>40725</v>
      </c>
      <c r="AB149" s="98">
        <v>40756</v>
      </c>
      <c r="AC149" s="98">
        <v>40787</v>
      </c>
      <c r="AD149" s="98">
        <v>40817</v>
      </c>
      <c r="AE149" s="98">
        <v>40848</v>
      </c>
      <c r="AF149" s="98">
        <v>40878</v>
      </c>
      <c r="AG149" s="99" t="s">
        <v>108</v>
      </c>
      <c r="AH149" s="98">
        <v>40909</v>
      </c>
      <c r="AI149" s="98">
        <v>40940</v>
      </c>
      <c r="AJ149" s="98">
        <v>40969</v>
      </c>
      <c r="AK149" s="98">
        <v>41000</v>
      </c>
      <c r="AL149" s="98">
        <v>41030</v>
      </c>
      <c r="AM149" s="98">
        <v>41061</v>
      </c>
      <c r="AN149" s="98">
        <v>41091</v>
      </c>
      <c r="AO149" s="98">
        <v>41122</v>
      </c>
      <c r="AP149" s="98">
        <v>41153</v>
      </c>
      <c r="AQ149" s="98">
        <v>41183</v>
      </c>
      <c r="AR149" s="98">
        <v>41214</v>
      </c>
      <c r="AS149" s="98">
        <v>41244</v>
      </c>
      <c r="AT149" s="99" t="s">
        <v>109</v>
      </c>
      <c r="AU149" s="100" t="s">
        <v>524</v>
      </c>
    </row>
    <row r="150" spans="1:47" x14ac:dyDescent="0.25">
      <c r="A150" s="101" t="s">
        <v>493</v>
      </c>
      <c r="B150" s="93" t="s">
        <v>492</v>
      </c>
      <c r="C150" s="104"/>
      <c r="D150" s="104"/>
      <c r="E150" s="104"/>
      <c r="F150" s="105"/>
      <c r="G150" s="110">
        <f t="shared" ref="G150:G182" si="0">SUM(C150:F150)</f>
        <v>0</v>
      </c>
      <c r="H150" s="104"/>
      <c r="I150" s="104"/>
      <c r="J150" s="104"/>
      <c r="K150" s="104"/>
      <c r="L150" s="104"/>
      <c r="M150" s="104"/>
      <c r="N150" s="104"/>
      <c r="O150" s="104"/>
      <c r="P150" s="104"/>
      <c r="Q150" s="104"/>
      <c r="R150" s="104"/>
      <c r="S150" s="104"/>
      <c r="T150" s="110">
        <f t="shared" ref="T150:T182" si="1">SUM(H150:S150)</f>
        <v>0</v>
      </c>
      <c r="U150" s="104"/>
      <c r="V150" s="104"/>
      <c r="W150" s="104"/>
      <c r="X150" s="104"/>
      <c r="Y150" s="104"/>
      <c r="Z150" s="104"/>
      <c r="AA150" s="104"/>
      <c r="AB150" s="104"/>
      <c r="AC150" s="104"/>
      <c r="AD150" s="104"/>
      <c r="AE150" s="104"/>
      <c r="AF150" s="104"/>
      <c r="AG150" s="110">
        <f t="shared" ref="AG150:AG182" si="2">SUM(U150:AF150)</f>
        <v>0</v>
      </c>
      <c r="AH150" s="104"/>
      <c r="AI150" s="104"/>
      <c r="AJ150" s="104"/>
      <c r="AK150" s="104"/>
      <c r="AL150" s="104"/>
      <c r="AM150" s="104"/>
      <c r="AN150" s="104"/>
      <c r="AO150" s="104"/>
      <c r="AP150" s="104"/>
      <c r="AQ150" s="104"/>
      <c r="AR150" s="104"/>
      <c r="AS150" s="104"/>
      <c r="AT150" s="110">
        <f t="shared" ref="AT150:AT182" si="3">SUM(AH150:AS150)</f>
        <v>0</v>
      </c>
      <c r="AU150" s="111">
        <f t="shared" ref="AU150:AU182" si="4">G150+T150+AG150+AT150</f>
        <v>0</v>
      </c>
    </row>
    <row r="151" spans="1:47" x14ac:dyDescent="0.25">
      <c r="A151" s="101" t="s">
        <v>493</v>
      </c>
      <c r="B151" s="93" t="s">
        <v>461</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493</v>
      </c>
      <c r="B152" s="93" t="s">
        <v>459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2" t="s">
        <v>493</v>
      </c>
      <c r="B153" s="93" t="s">
        <v>382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493</v>
      </c>
      <c r="B154" s="93" t="s">
        <v>470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493</v>
      </c>
      <c r="B155" s="93" t="s">
        <v>460</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1" t="s">
        <v>493</v>
      </c>
      <c r="B156" s="93" t="s">
        <v>378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493</v>
      </c>
      <c r="B157" s="93" t="s">
        <v>491</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493</v>
      </c>
      <c r="B158" s="93" t="s">
        <v>508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493</v>
      </c>
      <c r="B159" s="93" t="s">
        <v>509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493</v>
      </c>
      <c r="B160" s="93" t="s">
        <v>488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493</v>
      </c>
      <c r="B161" s="93" t="s">
        <v>511</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518</v>
      </c>
      <c r="B162" s="93" t="s">
        <v>489</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518</v>
      </c>
      <c r="B163" s="93" t="s">
        <v>490</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2" t="s">
        <v>494</v>
      </c>
      <c r="B164" s="93" t="s">
        <v>487</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2" t="s">
        <v>494</v>
      </c>
      <c r="B165" s="93" t="s">
        <v>464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2" t="s">
        <v>494</v>
      </c>
      <c r="B166" s="93" t="s">
        <v>510</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494</v>
      </c>
      <c r="B167" s="93" t="s">
        <v>462</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494</v>
      </c>
      <c r="B168" s="93" t="s">
        <v>519</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494</v>
      </c>
      <c r="B169" s="93" t="s">
        <v>515</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494</v>
      </c>
      <c r="B170" s="93" t="s">
        <v>514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494</v>
      </c>
      <c r="B171" s="93" t="s">
        <v>377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494</v>
      </c>
      <c r="B172" s="93" t="s">
        <v>512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497</v>
      </c>
      <c r="B173" s="93" t="s">
        <v>513</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497</v>
      </c>
      <c r="B174" s="93" t="s">
        <v>463</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497</v>
      </c>
      <c r="B175" s="93" t="s">
        <v>498</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497</v>
      </c>
      <c r="B176" s="93" t="s">
        <v>495</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497</v>
      </c>
      <c r="B177" s="93" t="s">
        <v>496</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497</v>
      </c>
      <c r="B178" s="93" t="s">
        <v>516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497</v>
      </c>
      <c r="B179" s="93" t="s">
        <v>499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42</v>
      </c>
      <c r="B180" s="93" t="s">
        <v>42</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379</v>
      </c>
      <c r="B181" s="93" t="s">
        <v>379</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ht="15.75" thickBot="1" x14ac:dyDescent="0.3">
      <c r="A182" s="103" t="s">
        <v>520</v>
      </c>
      <c r="B182" s="94" t="s">
        <v>520</v>
      </c>
      <c r="C182" s="108"/>
      <c r="D182" s="108"/>
      <c r="E182" s="108"/>
      <c r="F182" s="109"/>
      <c r="G182" s="113">
        <f t="shared" si="0"/>
        <v>0</v>
      </c>
      <c r="H182" s="108"/>
      <c r="I182" s="108"/>
      <c r="J182" s="108"/>
      <c r="K182" s="108"/>
      <c r="L182" s="108"/>
      <c r="M182" s="108"/>
      <c r="N182" s="108"/>
      <c r="O182" s="108"/>
      <c r="P182" s="108"/>
      <c r="Q182" s="108"/>
      <c r="R182" s="108"/>
      <c r="S182" s="108"/>
      <c r="T182" s="113">
        <f t="shared" si="1"/>
        <v>0</v>
      </c>
      <c r="U182" s="108"/>
      <c r="V182" s="108"/>
      <c r="W182" s="108"/>
      <c r="X182" s="108"/>
      <c r="Y182" s="108"/>
      <c r="Z182" s="108"/>
      <c r="AA182" s="108"/>
      <c r="AB182" s="108"/>
      <c r="AC182" s="108"/>
      <c r="AD182" s="108"/>
      <c r="AE182" s="108"/>
      <c r="AF182" s="108"/>
      <c r="AG182" s="113">
        <f t="shared" si="2"/>
        <v>0</v>
      </c>
      <c r="AH182" s="108"/>
      <c r="AI182" s="108"/>
      <c r="AJ182" s="108"/>
      <c r="AK182" s="108"/>
      <c r="AL182" s="108"/>
      <c r="AM182" s="108"/>
      <c r="AN182" s="108"/>
      <c r="AO182" s="108"/>
      <c r="AP182" s="108"/>
      <c r="AQ182" s="108"/>
      <c r="AR182" s="108"/>
      <c r="AS182" s="108"/>
      <c r="AT182" s="113">
        <f t="shared" si="3"/>
        <v>0</v>
      </c>
      <c r="AU182" s="114">
        <f t="shared" si="4"/>
        <v>0</v>
      </c>
    </row>
    <row r="183" spans="1:47" ht="15.75" thickBot="1" x14ac:dyDescent="0.3">
      <c r="A183" s="92"/>
      <c r="B183" s="95" t="s">
        <v>523</v>
      </c>
      <c r="C183" s="32">
        <f t="shared" ref="C183:AU183" si="5">SUM(C150:C182)</f>
        <v>0</v>
      </c>
      <c r="D183" s="32">
        <f t="shared" si="5"/>
        <v>0</v>
      </c>
      <c r="E183" s="32">
        <f t="shared" si="5"/>
        <v>0</v>
      </c>
      <c r="F183" s="32">
        <f t="shared" si="5"/>
        <v>0</v>
      </c>
      <c r="G183" s="116">
        <f t="shared" si="5"/>
        <v>0</v>
      </c>
      <c r="H183" s="32">
        <f t="shared" si="5"/>
        <v>0</v>
      </c>
      <c r="I183" s="32">
        <f t="shared" si="5"/>
        <v>0</v>
      </c>
      <c r="J183" s="32">
        <f t="shared" si="5"/>
        <v>0</v>
      </c>
      <c r="K183" s="32">
        <f t="shared" si="5"/>
        <v>0</v>
      </c>
      <c r="L183" s="32">
        <f t="shared" si="5"/>
        <v>0</v>
      </c>
      <c r="M183" s="32">
        <f t="shared" si="5"/>
        <v>0</v>
      </c>
      <c r="N183" s="32">
        <f t="shared" si="5"/>
        <v>0</v>
      </c>
      <c r="O183" s="32">
        <f t="shared" si="5"/>
        <v>0</v>
      </c>
      <c r="P183" s="32">
        <f t="shared" si="5"/>
        <v>0</v>
      </c>
      <c r="Q183" s="32">
        <f t="shared" si="5"/>
        <v>0</v>
      </c>
      <c r="R183" s="32">
        <f t="shared" si="5"/>
        <v>0</v>
      </c>
      <c r="S183" s="32">
        <f t="shared" si="5"/>
        <v>0</v>
      </c>
      <c r="T183" s="116">
        <f t="shared" si="5"/>
        <v>0</v>
      </c>
      <c r="U183" s="32">
        <f t="shared" si="5"/>
        <v>0</v>
      </c>
      <c r="V183" s="32">
        <f t="shared" si="5"/>
        <v>0</v>
      </c>
      <c r="W183" s="32">
        <f t="shared" si="5"/>
        <v>0</v>
      </c>
      <c r="X183" s="32">
        <f t="shared" si="5"/>
        <v>0</v>
      </c>
      <c r="Y183" s="32">
        <f t="shared" si="5"/>
        <v>0</v>
      </c>
      <c r="Z183" s="32">
        <f t="shared" si="5"/>
        <v>0</v>
      </c>
      <c r="AA183" s="32">
        <f t="shared" si="5"/>
        <v>0</v>
      </c>
      <c r="AB183" s="32">
        <f t="shared" si="5"/>
        <v>0</v>
      </c>
      <c r="AC183" s="32">
        <f t="shared" si="5"/>
        <v>0</v>
      </c>
      <c r="AD183" s="32">
        <f t="shared" si="5"/>
        <v>0</v>
      </c>
      <c r="AE183" s="32">
        <f t="shared" si="5"/>
        <v>0</v>
      </c>
      <c r="AF183" s="32">
        <f t="shared" si="5"/>
        <v>0</v>
      </c>
      <c r="AG183" s="116">
        <f t="shared" si="5"/>
        <v>0</v>
      </c>
      <c r="AH183" s="32">
        <f t="shared" si="5"/>
        <v>0</v>
      </c>
      <c r="AI183" s="32">
        <f t="shared" si="5"/>
        <v>0</v>
      </c>
      <c r="AJ183" s="32">
        <f t="shared" si="5"/>
        <v>0</v>
      </c>
      <c r="AK183" s="32">
        <f t="shared" si="5"/>
        <v>0</v>
      </c>
      <c r="AL183" s="32">
        <f t="shared" si="5"/>
        <v>0</v>
      </c>
      <c r="AM183" s="32">
        <f t="shared" si="5"/>
        <v>0</v>
      </c>
      <c r="AN183" s="32">
        <f t="shared" si="5"/>
        <v>0</v>
      </c>
      <c r="AO183" s="32">
        <f t="shared" si="5"/>
        <v>0</v>
      </c>
      <c r="AP183" s="32">
        <f t="shared" si="5"/>
        <v>0</v>
      </c>
      <c r="AQ183" s="32">
        <f t="shared" si="5"/>
        <v>0</v>
      </c>
      <c r="AR183" s="32">
        <f t="shared" si="5"/>
        <v>0</v>
      </c>
      <c r="AS183" s="32">
        <f t="shared" si="5"/>
        <v>0</v>
      </c>
      <c r="AT183" s="116">
        <f t="shared" si="5"/>
        <v>0</v>
      </c>
      <c r="AU183" s="115">
        <f t="shared" si="5"/>
        <v>0</v>
      </c>
    </row>
    <row r="1122" spans="1:23" ht="15.75" thickBot="1" x14ac:dyDescent="0.3">
      <c r="A1122" s="368"/>
      <c r="B1122" s="369"/>
      <c r="C1122" s="370"/>
      <c r="D1122" s="370"/>
      <c r="E1122" s="371"/>
      <c r="F1122" s="372"/>
      <c r="G1122" s="373"/>
      <c r="H1122" s="373"/>
      <c r="I1122" s="374"/>
      <c r="J1122" s="375"/>
      <c r="K1122" s="375"/>
      <c r="L1122" s="376"/>
      <c r="M1122" s="374"/>
      <c r="N1122" s="377"/>
      <c r="O1122" s="377"/>
      <c r="P1122" s="378"/>
      <c r="Q1122" s="378"/>
      <c r="R1122" s="378"/>
      <c r="S1122" s="379"/>
      <c r="T1122" s="380"/>
      <c r="U1122" s="380"/>
      <c r="V1122" s="380"/>
      <c r="W1122" s="378"/>
    </row>
    <row r="1123" spans="1:23" x14ac:dyDescent="0.25">
      <c r="A1123" s="368"/>
      <c r="B1123" s="383" t="s">
        <v>750</v>
      </c>
      <c r="C1123" s="434">
        <f>COUNTIF(B$1:B1120,B1123)</f>
        <v>1</v>
      </c>
      <c r="D1123" s="442">
        <f>C1123/C1128</f>
        <v>0.2</v>
      </c>
      <c r="E1123" s="384"/>
      <c r="F1123" s="372"/>
      <c r="G1123" s="373"/>
      <c r="H1123" s="373"/>
      <c r="I1123" s="385"/>
      <c r="J1123" s="435">
        <f>SUMIF(B$3:B1120,B1123,T$3:T1127)</f>
        <v>48</v>
      </c>
      <c r="K1123" s="446"/>
      <c r="L1123" s="447">
        <f>J1123/J1128</f>
        <v>1</v>
      </c>
      <c r="M1123" s="377"/>
      <c r="N1123" s="377"/>
      <c r="O1123" s="377"/>
      <c r="P1123" s="378"/>
      <c r="Q1123" s="378"/>
      <c r="R1123" s="378"/>
      <c r="S1123" s="379" t="s">
        <v>727</v>
      </c>
      <c r="T1123" s="387">
        <v>1261915799.52244</v>
      </c>
      <c r="U1123" s="387" t="e">
        <f>SUM(#REF!)</f>
        <v>#REF!</v>
      </c>
      <c r="V1123" s="387" t="e">
        <f>SUM(#REF!)</f>
        <v>#REF!</v>
      </c>
      <c r="W1123" s="378" t="s">
        <v>751</v>
      </c>
    </row>
    <row r="1124" spans="1:23" x14ac:dyDescent="0.25">
      <c r="A1124" s="368"/>
      <c r="B1124" s="388" t="s">
        <v>752</v>
      </c>
      <c r="C1124" s="436">
        <f>COUNTIF(B$1:B1120,B1124)</f>
        <v>1</v>
      </c>
      <c r="D1124" s="443">
        <f>C1124/C1128</f>
        <v>0.2</v>
      </c>
      <c r="E1124" s="384"/>
      <c r="F1124" s="372"/>
      <c r="G1124" s="373"/>
      <c r="H1124" s="373"/>
      <c r="I1124" s="385"/>
      <c r="J1124" s="437">
        <f>SUMIF(B$3:B1123,B1124,T$3:T1128)</f>
        <v>0</v>
      </c>
      <c r="K1124" s="448"/>
      <c r="L1124" s="449">
        <f>J1124/J1128</f>
        <v>0</v>
      </c>
      <c r="M1124" s="377"/>
      <c r="N1124" s="377"/>
      <c r="O1124" s="377"/>
      <c r="P1124" s="382"/>
      <c r="Q1124" s="382"/>
      <c r="R1124" s="382"/>
      <c r="S1124" s="389"/>
      <c r="T1124" s="390"/>
      <c r="U1124" s="390"/>
      <c r="V1124" s="390"/>
      <c r="W1124" s="382"/>
    </row>
    <row r="1125" spans="1:23" x14ac:dyDescent="0.25">
      <c r="A1125" s="368"/>
      <c r="B1125" s="392" t="s">
        <v>753</v>
      </c>
      <c r="C1125" s="438">
        <f>COUNTIF(B$1:B1120,B1125)</f>
        <v>1</v>
      </c>
      <c r="D1125" s="444">
        <f>C1125/C1128</f>
        <v>0.2</v>
      </c>
      <c r="E1125" s="384"/>
      <c r="F1125" s="372"/>
      <c r="G1125" s="373"/>
      <c r="H1125" s="373"/>
      <c r="I1125" s="385"/>
      <c r="J1125" s="439">
        <f>SUMIF(B$3:B1124,B1125,T$3:T1128)</f>
        <v>0</v>
      </c>
      <c r="K1125" s="450"/>
      <c r="L1125" s="451">
        <f>J1125/J1128</f>
        <v>0</v>
      </c>
      <c r="M1125" s="374"/>
      <c r="N1125" s="377"/>
      <c r="O1125" s="377"/>
      <c r="P1125" s="382"/>
      <c r="Q1125" s="382"/>
      <c r="R1125" s="382"/>
      <c r="S1125" s="389"/>
      <c r="T1125" s="390"/>
      <c r="U1125" s="390"/>
      <c r="V1125" s="390"/>
      <c r="W1125" s="382"/>
    </row>
    <row r="1126" spans="1:23" ht="15.75" thickBot="1" x14ac:dyDescent="0.3">
      <c r="A1126" s="368"/>
      <c r="B1126" s="393" t="s">
        <v>754</v>
      </c>
      <c r="C1126" s="440">
        <f>COUNTIF(B$1:B1123,B1126)</f>
        <v>1</v>
      </c>
      <c r="D1126" s="445">
        <f>C1126/C1128</f>
        <v>0.2</v>
      </c>
      <c r="E1126" s="384"/>
      <c r="F1126" s="372"/>
      <c r="G1126" s="373"/>
      <c r="H1126" s="373"/>
      <c r="I1126" s="385"/>
      <c r="J1126" s="441">
        <f>SUMIF(B$3:B1125,B1126,T$3:T1128)</f>
        <v>0</v>
      </c>
      <c r="K1126" s="452"/>
      <c r="L1126" s="453">
        <f>J1126/J1128</f>
        <v>0</v>
      </c>
      <c r="M1126" s="374"/>
      <c r="N1126" s="377"/>
      <c r="O1126" s="377"/>
      <c r="P1126" s="382"/>
      <c r="Q1126" s="382"/>
      <c r="R1126" s="382"/>
      <c r="S1126" s="389"/>
      <c r="T1126" s="390"/>
      <c r="U1126" s="390"/>
      <c r="V1126" s="390"/>
      <c r="W1126" s="382"/>
    </row>
    <row r="1127" spans="1:23" ht="16.5" thickTop="1" thickBot="1" x14ac:dyDescent="0.3">
      <c r="A1127" s="394"/>
      <c r="B1127" s="395" t="s">
        <v>755</v>
      </c>
      <c r="C1127" s="396">
        <f>COUNTIF(B$1:B1120,B1127)</f>
        <v>1</v>
      </c>
      <c r="D1127" s="397">
        <f>C1127/C1128</f>
        <v>0.2</v>
      </c>
      <c r="E1127" s="398"/>
      <c r="F1127" s="399"/>
      <c r="G1127" s="400"/>
      <c r="H1127" s="400"/>
      <c r="I1127" s="401"/>
      <c r="J1127" s="454">
        <f>SUMIF(B$3:B1126,B1127,T$3:T1128)</f>
        <v>0</v>
      </c>
      <c r="K1127" s="455"/>
      <c r="L1127" s="456">
        <f>J1127/J1128</f>
        <v>0</v>
      </c>
      <c r="M1127" s="402"/>
      <c r="N1127" s="402"/>
      <c r="O1127" s="402"/>
      <c r="P1127" s="382"/>
      <c r="Q1127" s="382"/>
      <c r="R1127" s="382"/>
      <c r="S1127" s="389"/>
      <c r="T1127" s="390"/>
      <c r="U1127" s="390"/>
      <c r="V1127" s="390"/>
      <c r="W1127" s="382"/>
    </row>
    <row r="1128" spans="1:23" x14ac:dyDescent="0.25">
      <c r="A1128" s="368"/>
      <c r="B1128" s="403"/>
      <c r="C1128" s="404">
        <f>SUM(C1123:C1127)</f>
        <v>5</v>
      </c>
      <c r="D1128" s="370"/>
      <c r="E1128" s="384"/>
      <c r="F1128" s="372"/>
      <c r="G1128" s="373"/>
      <c r="H1128" s="373"/>
      <c r="I1128" s="385"/>
      <c r="J1128" s="405">
        <f>SUM(J1123:J1127)</f>
        <v>48</v>
      </c>
      <c r="K1128" s="386"/>
      <c r="L1128" s="406"/>
      <c r="M1128" s="374"/>
      <c r="N1128" s="377"/>
      <c r="O1128" s="377"/>
      <c r="P1128" s="382"/>
      <c r="Q1128" s="382"/>
      <c r="R1128" s="382"/>
      <c r="S1128" s="389"/>
      <c r="T1128" s="390"/>
      <c r="U1128" s="390"/>
      <c r="V1128" s="390"/>
      <c r="W1128"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workbookViewId="0">
      <selection activeCell="E33" sqref="E3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2"/>
    </row>
    <row r="2" spans="1:33" s="317" customFormat="1" ht="19.5" x14ac:dyDescent="0.3">
      <c r="C2" s="318" t="s">
        <v>807</v>
      </c>
      <c r="J2" s="642"/>
    </row>
    <row r="4" spans="1:33" ht="15.75" thickBot="1" x14ac:dyDescent="0.3">
      <c r="A4" s="30" t="s">
        <v>911</v>
      </c>
    </row>
    <row r="5" spans="1:33" s="1" customFormat="1" ht="15.75" thickBot="1" x14ac:dyDescent="0.3">
      <c r="A5"/>
      <c r="B5" s="496" t="s">
        <v>1118</v>
      </c>
      <c r="C5" s="541" t="s">
        <v>133</v>
      </c>
      <c r="D5" s="541" t="s">
        <v>131</v>
      </c>
      <c r="J5" s="538"/>
      <c r="K5" s="497" t="s">
        <v>835</v>
      </c>
      <c r="L5" s="498" t="s">
        <v>837</v>
      </c>
      <c r="M5" s="613" t="s">
        <v>1077</v>
      </c>
      <c r="O5" s="145"/>
      <c r="P5" s="8"/>
      <c r="Q5" s="6"/>
      <c r="R5" s="12"/>
      <c r="S5"/>
      <c r="T5"/>
      <c r="U5"/>
      <c r="V5"/>
      <c r="W5"/>
      <c r="X5"/>
      <c r="Y5"/>
      <c r="Z5"/>
      <c r="AA5"/>
      <c r="AB5"/>
    </row>
    <row r="6" spans="1:33" s="538" customFormat="1" x14ac:dyDescent="0.25">
      <c r="A6" s="536"/>
      <c r="B6" s="537"/>
      <c r="C6" s="541"/>
      <c r="D6" s="499"/>
      <c r="K6" s="539"/>
      <c r="L6" s="539"/>
      <c r="M6" s="540"/>
      <c r="P6" s="269"/>
      <c r="Q6" s="8"/>
      <c r="R6" s="6"/>
      <c r="S6" s="12"/>
      <c r="T6" s="2"/>
      <c r="U6" s="2"/>
      <c r="V6" s="2"/>
      <c r="W6" s="2"/>
      <c r="X6" s="2"/>
      <c r="Y6" s="2"/>
      <c r="Z6" s="2"/>
      <c r="AA6" s="2"/>
      <c r="AB6" s="2"/>
      <c r="AC6" s="2"/>
    </row>
    <row r="7" spans="1:33" x14ac:dyDescent="0.25">
      <c r="A7" s="593">
        <v>0</v>
      </c>
      <c r="B7" s="505" t="s">
        <v>602</v>
      </c>
      <c r="C7" s="503" t="s">
        <v>602</v>
      </c>
      <c r="D7" s="504" t="s">
        <v>602</v>
      </c>
      <c r="E7" s="590">
        <v>0</v>
      </c>
      <c r="F7" s="590">
        <v>0</v>
      </c>
      <c r="G7" s="590">
        <v>0</v>
      </c>
      <c r="H7" s="590">
        <v>0</v>
      </c>
      <c r="I7" s="590">
        <v>0</v>
      </c>
      <c r="J7" s="590">
        <v>17</v>
      </c>
      <c r="K7" s="591" t="s">
        <v>1109</v>
      </c>
      <c r="L7" s="591" t="s">
        <v>130</v>
      </c>
      <c r="M7" s="591" t="s">
        <v>130</v>
      </c>
      <c r="N7" s="591" t="s">
        <v>127</v>
      </c>
      <c r="O7" s="591" t="s">
        <v>1109</v>
      </c>
      <c r="P7" s="591" t="s">
        <v>131</v>
      </c>
      <c r="Q7" s="591" t="s">
        <v>113</v>
      </c>
      <c r="R7" s="591" t="s">
        <v>71</v>
      </c>
      <c r="S7" s="591" t="s">
        <v>113</v>
      </c>
      <c r="T7" s="591" t="s">
        <v>113</v>
      </c>
      <c r="U7" s="591" t="s">
        <v>113</v>
      </c>
      <c r="V7" s="591" t="s">
        <v>113</v>
      </c>
      <c r="W7" s="591" t="s">
        <v>91</v>
      </c>
      <c r="X7" s="591" t="s">
        <v>110</v>
      </c>
      <c r="Z7" s="460"/>
      <c r="AA7" s="92"/>
    </row>
    <row r="8" spans="1:33" x14ac:dyDescent="0.25">
      <c r="A8" s="536"/>
      <c r="B8" s="505" t="s">
        <v>690</v>
      </c>
      <c r="C8" s="503"/>
      <c r="D8" s="504"/>
      <c r="E8" s="589"/>
      <c r="F8" s="589"/>
      <c r="G8" s="589"/>
      <c r="H8" s="589"/>
      <c r="I8" s="589"/>
      <c r="J8" s="589"/>
      <c r="K8" s="269"/>
      <c r="L8" s="269"/>
      <c r="M8" s="269"/>
      <c r="N8" s="2"/>
      <c r="O8" s="2"/>
      <c r="P8" s="269"/>
      <c r="Q8" s="269"/>
      <c r="R8" s="269"/>
      <c r="S8" s="269"/>
      <c r="T8" s="269"/>
      <c r="U8" s="269"/>
      <c r="V8" s="2"/>
      <c r="W8" s="2"/>
      <c r="X8" s="2"/>
      <c r="Y8" s="460"/>
      <c r="Z8" s="92"/>
    </row>
    <row r="9" spans="1:33" x14ac:dyDescent="0.25">
      <c r="A9" s="536"/>
      <c r="B9" s="505" t="s">
        <v>691</v>
      </c>
      <c r="C9" s="503"/>
      <c r="D9" s="504"/>
      <c r="E9" s="589"/>
      <c r="F9" s="589"/>
      <c r="G9" s="589"/>
      <c r="H9" s="589"/>
      <c r="I9" s="589"/>
      <c r="J9" s="589"/>
      <c r="K9" s="269"/>
      <c r="L9" s="269"/>
      <c r="M9" s="269"/>
      <c r="N9" s="2"/>
      <c r="O9" s="2"/>
      <c r="P9" s="269"/>
      <c r="Q9" s="269"/>
      <c r="R9" s="269"/>
      <c r="S9" s="269"/>
      <c r="T9" s="269"/>
      <c r="U9" s="269"/>
      <c r="V9" s="2"/>
      <c r="W9" s="2"/>
      <c r="X9" s="2"/>
      <c r="Y9" s="460"/>
      <c r="Z9" s="92"/>
    </row>
    <row r="10" spans="1:33" ht="15.75" thickBot="1" x14ac:dyDescent="0.3">
      <c r="A10" s="536"/>
      <c r="B10" s="506" t="s">
        <v>812</v>
      </c>
      <c r="C10" s="503"/>
      <c r="D10" s="504"/>
      <c r="E10" s="589"/>
      <c r="F10" s="589"/>
      <c r="G10" s="589"/>
      <c r="H10" s="589"/>
      <c r="I10" s="589"/>
      <c r="J10" s="589"/>
      <c r="K10" s="269"/>
      <c r="L10" s="269"/>
      <c r="M10" s="269"/>
      <c r="N10" s="2"/>
      <c r="O10" s="2"/>
      <c r="P10" s="269"/>
      <c r="Q10" s="269"/>
      <c r="R10" s="269"/>
      <c r="S10" s="269"/>
      <c r="T10" s="269"/>
      <c r="U10" s="269"/>
      <c r="V10" s="2"/>
      <c r="W10" s="2"/>
      <c r="X10" s="2"/>
      <c r="Y10" s="460"/>
      <c r="Z10" s="92"/>
    </row>
    <row r="11" spans="1:33" s="5" customFormat="1" ht="23.25" thickBot="1" x14ac:dyDescent="0.3">
      <c r="A11" s="713" t="s">
        <v>573</v>
      </c>
      <c r="B11" s="621" t="s">
        <v>1116</v>
      </c>
      <c r="C11" s="500" t="s">
        <v>838</v>
      </c>
      <c r="D11" s="501"/>
      <c r="E11" s="319" t="s">
        <v>711</v>
      </c>
      <c r="F11" s="636" t="s">
        <v>65</v>
      </c>
      <c r="G11" s="636" t="s">
        <v>1205</v>
      </c>
      <c r="H11" s="627" t="s">
        <v>62</v>
      </c>
      <c r="I11" s="320" t="s">
        <v>1210</v>
      </c>
      <c r="J11" s="658" t="s">
        <v>358</v>
      </c>
      <c r="K11" s="661" t="s">
        <v>1203</v>
      </c>
      <c r="L11" s="652" t="s">
        <v>68</v>
      </c>
      <c r="M11" s="652" t="s">
        <v>67</v>
      </c>
      <c r="N11" s="653" t="s">
        <v>66</v>
      </c>
      <c r="O11" s="652" t="s">
        <v>840</v>
      </c>
      <c r="P11" s="655" t="s">
        <v>0</v>
      </c>
      <c r="Q11" s="720" t="s">
        <v>2</v>
      </c>
      <c r="R11" s="721"/>
      <c r="S11" s="654" t="s">
        <v>1</v>
      </c>
      <c r="T11" s="653" t="s">
        <v>62</v>
      </c>
      <c r="U11" s="654" t="s">
        <v>64</v>
      </c>
      <c r="V11" s="656" t="s">
        <v>61</v>
      </c>
      <c r="W11" s="657" t="s">
        <v>63</v>
      </c>
      <c r="X11" s="654" t="s">
        <v>57</v>
      </c>
      <c r="Y11"/>
    </row>
    <row r="12" spans="1:33" s="5" customFormat="1" ht="15.75" thickBot="1" x14ac:dyDescent="0.3">
      <c r="A12" s="714"/>
      <c r="B12" s="502" t="s">
        <v>122</v>
      </c>
      <c r="C12" s="503" t="s">
        <v>838</v>
      </c>
      <c r="D12" s="592"/>
      <c r="E12" s="514"/>
      <c r="F12" s="659"/>
      <c r="G12"/>
      <c r="H12"/>
      <c r="I12" s="492"/>
      <c r="J12" s="651"/>
      <c r="K12" s="660">
        <f>HYPERLINK("https://eu1.salesforce.com/"&amp;E12,F12)</f>
        <v>0</v>
      </c>
      <c r="L12" s="646"/>
      <c r="M12" s="646"/>
      <c r="N12" s="647"/>
      <c r="O12" s="648">
        <v>1234567.8899999999</v>
      </c>
      <c r="P12" s="648">
        <v>1234567.8899999999</v>
      </c>
      <c r="Q12" s="722"/>
      <c r="R12" s="723"/>
      <c r="S12" s="649"/>
      <c r="T12" s="660">
        <f>HYPERLINK("https://eu1.salesforce.com/"&amp;G12,H12)</f>
        <v>0</v>
      </c>
      <c r="U12" s="650"/>
      <c r="V12" s="650"/>
      <c r="W12" s="650"/>
      <c r="X12" s="650"/>
    </row>
    <row r="13" spans="1:33" x14ac:dyDescent="0.25">
      <c r="A13" s="714"/>
      <c r="B13" s="505" t="s">
        <v>689</v>
      </c>
      <c r="C13" s="503"/>
      <c r="D13" s="504"/>
      <c r="E13" s="589">
        <v>0.5</v>
      </c>
      <c r="F13" s="589"/>
      <c r="I13" s="589">
        <v>0.5</v>
      </c>
      <c r="J13" s="589">
        <v>17</v>
      </c>
      <c r="K13" s="269" t="s">
        <v>1109</v>
      </c>
      <c r="L13" s="269" t="s">
        <v>130</v>
      </c>
      <c r="M13" s="269" t="s">
        <v>128</v>
      </c>
      <c r="N13" s="269" t="s">
        <v>110</v>
      </c>
      <c r="O13" s="269" t="s">
        <v>113</v>
      </c>
      <c r="P13" s="269" t="s">
        <v>113</v>
      </c>
      <c r="Q13" s="269" t="s">
        <v>1110</v>
      </c>
      <c r="R13" s="269"/>
      <c r="S13" s="269" t="s">
        <v>113</v>
      </c>
      <c r="T13" s="269" t="s">
        <v>128</v>
      </c>
      <c r="U13" s="269" t="s">
        <v>128</v>
      </c>
      <c r="V13" s="269" t="s">
        <v>113</v>
      </c>
      <c r="W13" s="269" t="s">
        <v>91</v>
      </c>
      <c r="X13" s="269" t="s">
        <v>110</v>
      </c>
      <c r="Z13" s="460"/>
      <c r="AA13" s="92"/>
    </row>
    <row r="14" spans="1:33" x14ac:dyDescent="0.25">
      <c r="A14" s="714"/>
      <c r="B14" s="505" t="s">
        <v>690</v>
      </c>
      <c r="C14" s="503"/>
      <c r="D14" s="504"/>
      <c r="E14" s="589">
        <v>1</v>
      </c>
      <c r="F14" s="589">
        <v>9</v>
      </c>
      <c r="G14" s="589">
        <v>25</v>
      </c>
      <c r="H14" s="492">
        <v>25</v>
      </c>
      <c r="I14" s="589" t="s">
        <v>1209</v>
      </c>
      <c r="J14" s="589">
        <v>19</v>
      </c>
      <c r="K14" s="269"/>
      <c r="L14" s="269" t="s">
        <v>126</v>
      </c>
      <c r="M14" s="269" t="s">
        <v>112</v>
      </c>
      <c r="N14" s="269" t="s">
        <v>128</v>
      </c>
      <c r="O14" s="269" t="s">
        <v>113</v>
      </c>
      <c r="P14" s="269" t="s">
        <v>111</v>
      </c>
      <c r="Q14" s="269" t="s">
        <v>828</v>
      </c>
      <c r="R14" s="269"/>
      <c r="S14" s="269" t="s">
        <v>1109</v>
      </c>
      <c r="T14" s="269"/>
      <c r="U14" s="269" t="s">
        <v>1111</v>
      </c>
      <c r="V14" s="269" t="s">
        <v>1113</v>
      </c>
      <c r="W14" s="269" t="s">
        <v>1114</v>
      </c>
      <c r="X14" s="269" t="s">
        <v>1112</v>
      </c>
      <c r="AC14" s="461"/>
      <c r="AD14" s="461"/>
      <c r="AE14" s="461"/>
      <c r="AF14" s="461"/>
      <c r="AG14" s="461"/>
    </row>
    <row r="15" spans="1:33" x14ac:dyDescent="0.25">
      <c r="A15" s="714"/>
      <c r="B15" s="505" t="s">
        <v>691</v>
      </c>
      <c r="C15" s="503"/>
      <c r="D15" s="504"/>
      <c r="E15" s="589"/>
      <c r="F15" s="589"/>
      <c r="G15" s="589" t="s">
        <v>1206</v>
      </c>
      <c r="H15" t="s">
        <v>1208</v>
      </c>
      <c r="I15" s="589"/>
      <c r="J15" s="628" t="s">
        <v>1151</v>
      </c>
      <c r="K15" s="2"/>
      <c r="L15" s="2"/>
      <c r="M15" s="2"/>
      <c r="N15" s="2"/>
      <c r="O15" s="2"/>
      <c r="P15" s="2"/>
      <c r="Q15" s="2"/>
      <c r="R15" s="2"/>
      <c r="S15" s="2"/>
      <c r="T15" s="2"/>
      <c r="U15" s="2"/>
      <c r="V15" s="2"/>
      <c r="W15" s="2"/>
      <c r="X15" s="2"/>
      <c r="AC15" s="461"/>
      <c r="AD15" s="461"/>
      <c r="AE15" s="461"/>
      <c r="AF15" s="461"/>
      <c r="AG15" s="461"/>
    </row>
    <row r="16" spans="1:33" ht="15.75" thickBot="1" x14ac:dyDescent="0.3">
      <c r="A16" s="715"/>
      <c r="B16" s="506" t="s">
        <v>812</v>
      </c>
      <c r="C16" s="509"/>
      <c r="D16" s="510"/>
      <c r="E16" s="618"/>
      <c r="F16" s="618"/>
      <c r="G16" s="618" t="s">
        <v>1207</v>
      </c>
      <c r="I16" s="618" t="s">
        <v>1212</v>
      </c>
      <c r="J16" s="618"/>
      <c r="K16" s="2"/>
      <c r="L16" s="2"/>
      <c r="M16" s="2"/>
      <c r="N16" s="2"/>
      <c r="O16" s="2"/>
      <c r="P16" s="2"/>
      <c r="Q16" s="2"/>
      <c r="R16" s="2"/>
      <c r="S16" s="2"/>
      <c r="T16" s="2"/>
      <c r="U16" s="2"/>
      <c r="V16" s="2"/>
      <c r="AA16" s="461"/>
      <c r="AB16" s="461"/>
      <c r="AC16" s="461"/>
      <c r="AD16" s="461"/>
      <c r="AE16" s="461"/>
    </row>
    <row r="17" spans="1:35" s="5" customFormat="1" ht="30.75" thickBot="1" x14ac:dyDescent="0.3">
      <c r="A17" s="713" t="s">
        <v>136</v>
      </c>
      <c r="B17" s="622" t="s">
        <v>1117</v>
      </c>
      <c r="C17" s="500" t="s">
        <v>838</v>
      </c>
      <c r="D17" s="501"/>
      <c r="E17" s="521" t="s">
        <v>712</v>
      </c>
      <c r="F17" s="521"/>
      <c r="G17" s="521"/>
      <c r="H17" s="522" t="s">
        <v>850</v>
      </c>
      <c r="I17" s="523" t="s">
        <v>611</v>
      </c>
      <c r="J17" s="644"/>
      <c r="K17" s="662" t="s">
        <v>849</v>
      </c>
      <c r="L17" s="663" t="s">
        <v>843</v>
      </c>
      <c r="M17" s="664" t="s">
        <v>848</v>
      </c>
      <c r="N17" s="664" t="s">
        <v>844</v>
      </c>
      <c r="O17" s="665" t="s">
        <v>845</v>
      </c>
      <c r="P17" s="665" t="s">
        <v>846</v>
      </c>
      <c r="Q17" s="724" t="s">
        <v>847</v>
      </c>
      <c r="R17" s="725"/>
      <c r="S17" s="662" t="s">
        <v>1132</v>
      </c>
      <c r="V17" s="662" t="s">
        <v>1147</v>
      </c>
      <c r="W17" s="524"/>
    </row>
    <row r="18" spans="1:35" s="5" customFormat="1" ht="15.75" thickBot="1" x14ac:dyDescent="0.3">
      <c r="A18" s="714"/>
      <c r="B18" s="502" t="s">
        <v>122</v>
      </c>
      <c r="C18" s="503" t="s">
        <v>1213</v>
      </c>
      <c r="D18" s="666">
        <f>E12</f>
        <v>0</v>
      </c>
      <c r="H18" s="667"/>
      <c r="I18" s="668"/>
      <c r="J18" s="643"/>
      <c r="K18" s="669"/>
      <c r="L18" s="671"/>
      <c r="M18" s="670"/>
      <c r="N18" s="670"/>
      <c r="O18" s="670"/>
      <c r="P18" s="671"/>
      <c r="Q18" s="726"/>
      <c r="R18" s="727"/>
      <c r="S18" s="672"/>
      <c r="V18" s="670"/>
      <c r="W18" s="524"/>
    </row>
    <row r="19" spans="1:35" x14ac:dyDescent="0.25">
      <c r="A19" s="714"/>
      <c r="B19" s="505" t="s">
        <v>689</v>
      </c>
      <c r="C19" s="503"/>
      <c r="D19" s="504"/>
      <c r="E19" s="330">
        <v>0.5</v>
      </c>
      <c r="F19" s="330"/>
      <c r="G19" s="330"/>
      <c r="H19" s="330">
        <v>0.5</v>
      </c>
      <c r="I19" s="330">
        <v>0.5</v>
      </c>
      <c r="J19" s="589"/>
      <c r="K19" s="511">
        <v>14</v>
      </c>
      <c r="L19" s="511">
        <v>10</v>
      </c>
      <c r="M19" s="511">
        <v>10</v>
      </c>
      <c r="N19" s="511">
        <v>10</v>
      </c>
      <c r="O19" s="511">
        <v>30</v>
      </c>
      <c r="P19" s="511">
        <v>10</v>
      </c>
      <c r="Q19" s="511">
        <v>40</v>
      </c>
      <c r="R19" s="511"/>
      <c r="S19" s="511">
        <v>26</v>
      </c>
      <c r="V19" s="511">
        <v>15</v>
      </c>
      <c r="W19" s="492"/>
    </row>
    <row r="20" spans="1:35" x14ac:dyDescent="0.25">
      <c r="A20" s="714"/>
      <c r="B20" s="505" t="s">
        <v>690</v>
      </c>
      <c r="C20" s="503"/>
      <c r="D20" s="504"/>
      <c r="E20" s="492">
        <v>4</v>
      </c>
      <c r="I20" s="2"/>
      <c r="J20"/>
      <c r="K20" s="492">
        <v>4</v>
      </c>
      <c r="L20" s="492">
        <v>4</v>
      </c>
      <c r="M20" s="511">
        <v>4</v>
      </c>
      <c r="N20" s="511">
        <v>4</v>
      </c>
      <c r="O20" s="511">
        <v>4</v>
      </c>
      <c r="P20" s="511">
        <v>4</v>
      </c>
      <c r="Q20" s="511">
        <v>4</v>
      </c>
      <c r="R20" s="511"/>
      <c r="S20" s="511">
        <v>4</v>
      </c>
      <c r="V20" s="511">
        <v>4</v>
      </c>
      <c r="W20" s="492"/>
    </row>
    <row r="21" spans="1:35" x14ac:dyDescent="0.25">
      <c r="A21" s="714"/>
      <c r="B21" s="505" t="s">
        <v>691</v>
      </c>
      <c r="C21" s="503"/>
      <c r="D21" s="504"/>
      <c r="E21" s="492"/>
      <c r="J21"/>
      <c r="K21" s="492"/>
      <c r="L21" s="492"/>
      <c r="M21" s="492"/>
      <c r="N21" s="492"/>
      <c r="O21" s="492"/>
      <c r="P21" s="492"/>
      <c r="Q21" s="492"/>
      <c r="R21" s="492"/>
      <c r="S21" s="492"/>
      <c r="V21" s="492"/>
      <c r="W21" s="492"/>
    </row>
    <row r="22" spans="1:35" s="1" customFormat="1" ht="15.75" thickBot="1" x14ac:dyDescent="0.3">
      <c r="A22" s="715"/>
      <c r="B22" s="506" t="s">
        <v>812</v>
      </c>
      <c r="C22" s="507"/>
      <c r="D22" s="508"/>
      <c r="E22" s="620" t="s">
        <v>1121</v>
      </c>
      <c r="F22" s="620"/>
      <c r="G22"/>
      <c r="H22"/>
      <c r="I22" s="2"/>
      <c r="J22" s="618"/>
      <c r="K22" s="620" t="s">
        <v>1124</v>
      </c>
      <c r="L22" s="620" t="s">
        <v>1125</v>
      </c>
      <c r="M22" s="620" t="s">
        <v>1126</v>
      </c>
      <c r="N22" s="620" t="s">
        <v>1127</v>
      </c>
      <c r="O22" s="620" t="s">
        <v>1128</v>
      </c>
      <c r="P22" s="620" t="s">
        <v>1129</v>
      </c>
      <c r="Q22" s="620" t="s">
        <v>1130</v>
      </c>
      <c r="R22" s="511"/>
      <c r="S22" s="620" t="s">
        <v>1133</v>
      </c>
      <c r="V22" s="620" t="s">
        <v>1148</v>
      </c>
      <c r="W22" s="512"/>
      <c r="X22" s="12"/>
      <c r="Y22"/>
      <c r="Z22"/>
      <c r="AA22"/>
      <c r="AB22"/>
      <c r="AC22"/>
      <c r="AD22"/>
      <c r="AE22"/>
      <c r="AF22"/>
      <c r="AG22"/>
      <c r="AH22"/>
    </row>
    <row r="23" spans="1:35" ht="15.75" thickBot="1" x14ac:dyDescent="0.3">
      <c r="A23" s="713" t="s">
        <v>585</v>
      </c>
      <c r="B23" s="623" t="s">
        <v>1152</v>
      </c>
      <c r="C23" s="500" t="s">
        <v>838</v>
      </c>
      <c r="D23" s="501"/>
      <c r="E23" s="320" t="s">
        <v>157</v>
      </c>
      <c r="F23" s="320" t="s">
        <v>1156</v>
      </c>
      <c r="G23" s="320" t="s">
        <v>836</v>
      </c>
      <c r="H23" s="520" t="s">
        <v>62</v>
      </c>
      <c r="I23" s="518" t="s">
        <v>611</v>
      </c>
      <c r="J23" s="645"/>
      <c r="K23" s="716" t="s">
        <v>836</v>
      </c>
      <c r="L23" s="717"/>
      <c r="M23" s="513" t="s">
        <v>841</v>
      </c>
      <c r="N23" s="513"/>
      <c r="O23" s="513" t="s">
        <v>839</v>
      </c>
      <c r="P23" s="513" t="s">
        <v>842</v>
      </c>
      <c r="Q23" s="513" t="s">
        <v>1158</v>
      </c>
      <c r="R23" s="513" t="s">
        <v>1157</v>
      </c>
      <c r="S23" s="513" t="s">
        <v>1</v>
      </c>
      <c r="T23" s="513" t="s">
        <v>702</v>
      </c>
      <c r="U23" s="513" t="s">
        <v>610</v>
      </c>
      <c r="V23" s="513" t="s">
        <v>851</v>
      </c>
      <c r="W23" s="513" t="s">
        <v>371</v>
      </c>
      <c r="X23" s="145"/>
      <c r="Y23" s="145"/>
      <c r="Z23" s="145"/>
    </row>
    <row r="24" spans="1:35" ht="15.75" thickBot="1" x14ac:dyDescent="0.3">
      <c r="A24" s="714"/>
      <c r="B24" s="502" t="s">
        <v>122</v>
      </c>
      <c r="C24" s="673" t="str">
        <f>IF(LEN(I12)=0,"",I12)</f>
        <v/>
      </c>
      <c r="D24" s="631">
        <v>1</v>
      </c>
      <c r="F24" s="516"/>
      <c r="G24" s="330"/>
      <c r="H24" s="519"/>
      <c r="I24" s="517"/>
      <c r="J24" s="675" t="s">
        <v>1220</v>
      </c>
      <c r="K24" s="718">
        <f>HYPERLINK("https://eu1.salesforce.com/"&amp;F24,G24)</f>
        <v>0</v>
      </c>
      <c r="L24" s="719"/>
      <c r="M24" s="1"/>
      <c r="N24" s="1"/>
      <c r="O24" s="1"/>
      <c r="P24" s="1"/>
      <c r="Q24" s="1"/>
      <c r="R24" s="1"/>
      <c r="S24" s="1"/>
      <c r="T24" s="1"/>
      <c r="U24" s="1"/>
      <c r="V24" s="145"/>
      <c r="W24" s="145"/>
      <c r="X24" s="145"/>
      <c r="Y24" s="145"/>
      <c r="Z24" s="145"/>
    </row>
    <row r="25" spans="1:35" x14ac:dyDescent="0.25">
      <c r="A25" s="714"/>
      <c r="B25" s="505" t="s">
        <v>689</v>
      </c>
      <c r="C25" s="503"/>
      <c r="D25" s="504"/>
      <c r="E25" s="330">
        <v>0.5</v>
      </c>
      <c r="F25" s="330"/>
      <c r="G25" s="330"/>
      <c r="H25" s="330">
        <v>0.5</v>
      </c>
      <c r="I25" s="330">
        <v>0.5</v>
      </c>
      <c r="J25" s="589"/>
      <c r="K25" s="632" t="s">
        <v>1109</v>
      </c>
      <c r="L25" s="632"/>
      <c r="M25" s="632" t="s">
        <v>113</v>
      </c>
      <c r="N25" s="632"/>
      <c r="O25" s="632" t="s">
        <v>113</v>
      </c>
      <c r="P25" s="632" t="s">
        <v>242</v>
      </c>
      <c r="Q25" s="632"/>
      <c r="R25" s="632"/>
      <c r="S25" s="632" t="s">
        <v>113</v>
      </c>
      <c r="T25" s="632" t="s">
        <v>113</v>
      </c>
      <c r="U25" s="632" t="s">
        <v>128</v>
      </c>
      <c r="V25" s="632" t="s">
        <v>128</v>
      </c>
      <c r="W25" s="632" t="s">
        <v>128</v>
      </c>
      <c r="Z25" s="92"/>
      <c r="AB25" s="460"/>
      <c r="AC25" s="92"/>
    </row>
    <row r="26" spans="1:35" x14ac:dyDescent="0.25">
      <c r="A26" s="714"/>
      <c r="B26" s="505" t="s">
        <v>690</v>
      </c>
      <c r="C26" s="503" t="s">
        <v>70</v>
      </c>
      <c r="D26" s="629" t="s">
        <v>128</v>
      </c>
      <c r="E26" s="619" t="s">
        <v>1214</v>
      </c>
      <c r="F26" s="492" t="s">
        <v>70</v>
      </c>
      <c r="G26" s="492">
        <v>3</v>
      </c>
      <c r="H26" s="511"/>
      <c r="I26" s="511"/>
      <c r="J26" s="511"/>
      <c r="K26" s="492"/>
      <c r="L26" s="492"/>
      <c r="M26" s="511" t="s">
        <v>856</v>
      </c>
      <c r="N26" s="511"/>
      <c r="O26" s="511" t="s">
        <v>131</v>
      </c>
      <c r="P26" s="492" t="s">
        <v>129</v>
      </c>
      <c r="Q26" s="492" t="s">
        <v>1159</v>
      </c>
      <c r="R26" s="632" t="s">
        <v>111</v>
      </c>
      <c r="S26" s="511" t="s">
        <v>113</v>
      </c>
      <c r="T26" s="637"/>
      <c r="U26" s="637"/>
      <c r="V26" s="637"/>
      <c r="W26" s="637"/>
      <c r="X26" s="638"/>
      <c r="AE26" s="461"/>
      <c r="AF26" s="461"/>
      <c r="AG26" s="461"/>
      <c r="AH26" s="461"/>
      <c r="AI26" s="461"/>
    </row>
    <row r="27" spans="1:35" ht="45" x14ac:dyDescent="0.25">
      <c r="A27" s="714"/>
      <c r="B27" s="505" t="s">
        <v>691</v>
      </c>
      <c r="C27" s="503"/>
      <c r="D27" s="504"/>
      <c r="E27" s="630" t="s">
        <v>1204</v>
      </c>
      <c r="J27" s="674" t="s">
        <v>1215</v>
      </c>
      <c r="K27" s="674" t="s">
        <v>1215</v>
      </c>
      <c r="L27" s="633"/>
      <c r="M27" s="633"/>
      <c r="N27" s="633"/>
      <c r="S27" s="633"/>
      <c r="AE27" s="461"/>
      <c r="AF27" s="461"/>
      <c r="AG27" s="461"/>
      <c r="AH27" s="461"/>
      <c r="AI27" s="461"/>
    </row>
    <row r="28" spans="1:35" ht="15.75" thickBot="1" x14ac:dyDescent="0.3">
      <c r="A28" s="715"/>
      <c r="B28" s="506" t="s">
        <v>812</v>
      </c>
      <c r="C28" s="509"/>
      <c r="D28" s="508"/>
      <c r="E28" s="119"/>
      <c r="H28" s="618"/>
      <c r="J28"/>
      <c r="K28" s="2"/>
      <c r="AA28" s="253"/>
      <c r="AE28" s="461"/>
      <c r="AF28" s="461"/>
      <c r="AG28" s="461"/>
      <c r="AH28" s="461"/>
      <c r="AI28" s="461"/>
    </row>
    <row r="29" spans="1:35" x14ac:dyDescent="0.25">
      <c r="J29"/>
    </row>
    <row r="36" spans="2:6" x14ac:dyDescent="0.25">
      <c r="F36" s="119"/>
    </row>
    <row r="37" spans="2:6" x14ac:dyDescent="0.25">
      <c r="B37" s="511"/>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2012-10-28T07:27:50Z</dcterms:modified>
</cp:coreProperties>
</file>