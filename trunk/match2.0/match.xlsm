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-15" windowWidth="7650" windowHeight="514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mails" comment="12.6.12 HDR_BTOmails шапка для извлекаемых писем БТО">Header!$A$170:$J$171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Header!$B$77:$AI$82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 refMode="R1C1"/>
</workbook>
</file>

<file path=xl/calcChain.xml><?xml version="1.0" encoding="utf-8"?>
<calcChain xmlns="http://schemas.openxmlformats.org/spreadsheetml/2006/main">
  <c r="A55" i="763" l="1"/>
  <c r="A54" i="763"/>
  <c r="F10" i="1989" l="1"/>
  <c r="C60" i="763" l="1"/>
  <c r="Y14" i="763" l="1"/>
  <c r="R14" i="763"/>
  <c r="AA14" i="763" s="1"/>
  <c r="AB14" i="763" s="1"/>
  <c r="AC14" i="763" s="1"/>
  <c r="C30" i="1989" l="1"/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2" i="763"/>
  <c r="V1148" i="763"/>
  <c r="U1148" i="763"/>
  <c r="AS208" i="763"/>
  <c r="AR208" i="763"/>
  <c r="AQ208" i="763"/>
  <c r="AP208" i="763"/>
  <c r="AO208" i="763"/>
  <c r="AN208" i="763"/>
  <c r="AM208" i="763"/>
  <c r="AL208" i="763"/>
  <c r="AK208" i="763"/>
  <c r="AJ208" i="763"/>
  <c r="AI208" i="763"/>
  <c r="AH208" i="763"/>
  <c r="AF208" i="763"/>
  <c r="AE208" i="763"/>
  <c r="AD208" i="763"/>
  <c r="AC208" i="763"/>
  <c r="AB208" i="763"/>
  <c r="AA208" i="763"/>
  <c r="Z208" i="763"/>
  <c r="Y208" i="763"/>
  <c r="X208" i="763"/>
  <c r="W208" i="763"/>
  <c r="V208" i="763"/>
  <c r="U208" i="763"/>
  <c r="S208" i="763"/>
  <c r="R208" i="763"/>
  <c r="Q208" i="763"/>
  <c r="P208" i="763"/>
  <c r="O208" i="763"/>
  <c r="N208" i="763"/>
  <c r="M208" i="763"/>
  <c r="L208" i="763"/>
  <c r="K208" i="763"/>
  <c r="J208" i="763"/>
  <c r="I208" i="763"/>
  <c r="H208" i="763"/>
  <c r="F208" i="763"/>
  <c r="E208" i="763"/>
  <c r="D208" i="763"/>
  <c r="C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AT178" i="763"/>
  <c r="AG178" i="763"/>
  <c r="T178" i="763"/>
  <c r="G178" i="763"/>
  <c r="AT177" i="763"/>
  <c r="AG177" i="763"/>
  <c r="T177" i="763"/>
  <c r="G177" i="763"/>
  <c r="AU177" i="763" s="1"/>
  <c r="AT176" i="763"/>
  <c r="AG176" i="763"/>
  <c r="T176" i="763"/>
  <c r="G176" i="763"/>
  <c r="AT175" i="763"/>
  <c r="AG175" i="763"/>
  <c r="T175" i="763"/>
  <c r="G175" i="763"/>
  <c r="AU175" i="763" s="1"/>
  <c r="I96" i="763"/>
  <c r="D78" i="763"/>
  <c r="I74" i="763"/>
  <c r="F61" i="763"/>
  <c r="F64" i="763" s="1"/>
  <c r="D60" i="763"/>
  <c r="F55" i="763"/>
  <c r="F54" i="763"/>
  <c r="D47" i="763"/>
  <c r="C115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8" i="763" s="1"/>
  <c r="J27" i="763"/>
  <c r="C27" i="763"/>
  <c r="I19" i="763"/>
  <c r="G19" i="763"/>
  <c r="F19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2" i="763" l="1"/>
  <c r="T208" i="763"/>
  <c r="K44" i="1989"/>
  <c r="K48" i="1989"/>
  <c r="K46" i="1989"/>
  <c r="K40" i="1989"/>
  <c r="AG208" i="763"/>
  <c r="AT208" i="763"/>
  <c r="AU176" i="763"/>
  <c r="AU178" i="763"/>
  <c r="AU180" i="763"/>
  <c r="AU182" i="763"/>
  <c r="C32" i="763"/>
  <c r="D27" i="763" s="1"/>
  <c r="AU184" i="763"/>
  <c r="AU186" i="763"/>
  <c r="AU188" i="763"/>
  <c r="AU190" i="763"/>
  <c r="AU192" i="763"/>
  <c r="AU194" i="763"/>
  <c r="AU196" i="763"/>
  <c r="AU198" i="763"/>
  <c r="J32" i="763"/>
  <c r="L31" i="763" s="1"/>
  <c r="G208" i="763"/>
  <c r="AU200" i="763"/>
  <c r="AU204" i="763"/>
  <c r="AU206" i="763"/>
  <c r="A68" i="763"/>
  <c r="J1151" i="763"/>
  <c r="J1152" i="763"/>
  <c r="C1149" i="763"/>
  <c r="J1149" i="763"/>
  <c r="C1150" i="763"/>
  <c r="J1150" i="763"/>
  <c r="C1148" i="763"/>
  <c r="K22" i="1989"/>
  <c r="K41" i="1989"/>
  <c r="K51" i="1989"/>
  <c r="K52" i="1989"/>
  <c r="K23" i="1989"/>
  <c r="K15" i="1989"/>
  <c r="K18" i="1989"/>
  <c r="K54" i="1989"/>
  <c r="K21" i="1989"/>
  <c r="AU208" i="763" l="1"/>
  <c r="D29" i="763"/>
  <c r="L30" i="763"/>
  <c r="L28" i="763"/>
  <c r="L27" i="763"/>
  <c r="L29" i="763"/>
  <c r="C1153" i="763"/>
  <c r="D1149" i="763" s="1"/>
  <c r="D30" i="763"/>
  <c r="J1153" i="763"/>
  <c r="L1152" i="763" s="1"/>
  <c r="D28" i="763"/>
  <c r="D31" i="763"/>
  <c r="D1150" i="763" l="1"/>
  <c r="D1148" i="763"/>
  <c r="D1151" i="763"/>
  <c r="D1152" i="763"/>
  <c r="L1149" i="763"/>
  <c r="L1151" i="763"/>
  <c r="L1150" i="763"/>
  <c r="L1148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<sst xmlns="http://schemas.openxmlformats.org/spreadsheetml/2006/main" count="4192" uniqueCount="1381">
  <si>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</si>
  <si>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</si>
  <si>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</si>
  <si>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</si>
  <si>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</si>
  <si>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</si>
  <si>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</si>
  <si>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</si>
  <si>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</si>
  <si>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</si>
  <si>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</si>
  <si>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</si>
  <si>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</si>
  <si>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</si>
  <si>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</si>
  <si>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</si>
  <si>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</si>
  <si>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</si>
  <si>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</si>
  <si>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</si>
  <si>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</si>
  <si>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</si>
  <si>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</si>
  <si>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</si>
  <si>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</si>
  <si>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</si>
  <si>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</si>
  <si>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</si>
  <si>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</si>
  <si>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</si>
  <si>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</si>
  <si>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</si>
  <si>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</si>
  <si>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</si>
  <si>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</si>
  <si>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</si>
  <si>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</si>
  <si>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</si>
  <si>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</si>
  <si>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</si>
  <si>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</si>
  <si>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</si>
  <si>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</si>
  <si>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</si>
  <si>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</si>
  <si>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</si>
  <si>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</si>
  <si>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</si>
  <si>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</si>
  <si>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</si>
  <si>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</si>
  <si>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</si>
  <si>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</si>
  <si>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</si>
  <si>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</si>
  <si>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</si>
  <si>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</si>
  <si>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</si>
  <si>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</si>
  <si>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</si>
  <si>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</si>
  <si>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</si>
  <si>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</si>
  <si>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</si>
  <si>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</si>
  <si>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</si>
  <si>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</si>
  <si>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</si>
  <si>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</si>
  <si>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</si>
  <si>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</si>
  <si>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</si>
  <si>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</si>
  <si>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</si>
  <si>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</si>
  <si>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</si>
  <si>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</si>
  <si>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</si>
  <si>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</si>
  <si>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</si>
  <si>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</si>
  <si>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</si>
  <si>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</si>
  <si>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</si>
  <si>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</si>
  <si>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</si>
  <si>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</si>
  <si>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</si>
  <si>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</si>
  <si>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</si>
  <si>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</si>
  <si>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</si>
  <si>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</si>
  <si>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</si>
  <si>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</si>
  <si>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</si>
  <si>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</si>
  <si>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</si>
  <si>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</si>
  <si>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</si>
  <si>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</si>
  <si>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</si>
  <si>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</si>
  <si>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</si>
  <si>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</si>
  <si>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</si>
  <si>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</si>
  <si>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</si>
  <si>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</si>
  <si>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</si>
  <si>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</si>
  <si>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</si>
  <si>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</si>
  <si>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</si>
  <si>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</si>
  <si>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</si>
  <si>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</si>
  <si>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</si>
  <si>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</si>
  <si>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</si>
  <si>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</si>
  <si>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</si>
  <si>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</si>
  <si>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</si>
  <si>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</si>
  <si>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</si>
  <si>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</si>
  <si>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</si>
  <si>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</si>
  <si>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</si>
  <si>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</si>
  <si>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</si>
  <si>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</si>
  <si>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</si>
  <si>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</si>
  <si>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</si>
  <si>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</si>
  <si>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</si>
  <si>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</si>
  <si>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</si>
  <si>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</si>
  <si>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</si>
  <si>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</si>
  <si>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</si>
  <si>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</si>
  <si>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</si>
  <si>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</si>
  <si>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</si>
  <si>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</si>
  <si>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</si>
  <si>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</si>
  <si>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</si>
  <si>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</si>
  <si>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</si>
  <si>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</si>
  <si>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</si>
  <si>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</si>
  <si>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</si>
  <si>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</si>
  <si>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</si>
  <si>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</si>
  <si>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</si>
  <si>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</si>
  <si>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</si>
  <si>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</si>
  <si>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</si>
  <si>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</si>
  <si>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</si>
  <si>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</si>
  <si>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</si>
  <si>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</si>
  <si>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</si>
  <si>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</si>
  <si>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</si>
  <si>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</si>
  <si>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</si>
  <si>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</si>
  <si>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</si>
  <si>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</si>
  <si>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</si>
  <si>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</si>
  <si>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</si>
  <si>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</si>
  <si>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</si>
  <si>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</si>
  <si>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</si>
  <si>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</si>
  <si>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</si>
  <si>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</si>
  <si>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</si>
  <si>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</si>
  <si>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</si>
  <si>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</si>
  <si>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</si>
  <si>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</si>
  <si>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</si>
  <si>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</si>
  <si>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</si>
  <si>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</si>
  <si>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</si>
  <si>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</si>
  <si>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</si>
  <si>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</si>
  <si>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</si>
  <si>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</si>
  <si>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</si>
  <si>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</si>
  <si>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</si>
  <si>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</si>
  <si>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</si>
  <si>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</si>
  <si>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</si>
  <si>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</si>
  <si>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</si>
  <si>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</si>
  <si>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</si>
  <si>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</si>
  <si>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</si>
  <si>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</si>
  <si>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</si>
  <si>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</si>
  <si>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</si>
  <si>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</si>
  <si>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</si>
  <si>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</si>
  <si>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</si>
  <si>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</si>
  <si>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</si>
  <si>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</si>
  <si>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</si>
  <si>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</si>
  <si>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</si>
  <si>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</si>
  <si>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</si>
  <si>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</si>
  <si>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</si>
  <si>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</si>
  <si>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</si>
  <si>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</si>
  <si>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</si>
  <si>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</si>
  <si>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</si>
  <si>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</si>
  <si>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</si>
  <si>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</si>
  <si>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</si>
  <si>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</si>
  <si>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</si>
  <si>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</si>
  <si>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</si>
  <si>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</si>
  <si>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</si>
  <si>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</si>
  <si>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</si>
  <si>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</si>
  <si>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</si>
  <si>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</si>
  <si>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</si>
  <si>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</si>
  <si>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</si>
  <si>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</si>
  <si>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</si>
  <si>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</si>
  <si>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</si>
  <si>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</si>
  <si>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</si>
  <si>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</si>
  <si>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</si>
  <si>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</si>
  <si>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</si>
  <si>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</si>
  <si>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</si>
  <si>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</si>
  <si>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</si>
  <si>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</si>
  <si>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</si>
  <si>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</si>
  <si>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</si>
  <si>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</si>
  <si>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</si>
  <si>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</si>
  <si>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</si>
  <si>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</si>
  <si>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</si>
  <si>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</si>
  <si>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</si>
  <si>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</si>
  <si>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</si>
  <si>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</si>
  <si>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</si>
  <si>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</si>
  <si>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</si>
  <si>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</si>
  <si>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</si>
  <si>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</si>
  <si>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</si>
  <si>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</si>
  <si>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</si>
  <si>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</si>
  <si>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</si>
  <si>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</si>
  <si>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</si>
  <si>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</si>
  <si>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</si>
  <si>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</si>
  <si>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</si>
  <si>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</si>
  <si>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</si>
  <si>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</si>
  <si>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</si>
  <si>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</si>
  <si>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</si>
  <si>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</si>
  <si>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</si>
  <si>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</si>
  <si>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</si>
  <si>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</si>
  <si>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</si>
  <si>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</si>
  <si>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</si>
  <si>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</si>
  <si>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</si>
  <si>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</si>
  <si>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</si>
  <si>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</si>
  <si>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</si>
  <si>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</si>
  <si>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</si>
  <si>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</si>
  <si>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</si>
  <si>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</si>
  <si>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</si>
  <si>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</si>
  <si>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</si>
  <si>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</si>
  <si>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</si>
  <si>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</si>
  <si>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</si>
  <si>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</si>
  <si>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</si>
  <si>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</si>
  <si>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</si>
  <si>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</si>
  <si>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</si>
  <si>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</si>
  <si>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</si>
  <si>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</si>
  <si>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</si>
  <si>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</si>
  <si>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</si>
  <si>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</si>
  <si>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</si>
  <si>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</si>
  <si>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</si>
  <si>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</si>
  <si>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</si>
  <si>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</si>
  <si>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</si>
  <si>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</si>
  <si>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</si>
  <si>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</si>
  <si>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</si>
  <si>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</si>
  <si>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</si>
  <si>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</si>
  <si>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</si>
  <si>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</si>
  <si>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</si>
  <si>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</si>
  <si>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</si>
  <si>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</si>
  <si>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</si>
  <si>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</si>
  <si>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</si>
  <si>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</si>
  <si>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</si>
  <si>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</si>
  <si>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</si>
  <si>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</si>
  <si>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</si>
  <si>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</si>
  <si>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</si>
  <si>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</si>
  <si>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</si>
  <si>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</si>
  <si>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</si>
  <si>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</si>
  <si>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</si>
  <si>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</si>
  <si>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</si>
  <si>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</si>
  <si>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</si>
  <si>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</si>
  <si>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</si>
  <si>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</si>
  <si>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</si>
  <si>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</si>
  <si>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</si>
  <si>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</si>
  <si>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</si>
  <si>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</si>
  <si>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</si>
  <si>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</si>
  <si>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</si>
  <si>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</si>
  <si>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</si>
  <si>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</si>
  <si>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</si>
  <si>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</si>
  <si>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</si>
  <si>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</si>
  <si>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</si>
  <si>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</si>
  <si>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</si>
  <si>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</si>
  <si>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</si>
  <si>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</si>
  <si>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</si>
  <si>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</si>
  <si>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</si>
  <si>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</si>
  <si>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</si>
  <si>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</si>
  <si>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</si>
  <si>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</si>
  <si>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</si>
  <si>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</si>
  <si>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</si>
  <si>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</si>
  <si>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</si>
  <si>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</si>
  <si>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</si>
  <si>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</si>
  <si>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</si>
  <si>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</si>
  <si>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</si>
  <si>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</si>
  <si>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</si>
  <si>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</si>
  <si>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</si>
  <si>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</si>
  <si>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</si>
  <si>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</si>
  <si>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</si>
  <si>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</si>
  <si>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</si>
  <si>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</si>
  <si>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</si>
  <si>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</si>
  <si>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</si>
  <si>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</si>
  <si>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</si>
  <si>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</si>
  <si>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</si>
  <si>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</si>
  <si>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</si>
  <si>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</si>
  <si>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</si>
  <si>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</si>
  <si>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</si>
  <si>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</si>
  <si>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</si>
  <si>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</si>
  <si>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</si>
  <si>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</si>
  <si>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</si>
  <si>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</si>
  <si>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</si>
  <si>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</si>
  <si>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</si>
  <si>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</si>
  <si>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</si>
  <si>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</si>
  <si>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</si>
  <si>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</si>
  <si>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</si>
  <si>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</si>
  <si>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</si>
  <si>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</si>
  <si>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</si>
  <si>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</si>
  <si>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</si>
  <si>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</si>
  <si>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</si>
  <si>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</si>
  <si>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</si>
  <si>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</si>
  <si>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</si>
  <si>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</si>
  <si>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</si>
  <si>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</si>
  <si>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</si>
  <si>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</si>
  <si>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</si>
  <si>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</si>
  <si>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</si>
  <si>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</si>
  <si>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</si>
  <si>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</si>
  <si>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</si>
  <si>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</si>
  <si>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</si>
  <si>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</si>
  <si>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</si>
  <si>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</si>
  <si>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</si>
  <si>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</si>
  <si>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</si>
  <si>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</si>
  <si>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</si>
  <si>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</si>
  <si>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</si>
  <si>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</si>
  <si>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</si>
  <si>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</si>
  <si>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</si>
  <si>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</si>
  <si>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</si>
  <si>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</si>
  <si>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</si>
  <si>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</si>
  <si>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</si>
  <si>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</si>
  <si>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</si>
  <si>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</si>
  <si>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</si>
  <si>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</si>
  <si>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</si>
  <si>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</si>
  <si>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</si>
  <si>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</si>
  <si>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</si>
  <si>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</si>
  <si>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</si>
  <si>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</si>
  <si>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</si>
  <si>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</si>
  <si>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</si>
  <si>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</si>
  <si>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</si>
  <si>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</si>
  <si>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</si>
  <si>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</si>
  <si>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</si>
  <si>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</si>
  <si>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</si>
  <si>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</si>
  <si>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</si>
  <si>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</si>
  <si>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</si>
  <si>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</si>
  <si>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</si>
  <si>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</si>
  <si>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</si>
  <si>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</si>
  <si>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</si>
  <si>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</si>
  <si>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</si>
  <si>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</si>
  <si>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</si>
  <si>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</si>
  <si>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</si>
  <si>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</si>
  <si>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</si>
  <si>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</si>
  <si>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</si>
  <si>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</si>
  <si>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</si>
  <si>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</si>
  <si>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</si>
  <si>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</si>
  <si>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</si>
  <si>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</si>
  <si>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</si>
  <si>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</si>
  <si>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</si>
  <si>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</si>
  <si>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</si>
  <si>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</si>
  <si>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</si>
  <si>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</si>
  <si>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</si>
  <si>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</si>
  <si>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</si>
  <si>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</si>
  <si>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</si>
  <si>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</si>
  <si>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</si>
  <si>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</si>
  <si>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</si>
  <si>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</si>
  <si>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</si>
  <si>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</si>
  <si>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</si>
  <si>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</si>
  <si>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</si>
  <si>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</si>
  <si>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</si>
  <si>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</si>
  <si>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</si>
  <si>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</si>
  <si>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</si>
  <si>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</si>
  <si>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</si>
  <si>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</si>
  <si>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</si>
  <si>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</si>
  <si>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</si>
  <si>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</si>
  <si>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</si>
  <si>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</si>
  <si>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</si>
  <si>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</si>
  <si>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</si>
  <si>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</si>
  <si>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</si>
  <si>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</si>
  <si>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</si>
  <si>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</si>
  <si>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</si>
  <si>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</si>
  <si>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</si>
  <si>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</si>
  <si>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</si>
  <si>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</si>
  <si>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</si>
  <si>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</si>
  <si>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</si>
  <si>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</si>
  <si>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</si>
  <si>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</si>
  <si>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</si>
  <si>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</si>
  <si>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</si>
  <si>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</si>
  <si>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</si>
  <si>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</si>
  <si>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</si>
  <si>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</si>
  <si>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</si>
  <si>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</si>
  <si>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</si>
  <si>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</si>
  <si>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</si>
  <si>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</si>
  <si>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</si>
  <si>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</si>
  <si>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</si>
  <si>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</si>
  <si>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</si>
  <si>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</si>
  <si>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</si>
  <si>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</si>
  <si>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</si>
  <si>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</si>
  <si>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</si>
  <si>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</si>
  <si>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</si>
  <si>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</si>
  <si>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</si>
  <si>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</si>
  <si>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</si>
  <si>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</si>
  <si>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</si>
  <si>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</si>
  <si>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</si>
  <si>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</si>
  <si>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</si>
  <si>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</si>
  <si>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</si>
  <si>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</si>
  <si>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</si>
  <si>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</si>
  <si>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</si>
  <si>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</si>
  <si>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</si>
  <si>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</si>
  <si>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</si>
  <si>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</si>
  <si>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</si>
  <si>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</si>
  <si>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</si>
  <si>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</si>
  <si>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</si>
  <si>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</si>
  <si>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</si>
  <si>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</si>
  <si>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</si>
  <si>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</si>
  <si>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</si>
  <si>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</si>
  <si>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</si>
  <si>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</si>
  <si>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</si>
  <si>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</si>
  <si>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</si>
  <si>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</si>
  <si>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</si>
  <si>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</si>
  <si>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</si>
  <si>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</si>
  <si>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</si>
  <si>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</si>
  <si>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</si>
  <si>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</si>
  <si>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</si>
  <si>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</si>
  <si>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</si>
  <si>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</si>
  <si>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</si>
  <si>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</si>
  <si>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</si>
  <si>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</si>
  <si>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</si>
  <si>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</si>
  <si>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</si>
  <si>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</si>
  <si>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</si>
  <si>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</si>
  <si>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</si>
  <si>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</si>
  <si>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</si>
  <si>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</si>
  <si>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</si>
  <si>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</si>
  <si>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</si>
  <si>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</si>
  <si>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</si>
  <si>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</si>
  <si>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</si>
  <si>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</si>
  <si>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</si>
  <si>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</si>
  <si>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</si>
  <si>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</si>
  <si>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</si>
  <si>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</si>
  <si>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</si>
  <si>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</si>
  <si>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</si>
  <si>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</si>
  <si>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</si>
  <si>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</si>
  <si>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</si>
  <si>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</si>
  <si>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</si>
  <si>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</si>
  <si>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</si>
  <si>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</si>
  <si>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</si>
  <si>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</si>
  <si>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</si>
  <si>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</si>
  <si>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</si>
  <si>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</si>
  <si>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</si>
  <si>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</si>
  <si>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</si>
  <si>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</si>
  <si>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</si>
  <si>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</si>
  <si>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</si>
  <si>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</si>
  <si>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</si>
  <si>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</si>
  <si>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</si>
  <si>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</si>
  <si>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</si>
  <si>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</si>
  <si>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</si>
  <si>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</si>
  <si>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</si>
  <si>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</si>
  <si>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</si>
  <si>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</si>
  <si>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</si>
  <si>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</si>
  <si>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</si>
  <si>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</si>
  <si>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</si>
  <si>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</si>
  <si>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</si>
  <si>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</si>
  <si>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</si>
  <si>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</si>
  <si>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</si>
  <si>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</si>
  <si>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</si>
  <si>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</si>
  <si>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</si>
  <si>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</si>
  <si>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</si>
  <si>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</si>
  <si>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</si>
  <si>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</si>
  <si>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</si>
  <si>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</si>
  <si>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</si>
  <si>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</si>
  <si>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</si>
  <si>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</si>
  <si>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</si>
  <si>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</si>
  <si>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</si>
  <si>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</si>
  <si>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</si>
  <si>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</si>
  <si>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</si>
  <si>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</si>
  <si>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</si>
  <si>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</si>
  <si>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</si>
  <si>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</si>
  <si>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</si>
  <si>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</si>
  <si>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</si>
  <si>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</si>
  <si>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</si>
  <si>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</si>
  <si>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</si>
  <si>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</si>
  <si>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</si>
  <si>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</si>
  <si>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</si>
  <si>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</si>
  <si>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</si>
  <si>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</si>
  <si>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</si>
  <si>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</si>
  <si>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</si>
  <si>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</si>
  <si>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</si>
  <si>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</si>
  <si>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</si>
  <si>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</si>
  <si>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</si>
  <si>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</si>
  <si>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</si>
  <si>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</si>
  <si>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</si>
  <si>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</si>
  <si>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</si>
  <si>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</si>
  <si>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</si>
  <si>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</si>
  <si>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</si>
  <si>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</si>
  <si>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</si>
  <si>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</si>
  <si>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</si>
  <si>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</si>
  <si>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</si>
  <si>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</si>
  <si>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</si>
  <si>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</si>
  <si>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</si>
  <si>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</si>
  <si>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</si>
  <si>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</si>
  <si>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</si>
  <si>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</si>
  <si>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</si>
  <si>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</si>
  <si>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</si>
  <si>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</si>
  <si>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</si>
  <si>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</si>
  <si>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</si>
  <si>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</si>
  <si>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</si>
  <si>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</si>
  <si>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</si>
  <si>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</si>
  <si>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</si>
  <si>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</si>
  <si>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</si>
  <si>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</si>
  <si>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</si>
  <si>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</si>
  <si>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</si>
  <si>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</si>
  <si>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</si>
  <si>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</si>
  <si>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</si>
  <si>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</si>
  <si>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</si>
  <si>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</si>
  <si>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</si>
  <si>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</si>
  <si>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</si>
  <si>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</si>
  <si>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</si>
  <si>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</si>
  <si>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</si>
  <si>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</si>
  <si>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</si>
  <si>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</si>
  <si>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</si>
  <si>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</si>
  <si>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</si>
  <si>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</si>
  <si>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</si>
  <si>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</si>
  <si>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</si>
  <si>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</si>
  <si>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</si>
  <si>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</si>
  <si>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</si>
  <si>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</si>
  <si>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</si>
  <si>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</si>
  <si>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</si>
  <si>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</si>
  <si>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</si>
  <si>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</si>
  <si>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</si>
  <si>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</si>
  <si>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</si>
  <si>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</si>
  <si>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</si>
  <si>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</si>
  <si>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</si>
  <si>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</si>
  <si>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</si>
  <si>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</si>
  <si>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</si>
  <si>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</si>
  <si>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</si>
  <si>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</si>
  <si>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</si>
  <si>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</si>
  <si>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</si>
  <si>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</si>
  <si>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</si>
  <si>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</si>
  <si>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</si>
  <si>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</si>
  <si>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</si>
  <si>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</si>
  <si>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</si>
  <si>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</si>
  <si>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</si>
  <si>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</si>
  <si>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</si>
  <si>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</si>
  <si>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</si>
  <si>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</si>
  <si>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</si>
  <si>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</si>
  <si>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</si>
  <si>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</si>
  <si>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</si>
  <si>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</si>
  <si>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</si>
  <si>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</si>
  <si>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</si>
  <si>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</si>
  <si>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</si>
  <si>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</si>
  <si>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</si>
  <si>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</si>
  <si>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</si>
  <si>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</si>
  <si>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</si>
  <si>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</si>
  <si>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</si>
  <si>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</si>
  <si>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</si>
  <si>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</si>
  <si>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</si>
  <si>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</si>
  <si>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</si>
  <si>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</si>
  <si>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</si>
  <si>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</si>
  <si>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</si>
  <si>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</si>
  <si>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</si>
  <si>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</si>
  <si>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</si>
  <si>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</si>
  <si>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</si>
  <si>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</si>
  <si>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</si>
  <si>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</si>
  <si>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</si>
  <si>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</si>
  <si>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</si>
  <si>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</si>
  <si>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</si>
  <si>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</si>
  <si>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</si>
  <si>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</si>
  <si>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</si>
  <si>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</si>
  <si>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</si>
  <si>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</si>
  <si>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</si>
  <si>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</si>
  <si>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</si>
  <si>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</si>
  <si>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</si>
  <si>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</si>
  <si>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</si>
  <si>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</si>
  <si>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</si>
  <si>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</si>
  <si>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</si>
  <si>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</si>
  <si>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</si>
  <si>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</si>
  <si>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</si>
  <si>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</si>
  <si>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</si>
  <si>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</si>
  <si>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</si>
  <si>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</si>
  <si>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</si>
  <si>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</si>
  <si>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</si>
  <si>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</si>
  <si>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</si>
  <si>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</si>
  <si>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</si>
  <si>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</si>
  <si>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</si>
  <si>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</si>
  <si>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</si>
  <si>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</si>
  <si>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</si>
  <si>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</si>
  <si>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</si>
  <si>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</si>
  <si>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</si>
  <si>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</si>
  <si>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</si>
  <si>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</si>
  <si>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</si>
  <si>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</si>
  <si>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</si>
  <si>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</si>
  <si>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</si>
  <si>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</si>
  <si>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</si>
  <si>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</si>
  <si>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</si>
  <si>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</si>
  <si>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</si>
  <si>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</si>
  <si>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</si>
  <si>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</si>
  <si>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</si>
  <si>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</si>
  <si>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</si>
  <si>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</si>
  <si>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</si>
  <si>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</si>
  <si>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</si>
  <si>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</si>
  <si>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</si>
  <si>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</si>
  <si>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</si>
  <si>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</si>
  <si>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</si>
  <si>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</si>
  <si>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</si>
  <si>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</si>
  <si>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</si>
  <si>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</si>
  <si>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</si>
  <si>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</si>
  <si>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</si>
  <si>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</si>
  <si>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</si>
  <si>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</si>
  <si>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</si>
  <si>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</si>
  <si>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</si>
  <si>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</si>
  <si>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</si>
  <si>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</si>
  <si>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</si>
  <si>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</si>
  <si>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</si>
  <si>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</si>
  <si>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</si>
  <si>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</si>
  <si>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</si>
  <si>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</si>
  <si>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</si>
  <si>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</si>
  <si>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</si>
  <si>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</si>
  <si>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</si>
  <si>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</si>
  <si>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</si>
  <si>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SFD/2:18(2012-2-132)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</si>
  <si>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</si>
  <si>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</si>
  <si>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SFD/2:18(2012-2-111)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</si>
  <si>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</si>
  <si>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</si>
  <si>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</si>
  <si>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</si>
  <si>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</si>
  <si>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</si>
  <si>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SFD/2:18(2013-1-23)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</si>
  <si>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</si>
  <si>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</si>
  <si>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</si>
  <si>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</si>
  <si>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</si>
  <si>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</si>
  <si>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</si>
  <si>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</si>
  <si>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</si>
  <si>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</si>
  <si>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</si>
  <si>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</si>
  <si>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</si>
  <si>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</si>
  <si>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</si>
  <si>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</si>
  <si>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</si>
  <si>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</si>
  <si>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</si>
  <si>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</si>
  <si>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</si>
  <si>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</si>
  <si>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</si>
  <si>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SFD/2:18(2012-1-169/5)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</si>
  <si>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</si>
  <si>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SFD/2:18(2012-2-100)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</si>
  <si>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</si>
  <si>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</si>
  <si>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</si>
  <si>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</si>
  <si>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</si>
  <si>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</si>
  <si>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</si>
  <si>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</si>
  <si>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</si>
  <si>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</si>
  <si>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</si>
  <si>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</si>
  <si>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</si>
  <si>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</si>
  <si>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</si>
  <si>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</si>
  <si>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</si>
  <si>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</si>
  <si>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</si>
  <si>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</si>
  <si>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</si>
  <si>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</si>
  <si>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</si>
  <si>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</si>
  <si>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</si>
  <si>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</si>
  <si>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</si>
  <si>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SFD/2:18(2013-1-36)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</si>
  <si>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</si>
  <si>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</si>
  <si>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</si>
  <si>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</si>
  <si>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</si>
  <si>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</si>
  <si>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</si>
  <si>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</si>
  <si>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</si>
  <si>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</si>
  <si>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</si>
  <si>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SFD/2:18(2013-1-37)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</si>
  <si>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</si>
  <si>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</si>
  <si>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</si>
  <si>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</si>
  <si>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</si>
  <si>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</si>
  <si>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</si>
  <si>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</si>
  <si>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</si>
  <si>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</si>
  <si>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</si>
  <si>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</si>
  <si>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</si>
  <si>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</si>
  <si>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</si>
  <si>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</si>
  <si>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</si>
  <si>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</si>
  <si>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</si>
  <si>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</si>
  <si>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</si>
  <si>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</si>
  <si>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</si>
  <si>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</si>
  <si>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</si>
  <si>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</si>
  <si>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</si>
  <si>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</si>
  <si>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</si>
  <si>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</si>
  <si>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</si>
  <si>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</si>
  <si>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</si>
  <si>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</si>
  <si>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</si>
  <si>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</si>
  <si>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</si>
  <si>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</si>
  <si>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</si>
  <si>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</si>
  <si>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</si>
  <si>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</si>
  <si>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</si>
  <si>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</si>
  <si>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</si>
  <si>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</si>
  <si>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SFD/2:18(2013-2-2)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</si>
  <si>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</si>
  <si>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</si>
  <si>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</si>
  <si>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</si>
  <si>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</si>
  <si>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</si>
  <si>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</si>
  <si>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</si>
  <si>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</si>
  <si>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</si>
  <si>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</si>
  <si>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</si>
  <si>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</si>
  <si>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</si>
  <si>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</si>
  <si>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</si>
  <si>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</si>
  <si>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</si>
  <si>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</si>
  <si>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</si>
  <si>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</si>
  <si>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</si>
  <si>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</si>
  <si>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</si>
  <si>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</si>
  <si>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</si>
  <si>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</si>
  <si>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</si>
  <si>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</si>
  <si>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</si>
  <si>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</si>
  <si>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</si>
  <si>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</si>
  <si>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</si>
  <si>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</si>
  <si>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</si>
  <si>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</si>
  <si>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</si>
  <si>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</si>
  <si>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</si>
  <si>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</si>
  <si>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</si>
  <si>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</si>
  <si>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</si>
  <si>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</si>
  <si>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</si>
  <si>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</si>
  <si>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</si>
  <si>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</si>
  <si>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</si>
  <si>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</si>
  <si>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</si>
  <si>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</si>
  <si>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</si>
  <si>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</si>
  <si>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</si>
  <si>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9 строк.</t>
  </si>
  <si>
    <t>&lt; WARNING &gt; Адаптер&gt; ссылка SFacc/3:4/W(001D000000ewKZ7)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</si>
  <si>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</si>
  <si>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</si>
  <si>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</si>
  <si>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</si>
  <si>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</si>
  <si>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</si>
  <si>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</si>
  <si>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</si>
  <si>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</si>
  <si>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</si>
  <si>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</si>
  <si>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</si>
  <si>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</si>
  <si>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</si>
  <si>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</si>
  <si>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</si>
  <si>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</si>
  <si>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Адаптер&gt; ссылка SFD/2:18(2013-1-21) не работает, результат &lt;пусто&gt;</t>
  </si>
  <si>
    <t>&lt; WARNING &gt; Адаптер&gt; ссылка SFD/2:18(2013-1-19) не работает, результат &lt;пусто&gt;</t>
  </si>
  <si>
    <t>&lt; WARNING &gt; Адаптер&gt; ссылка SFD/2:18(2013-1-20) не работает, результат &lt;пусто&gt;</t>
  </si>
  <si>
    <t>&lt; WARNING &gt; Адаптер&gt; ссылка SFD/2:18(2012-4-16) не работает, результат &lt;пусто&gt;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</si>
  <si>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</si>
  <si>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WrCSV&gt; в 'Dogovor.txt' записано 8 строк.</t>
  </si>
  <si>
    <t>MoveToMatch: В файл 'SFDC.xlsx' загружен новый отчет 'SFD'; EOL=1009 строк, в прежнем 1002</t>
  </si>
  <si>
    <t>adapt profile: total = 5,09_x000D_
By steps =  4,91 0,01</t>
  </si>
  <si>
    <t>adapt profile: total = 4,99_x000D_
By steps =  0,88 2,84 0,41 0,00 0,00 0,00 0,50 0,00 0,00 0,00 0,00 0,00 0,00 0,00 0,01 0,00 0,00 0,00 0,00 0,00 0,00 0,00 0,00 0,00 0,00 0,00</t>
  </si>
  <si>
    <t>&lt; WARNING &gt; Адаптер&gt; ссылка SFD/2:18(2013-1-5) не работает, результат &lt;пусто&gt;</t>
  </si>
  <si>
    <t>WrCSV&gt; в 'Payment.txt' записано 7 строк.</t>
  </si>
  <si>
    <t>MoveToMatch: В файл 'SFDC.xlsx' загружен новый отчет 'SF'; EOL=4276 строк, в прежнем 4275</t>
  </si>
  <si>
    <t>adapt profile: total = 14,67_x000D_
By steps =  14,02 0,02</t>
  </si>
  <si>
    <t>adapt profile: total = 77,55_x000D_
By steps =  15,57 0,03 18,76 2,36 0,03 0,02 0,01 0,01 0,01 0,01 0,01 0,00 0,01 0,02 0,00 0,01 0,01 0,00 0,02 0,01 0,00 0,01 0,01 0,01 0,01 0,01 0,01 0,01 0,01 0,72 2,65 2,79 2,71 2,67 2,70 12,75 12,25</t>
  </si>
  <si>
    <t>MoveToMatch: В файл 'SFDC.xlsx' загружен новый отчет 'SF'; EOL=4279 строк, в прежнем 4276</t>
  </si>
  <si>
    <t>adapt profile: total = 15,09_x000D_
By steps =  14,33 0,03</t>
  </si>
  <si>
    <t>adapt profile: total = 91,90_x000D_
By steps =  15,99 0,03 20,43 4,27 0,03 0,00 0,02 0,02 0,01 0,01 0,01 0,01 0,02 0,01 0,00 0,00 0,02 0,01 0,01 0,01 0,01 0,02 0,01 0,01 0,02 0,01 0,02 0,01 0,01 0,63 2,79 3,95 4,24 4,48 4,45 14,93 13,92</t>
  </si>
  <si>
    <t>adapt profile: total = 2,68_x000D_
By steps =  0,03 0,01 0,01 0,00 0,01 0,01 0,03 0,00</t>
  </si>
  <si>
    <t>WrCSV&gt; в 'Payment.txt' записано 15 строк.</t>
  </si>
  <si>
    <t>adapt profile: total = 2,69_x000D_
By steps =  0,03 0,00 0,02 0,00 0,01 0,01 0,02 0,00</t>
  </si>
  <si>
    <t>MoveToMatch: В файл 'SFDC.xlsx' загружен новый отчет 'SF'; EOL=4281 строк, в прежнем 4279</t>
  </si>
  <si>
    <t>adapt profile: total = 14,75_x000D_
By steps =  14,13 0,03</t>
  </si>
  <si>
    <t>adapt profile: total = 77,88_x000D_
By steps =  15,76 0,04 18,71 2,39 0,04 0,01 0,01 0,01 0,01 0,02 0,00 0,01 0,02 0,01 0,01 0,01 0,01 0,01 0,01 0,01 0,01 0,02 0,01 0,02 0,01 0,01 0,02 0,01 0,01 0,71 2,58 2,79 2,80 2,59 2,69 12,76 12,46</t>
  </si>
  <si>
    <t>MoveToMatch: В файл 'SFDC.xlsx' загружен новый отчет 'SFopp'; EOL=3271 строк, в прежнем 3269</t>
  </si>
  <si>
    <t>MoveToMatch: В файл 'SFDC.xlsx' загружен новый отчет 'SFD'; EOL=1009 строк, в прежнем 1009</t>
  </si>
  <si>
    <t>adapt profile: total = 3,32_x000D_
By steps =  3,08 0,01</t>
  </si>
  <si>
    <t>adapt profile: total = 5,46_x000D_
By steps =  0,84 3,20 0,42 0,01 0,00 0,00 0,55 0,00 0,00 0,00 0,00 0,00 0,00 0,00 0,00 0,00 0,00 0,00 0,00 0,00 0,00 0,00 0,00 0,00 0,00 0,00</t>
  </si>
  <si>
    <t>MoveToMatch: В файл 'SFDC.xlsx' загружен новый отчет 'SF'; EOL=4281 строк, в прежнем 4281</t>
  </si>
  <si>
    <t>adapt profile: total = 17,52_x000D_
By steps =  16,89 0,02</t>
  </si>
  <si>
    <t>adapt profile: total = 70,82_x000D_
By steps =  5,20 0,03 21,48 1,90 0,01 0,02 0,00 0,00 0,02 0,01 0,02 0,01 0,00 0,01 0,01 0,01 0,01 0,03 0,02 0,01 0,01 0,01 0,02 0,01 0,01 0,00 0,01 0,01 0,02 0,68 2,74 2,71 2,98 2,87 2,92 12,89 12,83</t>
  </si>
  <si>
    <t>MoveToMatch: В файл 'SFDC.xlsx' загружен новый отчет 'SFopp'; EOL=3271 строк, в прежнем 3271</t>
  </si>
  <si>
    <t>adapt profile: total = 2,35_x000D_
By steps =  2,19 0,02</t>
  </si>
  <si>
    <t>adapt profile: total = 5,13_x000D_
By steps =  0,87 3,03 0,37 0,00 0,00 0,00 0,50 0,01 0,00 0,00 0,00 0,00 0,00 0,00 0,00 0,01 0,00 0,00 0,00 0,00 0,00 0,00 0,00 0,00 0,00 0,00</t>
  </si>
  <si>
    <t>MoveToMatch: В файл 'SFDC.xlsx' загружен новый отчет 'SF'; EOL=4284 строк, в прежнем 4281</t>
  </si>
  <si>
    <t>adapt profile: total = 14,86_x000D_
By steps =  14,19 0,02</t>
  </si>
  <si>
    <t>adapt profile: total = 77,09_x000D_
By steps =  15,44 0,04 18,73 2,41 0,00 0,01 0,00 0,01 0,01 0,01 0,01 0,00 0,00 0,00 0,00 0,00 0,01 0,02 0,01 0,01 0,02 0,01 0,02 0,00 0,00 0,00 0,01 0,01 0,01 0,64 2,65 2,64 2,98 2,82 2,70 12,30 12,11</t>
  </si>
  <si>
    <t>MoveToMatch: В файл 'SFDC.xlsx' загружен новый отчет 'SFacc'; EOL=4105 строк, в прежнем 4105</t>
  </si>
  <si>
    <t>adapt profile: total = 79,37_x000D_
By steps =  4,90 0,02 31,71 2,89 0,02 0,00 0,01 0,00 0,01 0,00 0,01 0,02 0,00 0,01 0,00 0,01 0,03 0,00 0,01 0,01 0,01 0,00 0,01 0,00 0,00 0,02 0,00 0,01 0,01 0,46 2,68 3,02 3,13 2,97 2,79 11,67 12,12</t>
  </si>
  <si>
    <t>adapt profile: total = 7,09_x000D_
By steps =  0,86 4,84 0,59 0,01 0,00 0,00 0,37 0,00 0,00 0,00 0,00 0,00 0,00 0,00 0,00 0,00 0,00 0,00 0,00 0,01 0,01 0,01 0,00 0,00 0,00 0,00</t>
  </si>
  <si>
    <t>adapt profile: total = 2,93_x000D_
By steps =  2,63</t>
  </si>
  <si>
    <t>MoveToMatch: В файл '1C.xlsx' загружен новый отчет 'Список клиентов 1C'; EOL=1108 строк, в прежнем 2788</t>
  </si>
  <si>
    <t>adapt profile: total = 1,21_x000D_
By steps =  1,02</t>
  </si>
  <si>
    <t>MoveToMatch: В файл 'SFDC.xlsx' загружен новый отчет 'SFacc'; EOL=4107 строк, в прежнем 4105</t>
  </si>
  <si>
    <t>adapt profile: total = 84,55_x000D_
By steps =  5,16 0,02 35,79 2,80 0,02 0,00 0,02 0,00 0,02 0,00 0,01 0,02 0,02 0,00 0,02 0,01 0,04 0,01 0,02 0,02 0,01 0,01 0,00 0,02 0,01 0,01 0,02 0,00 0,00 0,61 2,67 2,82 2,67 2,66 2,86 12,35 12,66</t>
  </si>
  <si>
    <t>adapt profile: total = 6,95_x000D_
By steps =  0,71 4,73 0,63 0,01 0,00 0,01 0,43 0,01 0,00 0,00 0,00 0,01 0,00 0,01 0,00 0,00 0,00 0,00 0,00 0,00 0,01 0,00 0,01 0,00 0,00 0,00</t>
  </si>
  <si>
    <t>adapt profile: total = 5,29_x000D_
By steps =  5,04</t>
  </si>
  <si>
    <t>&lt; WARNING &gt; Адаптер Мы(ООО "ПетроСАПР") не получил данных</t>
  </si>
  <si>
    <t>WrCSV&gt; в 'Dogovor.txt' записано 11 строк.</t>
  </si>
  <si>
    <t>MoveToMatch: В файл 'SFDC.xlsx' загружен новый отчет 'SFD'; EOL=1020 строк, в прежнем 1009</t>
  </si>
  <si>
    <t>adapt profile: total = 5,43_x000D_
By steps =  5,19 0,02</t>
  </si>
  <si>
    <t>adapt profile: total = 8,54_x000D_
By steps =  0,73 6,38 0,54 0,00 0,01 0,00 0,41 0,00 0,00 0,00 0,00 0,02 0,00 0,00 0,00 0,01 0,00 0,00 0,00 0,00 0,00 0,00 0,00 0,00 0,00 0,00</t>
  </si>
  <si>
    <t>WrCSV&gt; в 'Dogovor.txt' записано 4 строк.</t>
  </si>
  <si>
    <t>MoveToMatch: В файл 'SFDC.xlsx' загружен новый отчет 'SFD'; EOL=1022 строк, в прежнем 1020</t>
  </si>
  <si>
    <t>adapt profile: total = 6,96_x000D_
By steps =  6,75 0,00</t>
  </si>
  <si>
    <t>adapt profile: total = 7,37_x000D_
By steps =  0,97 5,00 0,47 0,00 0,00 0,01 0,46 0,01 0,00 0,00 0,00 0,00 0,00 0,00 0,00 0,01 0,00 0,00 0,01 0,00 0,00 0,00 0,00 0,02 0,00 0,01</t>
  </si>
  <si>
    <t>MoveToMatch: В файл 'SFDC.xlsx' загружен новый отчет 'SF'; EOL=4287 строк, в прежнем 4284</t>
  </si>
  <si>
    <t>adapt profile: total = 31,84_x000D_
By steps =  30,58 0,06</t>
  </si>
  <si>
    <t>adapt profile: total = 111,42_x000D_
By steps =  29,93 0,04 35,59 2,68 0,03 0,02 0,02 0,03 0,02 0,00 0,02 0,02 0,01 0,01 0,01 0,04 0,00 0,00 0,01 0,01 0,00 0,01 0,00 0,02 0,01 0,02 0,01 0,01 0,03 0,66 2,57 2,78 3,16 2,97 3,09 13,13 13,05</t>
  </si>
  <si>
    <t>MoveToMatch: В файл 'SFDC.xlsx' загружен новый отчет 'SFopp'; EOL=3274 строк, в прежнем 3271</t>
  </si>
  <si>
    <t>WrCSV&gt; в 'Payment.txt' записано 6 строк.</t>
  </si>
  <si>
    <t>MoveToMatch: В файл 'SFDC.xlsx' загружен новый отчет 'SF'; EOL=4288 строк, в прежнем 4287</t>
  </si>
  <si>
    <t>adapt profile: total = 30,08_x000D_
By steps =  29,06 0,03</t>
  </si>
  <si>
    <t>adapt profile: total = 96,37_x000D_
By steps =  5,16 0,03 35,93 4,56 0,02 0,01 0,01 0,01 0,01 0,02 0,01 0,01 0,01 0,01 0,01 0,01 0,01 0,01 0,01 0,01 0,01 0,01 0,01 0,01 0,01 0,01 0,01 0,01 0,01 0,79 2,69 3,50 4,21 4,25 3,93 14,79 14,87</t>
  </si>
  <si>
    <t>WrCSV&gt; в 'Dogovor.txt' записано 2 строк.</t>
  </si>
  <si>
    <t>&lt; WARNING &gt; Адаптер BalkyOppN(Общество с ограниченной ответственностью "Транскомпроект") не получил данных</t>
  </si>
  <si>
    <t>adapt profile: total = 2,74_x000D_
By steps =  0,02 0,01 0,02 0,00 0,01 0,01 0,02 0,00</t>
  </si>
  <si>
    <t>WrCSV&gt; в 'Payment.txt' записано 12 строк.</t>
  </si>
  <si>
    <t>adapt profile: total = 2,74_x000D_
By steps =  0,03 0,01 0,01 0,01 0,01 0,01 0,02 0,00</t>
  </si>
  <si>
    <t>MoveToMatch: В файл 'SFDC.xlsx' загружен новый отчет 'SFopp'; EOL=3273 строк, в прежнем 3274</t>
  </si>
  <si>
    <t>MoveToMatch: В файл 'SFDC.xlsx' загружен новый отчет 'SFD'; EOL=1022 строк, в прежнем 1022</t>
  </si>
  <si>
    <t>adapt profile: total = 6,53_x000D_
By steps =  6,27 0,01</t>
  </si>
  <si>
    <t>adapt profile: total = 7,62_x000D_
By steps =  0,81 5,28 0,55 0,00 0,00 0,00 0,48 0,00 0,00 0,00 0,00 0,00 0,00 0,00 0,01 0,00 0,00 0,00 0,00 0,00 0,00 0,00 0,00 0,01 0,00 0,00</t>
  </si>
  <si>
    <t>WrCSV&gt; в 'Payment.txt' записано 8 строк.</t>
  </si>
  <si>
    <t>MoveToMatch: В файл 'SFDC.xlsx' загружен новый отчет 'SF'; EOL=4290 строк, в прежнем 4288</t>
  </si>
  <si>
    <t>adapt profile: total = 31,06_x000D_
By steps =  29,90 0,06</t>
  </si>
  <si>
    <t>adapt profile: total = 96,55_x000D_
By steps =  5,16 0,02 35,80 4,62 0,03 0,01 0,01 0,01 0,01 0,01 0,01 0,01 0,01 0,01 0,00 0,01 0,01 0,01 0,01 0,01 0,01 0,01 0,01 0,01 0,01 0,01 0,01 0,02 0,01 0,69 2,69 3,58 4,21 4,34 4,04 14,78 14,81</t>
  </si>
  <si>
    <t>adapt profile: total = 6,51_x000D_
By steps =  6,24 0,01</t>
  </si>
  <si>
    <t>adapt profile: total = 7,57_x000D_
By steps =  0,85 5,22 0,55 0,00 0,00 0,01 0,46 0,00 0,00 0,00 0,00 0,00 0,00 0,00 0,00 0,00 0,00 0,00 0,00 0,00 0,00 0,00 0,00 0,00 0,00 0,00</t>
  </si>
  <si>
    <t>MoveToMatch: В файл 'SFDC.xlsx' загружен новый отчет 'SF'; EOL=4291 строк, в прежнем 4290</t>
  </si>
  <si>
    <t>adapt profile: total = 28,66_x000D_
By steps =  27,60 0,05</t>
  </si>
  <si>
    <t>adapt profile: total = 125,37_x000D_
By steps =  31,06 0,06 37,49 4,78 0,02 0,02 0,01 0,01 0,01 0,01 0,01 0,01 0,01 0,00 0,01 0,01 0,01 0,01 0,01 0,01 0,01 0,01 0,01 0,01 0,01 0,01 0,01 0,01 0,01 0,71 2,83 3,59 4,35 4,54 4,14 15,09 14,97</t>
  </si>
  <si>
    <t>MoveToMatch: В файл 'SFDC.xlsx' загружен новый отчет 'SF'; EOL=4291 строк, в прежнем 4291</t>
  </si>
  <si>
    <t>adapt profile: total = 28,10_x000D_
By steps =  26,97 0,05</t>
  </si>
  <si>
    <t>adapt profile: total = 127,91_x000D_
By steps =  32,47 0,06 38,14 4,82 0,03 0,01 0,01 0,02 0,01 0,01 0,01 0,00 0,01 0,01 0,01 0,01 0,01 0,01 0,01 0,01 0,01 0,01 0,01 0,01 0,01 0,01 0,01 0,01 0,01 0,77 2,71 4,05 4,33 4,50 4,12 15,02 15,01</t>
  </si>
  <si>
    <t>adapt profile: total = 6,46_x000D_
By steps =  6,18 0,01</t>
  </si>
  <si>
    <t>adapt profile: total = 7,70_x000D_
By steps =  0,84 5,32 0,55 0,00 0,00 0,00 0,48 0,00 0,00 0,00 0,00 0,00 0,00 0,00 0,00 0,00 0,00 0,00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</si>
</sst>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20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topLeftCell="A4" zoomScale="80" zoomScaleNormal="80" workbookViewId="0">
      <selection activeCell="G17" sqref="G17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41348.074606481481</v>
      </c>
      <c r="C1" s="125" t="s">
        <v>583</v>
      </c>
      <c r="J1" s="456" t="s">
        <v>1002</v>
      </c>
      <c r="K1" s="167"/>
      <c r="L1" s="57"/>
      <c r="M1" s="57"/>
      <c r="N1" s="57"/>
      <c r="O1" s="793" t="s">
        <v>592</v>
      </c>
      <c r="P1" s="793" t="s">
        <v>835</v>
      </c>
      <c r="Q1" s="793"/>
      <c r="R1" s="793"/>
      <c r="S1" s="793"/>
    </row>
    <row r="2" spans="1:23" ht="20.25" customHeight="1" x14ac:dyDescent="0.25">
      <c r="O2" s="794"/>
      <c r="P2" s="794"/>
      <c r="Q2" s="794"/>
      <c r="R2" s="794"/>
      <c r="S2" s="794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602</v>
      </c>
      <c r="G3" s="123" t="s">
        <v>626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604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607</v>
      </c>
      <c r="C4" s="170">
        <v>45</v>
      </c>
      <c r="H4" s="169" t="s">
        <v>608</v>
      </c>
      <c r="I4" s="169" t="s">
        <v>607</v>
      </c>
      <c r="J4" s="169" t="s">
        <v>607</v>
      </c>
      <c r="K4" s="172" t="s">
        <v>609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625</v>
      </c>
      <c r="C5" s="170" t="s">
        <v>930</v>
      </c>
      <c r="H5" s="169" t="s">
        <v>608</v>
      </c>
      <c r="I5" s="169" t="s">
        <v>625</v>
      </c>
      <c r="J5" s="169" t="s">
        <v>625</v>
      </c>
      <c r="K5" s="172" t="s">
        <v>609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612</v>
      </c>
      <c r="C6" s="170" t="s">
        <v>563</v>
      </c>
      <c r="H6" s="169" t="s">
        <v>676</v>
      </c>
      <c r="I6" s="169"/>
      <c r="J6" s="169" t="s">
        <v>610</v>
      </c>
      <c r="K6" s="172" t="s">
        <v>609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7"/>
      <c r="H7" s="169"/>
      <c r="I7" s="169"/>
      <c r="J7" s="169" t="s">
        <v>611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41348.073333333334</v>
      </c>
      <c r="B8" s="136" t="s">
        <v>561</v>
      </c>
      <c r="C8" s="141">
        <v>5465</v>
      </c>
      <c r="D8" s="141">
        <v>5</v>
      </c>
      <c r="E8" s="141">
        <v>2</v>
      </c>
      <c r="F8" t="s">
        <v>653</v>
      </c>
      <c r="G8" s="141" t="s">
        <v>112</v>
      </c>
      <c r="H8" s="136" t="s">
        <v>679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655</v>
      </c>
      <c r="N8" s="135">
        <v>41346</v>
      </c>
      <c r="O8" s="146" t="s">
        <v>314</v>
      </c>
      <c r="P8" s="146"/>
      <c r="Q8" s="146"/>
      <c r="T8" s="136" t="s">
        <v>636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660</v>
      </c>
      <c r="N9" s="148"/>
      <c r="O9" s="154"/>
      <c r="P9" s="154"/>
      <c r="Q9" s="154"/>
      <c r="T9" s="160"/>
    </row>
    <row r="10" spans="1:23" x14ac:dyDescent="0.25">
      <c r="A10" s="248">
        <v>41348.074606481481</v>
      </c>
      <c r="B10" t="s">
        <v>566</v>
      </c>
      <c r="C10" s="145">
        <v>1249</v>
      </c>
      <c r="D10" s="139">
        <v>8</v>
      </c>
      <c r="E10" s="139">
        <v>2</v>
      </c>
      <c r="F10" t="s">
        <v>653</v>
      </c>
      <c r="G10" s="150" t="s">
        <v>112</v>
      </c>
      <c r="H10" t="s">
        <v>679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886</v>
      </c>
      <c r="N10" s="124">
        <v>41346</v>
      </c>
      <c r="O10" s="138" t="s">
        <v>314</v>
      </c>
      <c r="P10" s="138"/>
      <c r="Q10" s="138"/>
      <c r="T10" t="s">
        <v>637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885</v>
      </c>
      <c r="N11" s="124"/>
      <c r="O11" s="161"/>
      <c r="P11" s="161"/>
      <c r="Q11" s="161"/>
    </row>
    <row r="12" spans="1:23" x14ac:dyDescent="0.25">
      <c r="A12" s="248">
        <v>41347.959641203706</v>
      </c>
      <c r="B12" t="s">
        <v>567</v>
      </c>
      <c r="C12" s="145">
        <v>1108</v>
      </c>
      <c r="D12" s="145">
        <v>1</v>
      </c>
      <c r="E12" s="145">
        <v>0</v>
      </c>
      <c r="F12" t="s">
        <v>653</v>
      </c>
      <c r="G12" s="150" t="s">
        <v>71</v>
      </c>
      <c r="H12" t="s">
        <v>679</v>
      </c>
      <c r="I12" s="164" t="s">
        <v>567</v>
      </c>
      <c r="J12" s="128" t="s">
        <v>65</v>
      </c>
      <c r="K12" s="129" t="s">
        <v>587</v>
      </c>
      <c r="L12" s="153" t="s">
        <v>654</v>
      </c>
      <c r="M12" s="153" t="s">
        <v>656</v>
      </c>
      <c r="N12" s="124">
        <v>41347</v>
      </c>
      <c r="O12" s="138" t="s">
        <v>314</v>
      </c>
      <c r="P12" s="138"/>
      <c r="Q12" s="138"/>
      <c r="T12" t="s">
        <v>638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596</v>
      </c>
      <c r="K13" s="129" t="s">
        <v>587</v>
      </c>
      <c r="L13" s="153" t="s">
        <v>654</v>
      </c>
      <c r="M13" s="153" t="s">
        <v>657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41348.071747685186</v>
      </c>
      <c r="B14" s="136" t="s">
        <v>568</v>
      </c>
      <c r="C14" s="141">
        <v>4291</v>
      </c>
      <c r="D14" s="141">
        <v>2</v>
      </c>
      <c r="E14" s="141">
        <v>6</v>
      </c>
      <c r="F14" s="136" t="s">
        <v>616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658</v>
      </c>
      <c r="N14" s="270">
        <v>41348.070833333331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41348.074456018519</v>
      </c>
      <c r="B15" t="s">
        <v>571</v>
      </c>
      <c r="C15" s="145">
        <v>1022</v>
      </c>
      <c r="D15" s="139">
        <v>2</v>
      </c>
      <c r="E15" s="139">
        <v>6</v>
      </c>
      <c r="F15" t="s">
        <v>616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658</v>
      </c>
      <c r="N15" s="124">
        <v>41348.073611111111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41348.016875000001</v>
      </c>
      <c r="B16" t="s">
        <v>573</v>
      </c>
      <c r="C16" s="145">
        <v>3273</v>
      </c>
      <c r="D16" s="139" t="s">
        <v>590</v>
      </c>
      <c r="E16" s="139">
        <v>6</v>
      </c>
      <c r="F16" t="s">
        <v>603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41348.015972222223</v>
      </c>
      <c r="O16" s="138"/>
      <c r="Q16" s="138"/>
    </row>
    <row r="17" spans="1:20" ht="15.75" x14ac:dyDescent="0.3">
      <c r="A17" s="248">
        <v>41347.958414351851</v>
      </c>
      <c r="B17" t="s">
        <v>136</v>
      </c>
      <c r="C17" s="145">
        <v>4107</v>
      </c>
      <c r="D17" s="139" t="s">
        <v>590</v>
      </c>
      <c r="E17" s="139">
        <v>6</v>
      </c>
      <c r="F17" t="s">
        <v>603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41347.957638888889</v>
      </c>
      <c r="O17" s="138"/>
      <c r="Q17" s="138"/>
      <c r="T17" t="str">
        <f>Process!F38</f>
        <v>LOAD_SFacc</v>
      </c>
    </row>
    <row r="18" spans="1:20" ht="15.75" x14ac:dyDescent="0.3">
      <c r="A18" s="248">
        <v>41346.318506944444</v>
      </c>
      <c r="B18" t="s">
        <v>576</v>
      </c>
      <c r="C18" s="145">
        <v>8104</v>
      </c>
      <c r="D18" s="139" t="s">
        <v>590</v>
      </c>
      <c r="E18" s="139">
        <v>6</v>
      </c>
      <c r="F18" t="s">
        <v>603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41346.304166666669</v>
      </c>
      <c r="O18" s="138"/>
      <c r="Q18" s="138"/>
    </row>
    <row r="19" spans="1:20" ht="15.75" x14ac:dyDescent="0.3">
      <c r="A19" s="248">
        <v>41320.922337962962</v>
      </c>
      <c r="B19" t="s">
        <v>578</v>
      </c>
      <c r="C19" s="145">
        <v>1748</v>
      </c>
      <c r="D19" s="139" t="s">
        <v>590</v>
      </c>
      <c r="E19" s="139">
        <v>6</v>
      </c>
      <c r="F19" t="s">
        <v>603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41320.921527777777</v>
      </c>
      <c r="O19" s="138"/>
      <c r="Q19" s="138"/>
    </row>
    <row r="20" spans="1:20" ht="15.75" x14ac:dyDescent="0.3">
      <c r="A20" s="248">
        <v>41346.317650462966</v>
      </c>
      <c r="B20" t="s">
        <v>579</v>
      </c>
      <c r="C20" s="145">
        <v>194</v>
      </c>
      <c r="D20" s="139" t="s">
        <v>590</v>
      </c>
      <c r="E20" s="139">
        <v>6</v>
      </c>
      <c r="F20" t="s">
        <v>603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41346.305555555555</v>
      </c>
      <c r="O20" s="138"/>
      <c r="Q20" s="138"/>
    </row>
    <row r="21" spans="1:20" ht="15.75" x14ac:dyDescent="0.3">
      <c r="A21" s="248">
        <v>41346.32298611111</v>
      </c>
      <c r="B21" t="s">
        <v>581</v>
      </c>
      <c r="C21" s="145">
        <v>360</v>
      </c>
      <c r="D21" s="139" t="s">
        <v>590</v>
      </c>
      <c r="E21" s="139">
        <v>6</v>
      </c>
      <c r="F21" t="s">
        <v>603</v>
      </c>
      <c r="G21" s="150" t="s">
        <v>113</v>
      </c>
      <c r="H21" t="str">
        <f t="shared" si="0"/>
        <v>SFDC.xlsx</v>
      </c>
      <c r="I21" s="552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41346.322222222225</v>
      </c>
      <c r="O21" s="551"/>
      <c r="P21" s="297"/>
      <c r="Q21" s="551"/>
      <c r="R21" s="297"/>
      <c r="S21" s="297"/>
    </row>
    <row r="22" spans="1:20" s="136" customFormat="1" x14ac:dyDescent="0.25">
      <c r="A22" s="715">
        <v>41249.044224537036</v>
      </c>
      <c r="B22" s="136" t="s">
        <v>597</v>
      </c>
      <c r="C22" s="157">
        <v>8848</v>
      </c>
      <c r="D22" s="157" t="s">
        <v>130</v>
      </c>
      <c r="E22" s="157" t="s">
        <v>590</v>
      </c>
      <c r="F22" s="136" t="s">
        <v>779</v>
      </c>
      <c r="G22" s="522">
        <v>10</v>
      </c>
      <c r="H22" s="136" t="s">
        <v>680</v>
      </c>
      <c r="I22" s="278" t="str">
        <f>B22</f>
        <v>Склад</v>
      </c>
      <c r="J22" s="137" t="s">
        <v>65</v>
      </c>
      <c r="K22" s="152" t="s">
        <v>609</v>
      </c>
      <c r="L22" s="142" t="s">
        <v>658</v>
      </c>
      <c r="M22" s="142" t="s">
        <v>987</v>
      </c>
      <c r="N22" s="135">
        <v>41232.113368055558</v>
      </c>
      <c r="O22" s="154" t="s">
        <v>314</v>
      </c>
      <c r="P22" s="160"/>
      <c r="Q22" s="550" t="s">
        <v>860</v>
      </c>
      <c r="R22" s="277"/>
      <c r="S22" s="160"/>
      <c r="T22" s="136" t="s">
        <v>642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681</v>
      </c>
      <c r="K23" s="152" t="s">
        <v>587</v>
      </c>
      <c r="L23" s="153" t="s">
        <v>658</v>
      </c>
      <c r="M23" s="153" t="s">
        <v>988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682</v>
      </c>
      <c r="K24" s="152" t="s">
        <v>587</v>
      </c>
      <c r="L24" s="153" t="s">
        <v>658</v>
      </c>
      <c r="M24" s="153" t="s">
        <v>989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683</v>
      </c>
      <c r="K25" s="152" t="s">
        <v>587</v>
      </c>
      <c r="L25" s="153" t="s">
        <v>658</v>
      </c>
      <c r="M25" s="153" t="s">
        <v>990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684</v>
      </c>
      <c r="K26" s="152" t="s">
        <v>587</v>
      </c>
      <c r="L26" s="153" t="s">
        <v>658</v>
      </c>
      <c r="M26" s="153" t="s">
        <v>991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685</v>
      </c>
      <c r="K27" s="283" t="s">
        <v>587</v>
      </c>
      <c r="L27" s="284" t="s">
        <v>658</v>
      </c>
      <c r="M27" s="284" t="s">
        <v>992</v>
      </c>
      <c r="N27" s="285"/>
      <c r="O27" s="286"/>
      <c r="Q27" s="286"/>
      <c r="R27" s="287"/>
    </row>
    <row r="28" spans="1:20" s="288" customFormat="1" x14ac:dyDescent="0.25">
      <c r="A28" s="695">
        <v>41221.716736111113</v>
      </c>
      <c r="B28" s="288" t="s">
        <v>601</v>
      </c>
      <c r="C28" s="289">
        <v>1271</v>
      </c>
      <c r="D28" s="523">
        <v>8</v>
      </c>
      <c r="E28" s="523">
        <v>19</v>
      </c>
      <c r="F28" s="288" t="s">
        <v>856</v>
      </c>
      <c r="G28" s="523">
        <v>10</v>
      </c>
      <c r="H28" s="288" t="s">
        <v>680</v>
      </c>
      <c r="I28" s="276" t="str">
        <f>B28</f>
        <v>Заказы</v>
      </c>
      <c r="J28" s="290" t="s">
        <v>686</v>
      </c>
      <c r="K28" s="291" t="s">
        <v>587</v>
      </c>
      <c r="L28" s="292" t="s">
        <v>658</v>
      </c>
      <c r="M28" s="292" t="s">
        <v>870</v>
      </c>
      <c r="N28" s="293">
        <v>41211.864074074074</v>
      </c>
      <c r="O28" s="288" t="s">
        <v>314</v>
      </c>
      <c r="P28" s="524">
        <v>2</v>
      </c>
      <c r="Q28" s="549" t="s">
        <v>859</v>
      </c>
      <c r="R28" s="149"/>
      <c r="S28" s="149"/>
      <c r="T28" s="288" t="s">
        <v>643</v>
      </c>
    </row>
    <row r="29" spans="1:20" s="149" customFormat="1" x14ac:dyDescent="0.25">
      <c r="A29" s="294"/>
      <c r="C29" s="275"/>
      <c r="J29" s="151" t="s">
        <v>687</v>
      </c>
      <c r="K29" s="152" t="s">
        <v>587</v>
      </c>
      <c r="L29" s="153" t="s">
        <v>658</v>
      </c>
      <c r="M29" s="153" t="s">
        <v>871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658</v>
      </c>
      <c r="M30" s="153" t="s">
        <v>872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658</v>
      </c>
      <c r="M31" s="153" t="s">
        <v>873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688</v>
      </c>
      <c r="K32" s="152" t="s">
        <v>587</v>
      </c>
      <c r="L32" s="153" t="s">
        <v>658</v>
      </c>
      <c r="M32" s="153" t="s">
        <v>874</v>
      </c>
      <c r="N32" s="148"/>
      <c r="O32" t="s">
        <v>314</v>
      </c>
      <c r="P32" s="525">
        <v>2</v>
      </c>
    </row>
    <row r="33" spans="1:20" x14ac:dyDescent="0.25">
      <c r="A33" s="263"/>
      <c r="C33" s="269"/>
      <c r="H33" s="149"/>
      <c r="I33" s="149"/>
      <c r="J33" s="151" t="s">
        <v>689</v>
      </c>
      <c r="K33" s="152" t="s">
        <v>587</v>
      </c>
      <c r="L33" s="153" t="s">
        <v>658</v>
      </c>
      <c r="M33" s="153" t="s">
        <v>875</v>
      </c>
      <c r="N33" s="148"/>
      <c r="O33" t="s">
        <v>314</v>
      </c>
      <c r="P33" s="525">
        <v>2</v>
      </c>
    </row>
    <row r="34" spans="1:20" x14ac:dyDescent="0.25">
      <c r="A34" s="263"/>
      <c r="C34" s="269"/>
      <c r="H34" s="149"/>
      <c r="I34" s="149"/>
      <c r="J34" s="151" t="s">
        <v>690</v>
      </c>
      <c r="K34" s="295" t="s">
        <v>587</v>
      </c>
      <c r="L34" s="153" t="s">
        <v>658</v>
      </c>
      <c r="M34" s="153" t="s">
        <v>876</v>
      </c>
      <c r="N34" s="148"/>
      <c r="P34" s="526">
        <v>2</v>
      </c>
    </row>
    <row r="35" spans="1:20" s="136" customFormat="1" x14ac:dyDescent="0.25">
      <c r="A35" s="249"/>
      <c r="B35" s="136" t="s">
        <v>598</v>
      </c>
      <c r="C35" s="157" t="s">
        <v>600</v>
      </c>
      <c r="D35" s="157" t="s">
        <v>126</v>
      </c>
      <c r="E35" s="157"/>
      <c r="F35" s="455"/>
      <c r="H35" s="136" t="s">
        <v>606</v>
      </c>
      <c r="I35" s="273" t="s">
        <v>693</v>
      </c>
      <c r="J35" s="137" t="s">
        <v>691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644</v>
      </c>
    </row>
    <row r="36" spans="1:20" x14ac:dyDescent="0.25">
      <c r="A36" s="250"/>
      <c r="I36" s="149"/>
      <c r="J36" s="151" t="s">
        <v>692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4" customFormat="1" x14ac:dyDescent="0.25">
      <c r="A39" s="712">
        <v>0</v>
      </c>
      <c r="B39" s="704" t="s">
        <v>998</v>
      </c>
      <c r="C39" s="705">
        <v>1</v>
      </c>
      <c r="D39" s="705"/>
      <c r="E39" s="705"/>
      <c r="H39" s="704" t="s">
        <v>936</v>
      </c>
      <c r="I39" s="713" t="str">
        <f>B39</f>
        <v>DicAcc</v>
      </c>
      <c r="J39" s="706"/>
      <c r="K39" s="707" t="s">
        <v>937</v>
      </c>
      <c r="L39" s="708"/>
      <c r="M39" s="708"/>
      <c r="N39" s="709">
        <v>41237.062407407408</v>
      </c>
      <c r="O39" s="710"/>
      <c r="P39" s="704" t="s">
        <v>997</v>
      </c>
      <c r="Q39" s="710"/>
      <c r="R39" s="711"/>
    </row>
    <row r="40" spans="1:20" s="149" customFormat="1" x14ac:dyDescent="0.25">
      <c r="A40" s="651">
        <v>41348.01834490741</v>
      </c>
      <c r="B40" s="149" t="s">
        <v>803</v>
      </c>
      <c r="C40" s="275">
        <v>8</v>
      </c>
      <c r="D40" s="275"/>
      <c r="E40" s="275"/>
      <c r="F40" s="149" t="s">
        <v>630</v>
      </c>
      <c r="H40" s="149" t="s">
        <v>936</v>
      </c>
      <c r="I40" s="630" t="s">
        <v>803</v>
      </c>
      <c r="J40" s="151"/>
      <c r="K40" s="152" t="s">
        <v>937</v>
      </c>
      <c r="L40" s="153"/>
      <c r="M40" s="153"/>
      <c r="N40" s="148">
        <v>41348.018321759257</v>
      </c>
      <c r="O40" s="154"/>
      <c r="P40" s="149" t="s">
        <v>931</v>
      </c>
      <c r="Q40" s="154"/>
      <c r="R40" s="277"/>
    </row>
    <row r="41" spans="1:20" s="149" customFormat="1" x14ac:dyDescent="0.25">
      <c r="A41" s="651">
        <v>41348.007870370369</v>
      </c>
      <c r="B41" s="149" t="s">
        <v>678</v>
      </c>
      <c r="C41" s="275">
        <v>2</v>
      </c>
      <c r="D41" s="275"/>
      <c r="E41" s="275"/>
      <c r="F41" s="149" t="s">
        <v>630</v>
      </c>
      <c r="H41" s="149" t="s">
        <v>936</v>
      </c>
      <c r="I41" s="630" t="s">
        <v>678</v>
      </c>
      <c r="J41" s="151"/>
      <c r="K41" s="152" t="s">
        <v>937</v>
      </c>
      <c r="L41" s="153"/>
      <c r="M41" s="153"/>
      <c r="N41" s="148">
        <v>41348.0078587963</v>
      </c>
      <c r="O41" s="154"/>
      <c r="P41" s="149" t="s">
        <v>932</v>
      </c>
      <c r="Q41" s="154"/>
      <c r="R41" s="277"/>
    </row>
    <row r="42" spans="1:20" s="149" customFormat="1" x14ac:dyDescent="0.25">
      <c r="A42" s="651">
        <v>41344.979027777779</v>
      </c>
      <c r="B42" s="149" t="s">
        <v>813</v>
      </c>
      <c r="C42" s="275">
        <v>1</v>
      </c>
      <c r="D42" s="275"/>
      <c r="E42" s="275"/>
      <c r="F42" s="149" t="s">
        <v>779</v>
      </c>
      <c r="H42" s="149" t="s">
        <v>936</v>
      </c>
      <c r="I42" s="630" t="s">
        <v>813</v>
      </c>
      <c r="J42" s="151"/>
      <c r="K42" s="152" t="s">
        <v>937</v>
      </c>
      <c r="L42" s="153"/>
      <c r="M42" s="153"/>
      <c r="N42" s="148">
        <v>41344.97896990741</v>
      </c>
      <c r="O42" s="154"/>
      <c r="P42" s="149" t="s">
        <v>934</v>
      </c>
      <c r="Q42" s="154"/>
      <c r="R42" s="277"/>
    </row>
    <row r="43" spans="1:20" s="149" customFormat="1" x14ac:dyDescent="0.25">
      <c r="A43" s="274"/>
      <c r="B43" s="149" t="s">
        <v>928</v>
      </c>
      <c r="C43" s="275" t="s">
        <v>91</v>
      </c>
      <c r="D43" s="275"/>
      <c r="E43" s="275"/>
      <c r="H43" s="149" t="s">
        <v>936</v>
      </c>
      <c r="I43" s="630" t="s">
        <v>928</v>
      </c>
      <c r="J43" s="151"/>
      <c r="K43" s="152" t="s">
        <v>937</v>
      </c>
      <c r="L43" s="153"/>
      <c r="M43" s="153"/>
      <c r="N43" s="148"/>
      <c r="O43" s="154"/>
      <c r="P43" s="640"/>
      <c r="Q43" s="641"/>
      <c r="R43" s="642"/>
      <c r="S43" s="640"/>
      <c r="T43" s="640"/>
    </row>
    <row r="44" spans="1:20" s="632" customFormat="1" x14ac:dyDescent="0.25">
      <c r="A44" s="652"/>
      <c r="B44" s="632" t="s">
        <v>962</v>
      </c>
      <c r="C44" s="633" t="s">
        <v>914</v>
      </c>
      <c r="D44" s="633"/>
      <c r="E44" s="633"/>
      <c r="H44" s="632" t="s">
        <v>936</v>
      </c>
      <c r="I44" s="634" t="s">
        <v>929</v>
      </c>
      <c r="J44" s="635"/>
      <c r="K44" s="636" t="s">
        <v>937</v>
      </c>
      <c r="L44" s="637"/>
      <c r="M44" s="637"/>
      <c r="N44" s="638"/>
      <c r="O44" s="639"/>
      <c r="P44" s="643" t="s">
        <v>963</v>
      </c>
      <c r="Q44" s="644"/>
      <c r="R44" s="645"/>
      <c r="S44" s="643"/>
      <c r="T44" s="643"/>
    </row>
    <row r="45" spans="1:20" s="297" customFormat="1" x14ac:dyDescent="0.25">
      <c r="A45" s="653"/>
      <c r="B45" s="297" t="s">
        <v>927</v>
      </c>
      <c r="C45" s="627" t="s">
        <v>115</v>
      </c>
      <c r="D45" s="627"/>
      <c r="E45" s="627"/>
      <c r="H45" s="297" t="s">
        <v>936</v>
      </c>
      <c r="I45" s="631" t="s">
        <v>927</v>
      </c>
      <c r="J45" s="299"/>
      <c r="K45" s="295" t="s">
        <v>937</v>
      </c>
      <c r="L45" s="300"/>
      <c r="M45" s="300"/>
      <c r="N45" s="628"/>
      <c r="O45" s="551"/>
      <c r="P45" s="297" t="s">
        <v>935</v>
      </c>
      <c r="Q45" s="551"/>
      <c r="R45" s="629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tabSelected="1" zoomScale="70" zoomScaleNormal="70" workbookViewId="0">
      <pane xSplit="2" ySplit="4" topLeftCell="C65" activePane="bottomRight" state="frozen"/>
      <selection pane="topRight" activeCell="C1" sqref="C1"/>
      <selection pane="bottomLeft" activeCell="A5" sqref="A5"/>
      <selection pane="bottomRight" activeCell="B71" sqref="B71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41348.074606481481</v>
      </c>
      <c r="C1" s="125" t="s">
        <v>613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795" t="s">
        <v>617</v>
      </c>
      <c r="F3" s="797" t="s">
        <v>618</v>
      </c>
      <c r="G3" s="798"/>
      <c r="H3" s="798"/>
      <c r="I3" s="798"/>
      <c r="J3" s="799"/>
      <c r="K3" s="797" t="s">
        <v>619</v>
      </c>
      <c r="L3" s="798"/>
      <c r="M3" s="798"/>
      <c r="N3" s="798"/>
      <c r="O3" s="799"/>
    </row>
    <row r="4" spans="1:15" s="123" customFormat="1" ht="15.75" thickBot="1" x14ac:dyDescent="0.3">
      <c r="B4" s="158" t="s">
        <v>614</v>
      </c>
      <c r="C4" s="123" t="s">
        <v>615</v>
      </c>
      <c r="E4" s="796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603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84"/>
      <c r="B6" s="785" t="s">
        <v>623</v>
      </c>
      <c r="C6" s="784"/>
      <c r="E6" s="190"/>
      <c r="F6" s="189" t="s">
        <v>636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hidden="1" outlineLevel="1" x14ac:dyDescent="0.25">
      <c r="A7" s="759">
        <v>41346.325289351851</v>
      </c>
      <c r="B7" s="760" t="s">
        <v>605</v>
      </c>
      <c r="C7" s="302" t="s">
        <v>603</v>
      </c>
      <c r="D7" s="196"/>
      <c r="E7" s="197" t="s">
        <v>70</v>
      </c>
      <c r="F7" s="425" t="s">
        <v>771</v>
      </c>
      <c r="G7" s="426" t="s">
        <v>772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9">
        <v>41348.073229166665</v>
      </c>
      <c r="B8" s="760" t="s">
        <v>779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9">
        <v>41348.073252314818</v>
      </c>
      <c r="B9" s="760" t="s">
        <v>616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4">
        <v>41348.073321759257</v>
      </c>
      <c r="B10" s="762" t="s">
        <v>627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9">
        <v>41348.073333333334</v>
      </c>
      <c r="B11" s="760" t="s">
        <v>653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63"/>
      <c r="B12" s="764" t="s">
        <v>624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623</v>
      </c>
      <c r="C13" s="464"/>
      <c r="D13" s="465"/>
      <c r="E13" s="466" t="s">
        <v>201</v>
      </c>
      <c r="F13" s="467" t="s">
        <v>637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9">
        <v>41346.324699074074</v>
      </c>
      <c r="B14" s="760" t="s">
        <v>605</v>
      </c>
      <c r="C14" s="302" t="s">
        <v>603</v>
      </c>
      <c r="D14" s="196"/>
      <c r="E14" s="197" t="s">
        <v>70</v>
      </c>
      <c r="F14" s="425" t="s">
        <v>777</v>
      </c>
      <c r="G14" s="426" t="s">
        <v>778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9">
        <v>41348.074548611112</v>
      </c>
      <c r="B15" s="760" t="s">
        <v>779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4">
        <v>41348.074594907404</v>
      </c>
      <c r="B16" s="760" t="s">
        <v>616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4">
        <v>41348.074594907404</v>
      </c>
      <c r="B17" s="762" t="s">
        <v>620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9">
        <v>41348.074606481481</v>
      </c>
      <c r="B18" s="760" t="s">
        <v>653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63"/>
      <c r="B19" s="764" t="s">
        <v>624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9"/>
      <c r="B20" s="760" t="s">
        <v>623</v>
      </c>
      <c r="C20" s="761"/>
      <c r="D20" s="212"/>
      <c r="E20" s="197"/>
      <c r="F20" s="220" t="s">
        <v>638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759">
        <v>41347.912893518522</v>
      </c>
      <c r="B21" s="760" t="s">
        <v>652</v>
      </c>
      <c r="C21" s="302" t="s">
        <v>603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759">
        <v>41347.912997685184</v>
      </c>
      <c r="B22" s="760" t="s">
        <v>605</v>
      </c>
      <c r="C22" s="660" t="str">
        <f>B21</f>
        <v>Acc1C_Bottom</v>
      </c>
      <c r="D22" s="196"/>
      <c r="E22" s="197" t="s">
        <v>70</v>
      </c>
      <c r="F22" s="200" t="s">
        <v>659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9">
        <v>41347.959641203706</v>
      </c>
      <c r="B23" s="760" t="s">
        <v>779</v>
      </c>
      <c r="C23" s="660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9">
        <v>41347.959641203706</v>
      </c>
      <c r="B24" s="760" t="s">
        <v>653</v>
      </c>
      <c r="C24" s="660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25"/>
      <c r="B25" s="726" t="s">
        <v>624</v>
      </c>
      <c r="C25" s="547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8"/>
      <c r="B26" s="699" t="s">
        <v>623</v>
      </c>
      <c r="C26" s="700"/>
      <c r="D26" s="309"/>
      <c r="E26" s="310" t="s">
        <v>201</v>
      </c>
      <c r="F26" s="311" t="s">
        <v>639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59">
        <v>41348.071412037039</v>
      </c>
      <c r="B27" s="760" t="s">
        <v>605</v>
      </c>
      <c r="C27" s="302" t="s">
        <v>603</v>
      </c>
      <c r="D27" s="196"/>
      <c r="E27" s="197" t="s">
        <v>70</v>
      </c>
      <c r="F27" s="200" t="s">
        <v>621</v>
      </c>
      <c r="G27" s="201" t="s">
        <v>622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759">
        <v>41348.071736111109</v>
      </c>
      <c r="B28" s="760" t="s">
        <v>779</v>
      </c>
      <c r="C28" s="302" t="s">
        <v>647</v>
      </c>
      <c r="D28" s="215"/>
      <c r="E28" s="218" t="s">
        <v>70</v>
      </c>
      <c r="F28" s="200" t="s">
        <v>621</v>
      </c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9">
        <v>41348.071747685186</v>
      </c>
      <c r="B29" s="760" t="s">
        <v>616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759">
        <v>41348.073333333334</v>
      </c>
      <c r="B30" s="762" t="s">
        <v>661</v>
      </c>
      <c r="C30" s="660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763"/>
      <c r="B31" s="764" t="s">
        <v>624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86"/>
      <c r="B32" s="787" t="s">
        <v>623</v>
      </c>
      <c r="C32" s="788"/>
      <c r="D32" s="303"/>
      <c r="E32" s="304" t="s">
        <v>201</v>
      </c>
      <c r="F32" s="305" t="s">
        <v>640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59">
        <v>41348.074386574073</v>
      </c>
      <c r="B33" s="760" t="s">
        <v>605</v>
      </c>
      <c r="C33" s="302" t="s">
        <v>603</v>
      </c>
      <c r="D33" s="196"/>
      <c r="E33" s="197" t="s">
        <v>70</v>
      </c>
      <c r="F33" s="200" t="s">
        <v>648</v>
      </c>
      <c r="G33" s="201" t="s">
        <v>649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759">
        <v>41348.074456018519</v>
      </c>
      <c r="B34" s="760" t="s">
        <v>779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9">
        <v>41348.074456018519</v>
      </c>
      <c r="B35" s="760" t="s">
        <v>616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759">
        <v>41348.074606481481</v>
      </c>
      <c r="B36" s="762" t="s">
        <v>661</v>
      </c>
      <c r="C36" s="660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63"/>
      <c r="B37" s="764" t="s">
        <v>624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623</v>
      </c>
      <c r="C38" s="464"/>
      <c r="D38" s="465"/>
      <c r="E38" s="466" t="s">
        <v>201</v>
      </c>
      <c r="F38" s="467" t="s">
        <v>641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9">
        <v>41347.959444444445</v>
      </c>
      <c r="B39" s="760" t="s">
        <v>661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9">
        <v>41347.959583333337</v>
      </c>
      <c r="B40" s="760" t="s">
        <v>661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9">
        <v>41347.959641203706</v>
      </c>
      <c r="B41" s="760" t="s">
        <v>661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25"/>
      <c r="B42" s="726" t="s">
        <v>624</v>
      </c>
      <c r="C42" s="547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623</v>
      </c>
      <c r="E43" s="190"/>
      <c r="F43" s="189" t="s">
        <v>643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853</v>
      </c>
      <c r="C44" s="302" t="s">
        <v>603</v>
      </c>
      <c r="D44" s="196"/>
      <c r="E44" s="197" t="s">
        <v>70</v>
      </c>
      <c r="F44" s="214" t="s">
        <v>857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605</v>
      </c>
      <c r="C45" s="473" t="str">
        <f>B44</f>
        <v>RowDel</v>
      </c>
      <c r="D45" s="196"/>
      <c r="E45" s="197" t="s">
        <v>70</v>
      </c>
      <c r="F45" s="200" t="s">
        <v>858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856</v>
      </c>
      <c r="C46" s="657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806</v>
      </c>
      <c r="J46" s="546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628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48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779</v>
      </c>
      <c r="C48" s="657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624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623</v>
      </c>
      <c r="E50" s="476" t="s">
        <v>590</v>
      </c>
      <c r="F50" s="189" t="s">
        <v>642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853</v>
      </c>
      <c r="C51" s="302" t="s">
        <v>603</v>
      </c>
      <c r="D51" s="196"/>
      <c r="E51" s="197" t="s">
        <v>70</v>
      </c>
      <c r="F51" s="214" t="s">
        <v>854</v>
      </c>
      <c r="G51" s="221"/>
      <c r="H51" s="198"/>
      <c r="I51" s="198"/>
      <c r="J51" s="199"/>
      <c r="K51" s="548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605</v>
      </c>
      <c r="C52" s="473" t="str">
        <f>B51</f>
        <v>RowDel</v>
      </c>
      <c r="D52" s="196"/>
      <c r="E52" s="197" t="s">
        <v>70</v>
      </c>
      <c r="F52" s="200" t="s">
        <v>855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628</v>
      </c>
      <c r="C53" s="236"/>
      <c r="D53" s="196"/>
      <c r="E53" s="197" t="s">
        <v>201</v>
      </c>
      <c r="F53" s="214" t="s">
        <v>70</v>
      </c>
      <c r="G53" s="221" t="s">
        <v>981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779</v>
      </c>
      <c r="C54" s="657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624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698"/>
      <c r="B56" s="699" t="s">
        <v>623</v>
      </c>
      <c r="C56" s="700"/>
      <c r="D56" s="309"/>
      <c r="E56" s="310" t="s">
        <v>201</v>
      </c>
      <c r="F56" s="311" t="s">
        <v>645</v>
      </c>
      <c r="G56" s="309"/>
      <c r="H56" s="309"/>
      <c r="I56" s="309"/>
      <c r="J56" s="312"/>
      <c r="K56" s="471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628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662</v>
      </c>
      <c r="C58" s="235" t="s">
        <v>663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630</v>
      </c>
      <c r="C59" s="239" t="s">
        <v>629</v>
      </c>
      <c r="D59" s="5"/>
      <c r="E59" s="218"/>
      <c r="F59" s="200" t="s">
        <v>631</v>
      </c>
      <c r="G59" s="201" t="s">
        <v>632</v>
      </c>
      <c r="H59" s="215" t="s">
        <v>633</v>
      </c>
      <c r="I59" s="215" t="s">
        <v>634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624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623</v>
      </c>
      <c r="C61" s="238"/>
      <c r="D61" s="212"/>
      <c r="E61" s="476" t="s">
        <v>201</v>
      </c>
      <c r="F61" s="213" t="s">
        <v>802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628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677</v>
      </c>
      <c r="C63" s="266"/>
      <c r="D63" s="212"/>
      <c r="E63" s="197" t="s">
        <v>70</v>
      </c>
      <c r="F63" s="267" t="s">
        <v>803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804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630</v>
      </c>
      <c r="C65" s="461" t="str">
        <f>B64</f>
        <v>NewPaidOpp</v>
      </c>
      <c r="D65" s="196"/>
      <c r="E65" s="197" t="s">
        <v>201</v>
      </c>
      <c r="F65" s="267" t="s">
        <v>803</v>
      </c>
      <c r="G65" s="201" t="s">
        <v>801</v>
      </c>
      <c r="H65" s="215" t="s">
        <v>808</v>
      </c>
      <c r="I65" s="215" t="s">
        <v>809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624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623</v>
      </c>
      <c r="C67" s="238"/>
      <c r="D67" s="212"/>
      <c r="E67" s="476" t="s">
        <v>590</v>
      </c>
      <c r="F67" s="213" t="s">
        <v>1070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8"/>
    </row>
    <row r="68" spans="1:16" s="173" customFormat="1" ht="15.75" thickTop="1" x14ac:dyDescent="0.25">
      <c r="A68" s="195">
        <v>41348.008379629631</v>
      </c>
      <c r="B68" s="196" t="s">
        <v>779</v>
      </c>
      <c r="C68" s="790" t="str">
        <f>F6&amp;"/"&amp;B10</f>
        <v>LOAD_1C_P/PaymentPaint</v>
      </c>
      <c r="D68" s="196"/>
      <c r="E68" s="197" t="s">
        <v>201</v>
      </c>
      <c r="F68" s="770" t="s">
        <v>1071</v>
      </c>
      <c r="G68" s="771" t="str">
        <f>K68</f>
        <v>Платежи</v>
      </c>
      <c r="H68" s="772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8"/>
    </row>
    <row r="69" spans="1:16" s="173" customFormat="1" x14ac:dyDescent="0.25">
      <c r="A69" s="195">
        <v>41348.008379629631</v>
      </c>
      <c r="B69" s="202" t="s">
        <v>630</v>
      </c>
      <c r="C69" s="461" t="str">
        <f>B68</f>
        <v>Adapt</v>
      </c>
      <c r="D69" s="196"/>
      <c r="E69" s="197" t="s">
        <v>201</v>
      </c>
      <c r="F69" s="267" t="s">
        <v>803</v>
      </c>
      <c r="G69" s="201" t="s">
        <v>801</v>
      </c>
      <c r="H69" s="215" t="s">
        <v>808</v>
      </c>
      <c r="I69" s="215" t="s">
        <v>809</v>
      </c>
      <c r="J69" s="199"/>
      <c r="K69" s="267" t="str">
        <f>F69</f>
        <v>NewPayment</v>
      </c>
      <c r="M69" s="198"/>
      <c r="N69" s="201"/>
      <c r="O69" s="199"/>
      <c r="P69" s="768"/>
    </row>
    <row r="70" spans="1:16" s="187" customFormat="1" ht="15.75" thickBot="1" x14ac:dyDescent="0.3">
      <c r="A70" s="204"/>
      <c r="B70" s="205" t="s">
        <v>624</v>
      </c>
      <c r="C70" s="791">
        <v>6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9"/>
    </row>
    <row r="71" spans="1:16" s="173" customFormat="1" ht="16.5" thickTop="1" thickBot="1" x14ac:dyDescent="0.3">
      <c r="A71" s="195"/>
      <c r="B71" s="196" t="s">
        <v>623</v>
      </c>
      <c r="C71" s="238"/>
      <c r="D71" s="212"/>
      <c r="E71" s="476" t="s">
        <v>201</v>
      </c>
      <c r="F71" s="213" t="s">
        <v>805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41348.01834490741</v>
      </c>
      <c r="B72" s="196" t="s">
        <v>996</v>
      </c>
      <c r="C72" s="790" t="str">
        <f>F6&amp;"/"&amp;B10</f>
        <v>LOAD_1C_P/PaymentPaint</v>
      </c>
      <c r="D72" s="196"/>
      <c r="E72" s="197" t="s">
        <v>201</v>
      </c>
      <c r="F72" s="267" t="s">
        <v>803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41348.01834490741</v>
      </c>
      <c r="B73" s="202" t="s">
        <v>630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801</v>
      </c>
      <c r="H73" s="215" t="s">
        <v>808</v>
      </c>
      <c r="I73" s="215" t="s">
        <v>809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624</v>
      </c>
      <c r="C74" s="791">
        <v>7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623</v>
      </c>
      <c r="C75" s="238"/>
      <c r="D75" s="212"/>
      <c r="E75" s="476" t="s">
        <v>201</v>
      </c>
      <c r="F75" s="475" t="s">
        <v>668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41348.007870370369</v>
      </c>
      <c r="B76" s="196" t="s">
        <v>667</v>
      </c>
      <c r="C76" s="790" t="str">
        <f>F13&amp;"/"&amp;B14</f>
        <v>LOAD_1C_DOG/InsMyCol</v>
      </c>
      <c r="D76" s="196"/>
      <c r="E76" s="197" t="s">
        <v>201</v>
      </c>
      <c r="F76" s="267" t="s">
        <v>678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41348.007870370369</v>
      </c>
      <c r="B77" s="202" t="s">
        <v>630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801</v>
      </c>
      <c r="H77" s="215" t="s">
        <v>669</v>
      </c>
      <c r="I77" s="215" t="s">
        <v>670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624</v>
      </c>
      <c r="C78" s="791">
        <v>1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623</v>
      </c>
      <c r="C79" s="238"/>
      <c r="D79" s="212"/>
      <c r="E79" s="476" t="s">
        <v>201</v>
      </c>
      <c r="F79" s="475" t="s">
        <v>1031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7"/>
    </row>
    <row r="80" spans="1:16" s="173" customFormat="1" ht="30.75" thickTop="1" x14ac:dyDescent="0.25">
      <c r="A80" s="195">
        <v>41344.979027777779</v>
      </c>
      <c r="B80" s="196" t="s">
        <v>779</v>
      </c>
      <c r="C80" s="792" t="str">
        <f>F75&amp;"/"&amp;B77</f>
        <v>HANDL_NewContract/WrCSV</v>
      </c>
      <c r="D80" s="196"/>
      <c r="E80" s="197" t="s">
        <v>201</v>
      </c>
      <c r="F80" s="739" t="s">
        <v>1036</v>
      </c>
      <c r="G80" s="461" t="str">
        <f>TOCmatch!B8</f>
        <v>Платежи</v>
      </c>
      <c r="H80" s="753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7"/>
    </row>
    <row r="81" spans="1:16" s="173" customFormat="1" x14ac:dyDescent="0.25">
      <c r="A81" s="195">
        <v>41344.938113425924</v>
      </c>
      <c r="B81" s="202" t="s">
        <v>630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801</v>
      </c>
      <c r="H81" s="215" t="s">
        <v>882</v>
      </c>
      <c r="I81" s="215" t="s">
        <v>960</v>
      </c>
      <c r="J81" s="199"/>
      <c r="K81" s="267" t="str">
        <f>F81</f>
        <v>NewOpp</v>
      </c>
      <c r="M81" s="198"/>
      <c r="N81" s="201"/>
      <c r="O81" s="199"/>
      <c r="P81" s="737"/>
    </row>
    <row r="82" spans="1:16" s="187" customFormat="1" x14ac:dyDescent="0.25">
      <c r="A82" s="204"/>
      <c r="B82" s="205" t="s">
        <v>624</v>
      </c>
      <c r="C82" s="791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8"/>
    </row>
    <row r="83" spans="1:16" s="173" customFormat="1" x14ac:dyDescent="0.25">
      <c r="A83" s="759"/>
      <c r="B83" s="760" t="s">
        <v>623</v>
      </c>
      <c r="C83" s="761"/>
      <c r="D83" s="212"/>
      <c r="E83" s="197" t="s">
        <v>201</v>
      </c>
      <c r="F83" s="213" t="s">
        <v>664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665</v>
      </c>
      <c r="C84" s="235" t="s">
        <v>667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630</v>
      </c>
      <c r="C85" s="239" t="s">
        <v>665</v>
      </c>
      <c r="D85" s="5"/>
      <c r="E85" s="218"/>
      <c r="F85" s="200" t="s">
        <v>666</v>
      </c>
      <c r="G85" s="201" t="s">
        <v>632</v>
      </c>
      <c r="H85" s="215" t="s">
        <v>633</v>
      </c>
      <c r="I85" s="215" t="s">
        <v>634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3"/>
      <c r="B86" s="240" t="s">
        <v>624</v>
      </c>
      <c r="C86" s="703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623</v>
      </c>
      <c r="C87" s="238"/>
      <c r="D87" s="212"/>
      <c r="E87" s="197" t="s">
        <v>201</v>
      </c>
      <c r="F87" s="213" t="s">
        <v>999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1000</v>
      </c>
      <c r="C88" s="160" t="str">
        <f>F20&amp;"/"&amp;B22</f>
        <v>LOAD_1C_ACC/InsMyCol</v>
      </c>
      <c r="D88" s="5"/>
      <c r="E88" s="218" t="s">
        <v>201</v>
      </c>
      <c r="F88" s="200" t="s">
        <v>998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624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4" customFormat="1" ht="16.5" thickTop="1" thickBot="1" x14ac:dyDescent="0.3">
      <c r="A90" s="765">
        <v>41201.045671296299</v>
      </c>
      <c r="B90" s="766" t="s">
        <v>623</v>
      </c>
      <c r="C90" s="767"/>
      <c r="D90" s="508"/>
      <c r="E90" s="509" t="s">
        <v>201</v>
      </c>
      <c r="F90" s="510" t="s">
        <v>830</v>
      </c>
      <c r="G90" s="508"/>
      <c r="H90" s="508"/>
      <c r="I90" s="508"/>
      <c r="J90" s="511"/>
      <c r="K90" s="512" t="str">
        <f>K6</f>
        <v>Платежи</v>
      </c>
      <c r="L90" s="513"/>
      <c r="M90" s="508"/>
      <c r="N90" s="513"/>
      <c r="O90" s="511"/>
    </row>
    <row r="91" spans="1:16" s="173" customFormat="1" ht="16.5" thickTop="1" thickBot="1" x14ac:dyDescent="0.3">
      <c r="A91" s="264">
        <v>41289.96565972222</v>
      </c>
      <c r="B91" s="458" t="s">
        <v>833</v>
      </c>
      <c r="C91" s="459"/>
      <c r="D91" s="196"/>
      <c r="E91" s="450" t="s">
        <v>70</v>
      </c>
      <c r="F91" s="200" t="str">
        <f>F75</f>
        <v>HANDL_NewContract</v>
      </c>
      <c r="G91" s="688" t="str">
        <f>F90</f>
        <v>WP_PaidOpp</v>
      </c>
      <c r="H91" s="688" t="str">
        <f>B97</f>
        <v>WP_Paid</v>
      </c>
      <c r="I91" s="689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832</v>
      </c>
      <c r="C92" s="575" t="str">
        <f>B91</f>
        <v>ProcReset</v>
      </c>
      <c r="D92" s="196"/>
      <c r="E92" s="197" t="s">
        <v>70</v>
      </c>
      <c r="F92" s="515">
        <f>C78</f>
        <v>1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58" t="s">
        <v>833</v>
      </c>
      <c r="C93" s="459"/>
      <c r="D93" s="196"/>
      <c r="E93" s="450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832</v>
      </c>
      <c r="C94" s="461" t="str">
        <f>B92</f>
        <v>CheckProc0</v>
      </c>
      <c r="D94" s="196"/>
      <c r="E94" s="197" t="s">
        <v>201</v>
      </c>
      <c r="F94" s="702">
        <f>C74</f>
        <v>7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677</v>
      </c>
      <c r="C95" s="238"/>
      <c r="D95" s="212"/>
      <c r="E95" s="197" t="s">
        <v>201</v>
      </c>
      <c r="F95" s="267" t="s">
        <v>813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677</v>
      </c>
      <c r="C96" s="238"/>
      <c r="D96" s="212"/>
      <c r="E96" s="197" t="s">
        <v>201</v>
      </c>
      <c r="F96" s="267" t="s">
        <v>803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69"/>
      <c r="B97" s="670" t="s">
        <v>978</v>
      </c>
      <c r="C97" s="671" t="str">
        <f>B92</f>
        <v>CheckProc0</v>
      </c>
      <c r="D97" s="670"/>
      <c r="E97" s="672" t="s">
        <v>201</v>
      </c>
      <c r="F97" s="673" t="s">
        <v>831</v>
      </c>
      <c r="G97" s="687" t="s">
        <v>201</v>
      </c>
      <c r="H97" s="675"/>
      <c r="I97" s="675"/>
      <c r="J97" s="676"/>
      <c r="K97" s="677" t="str">
        <f>K90</f>
        <v>Платежи</v>
      </c>
      <c r="L97" s="678" t="str">
        <f>TOCmatch!B17</f>
        <v>SFacc</v>
      </c>
      <c r="M97" s="678" t="str">
        <f>TOCmatch!B16</f>
        <v>SFopp</v>
      </c>
      <c r="N97" s="678" t="str">
        <f>TOCmatch!B15</f>
        <v>SFD</v>
      </c>
      <c r="O97" s="676"/>
    </row>
    <row r="98" spans="1:15" s="173" customFormat="1" ht="15.75" thickTop="1" x14ac:dyDescent="0.25">
      <c r="A98" s="195"/>
      <c r="B98" s="202" t="s">
        <v>630</v>
      </c>
      <c r="C98" s="461" t="str">
        <f>B97</f>
        <v>WP_Paid</v>
      </c>
      <c r="D98" s="196"/>
      <c r="E98" s="197" t="s">
        <v>201</v>
      </c>
      <c r="F98" s="267" t="s">
        <v>813</v>
      </c>
      <c r="G98" s="201" t="s">
        <v>801</v>
      </c>
      <c r="H98" s="215" t="s">
        <v>882</v>
      </c>
      <c r="I98" s="215" t="s">
        <v>960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630</v>
      </c>
      <c r="C99" s="461" t="str">
        <f>B97</f>
        <v>WP_Paid</v>
      </c>
      <c r="D99" s="196"/>
      <c r="E99" s="197" t="s">
        <v>201</v>
      </c>
      <c r="F99" s="267" t="s">
        <v>803</v>
      </c>
      <c r="G99" s="201" t="s">
        <v>801</v>
      </c>
      <c r="H99" s="215" t="s">
        <v>808</v>
      </c>
      <c r="I99" s="215" t="s">
        <v>809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0"/>
      <c r="B100" s="202" t="s">
        <v>624</v>
      </c>
      <c r="C100" s="721">
        <v>0</v>
      </c>
      <c r="D100" s="202"/>
      <c r="E100" s="203" t="s">
        <v>201</v>
      </c>
      <c r="F100" s="507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2" customFormat="1" ht="15.75" thickBot="1" x14ac:dyDescent="0.3">
      <c r="A101" s="718">
        <v>41201.045671296299</v>
      </c>
      <c r="B101" s="228" t="s">
        <v>623</v>
      </c>
      <c r="C101" s="719"/>
      <c r="D101" s="303"/>
      <c r="E101" s="679" t="s">
        <v>201</v>
      </c>
      <c r="F101" s="680" t="s">
        <v>973</v>
      </c>
      <c r="G101" s="303"/>
      <c r="H101" s="303"/>
      <c r="I101" s="303"/>
      <c r="J101" s="306"/>
      <c r="K101" s="681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677</v>
      </c>
      <c r="C102" s="266"/>
      <c r="D102" s="212"/>
      <c r="E102" s="197"/>
      <c r="F102" s="267" t="s">
        <v>928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976</v>
      </c>
      <c r="C103" s="461" t="str">
        <f>B102</f>
        <v>NewSheet</v>
      </c>
      <c r="D103" s="212"/>
      <c r="E103" s="197"/>
      <c r="F103" s="685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628</v>
      </c>
      <c r="C104" s="236"/>
      <c r="D104" s="196"/>
      <c r="E104" s="197" t="s">
        <v>201</v>
      </c>
      <c r="F104" s="214" t="s">
        <v>590</v>
      </c>
      <c r="G104" s="221" t="s">
        <v>981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69">
        <v>41218.824293981481</v>
      </c>
      <c r="B105" s="670" t="s">
        <v>978</v>
      </c>
      <c r="C105" s="671" t="str">
        <f>B103</f>
        <v>SFaccDicBuild</v>
      </c>
      <c r="D105" s="670"/>
      <c r="E105" s="672" t="s">
        <v>201</v>
      </c>
      <c r="F105" s="673" t="s">
        <v>974</v>
      </c>
      <c r="G105" s="674"/>
      <c r="H105" s="675"/>
      <c r="I105" s="675"/>
      <c r="J105" s="676"/>
      <c r="K105" s="677" t="str">
        <f>K101</f>
        <v>Платежи</v>
      </c>
      <c r="L105" s="678">
        <f>TOCmatch!B27</f>
        <v>0</v>
      </c>
      <c r="M105" s="678">
        <f>TOCmatch!B26</f>
        <v>0</v>
      </c>
      <c r="N105" s="678">
        <f>TOCmatch!B25</f>
        <v>0</v>
      </c>
      <c r="O105" s="676"/>
    </row>
    <row r="106" spans="1:15" s="173" customFormat="1" ht="15.75" thickTop="1" x14ac:dyDescent="0.25">
      <c r="A106" s="195">
        <v>41218.824293981481</v>
      </c>
      <c r="B106" s="202" t="s">
        <v>630</v>
      </c>
      <c r="C106" s="461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801</v>
      </c>
      <c r="H106" s="215" t="s">
        <v>882</v>
      </c>
      <c r="I106" s="215" t="s">
        <v>960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624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623</v>
      </c>
      <c r="C108" s="238"/>
      <c r="D108" s="212"/>
      <c r="E108" s="197" t="s">
        <v>201</v>
      </c>
      <c r="F108" s="213" t="s">
        <v>646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628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635</v>
      </c>
      <c r="C110" s="235" t="s">
        <v>663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624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600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599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599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600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606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628</v>
      </c>
      <c r="C116" s="236"/>
      <c r="D116" s="196"/>
      <c r="E116" s="197" t="s">
        <v>201</v>
      </c>
      <c r="F116" s="214" t="s">
        <v>590</v>
      </c>
      <c r="G116" s="221" t="s">
        <v>981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651</v>
      </c>
      <c r="C118" s="235" t="s">
        <v>650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605</v>
      </c>
      <c r="C121" s="235" t="s">
        <v>603</v>
      </c>
      <c r="D121" s="196"/>
      <c r="E121" s="197" t="s">
        <v>201</v>
      </c>
      <c r="F121" s="425" t="s">
        <v>777</v>
      </c>
      <c r="G121" s="426" t="s">
        <v>778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856</v>
      </c>
      <c r="C124" s="657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806</v>
      </c>
      <c r="J124" s="546"/>
      <c r="K124" s="548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39" workbookViewId="0">
      <selection activeCell="B50" sqref="B50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8" t="s">
        <v>1069</v>
      </c>
      <c r="B3" s="25" t="s">
        <v>84</v>
      </c>
      <c r="C3" s="21" t="s">
        <v>11</v>
      </c>
    </row>
    <row r="4" spans="1:7" x14ac:dyDescent="0.25">
      <c r="A4" s="758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1022</v>
      </c>
      <c r="B16" s="69" t="s">
        <v>1021</v>
      </c>
      <c r="C16" s="727" t="s">
        <v>1023</v>
      </c>
      <c r="D16" s="27" t="s">
        <v>1024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1026</v>
      </c>
      <c r="B27" s="69" t="s">
        <v>1025</v>
      </c>
      <c r="C27" s="727" t="s">
        <v>1023</v>
      </c>
      <c r="D27" s="27" t="s">
        <v>1024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00" t="s">
        <v>354</v>
      </c>
      <c r="I41" s="801"/>
      <c r="J41" s="801"/>
      <c r="K41" s="794"/>
      <c r="L41" s="27"/>
    </row>
    <row r="42" spans="1:17" ht="15.75" x14ac:dyDescent="0.25">
      <c r="A42" s="27" t="s">
        <v>1037</v>
      </c>
      <c r="H42" s="730"/>
      <c r="I42" s="731"/>
      <c r="J42" s="731"/>
      <c r="K42" s="729"/>
      <c r="L42" s="27"/>
      <c r="M42" s="802" t="s">
        <v>354</v>
      </c>
      <c r="N42" s="803"/>
      <c r="O42" s="803"/>
      <c r="P42" s="803"/>
      <c r="Q42" s="804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952</v>
      </c>
      <c r="K43" s="650" t="s">
        <v>951</v>
      </c>
      <c r="M43" s="744" t="s">
        <v>1041</v>
      </c>
      <c r="N43" s="742" t="s">
        <v>350</v>
      </c>
      <c r="O43" s="742" t="s">
        <v>1040</v>
      </c>
      <c r="P43" s="742" t="s">
        <v>952</v>
      </c>
      <c r="Q43" s="743" t="s">
        <v>951</v>
      </c>
    </row>
    <row r="44" spans="1:17" ht="15.75" x14ac:dyDescent="0.3">
      <c r="A44" s="27" t="s">
        <v>137</v>
      </c>
      <c r="B44" s="71" t="s">
        <v>1009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1039</v>
      </c>
      <c r="N44" s="27" t="s">
        <v>349</v>
      </c>
      <c r="O44" s="27" t="s">
        <v>1040</v>
      </c>
      <c r="P44" s="27" t="s">
        <v>1064</v>
      </c>
    </row>
    <row r="45" spans="1:17" ht="45" x14ac:dyDescent="0.3">
      <c r="A45" s="27" t="s">
        <v>106</v>
      </c>
      <c r="B45" s="71" t="s">
        <v>1008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55" t="s">
        <v>1047</v>
      </c>
      <c r="N45" s="755" t="s">
        <v>1062</v>
      </c>
      <c r="O45" s="755"/>
      <c r="P45" s="755" t="s">
        <v>1063</v>
      </c>
    </row>
    <row r="46" spans="1:17" ht="15.75" x14ac:dyDescent="0.3">
      <c r="A46" s="27" t="s">
        <v>18</v>
      </c>
      <c r="B46" s="71" t="s">
        <v>1017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6"/>
      <c r="N46" s="755" t="s">
        <v>1051</v>
      </c>
      <c r="O46" s="756"/>
      <c r="P46" s="756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6"/>
      <c r="N47" s="756"/>
      <c r="O47" s="756"/>
      <c r="P47" s="755" t="s">
        <v>1061</v>
      </c>
    </row>
    <row r="48" spans="1:17" ht="15.75" x14ac:dyDescent="0.3">
      <c r="A48" s="27" t="s">
        <v>144</v>
      </c>
      <c r="B48" s="71" t="s">
        <v>1028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1020</v>
      </c>
      <c r="H48" s="27" t="s">
        <v>350</v>
      </c>
      <c r="I48" s="27" t="s">
        <v>351</v>
      </c>
      <c r="J48" s="27"/>
      <c r="M48" s="756" t="str">
        <f>N46</f>
        <v>$.*</v>
      </c>
      <c r="N48" s="756"/>
      <c r="O48" s="756"/>
      <c r="P48" s="756"/>
    </row>
    <row r="49" spans="1:17" ht="15.75" x14ac:dyDescent="0.3">
      <c r="A49" s="27" t="s">
        <v>224</v>
      </c>
      <c r="B49" s="71" t="s">
        <v>1067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954</v>
      </c>
      <c r="M49" s="756"/>
      <c r="N49" s="756"/>
      <c r="O49" s="756"/>
      <c r="P49" s="755" t="str">
        <f>N46</f>
        <v>$.*</v>
      </c>
    </row>
    <row r="50" spans="1:17" x14ac:dyDescent="0.25">
      <c r="A50" s="27" t="s">
        <v>198</v>
      </c>
      <c r="B50" s="71" t="s">
        <v>1299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1020</v>
      </c>
      <c r="H50" s="27" t="s">
        <v>350</v>
      </c>
      <c r="I50" s="27" t="s">
        <v>351</v>
      </c>
      <c r="J50" s="27"/>
      <c r="M50" s="756" t="str">
        <f>N46</f>
        <v>$.*</v>
      </c>
      <c r="N50" s="756"/>
      <c r="O50" s="756"/>
      <c r="P50" s="756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1020</v>
      </c>
      <c r="H51" s="27" t="s">
        <v>350</v>
      </c>
      <c r="I51" s="27" t="s">
        <v>351</v>
      </c>
      <c r="J51" s="27"/>
      <c r="M51" s="756" t="str">
        <f>M50</f>
        <v>$.*</v>
      </c>
      <c r="N51" s="756"/>
      <c r="O51" s="756"/>
      <c r="P51" s="756"/>
    </row>
    <row r="52" spans="1:17" ht="180" x14ac:dyDescent="0.3">
      <c r="A52" s="27" t="s">
        <v>225</v>
      </c>
      <c r="B52" s="728" t="s">
        <v>1074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955</v>
      </c>
      <c r="M52" s="755" t="s">
        <v>1042</v>
      </c>
      <c r="N52" s="756"/>
      <c r="O52" s="756"/>
      <c r="P52" s="755" t="s">
        <v>1045</v>
      </c>
    </row>
    <row r="53" spans="1:17" ht="15.75" x14ac:dyDescent="0.3">
      <c r="A53" s="27" t="s">
        <v>952</v>
      </c>
      <c r="B53" s="71" t="s">
        <v>1068</v>
      </c>
      <c r="C53" s="50" t="s">
        <v>1015</v>
      </c>
      <c r="D53" s="49"/>
      <c r="E53" s="48"/>
      <c r="F53" s="44"/>
      <c r="G53" s="56"/>
      <c r="H53" s="27"/>
      <c r="I53" s="27"/>
      <c r="J53" s="27"/>
      <c r="K53" s="27" t="s">
        <v>954</v>
      </c>
      <c r="M53" s="756"/>
      <c r="N53" s="756"/>
      <c r="O53" s="756"/>
      <c r="P53" s="756" t="str">
        <f>P49</f>
        <v>$.*</v>
      </c>
    </row>
    <row r="54" spans="1:17" ht="15.75" x14ac:dyDescent="0.3">
      <c r="A54" s="27" t="s">
        <v>203</v>
      </c>
      <c r="B54" s="71" t="s">
        <v>1058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7" t="str">
        <f>N46</f>
        <v>$.*</v>
      </c>
      <c r="N54" s="755" t="s">
        <v>710</v>
      </c>
      <c r="O54" s="756"/>
      <c r="P54" s="756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1020</v>
      </c>
      <c r="H55" s="27" t="s">
        <v>350</v>
      </c>
      <c r="I55" s="27" t="s">
        <v>351</v>
      </c>
      <c r="J55" s="27"/>
      <c r="M55" s="756" t="str">
        <f>M54</f>
        <v>$.*</v>
      </c>
      <c r="N55" s="756"/>
      <c r="O55" s="756"/>
      <c r="P55" s="756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1020</v>
      </c>
      <c r="H56" s="27" t="s">
        <v>350</v>
      </c>
      <c r="I56" s="27" t="s">
        <v>351</v>
      </c>
      <c r="J56" s="27"/>
      <c r="M56" s="755" t="s">
        <v>1066</v>
      </c>
      <c r="N56" s="755" t="s">
        <v>1065</v>
      </c>
      <c r="O56" s="756"/>
      <c r="P56" s="756"/>
    </row>
    <row r="57" spans="1:17" x14ac:dyDescent="0.25">
      <c r="A57" s="55" t="s">
        <v>247</v>
      </c>
      <c r="B57" s="71" t="s">
        <v>1016</v>
      </c>
      <c r="C57" s="50"/>
      <c r="D57" s="28"/>
      <c r="E57" s="48"/>
      <c r="F57" s="44"/>
      <c r="M57" s="755" t="s">
        <v>1054</v>
      </c>
      <c r="N57" s="755" t="s">
        <v>1054</v>
      </c>
      <c r="O57" s="756"/>
      <c r="P57" s="755" t="s">
        <v>1054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6"/>
      <c r="N58" s="756"/>
      <c r="O58" s="756"/>
      <c r="P58" s="756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6"/>
      <c r="N59" s="756"/>
      <c r="O59" s="756"/>
      <c r="P59" s="756"/>
    </row>
    <row r="60" spans="1:17" x14ac:dyDescent="0.25">
      <c r="C60" s="50"/>
      <c r="D60" s="50" t="s">
        <v>1012</v>
      </c>
      <c r="E60" s="48"/>
      <c r="F60" s="44"/>
      <c r="M60" s="756"/>
      <c r="N60" s="756"/>
      <c r="O60" s="756"/>
      <c r="P60" s="756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6"/>
      <c r="N61" s="756"/>
      <c r="O61" s="756"/>
      <c r="P61" s="756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6"/>
      <c r="N62" s="756"/>
      <c r="O62" s="756"/>
      <c r="P62" s="756"/>
    </row>
    <row r="63" spans="1:17" x14ac:dyDescent="0.25">
      <c r="A63" s="27" t="s">
        <v>956</v>
      </c>
      <c r="C63" s="28"/>
      <c r="D63" s="50"/>
      <c r="F63" s="44"/>
      <c r="Q63" s="27" t="s">
        <v>1053</v>
      </c>
    </row>
    <row r="64" spans="1:17" x14ac:dyDescent="0.25">
      <c r="A64" s="27" t="s">
        <v>954</v>
      </c>
      <c r="B64" s="68" t="s">
        <v>957</v>
      </c>
      <c r="C64" s="28"/>
      <c r="D64" s="50"/>
      <c r="F64" s="44"/>
      <c r="Q64" s="747" t="s">
        <v>351</v>
      </c>
    </row>
    <row r="65" spans="1:17" x14ac:dyDescent="0.25">
      <c r="A65" s="27" t="s">
        <v>350</v>
      </c>
      <c r="B65" s="68" t="s">
        <v>958</v>
      </c>
      <c r="C65" s="28"/>
      <c r="D65" s="50"/>
      <c r="F65" s="44"/>
      <c r="Q65" s="747" t="s">
        <v>350</v>
      </c>
    </row>
    <row r="66" spans="1:17" x14ac:dyDescent="0.25">
      <c r="A66" s="27"/>
      <c r="B66" s="68"/>
      <c r="C66" s="28"/>
      <c r="D66" s="50"/>
      <c r="F66" s="44"/>
      <c r="Q66" s="747" t="s">
        <v>952</v>
      </c>
    </row>
    <row r="67" spans="1:17" x14ac:dyDescent="0.25">
      <c r="A67" s="27"/>
      <c r="B67" s="28"/>
      <c r="C67" s="28"/>
      <c r="D67" s="50"/>
      <c r="F67" s="44"/>
      <c r="Q67" s="747" t="s">
        <v>203</v>
      </c>
    </row>
    <row r="68" spans="1:17" x14ac:dyDescent="0.25">
      <c r="A68" s="27"/>
      <c r="B68" s="28"/>
      <c r="C68" s="28"/>
      <c r="D68" s="50"/>
      <c r="F68" s="44"/>
      <c r="Q68" s="747" t="s">
        <v>955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763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41346</v>
      </c>
      <c r="C1" s="58" t="s">
        <v>215</v>
      </c>
      <c r="D1" s="40">
        <v>1763</v>
      </c>
    </row>
    <row r="2" spans="1:4" x14ac:dyDescent="0.25">
      <c r="A2" s="36">
        <v>41346</v>
      </c>
      <c r="B2" s="122">
        <v>0.32648148148148148</v>
      </c>
      <c r="C2" s="26" t="s">
        <v>1083</v>
      </c>
    </row>
    <row r="3" spans="1:4" x14ac:dyDescent="0.25">
      <c r="A3" s="36">
        <v>41346</v>
      </c>
      <c r="B3" s="122">
        <v>0.32785879629629627</v>
      </c>
      <c r="C3" s="26" t="s">
        <v>1084</v>
      </c>
    </row>
    <row r="4" spans="1:4" x14ac:dyDescent="0.25">
      <c r="A4" s="36">
        <v>41346</v>
      </c>
      <c r="B4" s="122">
        <v>0.32785879629629627</v>
      </c>
      <c r="C4" s="26" t="s">
        <v>1085</v>
      </c>
    </row>
    <row r="5" spans="1:4" x14ac:dyDescent="0.25">
      <c r="A5" s="36">
        <v>41346</v>
      </c>
      <c r="B5" s="122">
        <v>0.32785879629629627</v>
      </c>
      <c r="C5" s="26" t="s">
        <v>1086</v>
      </c>
    </row>
    <row r="6" spans="1:4" x14ac:dyDescent="0.25">
      <c r="A6" s="36">
        <v>41346</v>
      </c>
      <c r="B6" s="122">
        <v>0.32785879629629627</v>
      </c>
      <c r="C6" s="26" t="s">
        <v>1087</v>
      </c>
    </row>
    <row r="7" spans="1:4" x14ac:dyDescent="0.25">
      <c r="A7" s="36">
        <v>41346</v>
      </c>
      <c r="B7" s="122">
        <v>0.32785879629629627</v>
      </c>
      <c r="C7" s="26" t="s">
        <v>1088</v>
      </c>
    </row>
    <row r="8" spans="1:4" x14ac:dyDescent="0.25">
      <c r="A8" s="36">
        <v>41346</v>
      </c>
      <c r="B8" s="122">
        <v>0.32785879629629627</v>
      </c>
      <c r="C8" s="26" t="s">
        <v>1086</v>
      </c>
    </row>
    <row r="9" spans="1:4" x14ac:dyDescent="0.25">
      <c r="A9" s="36">
        <v>41346</v>
      </c>
      <c r="B9" s="122">
        <v>0.32785879629629627</v>
      </c>
      <c r="C9" s="26" t="s">
        <v>1089</v>
      </c>
    </row>
    <row r="10" spans="1:4" x14ac:dyDescent="0.25">
      <c r="A10" s="36">
        <v>41346</v>
      </c>
      <c r="B10" s="122">
        <v>0.32787037037037037</v>
      </c>
      <c r="C10" s="26" t="s">
        <v>1089</v>
      </c>
    </row>
    <row r="11" spans="1:4" x14ac:dyDescent="0.25">
      <c r="A11" s="36">
        <v>41346</v>
      </c>
      <c r="B11" s="122">
        <v>0.32787037037037037</v>
      </c>
      <c r="C11" s="26" t="s">
        <v>1090</v>
      </c>
    </row>
    <row r="12" spans="1:4" x14ac:dyDescent="0.25">
      <c r="A12" s="36">
        <v>41346</v>
      </c>
      <c r="B12" s="122">
        <v>0.32787037037037037</v>
      </c>
      <c r="C12" s="26" t="s">
        <v>1091</v>
      </c>
    </row>
    <row r="13" spans="1:4" x14ac:dyDescent="0.25">
      <c r="A13" s="36">
        <v>41346</v>
      </c>
      <c r="B13" s="122">
        <v>0.32787037037037037</v>
      </c>
      <c r="C13" s="26" t="s">
        <v>1092</v>
      </c>
    </row>
    <row r="14" spans="1:4" x14ac:dyDescent="0.25">
      <c r="A14" s="36">
        <v>41346</v>
      </c>
      <c r="B14" s="122">
        <v>0.32787037037037037</v>
      </c>
      <c r="C14" s="26" t="s">
        <v>1093</v>
      </c>
    </row>
    <row r="15" spans="1:4" x14ac:dyDescent="0.25">
      <c r="A15" s="36">
        <v>41346</v>
      </c>
      <c r="B15" s="122">
        <v>0.32787037037037037</v>
      </c>
      <c r="C15" s="26" t="s">
        <v>1094</v>
      </c>
    </row>
    <row r="16" spans="1:4" x14ac:dyDescent="0.25">
      <c r="A16" s="36">
        <v>41346</v>
      </c>
      <c r="B16" s="122">
        <v>0.32787037037037037</v>
      </c>
      <c r="C16" s="26" t="s">
        <v>1086</v>
      </c>
    </row>
    <row r="17" spans="1:3" x14ac:dyDescent="0.25">
      <c r="A17" s="36">
        <v>41346</v>
      </c>
      <c r="B17" s="122">
        <v>0.32787037037037037</v>
      </c>
      <c r="C17" s="26" t="s">
        <v>1084</v>
      </c>
    </row>
    <row r="18" spans="1:3" x14ac:dyDescent="0.25">
      <c r="A18" s="36">
        <v>41346</v>
      </c>
      <c r="B18" s="122">
        <v>0.32787037037037037</v>
      </c>
      <c r="C18" s="26" t="s">
        <v>1084</v>
      </c>
    </row>
    <row r="19" spans="1:3" x14ac:dyDescent="0.25">
      <c r="A19" s="36">
        <v>41346</v>
      </c>
      <c r="B19" s="122">
        <v>0.32787037037037037</v>
      </c>
      <c r="C19" s="26" t="s">
        <v>1095</v>
      </c>
    </row>
    <row r="20" spans="1:3" x14ac:dyDescent="0.25">
      <c r="A20" s="36">
        <v>41346</v>
      </c>
      <c r="B20" s="122">
        <v>0.32787037037037037</v>
      </c>
      <c r="C20" s="26" t="s">
        <v>1277</v>
      </c>
    </row>
    <row r="21" spans="1:3" x14ac:dyDescent="0.25">
      <c r="A21" s="36">
        <v>41346</v>
      </c>
      <c r="B21" s="122">
        <v>0.32787037037037037</v>
      </c>
      <c r="C21" s="26" t="s">
        <v>1300</v>
      </c>
    </row>
    <row r="22" spans="1:3" x14ac:dyDescent="0.25">
      <c r="A22" s="36">
        <v>41346</v>
      </c>
      <c r="B22" s="122">
        <v>0.32990740740740737</v>
      </c>
      <c r="C22" s="26" t="s">
        <v>1301</v>
      </c>
    </row>
    <row r="23" spans="1:3" ht="30" x14ac:dyDescent="0.25">
      <c r="A23" s="36">
        <v>41346</v>
      </c>
      <c r="B23" s="122">
        <v>0.32997685185185183</v>
      </c>
      <c r="C23" s="789" t="s">
        <v>1302</v>
      </c>
    </row>
    <row r="24" spans="1:3" ht="45" x14ac:dyDescent="0.25">
      <c r="A24" s="36">
        <v>41346</v>
      </c>
      <c r="B24" s="122">
        <v>0.33004629629629628</v>
      </c>
      <c r="C24" s="789" t="s">
        <v>1303</v>
      </c>
    </row>
    <row r="25" spans="1:3" x14ac:dyDescent="0.25">
      <c r="A25" s="36">
        <v>41346</v>
      </c>
      <c r="B25" s="122">
        <v>0.33633101851851849</v>
      </c>
      <c r="C25" s="26" t="s">
        <v>1260</v>
      </c>
    </row>
    <row r="26" spans="1:3" x14ac:dyDescent="0.25">
      <c r="A26" s="36">
        <v>41346</v>
      </c>
      <c r="B26" s="122">
        <v>0.33633101851851849</v>
      </c>
      <c r="C26" s="26" t="s">
        <v>1216</v>
      </c>
    </row>
    <row r="27" spans="1:3" x14ac:dyDescent="0.25">
      <c r="A27" s="36">
        <v>41346</v>
      </c>
      <c r="B27" s="122">
        <v>0.33633101851851849</v>
      </c>
      <c r="C27" s="26" t="s">
        <v>1170</v>
      </c>
    </row>
    <row r="28" spans="1:3" x14ac:dyDescent="0.25">
      <c r="A28" s="36">
        <v>41346</v>
      </c>
      <c r="B28" s="122">
        <v>0.33633101851851849</v>
      </c>
      <c r="C28" s="26" t="s">
        <v>1185</v>
      </c>
    </row>
    <row r="29" spans="1:3" x14ac:dyDescent="0.25">
      <c r="A29" s="36">
        <v>41346</v>
      </c>
      <c r="B29" s="122">
        <v>0.33633101851851849</v>
      </c>
      <c r="C29" s="26" t="s">
        <v>1241</v>
      </c>
    </row>
    <row r="30" spans="1:3" x14ac:dyDescent="0.25">
      <c r="A30" s="36">
        <v>41346</v>
      </c>
      <c r="B30" s="122">
        <v>0.33633101851851849</v>
      </c>
      <c r="C30" s="26" t="s">
        <v>1221</v>
      </c>
    </row>
    <row r="31" spans="1:3" x14ac:dyDescent="0.25">
      <c r="A31" s="36">
        <v>41346</v>
      </c>
      <c r="B31" s="122">
        <v>0.33633101851851849</v>
      </c>
      <c r="C31" s="26" t="s">
        <v>1183</v>
      </c>
    </row>
    <row r="32" spans="1:3" x14ac:dyDescent="0.25">
      <c r="A32" s="36">
        <v>41346</v>
      </c>
      <c r="B32" s="122">
        <v>0.33633101851851849</v>
      </c>
      <c r="C32" s="26" t="s">
        <v>1263</v>
      </c>
    </row>
    <row r="33" spans="1:3" x14ac:dyDescent="0.25">
      <c r="A33" s="36">
        <v>41346</v>
      </c>
      <c r="B33" s="122">
        <v>0.33633101851851849</v>
      </c>
      <c r="C33" s="26" t="s">
        <v>1212</v>
      </c>
    </row>
    <row r="34" spans="1:3" x14ac:dyDescent="0.25">
      <c r="A34" s="36">
        <v>41346</v>
      </c>
      <c r="B34" s="122">
        <v>0.33633101851851849</v>
      </c>
      <c r="C34" s="26" t="s">
        <v>1229</v>
      </c>
    </row>
    <row r="35" spans="1:3" x14ac:dyDescent="0.25">
      <c r="A35" s="36">
        <v>41346</v>
      </c>
      <c r="B35" s="122">
        <v>0.33633101851851849</v>
      </c>
      <c r="C35" s="26" t="s">
        <v>1177</v>
      </c>
    </row>
    <row r="36" spans="1:3" x14ac:dyDescent="0.25">
      <c r="A36" s="36">
        <v>41346</v>
      </c>
      <c r="B36" s="122">
        <v>0.33633101851851849</v>
      </c>
      <c r="C36" s="26" t="s">
        <v>1266</v>
      </c>
    </row>
    <row r="37" spans="1:3" x14ac:dyDescent="0.25">
      <c r="A37" s="36">
        <v>41346</v>
      </c>
      <c r="B37" s="122">
        <v>0.33633101851851849</v>
      </c>
      <c r="C37" s="26" t="s">
        <v>1235</v>
      </c>
    </row>
    <row r="38" spans="1:3" x14ac:dyDescent="0.25">
      <c r="A38" s="36">
        <v>41346</v>
      </c>
      <c r="B38" s="122">
        <v>0.33633101851851849</v>
      </c>
      <c r="C38" s="26" t="s">
        <v>1271</v>
      </c>
    </row>
    <row r="39" spans="1:3" x14ac:dyDescent="0.25">
      <c r="A39" s="36">
        <v>41346</v>
      </c>
      <c r="B39" s="122">
        <v>0.33633101851851849</v>
      </c>
      <c r="C39" s="26" t="s">
        <v>1262</v>
      </c>
    </row>
    <row r="40" spans="1:3" x14ac:dyDescent="0.25">
      <c r="A40" s="36">
        <v>41346</v>
      </c>
      <c r="B40" s="122">
        <v>0.33633101851851849</v>
      </c>
      <c r="C40" s="26" t="s">
        <v>1272</v>
      </c>
    </row>
    <row r="41" spans="1:3" x14ac:dyDescent="0.25">
      <c r="A41" s="36">
        <v>41346</v>
      </c>
      <c r="B41" s="122">
        <v>0.33633101851851849</v>
      </c>
      <c r="C41" s="26" t="s">
        <v>1200</v>
      </c>
    </row>
    <row r="42" spans="1:3" x14ac:dyDescent="0.25">
      <c r="A42" s="36">
        <v>41346</v>
      </c>
      <c r="B42" s="122">
        <v>0.33633101851851849</v>
      </c>
      <c r="C42" s="26" t="s">
        <v>1252</v>
      </c>
    </row>
    <row r="43" spans="1:3" x14ac:dyDescent="0.25">
      <c r="A43" s="36">
        <v>41346</v>
      </c>
      <c r="B43" s="122">
        <v>0.33633101851851849</v>
      </c>
      <c r="C43" s="26" t="s">
        <v>1241</v>
      </c>
    </row>
    <row r="44" spans="1:3" x14ac:dyDescent="0.25">
      <c r="A44" s="36">
        <v>41346</v>
      </c>
      <c r="B44" s="122">
        <v>0.33633101851851849</v>
      </c>
      <c r="C44" s="26" t="s">
        <v>1153</v>
      </c>
    </row>
    <row r="45" spans="1:3" x14ac:dyDescent="0.25">
      <c r="A45" s="36">
        <v>41346</v>
      </c>
      <c r="B45" s="122">
        <v>0.33633101851851849</v>
      </c>
      <c r="C45" s="26" t="s">
        <v>1222</v>
      </c>
    </row>
    <row r="46" spans="1:3" x14ac:dyDescent="0.25">
      <c r="A46" s="36">
        <v>41346</v>
      </c>
      <c r="B46" s="122">
        <v>0.33633101851851849</v>
      </c>
      <c r="C46" s="26" t="s">
        <v>1154</v>
      </c>
    </row>
    <row r="47" spans="1:3" x14ac:dyDescent="0.25">
      <c r="A47" s="36">
        <v>41346</v>
      </c>
      <c r="B47" s="122">
        <v>0.33633101851851849</v>
      </c>
      <c r="C47" s="26" t="s">
        <v>1194</v>
      </c>
    </row>
    <row r="48" spans="1:3" x14ac:dyDescent="0.25">
      <c r="A48" s="36">
        <v>41346</v>
      </c>
      <c r="B48" s="122">
        <v>0.33633101851851849</v>
      </c>
      <c r="C48" s="26" t="s">
        <v>1268</v>
      </c>
    </row>
    <row r="49" spans="1:3" x14ac:dyDescent="0.25">
      <c r="A49" s="36">
        <v>41346</v>
      </c>
      <c r="B49" s="122">
        <v>0.33633101851851849</v>
      </c>
      <c r="C49" s="26" t="s">
        <v>1240</v>
      </c>
    </row>
    <row r="50" spans="1:3" x14ac:dyDescent="0.25">
      <c r="A50" s="36">
        <v>41346</v>
      </c>
      <c r="B50" s="122">
        <v>0.33633101851851849</v>
      </c>
      <c r="C50" s="26" t="s">
        <v>1201</v>
      </c>
    </row>
    <row r="51" spans="1:3" x14ac:dyDescent="0.25">
      <c r="A51" s="36">
        <v>41346</v>
      </c>
      <c r="B51" s="122">
        <v>0.33633101851851849</v>
      </c>
      <c r="C51" s="26" t="s">
        <v>1198</v>
      </c>
    </row>
    <row r="52" spans="1:3" x14ac:dyDescent="0.25">
      <c r="A52" s="36">
        <v>41346</v>
      </c>
      <c r="B52" s="122">
        <v>0.33633101851851849</v>
      </c>
      <c r="C52" s="26" t="s">
        <v>1161</v>
      </c>
    </row>
    <row r="53" spans="1:3" x14ac:dyDescent="0.25">
      <c r="A53" s="36">
        <v>41346</v>
      </c>
      <c r="B53" s="122">
        <v>0.33633101851851849</v>
      </c>
      <c r="C53" s="26" t="s">
        <v>1232</v>
      </c>
    </row>
    <row r="54" spans="1:3" x14ac:dyDescent="0.25">
      <c r="A54" s="36">
        <v>41346</v>
      </c>
      <c r="B54" s="122">
        <v>0.33633101851851849</v>
      </c>
      <c r="C54" s="26" t="s">
        <v>1258</v>
      </c>
    </row>
    <row r="55" spans="1:3" x14ac:dyDescent="0.25">
      <c r="A55" s="36">
        <v>41346</v>
      </c>
      <c r="B55" s="122">
        <v>0.33633101851851849</v>
      </c>
      <c r="C55" s="26" t="s">
        <v>1259</v>
      </c>
    </row>
    <row r="56" spans="1:3" x14ac:dyDescent="0.25">
      <c r="A56" s="36">
        <v>41346</v>
      </c>
      <c r="B56" s="122">
        <v>0.33633101851851849</v>
      </c>
      <c r="C56" s="26" t="s">
        <v>1198</v>
      </c>
    </row>
    <row r="57" spans="1:3" x14ac:dyDescent="0.25">
      <c r="A57" s="36">
        <v>41346</v>
      </c>
      <c r="B57" s="122">
        <v>0.33633101851851849</v>
      </c>
      <c r="C57" s="26" t="s">
        <v>1263</v>
      </c>
    </row>
    <row r="58" spans="1:3" x14ac:dyDescent="0.25">
      <c r="A58" s="36">
        <v>41346</v>
      </c>
      <c r="B58" s="122">
        <v>0.33633101851851849</v>
      </c>
      <c r="C58" s="26" t="s">
        <v>1155</v>
      </c>
    </row>
    <row r="59" spans="1:3" x14ac:dyDescent="0.25">
      <c r="A59" s="36">
        <v>41346</v>
      </c>
      <c r="B59" s="122">
        <v>0.33633101851851849</v>
      </c>
      <c r="C59" s="26" t="s">
        <v>1203</v>
      </c>
    </row>
    <row r="60" spans="1:3" x14ac:dyDescent="0.25">
      <c r="A60" s="36">
        <v>41346</v>
      </c>
      <c r="B60" s="122">
        <v>0.33633101851851849</v>
      </c>
      <c r="C60" s="26" t="s">
        <v>1209</v>
      </c>
    </row>
    <row r="61" spans="1:3" x14ac:dyDescent="0.25">
      <c r="A61" s="36">
        <v>41346</v>
      </c>
      <c r="B61" s="122">
        <v>0.33633101851851849</v>
      </c>
      <c r="C61" s="26" t="s">
        <v>1167</v>
      </c>
    </row>
    <row r="62" spans="1:3" x14ac:dyDescent="0.25">
      <c r="A62" s="36">
        <v>41346</v>
      </c>
      <c r="B62" s="122">
        <v>0.33633101851851849</v>
      </c>
      <c r="C62" s="26" t="s">
        <v>1187</v>
      </c>
    </row>
    <row r="63" spans="1:3" x14ac:dyDescent="0.25">
      <c r="A63" s="36">
        <v>41346</v>
      </c>
      <c r="B63" s="122">
        <v>0.33633101851851849</v>
      </c>
      <c r="C63" s="26" t="s">
        <v>1195</v>
      </c>
    </row>
    <row r="64" spans="1:3" x14ac:dyDescent="0.25">
      <c r="A64" s="36">
        <v>41346</v>
      </c>
      <c r="B64" s="122">
        <v>0.33633101851851849</v>
      </c>
      <c r="C64" s="26" t="s">
        <v>1190</v>
      </c>
    </row>
    <row r="65" spans="1:3" x14ac:dyDescent="0.25">
      <c r="A65" s="36">
        <v>41346</v>
      </c>
      <c r="B65" s="122">
        <v>0.33633101851851849</v>
      </c>
      <c r="C65" s="26" t="s">
        <v>1190</v>
      </c>
    </row>
    <row r="66" spans="1:3" x14ac:dyDescent="0.25">
      <c r="A66" s="36">
        <v>41346</v>
      </c>
      <c r="B66" s="122">
        <v>0.33633101851851849</v>
      </c>
      <c r="C66" s="26" t="s">
        <v>1228</v>
      </c>
    </row>
    <row r="67" spans="1:3" x14ac:dyDescent="0.25">
      <c r="A67" s="36">
        <v>41346</v>
      </c>
      <c r="B67" s="122">
        <v>0.33633101851851849</v>
      </c>
      <c r="C67" s="26" t="s">
        <v>1253</v>
      </c>
    </row>
    <row r="68" spans="1:3" x14ac:dyDescent="0.25">
      <c r="A68" s="36">
        <v>41346</v>
      </c>
      <c r="B68" s="122">
        <v>0.33633101851851849</v>
      </c>
      <c r="C68" s="26" t="s">
        <v>1237</v>
      </c>
    </row>
    <row r="69" spans="1:3" x14ac:dyDescent="0.25">
      <c r="A69" s="36">
        <v>41346</v>
      </c>
      <c r="B69" s="122">
        <v>0.33633101851851849</v>
      </c>
      <c r="C69" s="26" t="s">
        <v>1207</v>
      </c>
    </row>
    <row r="70" spans="1:3" x14ac:dyDescent="0.25">
      <c r="A70" s="36">
        <v>41346</v>
      </c>
      <c r="B70" s="122">
        <v>0.33633101851851849</v>
      </c>
      <c r="C70" s="26" t="s">
        <v>1264</v>
      </c>
    </row>
    <row r="71" spans="1:3" x14ac:dyDescent="0.25">
      <c r="A71" s="36">
        <v>41346</v>
      </c>
      <c r="B71" s="122">
        <v>0.33633101851851849</v>
      </c>
      <c r="C71" s="26" t="s">
        <v>1193</v>
      </c>
    </row>
    <row r="72" spans="1:3" x14ac:dyDescent="0.25">
      <c r="A72" s="36">
        <v>41346</v>
      </c>
      <c r="B72" s="122">
        <v>0.33633101851851849</v>
      </c>
      <c r="C72" s="26" t="s">
        <v>1228</v>
      </c>
    </row>
    <row r="73" spans="1:3" x14ac:dyDescent="0.25">
      <c r="A73" s="36">
        <v>41346</v>
      </c>
      <c r="B73" s="122">
        <v>0.33633101851851849</v>
      </c>
      <c r="C73" s="26" t="s">
        <v>1217</v>
      </c>
    </row>
    <row r="74" spans="1:3" x14ac:dyDescent="0.25">
      <c r="A74" s="36">
        <v>41346</v>
      </c>
      <c r="B74" s="122">
        <v>0.33633101851851849</v>
      </c>
      <c r="C74" s="26" t="s">
        <v>1274</v>
      </c>
    </row>
    <row r="75" spans="1:3" x14ac:dyDescent="0.25">
      <c r="A75" s="36">
        <v>41346</v>
      </c>
      <c r="B75" s="122">
        <v>0.33633101851851849</v>
      </c>
      <c r="C75" s="26" t="s">
        <v>1223</v>
      </c>
    </row>
    <row r="76" spans="1:3" x14ac:dyDescent="0.25">
      <c r="A76" s="36">
        <v>41346</v>
      </c>
      <c r="B76" s="122">
        <v>0.33633101851851849</v>
      </c>
      <c r="C76" s="26" t="s">
        <v>1168</v>
      </c>
    </row>
    <row r="77" spans="1:3" x14ac:dyDescent="0.25">
      <c r="A77" s="36">
        <v>41346</v>
      </c>
      <c r="B77" s="122">
        <v>0.33633101851851849</v>
      </c>
      <c r="C77" s="26" t="s">
        <v>1157</v>
      </c>
    </row>
    <row r="78" spans="1:3" x14ac:dyDescent="0.25">
      <c r="A78" s="36">
        <v>41346</v>
      </c>
      <c r="B78" s="122">
        <v>0.33633101851851849</v>
      </c>
      <c r="C78" s="26" t="s">
        <v>1202</v>
      </c>
    </row>
    <row r="79" spans="1:3" x14ac:dyDescent="0.25">
      <c r="A79" s="36">
        <v>41346</v>
      </c>
      <c r="B79" s="122">
        <v>0.33633101851851849</v>
      </c>
      <c r="C79" s="26" t="s">
        <v>1218</v>
      </c>
    </row>
    <row r="80" spans="1:3" x14ac:dyDescent="0.25">
      <c r="A80" s="36">
        <v>41346</v>
      </c>
      <c r="B80" s="122">
        <v>0.33633101851851849</v>
      </c>
      <c r="C80" s="26" t="s">
        <v>1175</v>
      </c>
    </row>
    <row r="81" spans="1:3" x14ac:dyDescent="0.25">
      <c r="A81" s="36">
        <v>41346</v>
      </c>
      <c r="B81" s="122">
        <v>0.33633101851851849</v>
      </c>
      <c r="C81" s="26" t="s">
        <v>1213</v>
      </c>
    </row>
    <row r="82" spans="1:3" x14ac:dyDescent="0.25">
      <c r="A82" s="36">
        <v>41346</v>
      </c>
      <c r="B82" s="122">
        <v>0.33633101851851849</v>
      </c>
      <c r="C82" s="26" t="s">
        <v>1274</v>
      </c>
    </row>
    <row r="83" spans="1:3" x14ac:dyDescent="0.25">
      <c r="A83" s="36">
        <v>41346</v>
      </c>
      <c r="B83" s="122">
        <v>0.33633101851851849</v>
      </c>
      <c r="C83" s="26" t="s">
        <v>1247</v>
      </c>
    </row>
    <row r="84" spans="1:3" x14ac:dyDescent="0.25">
      <c r="A84" s="36">
        <v>41346</v>
      </c>
      <c r="B84" s="122">
        <v>0.33633101851851849</v>
      </c>
      <c r="C84" s="26" t="s">
        <v>1267</v>
      </c>
    </row>
    <row r="85" spans="1:3" x14ac:dyDescent="0.25">
      <c r="A85" s="36">
        <v>41346</v>
      </c>
      <c r="B85" s="122">
        <v>0.33633101851851849</v>
      </c>
      <c r="C85" s="26" t="s">
        <v>1223</v>
      </c>
    </row>
    <row r="86" spans="1:3" x14ac:dyDescent="0.25">
      <c r="A86" s="36">
        <v>41346</v>
      </c>
      <c r="B86" s="122">
        <v>0.33633101851851849</v>
      </c>
      <c r="C86" s="26" t="s">
        <v>1135</v>
      </c>
    </row>
    <row r="87" spans="1:3" x14ac:dyDescent="0.25">
      <c r="A87" s="36">
        <v>41346</v>
      </c>
      <c r="B87" s="122">
        <v>0.33633101851851849</v>
      </c>
      <c r="C87" s="26" t="s">
        <v>1226</v>
      </c>
    </row>
    <row r="88" spans="1:3" x14ac:dyDescent="0.25">
      <c r="A88" s="36">
        <v>41346</v>
      </c>
      <c r="B88" s="122">
        <v>0.33633101851851849</v>
      </c>
      <c r="C88" s="26" t="s">
        <v>1213</v>
      </c>
    </row>
    <row r="89" spans="1:3" x14ac:dyDescent="0.25">
      <c r="A89" s="36">
        <v>41346</v>
      </c>
      <c r="B89" s="122">
        <v>0.33634259259259264</v>
      </c>
      <c r="C89" s="26" t="s">
        <v>1114</v>
      </c>
    </row>
    <row r="90" spans="1:3" x14ac:dyDescent="0.25">
      <c r="A90" s="36">
        <v>41346</v>
      </c>
      <c r="B90" s="122">
        <v>0.33634259259259264</v>
      </c>
      <c r="C90" s="26" t="s">
        <v>1274</v>
      </c>
    </row>
    <row r="91" spans="1:3" x14ac:dyDescent="0.25">
      <c r="A91" s="36">
        <v>41346</v>
      </c>
      <c r="B91" s="122">
        <v>0.33634259259259264</v>
      </c>
      <c r="C91" s="26" t="s">
        <v>1191</v>
      </c>
    </row>
    <row r="92" spans="1:3" x14ac:dyDescent="0.25">
      <c r="A92" s="36">
        <v>41346</v>
      </c>
      <c r="B92" s="122">
        <v>0.33634259259259264</v>
      </c>
      <c r="C92" s="26" t="s">
        <v>1176</v>
      </c>
    </row>
    <row r="93" spans="1:3" x14ac:dyDescent="0.25">
      <c r="A93" s="36">
        <v>41346</v>
      </c>
      <c r="B93" s="122">
        <v>0.33634259259259264</v>
      </c>
      <c r="C93" s="26" t="s">
        <v>1125</v>
      </c>
    </row>
    <row r="94" spans="1:3" x14ac:dyDescent="0.25">
      <c r="A94" s="36">
        <v>41346</v>
      </c>
      <c r="B94" s="122">
        <v>0.33634259259259264</v>
      </c>
      <c r="C94" s="26" t="s">
        <v>1204</v>
      </c>
    </row>
    <row r="95" spans="1:3" x14ac:dyDescent="0.25">
      <c r="A95" s="36">
        <v>41346</v>
      </c>
      <c r="B95" s="122">
        <v>0.33634259259259264</v>
      </c>
      <c r="C95" s="26" t="s">
        <v>1152</v>
      </c>
    </row>
    <row r="96" spans="1:3" x14ac:dyDescent="0.25">
      <c r="A96" s="36">
        <v>41346</v>
      </c>
      <c r="B96" s="122">
        <v>0.33634259259259264</v>
      </c>
      <c r="C96" s="26" t="s">
        <v>1274</v>
      </c>
    </row>
    <row r="97" spans="1:3" x14ac:dyDescent="0.25">
      <c r="A97" s="36">
        <v>41346</v>
      </c>
      <c r="B97" s="122">
        <v>0.33634259259259264</v>
      </c>
      <c r="C97" s="26" t="s">
        <v>1104</v>
      </c>
    </row>
    <row r="98" spans="1:3" x14ac:dyDescent="0.25">
      <c r="A98" s="36">
        <v>41346</v>
      </c>
      <c r="B98" s="122">
        <v>0.33634259259259264</v>
      </c>
      <c r="C98" s="26" t="s">
        <v>1263</v>
      </c>
    </row>
    <row r="99" spans="1:3" x14ac:dyDescent="0.25">
      <c r="A99" s="36">
        <v>41346</v>
      </c>
      <c r="B99" s="122">
        <v>0.33634259259259264</v>
      </c>
      <c r="C99" s="26" t="s">
        <v>1181</v>
      </c>
    </row>
    <row r="100" spans="1:3" x14ac:dyDescent="0.25">
      <c r="A100" s="36">
        <v>41346</v>
      </c>
      <c r="B100" s="122">
        <v>0.33634259259259264</v>
      </c>
      <c r="C100" s="26" t="s">
        <v>1251</v>
      </c>
    </row>
    <row r="101" spans="1:3" x14ac:dyDescent="0.25">
      <c r="A101" s="36">
        <v>41346</v>
      </c>
      <c r="B101" s="122">
        <v>0.33634259259259264</v>
      </c>
      <c r="C101" s="26" t="s">
        <v>1191</v>
      </c>
    </row>
    <row r="102" spans="1:3" x14ac:dyDescent="0.25">
      <c r="A102" s="36">
        <v>41346</v>
      </c>
      <c r="B102" s="122">
        <v>0.33634259259259264</v>
      </c>
      <c r="C102" s="26" t="s">
        <v>1236</v>
      </c>
    </row>
    <row r="103" spans="1:3" x14ac:dyDescent="0.25">
      <c r="A103" s="36">
        <v>41346</v>
      </c>
      <c r="B103" s="122">
        <v>0.33634259259259264</v>
      </c>
      <c r="C103" s="26" t="s">
        <v>1191</v>
      </c>
    </row>
    <row r="104" spans="1:3" x14ac:dyDescent="0.25">
      <c r="A104" s="36">
        <v>41346</v>
      </c>
      <c r="B104" s="122">
        <v>0.33634259259259264</v>
      </c>
      <c r="C104" s="26" t="s">
        <v>1100</v>
      </c>
    </row>
    <row r="105" spans="1:3" x14ac:dyDescent="0.25">
      <c r="A105" s="36">
        <v>41346</v>
      </c>
      <c r="B105" s="122">
        <v>0.33634259259259264</v>
      </c>
      <c r="C105" s="26" t="s">
        <v>1100</v>
      </c>
    </row>
    <row r="106" spans="1:3" x14ac:dyDescent="0.25">
      <c r="A106" s="36">
        <v>41346</v>
      </c>
      <c r="B106" s="122">
        <v>0.33634259259259264</v>
      </c>
      <c r="C106" s="26" t="s">
        <v>1151</v>
      </c>
    </row>
    <row r="107" spans="1:3" x14ac:dyDescent="0.25">
      <c r="A107" s="36">
        <v>41346</v>
      </c>
      <c r="B107" s="122">
        <v>0.33634259259259264</v>
      </c>
      <c r="C107" s="26" t="s">
        <v>1151</v>
      </c>
    </row>
    <row r="108" spans="1:3" x14ac:dyDescent="0.25">
      <c r="A108" s="36">
        <v>41346</v>
      </c>
      <c r="B108" s="122">
        <v>0.33634259259259264</v>
      </c>
      <c r="C108" s="26" t="s">
        <v>1151</v>
      </c>
    </row>
    <row r="109" spans="1:3" x14ac:dyDescent="0.25">
      <c r="A109" s="36">
        <v>41346</v>
      </c>
      <c r="B109" s="122">
        <v>0.33634259259259264</v>
      </c>
      <c r="C109" s="26" t="s">
        <v>1151</v>
      </c>
    </row>
    <row r="110" spans="1:3" x14ac:dyDescent="0.25">
      <c r="A110" s="36">
        <v>41346</v>
      </c>
      <c r="B110" s="122">
        <v>0.33634259259259264</v>
      </c>
      <c r="C110" s="26" t="s">
        <v>1151</v>
      </c>
    </row>
    <row r="111" spans="1:3" x14ac:dyDescent="0.25">
      <c r="A111" s="36">
        <v>41346</v>
      </c>
      <c r="B111" s="122">
        <v>0.33634259259259264</v>
      </c>
      <c r="C111" s="26" t="s">
        <v>1151</v>
      </c>
    </row>
    <row r="112" spans="1:3" x14ac:dyDescent="0.25">
      <c r="A112" s="36">
        <v>41346</v>
      </c>
      <c r="B112" s="122">
        <v>0.33634259259259264</v>
      </c>
      <c r="C112" s="26" t="s">
        <v>1147</v>
      </c>
    </row>
    <row r="113" spans="1:3" x14ac:dyDescent="0.25">
      <c r="A113" s="36">
        <v>41346</v>
      </c>
      <c r="B113" s="122">
        <v>0.33634259259259264</v>
      </c>
      <c r="C113" s="26" t="s">
        <v>1110</v>
      </c>
    </row>
    <row r="114" spans="1:3" x14ac:dyDescent="0.25">
      <c r="A114" s="36">
        <v>41346</v>
      </c>
      <c r="B114" s="122">
        <v>0.33634259259259264</v>
      </c>
      <c r="C114" s="26" t="s">
        <v>1162</v>
      </c>
    </row>
    <row r="115" spans="1:3" x14ac:dyDescent="0.25">
      <c r="A115" s="36">
        <v>41346</v>
      </c>
      <c r="B115" s="122">
        <v>0.33634259259259264</v>
      </c>
      <c r="C115" s="26" t="s">
        <v>1127</v>
      </c>
    </row>
    <row r="116" spans="1:3" x14ac:dyDescent="0.25">
      <c r="A116" s="36">
        <v>41346</v>
      </c>
      <c r="B116" s="122">
        <v>0.33634259259259264</v>
      </c>
      <c r="C116" s="26" t="s">
        <v>1119</v>
      </c>
    </row>
    <row r="117" spans="1:3" x14ac:dyDescent="0.25">
      <c r="A117" s="36">
        <v>41346</v>
      </c>
      <c r="B117" s="122">
        <v>0.33634259259259264</v>
      </c>
      <c r="C117" s="26" t="s">
        <v>1232</v>
      </c>
    </row>
    <row r="118" spans="1:3" x14ac:dyDescent="0.25">
      <c r="A118" s="36">
        <v>41346</v>
      </c>
      <c r="B118" s="122">
        <v>0.33634259259259264</v>
      </c>
      <c r="C118" s="26" t="s">
        <v>1232</v>
      </c>
    </row>
    <row r="119" spans="1:3" x14ac:dyDescent="0.25">
      <c r="A119" s="36">
        <v>41346</v>
      </c>
      <c r="B119" s="122">
        <v>0.33634259259259264</v>
      </c>
      <c r="C119" s="26" t="s">
        <v>1121</v>
      </c>
    </row>
    <row r="120" spans="1:3" x14ac:dyDescent="0.25">
      <c r="A120" s="36">
        <v>41346</v>
      </c>
      <c r="B120" s="122">
        <v>0.33634259259259264</v>
      </c>
      <c r="C120" s="26" t="s">
        <v>1192</v>
      </c>
    </row>
    <row r="121" spans="1:3" x14ac:dyDescent="0.25">
      <c r="A121" s="36">
        <v>41346</v>
      </c>
      <c r="B121" s="122">
        <v>0.33634259259259264</v>
      </c>
      <c r="C121" s="26" t="s">
        <v>1232</v>
      </c>
    </row>
    <row r="122" spans="1:3" x14ac:dyDescent="0.25">
      <c r="A122" s="36">
        <v>41346</v>
      </c>
      <c r="B122" s="122">
        <v>0.33634259259259264</v>
      </c>
      <c r="C122" s="26" t="s">
        <v>1269</v>
      </c>
    </row>
    <row r="123" spans="1:3" x14ac:dyDescent="0.25">
      <c r="A123" s="36">
        <v>41346</v>
      </c>
      <c r="B123" s="122">
        <v>0.33634259259259264</v>
      </c>
      <c r="C123" s="26" t="s">
        <v>1120</v>
      </c>
    </row>
    <row r="124" spans="1:3" x14ac:dyDescent="0.25">
      <c r="A124" s="36">
        <v>41346</v>
      </c>
      <c r="B124" s="122">
        <v>0.33634259259259264</v>
      </c>
      <c r="C124" s="26" t="s">
        <v>1225</v>
      </c>
    </row>
    <row r="125" spans="1:3" x14ac:dyDescent="0.25">
      <c r="A125" s="36">
        <v>41346</v>
      </c>
      <c r="B125" s="122">
        <v>0.33634259259259264</v>
      </c>
      <c r="C125" s="26" t="s">
        <v>1240</v>
      </c>
    </row>
    <row r="126" spans="1:3" x14ac:dyDescent="0.25">
      <c r="A126" s="36">
        <v>41346</v>
      </c>
      <c r="B126" s="122">
        <v>0.33634259259259264</v>
      </c>
      <c r="C126" s="26" t="s">
        <v>1246</v>
      </c>
    </row>
    <row r="127" spans="1:3" x14ac:dyDescent="0.25">
      <c r="A127" s="36">
        <v>41346</v>
      </c>
      <c r="B127" s="122">
        <v>0.33634259259259264</v>
      </c>
      <c r="C127" s="26" t="s">
        <v>1261</v>
      </c>
    </row>
    <row r="128" spans="1:3" x14ac:dyDescent="0.25">
      <c r="A128" s="36">
        <v>41346</v>
      </c>
      <c r="B128" s="122">
        <v>0.33634259259259264</v>
      </c>
      <c r="C128" s="26" t="s">
        <v>1274</v>
      </c>
    </row>
    <row r="129" spans="1:3" x14ac:dyDescent="0.25">
      <c r="A129" s="36">
        <v>41346</v>
      </c>
      <c r="B129" s="122">
        <v>0.33634259259259264</v>
      </c>
      <c r="C129" s="26" t="s">
        <v>1137</v>
      </c>
    </row>
    <row r="130" spans="1:3" x14ac:dyDescent="0.25">
      <c r="A130" s="36">
        <v>41346</v>
      </c>
      <c r="B130" s="122">
        <v>0.33634259259259264</v>
      </c>
      <c r="C130" s="26" t="s">
        <v>1184</v>
      </c>
    </row>
    <row r="131" spans="1:3" x14ac:dyDescent="0.25">
      <c r="A131" s="36">
        <v>41346</v>
      </c>
      <c r="B131" s="122">
        <v>0.33634259259259264</v>
      </c>
      <c r="C131" s="26" t="s">
        <v>1166</v>
      </c>
    </row>
    <row r="132" spans="1:3" x14ac:dyDescent="0.25">
      <c r="A132" s="36">
        <v>41346</v>
      </c>
      <c r="B132" s="122">
        <v>0.33634259259259264</v>
      </c>
      <c r="C132" s="26" t="s">
        <v>1224</v>
      </c>
    </row>
    <row r="133" spans="1:3" x14ac:dyDescent="0.25">
      <c r="A133" s="36">
        <v>41346</v>
      </c>
      <c r="B133" s="122">
        <v>0.33634259259259264</v>
      </c>
      <c r="C133" s="26" t="s">
        <v>1270</v>
      </c>
    </row>
    <row r="134" spans="1:3" x14ac:dyDescent="0.25">
      <c r="A134" s="36">
        <v>41346</v>
      </c>
      <c r="B134" s="122">
        <v>0.33634259259259264</v>
      </c>
      <c r="C134" s="26" t="s">
        <v>1204</v>
      </c>
    </row>
    <row r="135" spans="1:3" x14ac:dyDescent="0.25">
      <c r="A135" s="36">
        <v>41346</v>
      </c>
      <c r="B135" s="122">
        <v>0.33634259259259264</v>
      </c>
      <c r="C135" s="26" t="s">
        <v>1140</v>
      </c>
    </row>
    <row r="136" spans="1:3" x14ac:dyDescent="0.25">
      <c r="A136" s="36">
        <v>41346</v>
      </c>
      <c r="B136" s="122">
        <v>0.33634259259259264</v>
      </c>
      <c r="C136" s="26" t="s">
        <v>1144</v>
      </c>
    </row>
    <row r="137" spans="1:3" x14ac:dyDescent="0.25">
      <c r="A137" s="36">
        <v>41346</v>
      </c>
      <c r="B137" s="122">
        <v>0.33634259259259264</v>
      </c>
      <c r="C137" s="26" t="s">
        <v>1274</v>
      </c>
    </row>
    <row r="138" spans="1:3" x14ac:dyDescent="0.25">
      <c r="A138" s="36">
        <v>41346</v>
      </c>
      <c r="B138" s="122">
        <v>0.33634259259259264</v>
      </c>
      <c r="C138" s="26" t="s">
        <v>1238</v>
      </c>
    </row>
    <row r="139" spans="1:3" x14ac:dyDescent="0.25">
      <c r="A139" s="36">
        <v>41346</v>
      </c>
      <c r="B139" s="122">
        <v>0.33634259259259264</v>
      </c>
      <c r="C139" s="26" t="s">
        <v>1179</v>
      </c>
    </row>
    <row r="140" spans="1:3" x14ac:dyDescent="0.25">
      <c r="A140" s="36">
        <v>41346</v>
      </c>
      <c r="B140" s="122">
        <v>0.33634259259259264</v>
      </c>
      <c r="C140" s="26" t="s">
        <v>1142</v>
      </c>
    </row>
    <row r="141" spans="1:3" x14ac:dyDescent="0.25">
      <c r="A141" s="36">
        <v>41346</v>
      </c>
      <c r="B141" s="122">
        <v>0.33634259259259264</v>
      </c>
      <c r="C141" s="26" t="s">
        <v>1233</v>
      </c>
    </row>
    <row r="142" spans="1:3" x14ac:dyDescent="0.25">
      <c r="A142" s="36">
        <v>41346</v>
      </c>
      <c r="B142" s="122">
        <v>0.33634259259259264</v>
      </c>
      <c r="C142" s="26" t="s">
        <v>1129</v>
      </c>
    </row>
    <row r="143" spans="1:3" x14ac:dyDescent="0.25">
      <c r="A143" s="36">
        <v>41346</v>
      </c>
      <c r="B143" s="122">
        <v>0.33634259259259264</v>
      </c>
      <c r="C143" s="26" t="s">
        <v>1122</v>
      </c>
    </row>
    <row r="144" spans="1:3" x14ac:dyDescent="0.25">
      <c r="A144" s="36">
        <v>41346</v>
      </c>
      <c r="B144" s="122">
        <v>0.33634259259259264</v>
      </c>
      <c r="C144" s="26" t="s">
        <v>1250</v>
      </c>
    </row>
    <row r="145" spans="1:3" x14ac:dyDescent="0.25">
      <c r="A145" s="36">
        <v>41346</v>
      </c>
      <c r="B145" s="122">
        <v>0.33634259259259264</v>
      </c>
      <c r="C145" s="26" t="s">
        <v>1173</v>
      </c>
    </row>
    <row r="146" spans="1:3" x14ac:dyDescent="0.25">
      <c r="A146" s="36">
        <v>41346</v>
      </c>
      <c r="B146" s="122">
        <v>0.33634259259259264</v>
      </c>
      <c r="C146" s="26" t="s">
        <v>1131</v>
      </c>
    </row>
    <row r="147" spans="1:3" x14ac:dyDescent="0.25">
      <c r="A147" s="36">
        <v>41346</v>
      </c>
      <c r="B147" s="122">
        <v>0.33634259259259264</v>
      </c>
      <c r="C147" s="26" t="s">
        <v>1124</v>
      </c>
    </row>
    <row r="148" spans="1:3" x14ac:dyDescent="0.25">
      <c r="A148" s="36">
        <v>41346</v>
      </c>
      <c r="B148" s="122">
        <v>0.33634259259259264</v>
      </c>
      <c r="C148" s="26" t="s">
        <v>1275</v>
      </c>
    </row>
    <row r="149" spans="1:3" x14ac:dyDescent="0.25">
      <c r="A149" s="36">
        <v>41346</v>
      </c>
      <c r="B149" s="122">
        <v>0.33634259259259264</v>
      </c>
      <c r="C149" s="26" t="s">
        <v>1244</v>
      </c>
    </row>
    <row r="150" spans="1:3" x14ac:dyDescent="0.25">
      <c r="A150" s="36">
        <v>41346</v>
      </c>
      <c r="B150" s="122">
        <v>0.33634259259259264</v>
      </c>
      <c r="C150" s="26" t="s">
        <v>1230</v>
      </c>
    </row>
    <row r="151" spans="1:3" x14ac:dyDescent="0.25">
      <c r="A151" s="36">
        <v>41346</v>
      </c>
      <c r="B151" s="122">
        <v>0.33634259259259264</v>
      </c>
      <c r="C151" s="26" t="s">
        <v>1180</v>
      </c>
    </row>
    <row r="152" spans="1:3" x14ac:dyDescent="0.25">
      <c r="A152" s="36">
        <v>41346</v>
      </c>
      <c r="B152" s="122">
        <v>0.33634259259259264</v>
      </c>
      <c r="C152" s="26" t="s">
        <v>1199</v>
      </c>
    </row>
    <row r="153" spans="1:3" x14ac:dyDescent="0.25">
      <c r="A153" s="36">
        <v>41346</v>
      </c>
      <c r="B153" s="122">
        <v>0.33634259259259264</v>
      </c>
      <c r="C153" s="26" t="s">
        <v>1138</v>
      </c>
    </row>
    <row r="154" spans="1:3" x14ac:dyDescent="0.25">
      <c r="A154" s="36">
        <v>41346</v>
      </c>
      <c r="B154" s="122">
        <v>0.33634259259259264</v>
      </c>
      <c r="C154" s="26" t="s">
        <v>1211</v>
      </c>
    </row>
    <row r="155" spans="1:3" x14ac:dyDescent="0.25">
      <c r="A155" s="36">
        <v>41346</v>
      </c>
      <c r="B155" s="122">
        <v>0.33634259259259264</v>
      </c>
      <c r="C155" s="26" t="s">
        <v>1255</v>
      </c>
    </row>
    <row r="156" spans="1:3" x14ac:dyDescent="0.25">
      <c r="A156" s="36">
        <v>41346</v>
      </c>
      <c r="B156" s="122">
        <v>0.33634259259259264</v>
      </c>
      <c r="C156" s="26" t="s">
        <v>1239</v>
      </c>
    </row>
    <row r="157" spans="1:3" x14ac:dyDescent="0.25">
      <c r="A157" s="36">
        <v>41346</v>
      </c>
      <c r="B157" s="122">
        <v>0.33634259259259264</v>
      </c>
      <c r="C157" s="26" t="s">
        <v>1133</v>
      </c>
    </row>
    <row r="158" spans="1:3" x14ac:dyDescent="0.25">
      <c r="A158" s="36">
        <v>41346</v>
      </c>
      <c r="B158" s="122">
        <v>0.33634259259259264</v>
      </c>
      <c r="C158" s="26" t="s">
        <v>1184</v>
      </c>
    </row>
    <row r="159" spans="1:3" x14ac:dyDescent="0.25">
      <c r="A159" s="36">
        <v>41346</v>
      </c>
      <c r="B159" s="122">
        <v>0.33634259259259264</v>
      </c>
      <c r="C159" s="26" t="s">
        <v>1274</v>
      </c>
    </row>
    <row r="160" spans="1:3" x14ac:dyDescent="0.25">
      <c r="A160" s="36">
        <v>41346</v>
      </c>
      <c r="B160" s="122">
        <v>0.33634259259259264</v>
      </c>
      <c r="C160" s="26" t="s">
        <v>1133</v>
      </c>
    </row>
    <row r="161" spans="1:3" x14ac:dyDescent="0.25">
      <c r="A161" s="36">
        <v>41346</v>
      </c>
      <c r="B161" s="122">
        <v>0.33634259259259264</v>
      </c>
      <c r="C161" s="26" t="s">
        <v>1108</v>
      </c>
    </row>
    <row r="162" spans="1:3" x14ac:dyDescent="0.25">
      <c r="A162" s="36">
        <v>41346</v>
      </c>
      <c r="B162" s="122">
        <v>0.33634259259259264</v>
      </c>
      <c r="C162" s="26" t="s">
        <v>1133</v>
      </c>
    </row>
    <row r="163" spans="1:3" x14ac:dyDescent="0.25">
      <c r="A163" s="36">
        <v>41346</v>
      </c>
      <c r="B163" s="122">
        <v>0.33634259259259264</v>
      </c>
      <c r="C163" s="26" t="s">
        <v>1133</v>
      </c>
    </row>
    <row r="164" spans="1:3" x14ac:dyDescent="0.25">
      <c r="A164" s="36">
        <v>41346</v>
      </c>
      <c r="B164" s="122">
        <v>0.33634259259259264</v>
      </c>
      <c r="C164" s="26" t="s">
        <v>1265</v>
      </c>
    </row>
    <row r="165" spans="1:3" x14ac:dyDescent="0.25">
      <c r="A165" s="36">
        <v>41346</v>
      </c>
      <c r="B165" s="122">
        <v>0.33634259259259264</v>
      </c>
      <c r="C165" s="26" t="s">
        <v>1112</v>
      </c>
    </row>
    <row r="166" spans="1:3" x14ac:dyDescent="0.25">
      <c r="A166" s="36">
        <v>41346</v>
      </c>
      <c r="B166" s="122">
        <v>0.33634259259259264</v>
      </c>
      <c r="C166" s="26" t="s">
        <v>1254</v>
      </c>
    </row>
    <row r="167" spans="1:3" x14ac:dyDescent="0.25">
      <c r="A167" s="36">
        <v>41346</v>
      </c>
      <c r="B167" s="122">
        <v>0.33634259259259264</v>
      </c>
      <c r="C167" s="26" t="s">
        <v>1126</v>
      </c>
    </row>
    <row r="168" spans="1:3" x14ac:dyDescent="0.25">
      <c r="A168" s="36">
        <v>41346</v>
      </c>
      <c r="B168" s="122">
        <v>0.33634259259259264</v>
      </c>
      <c r="C168" s="26" t="s">
        <v>1243</v>
      </c>
    </row>
    <row r="169" spans="1:3" x14ac:dyDescent="0.25">
      <c r="A169" s="36">
        <v>41346</v>
      </c>
      <c r="B169" s="122">
        <v>0.33634259259259264</v>
      </c>
      <c r="C169" s="26" t="s">
        <v>1109</v>
      </c>
    </row>
    <row r="170" spans="1:3" x14ac:dyDescent="0.25">
      <c r="A170" s="36">
        <v>41346</v>
      </c>
      <c r="B170" s="122">
        <v>0.33634259259259264</v>
      </c>
      <c r="C170" s="26" t="s">
        <v>1109</v>
      </c>
    </row>
    <row r="171" spans="1:3" x14ac:dyDescent="0.25">
      <c r="A171" s="36">
        <v>41346</v>
      </c>
      <c r="B171" s="122">
        <v>0.33634259259259264</v>
      </c>
      <c r="C171" s="26" t="s">
        <v>1178</v>
      </c>
    </row>
    <row r="172" spans="1:3" x14ac:dyDescent="0.25">
      <c r="A172" s="36">
        <v>41346</v>
      </c>
      <c r="B172" s="122">
        <v>0.33634259259259264</v>
      </c>
      <c r="C172" s="26" t="s">
        <v>1197</v>
      </c>
    </row>
    <row r="173" spans="1:3" x14ac:dyDescent="0.25">
      <c r="A173" s="36">
        <v>41346</v>
      </c>
      <c r="B173" s="122">
        <v>0.33634259259259264</v>
      </c>
      <c r="C173" s="26" t="s">
        <v>1113</v>
      </c>
    </row>
    <row r="174" spans="1:3" x14ac:dyDescent="0.25">
      <c r="A174" s="36">
        <v>41346</v>
      </c>
      <c r="B174" s="122">
        <v>0.33634259259259264</v>
      </c>
      <c r="C174" s="26" t="s">
        <v>1208</v>
      </c>
    </row>
    <row r="175" spans="1:3" x14ac:dyDescent="0.25">
      <c r="A175" s="36">
        <v>41346</v>
      </c>
      <c r="B175" s="122">
        <v>0.33634259259259264</v>
      </c>
      <c r="C175" s="26" t="s">
        <v>1121</v>
      </c>
    </row>
    <row r="176" spans="1:3" x14ac:dyDescent="0.25">
      <c r="A176" s="36">
        <v>41346</v>
      </c>
      <c r="B176" s="122">
        <v>0.33634259259259264</v>
      </c>
      <c r="C176" s="26" t="s">
        <v>1205</v>
      </c>
    </row>
    <row r="177" spans="1:3" x14ac:dyDescent="0.25">
      <c r="A177" s="36">
        <v>41346</v>
      </c>
      <c r="B177" s="122">
        <v>0.33634259259259264</v>
      </c>
      <c r="C177" s="26" t="s">
        <v>1111</v>
      </c>
    </row>
    <row r="178" spans="1:3" x14ac:dyDescent="0.25">
      <c r="A178" s="36">
        <v>41346</v>
      </c>
      <c r="B178" s="122">
        <v>0.33634259259259264</v>
      </c>
      <c r="C178" s="26" t="s">
        <v>1149</v>
      </c>
    </row>
    <row r="179" spans="1:3" x14ac:dyDescent="0.25">
      <c r="A179" s="36">
        <v>41346</v>
      </c>
      <c r="B179" s="122">
        <v>0.33634259259259264</v>
      </c>
      <c r="C179" s="26" t="s">
        <v>1196</v>
      </c>
    </row>
    <row r="180" spans="1:3" x14ac:dyDescent="0.25">
      <c r="A180" s="36">
        <v>41346</v>
      </c>
      <c r="B180" s="122">
        <v>0.33634259259259264</v>
      </c>
      <c r="C180" s="26" t="s">
        <v>1242</v>
      </c>
    </row>
    <row r="181" spans="1:3" x14ac:dyDescent="0.25">
      <c r="A181" s="36">
        <v>41346</v>
      </c>
      <c r="B181" s="122">
        <v>0.33634259259259264</v>
      </c>
      <c r="C181" s="26" t="s">
        <v>1139</v>
      </c>
    </row>
    <row r="182" spans="1:3" x14ac:dyDescent="0.25">
      <c r="A182" s="36">
        <v>41346</v>
      </c>
      <c r="B182" s="122">
        <v>0.33634259259259264</v>
      </c>
      <c r="C182" s="26" t="s">
        <v>1256</v>
      </c>
    </row>
    <row r="183" spans="1:3" x14ac:dyDescent="0.25">
      <c r="A183" s="36">
        <v>41346</v>
      </c>
      <c r="B183" s="122">
        <v>0.33634259259259264</v>
      </c>
      <c r="C183" s="26" t="s">
        <v>1102</v>
      </c>
    </row>
    <row r="184" spans="1:3" x14ac:dyDescent="0.25">
      <c r="A184" s="36">
        <v>41346</v>
      </c>
      <c r="B184" s="122">
        <v>0.33634259259259264</v>
      </c>
      <c r="C184" s="26" t="s">
        <v>1257</v>
      </c>
    </row>
    <row r="185" spans="1:3" x14ac:dyDescent="0.25">
      <c r="A185" s="36">
        <v>41346</v>
      </c>
      <c r="B185" s="122">
        <v>0.33634259259259264</v>
      </c>
      <c r="C185" s="26" t="s">
        <v>1128</v>
      </c>
    </row>
    <row r="186" spans="1:3" x14ac:dyDescent="0.25">
      <c r="A186" s="36">
        <v>41346</v>
      </c>
      <c r="B186" s="122">
        <v>0.33634259259259264</v>
      </c>
      <c r="C186" s="26" t="s">
        <v>1184</v>
      </c>
    </row>
    <row r="187" spans="1:3" x14ac:dyDescent="0.25">
      <c r="A187" s="36">
        <v>41346</v>
      </c>
      <c r="B187" s="122">
        <v>0.33634259259259264</v>
      </c>
      <c r="C187" s="26" t="s">
        <v>1156</v>
      </c>
    </row>
    <row r="188" spans="1:3" x14ac:dyDescent="0.25">
      <c r="A188" s="36">
        <v>41346</v>
      </c>
      <c r="B188" s="122">
        <v>0.33634259259259264</v>
      </c>
      <c r="C188" s="26" t="s">
        <v>1179</v>
      </c>
    </row>
    <row r="189" spans="1:3" x14ac:dyDescent="0.25">
      <c r="A189" s="36">
        <v>41346</v>
      </c>
      <c r="B189" s="122">
        <v>0.33634259259259264</v>
      </c>
      <c r="C189" s="26" t="s">
        <v>1188</v>
      </c>
    </row>
    <row r="190" spans="1:3" x14ac:dyDescent="0.25">
      <c r="A190" s="36">
        <v>41346</v>
      </c>
      <c r="B190" s="122">
        <v>0.33634259259259264</v>
      </c>
      <c r="C190" s="26" t="s">
        <v>1143</v>
      </c>
    </row>
    <row r="191" spans="1:3" x14ac:dyDescent="0.25">
      <c r="A191" s="36">
        <v>41346</v>
      </c>
      <c r="B191" s="122">
        <v>0.33634259259259264</v>
      </c>
      <c r="C191" s="26" t="s">
        <v>1136</v>
      </c>
    </row>
    <row r="192" spans="1:3" x14ac:dyDescent="0.25">
      <c r="A192" s="36">
        <v>41346</v>
      </c>
      <c r="B192" s="122">
        <v>0.33634259259259264</v>
      </c>
      <c r="C192" s="26" t="s">
        <v>1098</v>
      </c>
    </row>
    <row r="193" spans="1:3" x14ac:dyDescent="0.25">
      <c r="A193" s="36">
        <v>41346</v>
      </c>
      <c r="B193" s="122">
        <v>0.33634259259259264</v>
      </c>
      <c r="C193" s="26" t="s">
        <v>1159</v>
      </c>
    </row>
    <row r="194" spans="1:3" x14ac:dyDescent="0.25">
      <c r="A194" s="36">
        <v>41346</v>
      </c>
      <c r="B194" s="122">
        <v>0.33634259259259264</v>
      </c>
      <c r="C194" s="26" t="s">
        <v>1134</v>
      </c>
    </row>
    <row r="195" spans="1:3" x14ac:dyDescent="0.25">
      <c r="A195" s="36">
        <v>41346</v>
      </c>
      <c r="B195" s="122">
        <v>0.33634259259259264</v>
      </c>
      <c r="C195" s="26" t="s">
        <v>1164</v>
      </c>
    </row>
    <row r="196" spans="1:3" x14ac:dyDescent="0.25">
      <c r="A196" s="36">
        <v>41346</v>
      </c>
      <c r="B196" s="122">
        <v>0.33634259259259264</v>
      </c>
      <c r="C196" s="26" t="s">
        <v>1118</v>
      </c>
    </row>
    <row r="197" spans="1:3" x14ac:dyDescent="0.25">
      <c r="A197" s="36">
        <v>41346</v>
      </c>
      <c r="B197" s="122">
        <v>0.33634259259259264</v>
      </c>
      <c r="C197" s="26" t="s">
        <v>1240</v>
      </c>
    </row>
    <row r="198" spans="1:3" x14ac:dyDescent="0.25">
      <c r="A198" s="36">
        <v>41346</v>
      </c>
      <c r="B198" s="122">
        <v>0.33634259259259264</v>
      </c>
      <c r="C198" s="26" t="s">
        <v>1227</v>
      </c>
    </row>
    <row r="199" spans="1:3" x14ac:dyDescent="0.25">
      <c r="A199" s="36">
        <v>41346</v>
      </c>
      <c r="B199" s="122">
        <v>0.33634259259259264</v>
      </c>
      <c r="C199" s="26" t="s">
        <v>1150</v>
      </c>
    </row>
    <row r="200" spans="1:3" x14ac:dyDescent="0.25">
      <c r="A200" s="36">
        <v>41346</v>
      </c>
      <c r="B200" s="122">
        <v>0.33634259259259264</v>
      </c>
      <c r="C200" s="26" t="s">
        <v>1273</v>
      </c>
    </row>
    <row r="201" spans="1:3" x14ac:dyDescent="0.25">
      <c r="A201" s="36">
        <v>41346</v>
      </c>
      <c r="B201" s="122">
        <v>0.33634259259259264</v>
      </c>
      <c r="C201" s="26" t="s">
        <v>1125</v>
      </c>
    </row>
    <row r="202" spans="1:3" x14ac:dyDescent="0.25">
      <c r="A202" s="36">
        <v>41346</v>
      </c>
      <c r="B202" s="122">
        <v>0.33634259259259264</v>
      </c>
      <c r="C202" s="26" t="s">
        <v>1097</v>
      </c>
    </row>
    <row r="203" spans="1:3" x14ac:dyDescent="0.25">
      <c r="A203" s="36">
        <v>41346</v>
      </c>
      <c r="B203" s="122">
        <v>0.33634259259259264</v>
      </c>
      <c r="C203" s="26" t="s">
        <v>1189</v>
      </c>
    </row>
    <row r="204" spans="1:3" x14ac:dyDescent="0.25">
      <c r="A204" s="36">
        <v>41346</v>
      </c>
      <c r="B204" s="122">
        <v>0.33634259259259264</v>
      </c>
      <c r="C204" s="26" t="s">
        <v>1205</v>
      </c>
    </row>
    <row r="205" spans="1:3" x14ac:dyDescent="0.25">
      <c r="A205" s="36">
        <v>41346</v>
      </c>
      <c r="B205" s="122">
        <v>0.33634259259259264</v>
      </c>
      <c r="C205" s="26" t="s">
        <v>1182</v>
      </c>
    </row>
    <row r="206" spans="1:3" x14ac:dyDescent="0.25">
      <c r="A206" s="36">
        <v>41346</v>
      </c>
      <c r="B206" s="122">
        <v>0.33634259259259264</v>
      </c>
      <c r="C206" s="26" t="s">
        <v>1105</v>
      </c>
    </row>
    <row r="207" spans="1:3" x14ac:dyDescent="0.25">
      <c r="A207" s="36">
        <v>41346</v>
      </c>
      <c r="B207" s="122">
        <v>0.33634259259259264</v>
      </c>
      <c r="C207" s="26" t="s">
        <v>1105</v>
      </c>
    </row>
    <row r="208" spans="1:3" x14ac:dyDescent="0.25">
      <c r="A208" s="36">
        <v>41346</v>
      </c>
      <c r="B208" s="122">
        <v>0.33634259259259264</v>
      </c>
      <c r="C208" s="26" t="s">
        <v>1269</v>
      </c>
    </row>
    <row r="209" spans="1:3" x14ac:dyDescent="0.25">
      <c r="A209" s="36">
        <v>41346</v>
      </c>
      <c r="B209" s="122">
        <v>0.33634259259259264</v>
      </c>
      <c r="C209" s="26" t="s">
        <v>1215</v>
      </c>
    </row>
    <row r="210" spans="1:3" x14ac:dyDescent="0.25">
      <c r="A210" s="36">
        <v>41346</v>
      </c>
      <c r="B210" s="122">
        <v>0.33634259259259264</v>
      </c>
      <c r="C210" s="26" t="s">
        <v>1148</v>
      </c>
    </row>
    <row r="211" spans="1:3" x14ac:dyDescent="0.25">
      <c r="A211" s="36">
        <v>41346</v>
      </c>
      <c r="B211" s="122">
        <v>0.33634259259259264</v>
      </c>
      <c r="C211" s="26" t="s">
        <v>1117</v>
      </c>
    </row>
    <row r="212" spans="1:3" x14ac:dyDescent="0.25">
      <c r="A212" s="36">
        <v>41346</v>
      </c>
      <c r="B212" s="122">
        <v>0.33634259259259264</v>
      </c>
      <c r="C212" s="26" t="s">
        <v>1117</v>
      </c>
    </row>
    <row r="213" spans="1:3" x14ac:dyDescent="0.25">
      <c r="A213" s="36">
        <v>41346</v>
      </c>
      <c r="B213" s="122">
        <v>0.33634259259259264</v>
      </c>
      <c r="C213" s="26" t="s">
        <v>1159</v>
      </c>
    </row>
    <row r="214" spans="1:3" x14ac:dyDescent="0.25">
      <c r="A214" s="36">
        <v>41346</v>
      </c>
      <c r="B214" s="122">
        <v>0.33634259259259264</v>
      </c>
      <c r="C214" s="26" t="s">
        <v>1220</v>
      </c>
    </row>
    <row r="215" spans="1:3" x14ac:dyDescent="0.25">
      <c r="A215" s="36">
        <v>41346</v>
      </c>
      <c r="B215" s="122">
        <v>0.33634259259259264</v>
      </c>
      <c r="C215" s="26" t="s">
        <v>1146</v>
      </c>
    </row>
    <row r="216" spans="1:3" x14ac:dyDescent="0.25">
      <c r="A216" s="36">
        <v>41346</v>
      </c>
      <c r="B216" s="122">
        <v>0.33634259259259264</v>
      </c>
      <c r="C216" s="26" t="s">
        <v>1210</v>
      </c>
    </row>
    <row r="217" spans="1:3" x14ac:dyDescent="0.25">
      <c r="A217" s="36">
        <v>41346</v>
      </c>
      <c r="B217" s="122">
        <v>0.33634259259259264</v>
      </c>
      <c r="C217" s="26" t="s">
        <v>1116</v>
      </c>
    </row>
    <row r="218" spans="1:3" x14ac:dyDescent="0.25">
      <c r="A218" s="36">
        <v>41346</v>
      </c>
      <c r="B218" s="122">
        <v>0.33634259259259264</v>
      </c>
      <c r="C218" s="26" t="s">
        <v>1206</v>
      </c>
    </row>
    <row r="219" spans="1:3" x14ac:dyDescent="0.25">
      <c r="A219" s="36">
        <v>41346</v>
      </c>
      <c r="B219" s="122">
        <v>0.33634259259259264</v>
      </c>
      <c r="C219" s="26" t="s">
        <v>1184</v>
      </c>
    </row>
    <row r="220" spans="1:3" x14ac:dyDescent="0.25">
      <c r="A220" s="36">
        <v>41346</v>
      </c>
      <c r="B220" s="122">
        <v>0.33634259259259264</v>
      </c>
      <c r="C220" s="26" t="s">
        <v>1214</v>
      </c>
    </row>
    <row r="221" spans="1:3" x14ac:dyDescent="0.25">
      <c r="A221" s="36">
        <v>41346</v>
      </c>
      <c r="B221" s="122">
        <v>0.33634259259259264</v>
      </c>
      <c r="C221" s="26" t="s">
        <v>1169</v>
      </c>
    </row>
    <row r="222" spans="1:3" x14ac:dyDescent="0.25">
      <c r="A222" s="36">
        <v>41346</v>
      </c>
      <c r="B222" s="122">
        <v>0.33634259259259264</v>
      </c>
      <c r="C222" s="26" t="s">
        <v>1250</v>
      </c>
    </row>
    <row r="223" spans="1:3" x14ac:dyDescent="0.25">
      <c r="A223" s="36">
        <v>41346</v>
      </c>
      <c r="B223" s="122">
        <v>0.33634259259259264</v>
      </c>
      <c r="C223" s="26" t="s">
        <v>1123</v>
      </c>
    </row>
    <row r="224" spans="1:3" x14ac:dyDescent="0.25">
      <c r="A224" s="36">
        <v>41346</v>
      </c>
      <c r="B224" s="122">
        <v>0.33634259259259264</v>
      </c>
      <c r="C224" s="26" t="s">
        <v>1230</v>
      </c>
    </row>
    <row r="225" spans="1:3" x14ac:dyDescent="0.25">
      <c r="A225" s="36">
        <v>41346</v>
      </c>
      <c r="B225" s="122">
        <v>0.33634259259259264</v>
      </c>
      <c r="C225" s="26" t="s">
        <v>1204</v>
      </c>
    </row>
    <row r="226" spans="1:3" x14ac:dyDescent="0.25">
      <c r="A226" s="36">
        <v>41346</v>
      </c>
      <c r="B226" s="122">
        <v>0.33634259259259264</v>
      </c>
      <c r="C226" s="26" t="s">
        <v>1171</v>
      </c>
    </row>
    <row r="227" spans="1:3" x14ac:dyDescent="0.25">
      <c r="A227" s="36">
        <v>41346</v>
      </c>
      <c r="B227" s="122">
        <v>0.33634259259259264</v>
      </c>
      <c r="C227" s="26" t="s">
        <v>1099</v>
      </c>
    </row>
    <row r="228" spans="1:3" x14ac:dyDescent="0.25">
      <c r="A228" s="36">
        <v>41346</v>
      </c>
      <c r="B228" s="122">
        <v>0.33634259259259264</v>
      </c>
      <c r="C228" s="26" t="s">
        <v>1132</v>
      </c>
    </row>
    <row r="229" spans="1:3" x14ac:dyDescent="0.25">
      <c r="A229" s="36">
        <v>41346</v>
      </c>
      <c r="B229" s="122">
        <v>0.33634259259259264</v>
      </c>
      <c r="C229" s="26" t="s">
        <v>1186</v>
      </c>
    </row>
    <row r="230" spans="1:3" x14ac:dyDescent="0.25">
      <c r="A230" s="36">
        <v>41346</v>
      </c>
      <c r="B230" s="122">
        <v>0.33634259259259264</v>
      </c>
      <c r="C230" s="26" t="s">
        <v>1231</v>
      </c>
    </row>
    <row r="231" spans="1:3" x14ac:dyDescent="0.25">
      <c r="A231" s="36">
        <v>41346</v>
      </c>
      <c r="B231" s="122">
        <v>0.33634259259259264</v>
      </c>
      <c r="C231" s="26" t="s">
        <v>1146</v>
      </c>
    </row>
    <row r="232" spans="1:3" x14ac:dyDescent="0.25">
      <c r="A232" s="36">
        <v>41346</v>
      </c>
      <c r="B232" s="122">
        <v>0.33634259259259264</v>
      </c>
      <c r="C232" s="26" t="s">
        <v>1107</v>
      </c>
    </row>
    <row r="233" spans="1:3" x14ac:dyDescent="0.25">
      <c r="A233" s="36">
        <v>41346</v>
      </c>
      <c r="B233" s="122">
        <v>0.33634259259259264</v>
      </c>
      <c r="C233" s="26" t="s">
        <v>1249</v>
      </c>
    </row>
    <row r="234" spans="1:3" x14ac:dyDescent="0.25">
      <c r="A234" s="36">
        <v>41346</v>
      </c>
      <c r="B234" s="122">
        <v>0.33634259259259264</v>
      </c>
      <c r="C234" s="26" t="s">
        <v>1232</v>
      </c>
    </row>
    <row r="235" spans="1:3" x14ac:dyDescent="0.25">
      <c r="A235" s="36">
        <v>41346</v>
      </c>
      <c r="B235" s="122">
        <v>0.33634259259259264</v>
      </c>
      <c r="C235" s="26" t="s">
        <v>1232</v>
      </c>
    </row>
    <row r="236" spans="1:3" x14ac:dyDescent="0.25">
      <c r="A236" s="36">
        <v>41346</v>
      </c>
      <c r="B236" s="122">
        <v>0.33634259259259264</v>
      </c>
      <c r="C236" s="26" t="s">
        <v>1232</v>
      </c>
    </row>
    <row r="237" spans="1:3" x14ac:dyDescent="0.25">
      <c r="A237" s="36">
        <v>41346</v>
      </c>
      <c r="B237" s="122">
        <v>0.33634259259259264</v>
      </c>
      <c r="C237" s="26" t="s">
        <v>1163</v>
      </c>
    </row>
    <row r="238" spans="1:3" x14ac:dyDescent="0.25">
      <c r="A238" s="36">
        <v>41346</v>
      </c>
      <c r="B238" s="122">
        <v>0.33634259259259264</v>
      </c>
      <c r="C238" s="26" t="s">
        <v>1118</v>
      </c>
    </row>
    <row r="239" spans="1:3" x14ac:dyDescent="0.25">
      <c r="A239" s="36">
        <v>41346</v>
      </c>
      <c r="B239" s="122">
        <v>0.33634259259259264</v>
      </c>
      <c r="C239" s="26" t="s">
        <v>1245</v>
      </c>
    </row>
    <row r="240" spans="1:3" x14ac:dyDescent="0.25">
      <c r="A240" s="36">
        <v>41346</v>
      </c>
      <c r="B240" s="122">
        <v>0.33634259259259264</v>
      </c>
      <c r="C240" s="26" t="s">
        <v>1270</v>
      </c>
    </row>
    <row r="241" spans="1:3" x14ac:dyDescent="0.25">
      <c r="A241" s="36">
        <v>41346</v>
      </c>
      <c r="B241" s="122">
        <v>0.33634259259259264</v>
      </c>
      <c r="C241" s="26" t="s">
        <v>1101</v>
      </c>
    </row>
    <row r="242" spans="1:3" x14ac:dyDescent="0.25">
      <c r="A242" s="36">
        <v>41346</v>
      </c>
      <c r="B242" s="122">
        <v>0.33634259259259264</v>
      </c>
      <c r="C242" s="26" t="s">
        <v>1141</v>
      </c>
    </row>
    <row r="243" spans="1:3" x14ac:dyDescent="0.25">
      <c r="A243" s="36">
        <v>41346</v>
      </c>
      <c r="B243" s="122">
        <v>0.33634259259259264</v>
      </c>
      <c r="C243" s="26" t="s">
        <v>1145</v>
      </c>
    </row>
    <row r="244" spans="1:3" x14ac:dyDescent="0.25">
      <c r="A244" s="36">
        <v>41346</v>
      </c>
      <c r="B244" s="122">
        <v>0.33634259259259264</v>
      </c>
      <c r="C244" s="26" t="s">
        <v>1234</v>
      </c>
    </row>
    <row r="245" spans="1:3" x14ac:dyDescent="0.25">
      <c r="A245" s="36">
        <v>41346</v>
      </c>
      <c r="B245" s="122">
        <v>0.33634259259259264</v>
      </c>
      <c r="C245" s="26" t="s">
        <v>1179</v>
      </c>
    </row>
    <row r="246" spans="1:3" x14ac:dyDescent="0.25">
      <c r="A246" s="36">
        <v>41346</v>
      </c>
      <c r="B246" s="122">
        <v>0.33634259259259264</v>
      </c>
      <c r="C246" s="26" t="s">
        <v>1115</v>
      </c>
    </row>
    <row r="247" spans="1:3" x14ac:dyDescent="0.25">
      <c r="A247" s="36">
        <v>41346</v>
      </c>
      <c r="B247" s="122">
        <v>0.33634259259259264</v>
      </c>
      <c r="C247" s="26" t="s">
        <v>1130</v>
      </c>
    </row>
    <row r="248" spans="1:3" x14ac:dyDescent="0.25">
      <c r="A248" s="36">
        <v>41346</v>
      </c>
      <c r="B248" s="122">
        <v>0.33634259259259264</v>
      </c>
      <c r="C248" s="26" t="s">
        <v>1103</v>
      </c>
    </row>
    <row r="249" spans="1:3" x14ac:dyDescent="0.25">
      <c r="A249" s="36">
        <v>41346</v>
      </c>
      <c r="B249" s="122">
        <v>0.33634259259259264</v>
      </c>
      <c r="C249" s="26" t="s">
        <v>1118</v>
      </c>
    </row>
    <row r="250" spans="1:3" x14ac:dyDescent="0.25">
      <c r="A250" s="36">
        <v>41346</v>
      </c>
      <c r="B250" s="122">
        <v>0.33634259259259264</v>
      </c>
      <c r="C250" s="26" t="s">
        <v>1165</v>
      </c>
    </row>
    <row r="251" spans="1:3" x14ac:dyDescent="0.25">
      <c r="A251" s="36">
        <v>41346</v>
      </c>
      <c r="B251" s="122">
        <v>0.33634259259259264</v>
      </c>
      <c r="C251" s="26" t="s">
        <v>1106</v>
      </c>
    </row>
    <row r="252" spans="1:3" x14ac:dyDescent="0.25">
      <c r="A252" s="36">
        <v>41346</v>
      </c>
      <c r="B252" s="122">
        <v>0.33634259259259264</v>
      </c>
      <c r="C252" s="26" t="s">
        <v>1158</v>
      </c>
    </row>
    <row r="253" spans="1:3" x14ac:dyDescent="0.25">
      <c r="A253" s="36">
        <v>41346</v>
      </c>
      <c r="B253" s="122">
        <v>0.33634259259259264</v>
      </c>
      <c r="C253" s="26" t="s">
        <v>1174</v>
      </c>
    </row>
    <row r="254" spans="1:3" x14ac:dyDescent="0.25">
      <c r="A254" s="36">
        <v>41346</v>
      </c>
      <c r="B254" s="122">
        <v>0.33634259259259264</v>
      </c>
      <c r="C254" s="26" t="s">
        <v>1160</v>
      </c>
    </row>
    <row r="255" spans="1:3" x14ac:dyDescent="0.25">
      <c r="A255" s="36">
        <v>41346</v>
      </c>
      <c r="B255" s="122">
        <v>0.33634259259259264</v>
      </c>
      <c r="C255" s="26" t="s">
        <v>1172</v>
      </c>
    </row>
    <row r="256" spans="1:3" x14ac:dyDescent="0.25">
      <c r="A256" s="36">
        <v>41346</v>
      </c>
      <c r="B256" s="122">
        <v>0.33634259259259264</v>
      </c>
      <c r="C256" s="26" t="s">
        <v>1219</v>
      </c>
    </row>
    <row r="257" spans="1:3" x14ac:dyDescent="0.25">
      <c r="A257" s="36">
        <v>41346</v>
      </c>
      <c r="B257" s="122">
        <v>0.33634259259259264</v>
      </c>
      <c r="C257" s="26" t="s">
        <v>1096</v>
      </c>
    </row>
    <row r="258" spans="1:3" x14ac:dyDescent="0.25">
      <c r="A258" s="36">
        <v>41346</v>
      </c>
      <c r="B258" s="122">
        <v>0.33634259259259264</v>
      </c>
      <c r="C258" s="26" t="s">
        <v>1248</v>
      </c>
    </row>
    <row r="259" spans="1:3" x14ac:dyDescent="0.25">
      <c r="A259" s="36">
        <v>41346</v>
      </c>
      <c r="B259" s="122">
        <v>0.33634259259259264</v>
      </c>
      <c r="C259" s="26" t="s">
        <v>1248</v>
      </c>
    </row>
    <row r="260" spans="1:3" x14ac:dyDescent="0.25">
      <c r="A260" s="36">
        <v>41346</v>
      </c>
      <c r="B260" s="122">
        <v>0.33634259259259264</v>
      </c>
      <c r="C260" s="26" t="s">
        <v>1099</v>
      </c>
    </row>
    <row r="261" spans="1:3" x14ac:dyDescent="0.25">
      <c r="A261" s="36">
        <v>41346</v>
      </c>
      <c r="B261" s="122">
        <v>0.33634259259259264</v>
      </c>
      <c r="C261" s="26" t="s">
        <v>1106</v>
      </c>
    </row>
    <row r="262" spans="1:3" x14ac:dyDescent="0.25">
      <c r="A262" s="36">
        <v>41346</v>
      </c>
      <c r="B262" s="122">
        <v>0.33634259259259264</v>
      </c>
      <c r="C262" s="26" t="s">
        <v>1295</v>
      </c>
    </row>
    <row r="263" spans="1:3" x14ac:dyDescent="0.25">
      <c r="A263" s="36">
        <v>41346</v>
      </c>
      <c r="B263" s="122">
        <v>0.33634259259259264</v>
      </c>
      <c r="C263" s="26" t="s">
        <v>1296</v>
      </c>
    </row>
    <row r="264" spans="1:3" x14ac:dyDescent="0.25">
      <c r="A264" s="36">
        <v>41346</v>
      </c>
      <c r="B264" s="122">
        <v>0.33634259259259264</v>
      </c>
      <c r="C264" s="26" t="s">
        <v>1297</v>
      </c>
    </row>
    <row r="265" spans="1:3" x14ac:dyDescent="0.25">
      <c r="A265" s="36">
        <v>41346</v>
      </c>
      <c r="B265" s="122">
        <v>0.33634259259259264</v>
      </c>
      <c r="C265" s="26" t="s">
        <v>1225</v>
      </c>
    </row>
    <row r="266" spans="1:3" x14ac:dyDescent="0.25">
      <c r="A266" s="36">
        <v>41346</v>
      </c>
      <c r="B266" s="122">
        <v>0.33634259259259264</v>
      </c>
      <c r="C266" s="26" t="s">
        <v>1298</v>
      </c>
    </row>
    <row r="267" spans="1:3" x14ac:dyDescent="0.25">
      <c r="A267" s="36">
        <v>41346</v>
      </c>
      <c r="B267" s="122">
        <v>0.33634259259259264</v>
      </c>
      <c r="C267" s="26" t="s">
        <v>1251</v>
      </c>
    </row>
    <row r="268" spans="1:3" x14ac:dyDescent="0.25">
      <c r="A268" s="36">
        <v>41346</v>
      </c>
      <c r="B268" s="122">
        <v>0.33634259259259264</v>
      </c>
      <c r="C268" s="26" t="s">
        <v>1304</v>
      </c>
    </row>
    <row r="269" spans="1:3" x14ac:dyDescent="0.25">
      <c r="A269" s="36">
        <v>41346</v>
      </c>
      <c r="B269" s="122">
        <v>0.33634259259259264</v>
      </c>
      <c r="C269" s="26" t="s">
        <v>1305</v>
      </c>
    </row>
    <row r="270" spans="1:3" x14ac:dyDescent="0.25">
      <c r="A270" s="36">
        <v>41346</v>
      </c>
      <c r="B270" s="122">
        <v>0.33857638888888886</v>
      </c>
      <c r="C270" s="26" t="s">
        <v>1306</v>
      </c>
    </row>
    <row r="271" spans="1:3" ht="30" x14ac:dyDescent="0.25">
      <c r="A271" s="36">
        <v>41346</v>
      </c>
      <c r="B271" s="122">
        <v>0.33880787037037036</v>
      </c>
      <c r="C271" s="789" t="s">
        <v>1307</v>
      </c>
    </row>
    <row r="272" spans="1:3" ht="45" x14ac:dyDescent="0.25">
      <c r="A272" s="36">
        <v>41346</v>
      </c>
      <c r="B272" s="122">
        <v>0.3397222222222222</v>
      </c>
      <c r="C272" s="789" t="s">
        <v>1308</v>
      </c>
    </row>
    <row r="273" spans="1:3" x14ac:dyDescent="0.25">
      <c r="A273" s="36">
        <v>41346</v>
      </c>
      <c r="B273" s="122">
        <v>0.35493055555555553</v>
      </c>
      <c r="C273" s="26" t="s">
        <v>1309</v>
      </c>
    </row>
    <row r="274" spans="1:3" ht="30" x14ac:dyDescent="0.25">
      <c r="A274" s="36">
        <v>41346</v>
      </c>
      <c r="B274" s="122">
        <v>0.35513888888888889</v>
      </c>
      <c r="C274" s="789" t="s">
        <v>1310</v>
      </c>
    </row>
    <row r="275" spans="1:3" ht="45" x14ac:dyDescent="0.25">
      <c r="A275" s="36">
        <v>41346</v>
      </c>
      <c r="B275" s="122">
        <v>0.35621527777777778</v>
      </c>
      <c r="C275" s="789" t="s">
        <v>1311</v>
      </c>
    </row>
    <row r="276" spans="1:3" x14ac:dyDescent="0.25">
      <c r="A276" s="36">
        <v>41346</v>
      </c>
      <c r="B276" s="122">
        <v>0.35694444444444445</v>
      </c>
      <c r="C276" s="26" t="s">
        <v>1084</v>
      </c>
    </row>
    <row r="277" spans="1:3" x14ac:dyDescent="0.25">
      <c r="A277" s="36">
        <v>41346</v>
      </c>
      <c r="B277" s="122">
        <v>0.35694444444444445</v>
      </c>
      <c r="C277" s="26" t="s">
        <v>1085</v>
      </c>
    </row>
    <row r="278" spans="1:3" x14ac:dyDescent="0.25">
      <c r="A278" s="36">
        <v>41346</v>
      </c>
      <c r="B278" s="122">
        <v>0.35694444444444445</v>
      </c>
      <c r="C278" s="26" t="s">
        <v>1086</v>
      </c>
    </row>
    <row r="279" spans="1:3" x14ac:dyDescent="0.25">
      <c r="A279" s="36">
        <v>41346</v>
      </c>
      <c r="B279" s="122">
        <v>0.35694444444444445</v>
      </c>
      <c r="C279" s="26" t="s">
        <v>1087</v>
      </c>
    </row>
    <row r="280" spans="1:3" x14ac:dyDescent="0.25">
      <c r="A280" s="36">
        <v>41346</v>
      </c>
      <c r="B280" s="122">
        <v>0.35694444444444445</v>
      </c>
      <c r="C280" s="26" t="s">
        <v>1088</v>
      </c>
    </row>
    <row r="281" spans="1:3" x14ac:dyDescent="0.25">
      <c r="A281" s="36">
        <v>41346</v>
      </c>
      <c r="B281" s="122">
        <v>0.35694444444444445</v>
      </c>
      <c r="C281" s="26" t="s">
        <v>1086</v>
      </c>
    </row>
    <row r="282" spans="1:3" x14ac:dyDescent="0.25">
      <c r="A282" s="36">
        <v>41346</v>
      </c>
      <c r="B282" s="122">
        <v>0.35694444444444445</v>
      </c>
      <c r="C282" s="26" t="s">
        <v>1089</v>
      </c>
    </row>
    <row r="283" spans="1:3" x14ac:dyDescent="0.25">
      <c r="A283" s="36">
        <v>41346</v>
      </c>
      <c r="B283" s="122">
        <v>0.35694444444444445</v>
      </c>
      <c r="C283" s="26" t="s">
        <v>1089</v>
      </c>
    </row>
    <row r="284" spans="1:3" x14ac:dyDescent="0.25">
      <c r="A284" s="36">
        <v>41346</v>
      </c>
      <c r="B284" s="122">
        <v>0.35694444444444445</v>
      </c>
      <c r="C284" s="26" t="s">
        <v>1090</v>
      </c>
    </row>
    <row r="285" spans="1:3" x14ac:dyDescent="0.25">
      <c r="A285" s="36">
        <v>41346</v>
      </c>
      <c r="B285" s="122">
        <v>0.35694444444444445</v>
      </c>
      <c r="C285" s="26" t="s">
        <v>1091</v>
      </c>
    </row>
    <row r="286" spans="1:3" x14ac:dyDescent="0.25">
      <c r="A286" s="36">
        <v>41346</v>
      </c>
      <c r="B286" s="122">
        <v>0.35694444444444445</v>
      </c>
      <c r="C286" s="26" t="s">
        <v>1092</v>
      </c>
    </row>
    <row r="287" spans="1:3" x14ac:dyDescent="0.25">
      <c r="A287" s="36">
        <v>41346</v>
      </c>
      <c r="B287" s="122">
        <v>0.35694444444444445</v>
      </c>
      <c r="C287" s="26" t="s">
        <v>1093</v>
      </c>
    </row>
    <row r="288" spans="1:3" x14ac:dyDescent="0.25">
      <c r="A288" s="36">
        <v>41346</v>
      </c>
      <c r="B288" s="122">
        <v>0.35694444444444445</v>
      </c>
      <c r="C288" s="26" t="s">
        <v>1094</v>
      </c>
    </row>
    <row r="289" spans="1:3" x14ac:dyDescent="0.25">
      <c r="A289" s="36">
        <v>41346</v>
      </c>
      <c r="B289" s="122">
        <v>0.35694444444444445</v>
      </c>
      <c r="C289" s="26" t="s">
        <v>1086</v>
      </c>
    </row>
    <row r="290" spans="1:3" x14ac:dyDescent="0.25">
      <c r="A290" s="36">
        <v>41346</v>
      </c>
      <c r="B290" s="122">
        <v>0.35694444444444445</v>
      </c>
      <c r="C290" s="26" t="s">
        <v>1084</v>
      </c>
    </row>
    <row r="291" spans="1:3" x14ac:dyDescent="0.25">
      <c r="A291" s="36">
        <v>41346</v>
      </c>
      <c r="B291" s="122">
        <v>0.35694444444444445</v>
      </c>
      <c r="C291" s="26" t="s">
        <v>1084</v>
      </c>
    </row>
    <row r="292" spans="1:3" x14ac:dyDescent="0.25">
      <c r="A292" s="36">
        <v>41346</v>
      </c>
      <c r="B292" s="122">
        <v>0.35694444444444445</v>
      </c>
      <c r="C292" s="26" t="s">
        <v>1095</v>
      </c>
    </row>
    <row r="293" spans="1:3" x14ac:dyDescent="0.25">
      <c r="A293" s="36">
        <v>41346</v>
      </c>
      <c r="B293" s="122">
        <v>0.35694444444444445</v>
      </c>
      <c r="C293" s="26" t="s">
        <v>1277</v>
      </c>
    </row>
    <row r="294" spans="1:3" x14ac:dyDescent="0.25">
      <c r="A294" s="36">
        <v>41346</v>
      </c>
      <c r="B294" s="122">
        <v>0.35726851851851849</v>
      </c>
      <c r="C294" s="26" t="s">
        <v>1278</v>
      </c>
    </row>
    <row r="295" spans="1:3" x14ac:dyDescent="0.25">
      <c r="A295" s="36">
        <v>41346</v>
      </c>
      <c r="B295" s="122">
        <v>0.35726851851851849</v>
      </c>
      <c r="C295" s="26" t="s">
        <v>1278</v>
      </c>
    </row>
    <row r="296" spans="1:3" x14ac:dyDescent="0.25">
      <c r="A296" s="36">
        <v>41346</v>
      </c>
      <c r="B296" s="122">
        <v>0.35726851851851849</v>
      </c>
      <c r="C296" s="26" t="s">
        <v>1279</v>
      </c>
    </row>
    <row r="297" spans="1:3" x14ac:dyDescent="0.25">
      <c r="A297" s="36">
        <v>41346</v>
      </c>
      <c r="B297" s="122">
        <v>0.35726851851851849</v>
      </c>
      <c r="C297" s="26" t="s">
        <v>1280</v>
      </c>
    </row>
    <row r="298" spans="1:3" x14ac:dyDescent="0.25">
      <c r="A298" s="36">
        <v>41346</v>
      </c>
      <c r="B298" s="122">
        <v>0.35726851851851849</v>
      </c>
      <c r="C298" s="26" t="s">
        <v>1281</v>
      </c>
    </row>
    <row r="299" spans="1:3" x14ac:dyDescent="0.25">
      <c r="A299" s="36">
        <v>41346</v>
      </c>
      <c r="B299" s="122">
        <v>0.35726851851851849</v>
      </c>
      <c r="C299" s="26" t="s">
        <v>1279</v>
      </c>
    </row>
    <row r="300" spans="1:3" x14ac:dyDescent="0.25">
      <c r="A300" s="36">
        <v>41346</v>
      </c>
      <c r="B300" s="122">
        <v>0.35726851851851849</v>
      </c>
      <c r="C300" s="26" t="s">
        <v>1279</v>
      </c>
    </row>
    <row r="301" spans="1:3" x14ac:dyDescent="0.25">
      <c r="A301" s="36">
        <v>41346</v>
      </c>
      <c r="B301" s="122">
        <v>0.35726851851851849</v>
      </c>
      <c r="C301" s="26" t="s">
        <v>1281</v>
      </c>
    </row>
    <row r="302" spans="1:3" x14ac:dyDescent="0.25">
      <c r="A302" s="36">
        <v>41346</v>
      </c>
      <c r="B302" s="122">
        <v>0.35728009259259258</v>
      </c>
      <c r="C302" s="26" t="s">
        <v>1282</v>
      </c>
    </row>
    <row r="303" spans="1:3" x14ac:dyDescent="0.25">
      <c r="A303" s="36">
        <v>41346</v>
      </c>
      <c r="B303" s="122">
        <v>0.35728009259259258</v>
      </c>
      <c r="C303" s="26" t="s">
        <v>1283</v>
      </c>
    </row>
    <row r="304" spans="1:3" x14ac:dyDescent="0.25">
      <c r="A304" s="36">
        <v>41346</v>
      </c>
      <c r="B304" s="122">
        <v>0.35728009259259258</v>
      </c>
      <c r="C304" s="26" t="s">
        <v>1284</v>
      </c>
    </row>
    <row r="305" spans="1:3" x14ac:dyDescent="0.25">
      <c r="A305" s="36">
        <v>41346</v>
      </c>
      <c r="B305" s="122">
        <v>0.35728009259259258</v>
      </c>
      <c r="C305" s="26" t="s">
        <v>1283</v>
      </c>
    </row>
    <row r="306" spans="1:3" x14ac:dyDescent="0.25">
      <c r="A306" s="36">
        <v>41346</v>
      </c>
      <c r="B306" s="122">
        <v>0.35728009259259258</v>
      </c>
      <c r="C306" s="26" t="s">
        <v>1283</v>
      </c>
    </row>
    <row r="307" spans="1:3" x14ac:dyDescent="0.25">
      <c r="A307" s="36">
        <v>41346</v>
      </c>
      <c r="B307" s="122">
        <v>0.35728009259259258</v>
      </c>
      <c r="C307" s="26" t="s">
        <v>1285</v>
      </c>
    </row>
    <row r="308" spans="1:3" x14ac:dyDescent="0.25">
      <c r="A308" s="36">
        <v>41346</v>
      </c>
      <c r="B308" s="122">
        <v>0.35728009259259258</v>
      </c>
      <c r="C308" s="26" t="s">
        <v>1286</v>
      </c>
    </row>
    <row r="309" spans="1:3" x14ac:dyDescent="0.25">
      <c r="A309" s="36">
        <v>41346</v>
      </c>
      <c r="B309" s="122">
        <v>0.35728009259259258</v>
      </c>
      <c r="C309" s="26" t="s">
        <v>1286</v>
      </c>
    </row>
    <row r="310" spans="1:3" x14ac:dyDescent="0.25">
      <c r="A310" s="36">
        <v>41346</v>
      </c>
      <c r="B310" s="122">
        <v>0.35728009259259258</v>
      </c>
      <c r="C310" s="26" t="s">
        <v>1287</v>
      </c>
    </row>
    <row r="311" spans="1:3" x14ac:dyDescent="0.25">
      <c r="A311" s="36">
        <v>41346</v>
      </c>
      <c r="B311" s="122">
        <v>0.35728009259259258</v>
      </c>
      <c r="C311" s="26" t="s">
        <v>1288</v>
      </c>
    </row>
    <row r="312" spans="1:3" x14ac:dyDescent="0.25">
      <c r="A312" s="36">
        <v>41346</v>
      </c>
      <c r="B312" s="122">
        <v>0.35728009259259258</v>
      </c>
      <c r="C312" s="26" t="s">
        <v>1289</v>
      </c>
    </row>
    <row r="313" spans="1:3" x14ac:dyDescent="0.25">
      <c r="A313" s="36">
        <v>41346</v>
      </c>
      <c r="B313" s="122">
        <v>0.35728009259259258</v>
      </c>
      <c r="C313" s="26" t="s">
        <v>1290</v>
      </c>
    </row>
    <row r="314" spans="1:3" x14ac:dyDescent="0.25">
      <c r="A314" s="36">
        <v>41346</v>
      </c>
      <c r="B314" s="122">
        <v>0.35728009259259258</v>
      </c>
      <c r="C314" s="26" t="s">
        <v>1283</v>
      </c>
    </row>
    <row r="315" spans="1:3" x14ac:dyDescent="0.25">
      <c r="A315" s="36">
        <v>41346</v>
      </c>
      <c r="B315" s="122">
        <v>0.35729166666666662</v>
      </c>
      <c r="C315" s="26" t="s">
        <v>1286</v>
      </c>
    </row>
    <row r="316" spans="1:3" x14ac:dyDescent="0.25">
      <c r="A316" s="36">
        <v>41346</v>
      </c>
      <c r="B316" s="122">
        <v>0.35729166666666662</v>
      </c>
      <c r="C316" s="26" t="s">
        <v>1289</v>
      </c>
    </row>
    <row r="317" spans="1:3" x14ac:dyDescent="0.25">
      <c r="A317" s="36">
        <v>41346</v>
      </c>
      <c r="B317" s="122">
        <v>0.35729166666666662</v>
      </c>
      <c r="C317" s="26" t="s">
        <v>1286</v>
      </c>
    </row>
    <row r="318" spans="1:3" x14ac:dyDescent="0.25">
      <c r="A318" s="36">
        <v>41346</v>
      </c>
      <c r="B318" s="122">
        <v>0.35729166666666662</v>
      </c>
      <c r="C318" s="26" t="s">
        <v>1289</v>
      </c>
    </row>
    <row r="319" spans="1:3" x14ac:dyDescent="0.25">
      <c r="A319" s="36">
        <v>41346</v>
      </c>
      <c r="B319" s="122">
        <v>0.35729166666666662</v>
      </c>
      <c r="C319" s="26" t="s">
        <v>1289</v>
      </c>
    </row>
    <row r="320" spans="1:3" x14ac:dyDescent="0.25">
      <c r="A320" s="36">
        <v>41346</v>
      </c>
      <c r="B320" s="122">
        <v>0.35729166666666662</v>
      </c>
      <c r="C320" s="26" t="s">
        <v>1288</v>
      </c>
    </row>
    <row r="321" spans="1:3" x14ac:dyDescent="0.25">
      <c r="A321" s="36">
        <v>41346</v>
      </c>
      <c r="B321" s="122">
        <v>0.35729166666666662</v>
      </c>
      <c r="C321" s="26" t="s">
        <v>1279</v>
      </c>
    </row>
    <row r="322" spans="1:3" x14ac:dyDescent="0.25">
      <c r="A322" s="36">
        <v>41346</v>
      </c>
      <c r="B322" s="122">
        <v>0.35729166666666662</v>
      </c>
      <c r="C322" s="26" t="s">
        <v>1286</v>
      </c>
    </row>
    <row r="323" spans="1:3" x14ac:dyDescent="0.25">
      <c r="A323" s="36">
        <v>41346</v>
      </c>
      <c r="B323" s="122">
        <v>0.35729166666666662</v>
      </c>
      <c r="C323" s="26" t="s">
        <v>1290</v>
      </c>
    </row>
    <row r="324" spans="1:3" x14ac:dyDescent="0.25">
      <c r="A324" s="36">
        <v>41346</v>
      </c>
      <c r="B324" s="122">
        <v>0.35729166666666662</v>
      </c>
      <c r="C324" s="26" t="s">
        <v>1290</v>
      </c>
    </row>
    <row r="325" spans="1:3" x14ac:dyDescent="0.25">
      <c r="A325" s="36">
        <v>41346</v>
      </c>
      <c r="B325" s="122">
        <v>0.35729166666666662</v>
      </c>
      <c r="C325" s="26" t="s">
        <v>1286</v>
      </c>
    </row>
    <row r="326" spans="1:3" x14ac:dyDescent="0.25">
      <c r="A326" s="36">
        <v>41346</v>
      </c>
      <c r="B326" s="122">
        <v>0.35729166666666662</v>
      </c>
      <c r="C326" s="26" t="s">
        <v>1291</v>
      </c>
    </row>
    <row r="327" spans="1:3" x14ac:dyDescent="0.25">
      <c r="A327" s="36">
        <v>41346</v>
      </c>
      <c r="B327" s="122">
        <v>0.35729166666666662</v>
      </c>
      <c r="C327" s="26" t="s">
        <v>1292</v>
      </c>
    </row>
    <row r="328" spans="1:3" x14ac:dyDescent="0.25">
      <c r="A328" s="36">
        <v>41346</v>
      </c>
      <c r="B328" s="122">
        <v>0.35729166666666662</v>
      </c>
      <c r="C328" s="26" t="s">
        <v>1289</v>
      </c>
    </row>
    <row r="329" spans="1:3" x14ac:dyDescent="0.25">
      <c r="A329" s="36">
        <v>41346</v>
      </c>
      <c r="B329" s="122">
        <v>0.35729166666666662</v>
      </c>
      <c r="C329" s="26" t="s">
        <v>1293</v>
      </c>
    </row>
    <row r="330" spans="1:3" x14ac:dyDescent="0.25">
      <c r="A330" s="36">
        <v>41346</v>
      </c>
      <c r="B330" s="122">
        <v>0.35729166666666662</v>
      </c>
      <c r="C330" s="26" t="s">
        <v>1293</v>
      </c>
    </row>
    <row r="331" spans="1:3" x14ac:dyDescent="0.25">
      <c r="A331" s="36">
        <v>41346</v>
      </c>
      <c r="B331" s="122">
        <v>0.35729166666666662</v>
      </c>
      <c r="C331" s="26" t="s">
        <v>1294</v>
      </c>
    </row>
    <row r="332" spans="1:3" x14ac:dyDescent="0.25">
      <c r="A332" s="36">
        <v>41346</v>
      </c>
      <c r="B332" s="122">
        <v>0.35729166666666662</v>
      </c>
      <c r="C332" s="26" t="s">
        <v>1281</v>
      </c>
    </row>
    <row r="333" spans="1:3" ht="30" x14ac:dyDescent="0.25">
      <c r="A333" s="36">
        <v>41346</v>
      </c>
      <c r="B333" s="122">
        <v>0.35729166666666662</v>
      </c>
      <c r="C333" s="789" t="s">
        <v>1312</v>
      </c>
    </row>
    <row r="334" spans="1:3" x14ac:dyDescent="0.25">
      <c r="A334" s="36">
        <v>41346</v>
      </c>
      <c r="B334" s="122">
        <v>0.35729166666666662</v>
      </c>
      <c r="C334" s="26" t="s">
        <v>1313</v>
      </c>
    </row>
    <row r="335" spans="1:3" x14ac:dyDescent="0.25">
      <c r="A335" s="36">
        <v>41346</v>
      </c>
      <c r="B335" s="122">
        <v>0.35751157407407402</v>
      </c>
      <c r="C335" s="26" t="s">
        <v>1278</v>
      </c>
    </row>
    <row r="336" spans="1:3" x14ac:dyDescent="0.25">
      <c r="A336" s="36">
        <v>41346</v>
      </c>
      <c r="B336" s="122">
        <v>0.35751157407407402</v>
      </c>
      <c r="C336" s="26" t="s">
        <v>1278</v>
      </c>
    </row>
    <row r="337" spans="1:3" x14ac:dyDescent="0.25">
      <c r="A337" s="36">
        <v>41346</v>
      </c>
      <c r="B337" s="122">
        <v>0.35751157407407402</v>
      </c>
      <c r="C337" s="26" t="s">
        <v>1279</v>
      </c>
    </row>
    <row r="338" spans="1:3" x14ac:dyDescent="0.25">
      <c r="A338" s="36">
        <v>41346</v>
      </c>
      <c r="B338" s="122">
        <v>0.35751157407407402</v>
      </c>
      <c r="C338" s="26" t="s">
        <v>1280</v>
      </c>
    </row>
    <row r="339" spans="1:3" x14ac:dyDescent="0.25">
      <c r="A339" s="36">
        <v>41346</v>
      </c>
      <c r="B339" s="122">
        <v>0.35751157407407402</v>
      </c>
      <c r="C339" s="26" t="s">
        <v>1281</v>
      </c>
    </row>
    <row r="340" spans="1:3" x14ac:dyDescent="0.25">
      <c r="A340" s="36">
        <v>41346</v>
      </c>
      <c r="B340" s="122">
        <v>0.35751157407407402</v>
      </c>
      <c r="C340" s="26" t="s">
        <v>1279</v>
      </c>
    </row>
    <row r="341" spans="1:3" x14ac:dyDescent="0.25">
      <c r="A341" s="36">
        <v>41346</v>
      </c>
      <c r="B341" s="122">
        <v>0.35751157407407402</v>
      </c>
      <c r="C341" s="26" t="s">
        <v>1279</v>
      </c>
    </row>
    <row r="342" spans="1:3" x14ac:dyDescent="0.25">
      <c r="A342" s="36">
        <v>41346</v>
      </c>
      <c r="B342" s="122">
        <v>0.35752314814814817</v>
      </c>
      <c r="C342" s="26" t="s">
        <v>1281</v>
      </c>
    </row>
    <row r="343" spans="1:3" x14ac:dyDescent="0.25">
      <c r="A343" s="36">
        <v>41346</v>
      </c>
      <c r="B343" s="122">
        <v>0.35752314814814817</v>
      </c>
      <c r="C343" s="26" t="s">
        <v>1282</v>
      </c>
    </row>
    <row r="344" spans="1:3" x14ac:dyDescent="0.25">
      <c r="A344" s="36">
        <v>41346</v>
      </c>
      <c r="B344" s="122">
        <v>0.35752314814814817</v>
      </c>
      <c r="C344" s="26" t="s">
        <v>1283</v>
      </c>
    </row>
    <row r="345" spans="1:3" x14ac:dyDescent="0.25">
      <c r="A345" s="36">
        <v>41346</v>
      </c>
      <c r="B345" s="122">
        <v>0.35752314814814817</v>
      </c>
      <c r="C345" s="26" t="s">
        <v>1284</v>
      </c>
    </row>
    <row r="346" spans="1:3" x14ac:dyDescent="0.25">
      <c r="A346" s="36">
        <v>41346</v>
      </c>
      <c r="B346" s="122">
        <v>0.35752314814814817</v>
      </c>
      <c r="C346" s="26" t="s">
        <v>1283</v>
      </c>
    </row>
    <row r="347" spans="1:3" x14ac:dyDescent="0.25">
      <c r="A347" s="36">
        <v>41346</v>
      </c>
      <c r="B347" s="122">
        <v>0.35752314814814817</v>
      </c>
      <c r="C347" s="26" t="s">
        <v>1283</v>
      </c>
    </row>
    <row r="348" spans="1:3" x14ac:dyDescent="0.25">
      <c r="A348" s="36">
        <v>41346</v>
      </c>
      <c r="B348" s="122">
        <v>0.35752314814814817</v>
      </c>
      <c r="C348" s="26" t="s">
        <v>1285</v>
      </c>
    </row>
    <row r="349" spans="1:3" x14ac:dyDescent="0.25">
      <c r="A349" s="36">
        <v>41346</v>
      </c>
      <c r="B349" s="122">
        <v>0.35752314814814817</v>
      </c>
      <c r="C349" s="26" t="s">
        <v>1286</v>
      </c>
    </row>
    <row r="350" spans="1:3" x14ac:dyDescent="0.25">
      <c r="A350" s="36">
        <v>41346</v>
      </c>
      <c r="B350" s="122">
        <v>0.35753472222222221</v>
      </c>
      <c r="C350" s="26" t="s">
        <v>1286</v>
      </c>
    </row>
    <row r="351" spans="1:3" x14ac:dyDescent="0.25">
      <c r="A351" s="36">
        <v>41346</v>
      </c>
      <c r="B351" s="122">
        <v>0.35753472222222221</v>
      </c>
      <c r="C351" s="26" t="s">
        <v>1287</v>
      </c>
    </row>
    <row r="352" spans="1:3" x14ac:dyDescent="0.25">
      <c r="A352" s="36">
        <v>41346</v>
      </c>
      <c r="B352" s="122">
        <v>0.35753472222222221</v>
      </c>
      <c r="C352" s="26" t="s">
        <v>1288</v>
      </c>
    </row>
    <row r="353" spans="1:3" x14ac:dyDescent="0.25">
      <c r="A353" s="36">
        <v>41346</v>
      </c>
      <c r="B353" s="122">
        <v>0.35753472222222221</v>
      </c>
      <c r="C353" s="26" t="s">
        <v>1289</v>
      </c>
    </row>
    <row r="354" spans="1:3" x14ac:dyDescent="0.25">
      <c r="A354" s="36">
        <v>41346</v>
      </c>
      <c r="B354" s="122">
        <v>0.35753472222222221</v>
      </c>
      <c r="C354" s="26" t="s">
        <v>1290</v>
      </c>
    </row>
    <row r="355" spans="1:3" x14ac:dyDescent="0.25">
      <c r="A355" s="36">
        <v>41346</v>
      </c>
      <c r="B355" s="122">
        <v>0.35753472222222221</v>
      </c>
      <c r="C355" s="26" t="s">
        <v>1283</v>
      </c>
    </row>
    <row r="356" spans="1:3" x14ac:dyDescent="0.25">
      <c r="A356" s="36">
        <v>41346</v>
      </c>
      <c r="B356" s="122">
        <v>0.35753472222222221</v>
      </c>
      <c r="C356" s="26" t="s">
        <v>1286</v>
      </c>
    </row>
    <row r="357" spans="1:3" x14ac:dyDescent="0.25">
      <c r="A357" s="36">
        <v>41346</v>
      </c>
      <c r="B357" s="122">
        <v>0.35753472222222221</v>
      </c>
      <c r="C357" s="26" t="s">
        <v>1289</v>
      </c>
    </row>
    <row r="358" spans="1:3" x14ac:dyDescent="0.25">
      <c r="A358" s="36">
        <v>41346</v>
      </c>
      <c r="B358" s="122">
        <v>0.35753472222222221</v>
      </c>
      <c r="C358" s="26" t="s">
        <v>1286</v>
      </c>
    </row>
    <row r="359" spans="1:3" x14ac:dyDescent="0.25">
      <c r="A359" s="36">
        <v>41346</v>
      </c>
      <c r="B359" s="122">
        <v>0.35753472222222221</v>
      </c>
      <c r="C359" s="26" t="s">
        <v>1289</v>
      </c>
    </row>
    <row r="360" spans="1:3" x14ac:dyDescent="0.25">
      <c r="A360" s="36">
        <v>41346</v>
      </c>
      <c r="B360" s="122">
        <v>0.35753472222222221</v>
      </c>
      <c r="C360" s="26" t="s">
        <v>1289</v>
      </c>
    </row>
    <row r="361" spans="1:3" x14ac:dyDescent="0.25">
      <c r="A361" s="36">
        <v>41346</v>
      </c>
      <c r="B361" s="122">
        <v>0.35753472222222221</v>
      </c>
      <c r="C361" s="26" t="s">
        <v>1288</v>
      </c>
    </row>
    <row r="362" spans="1:3" x14ac:dyDescent="0.25">
      <c r="A362" s="36">
        <v>41346</v>
      </c>
      <c r="B362" s="122">
        <v>0.35753472222222221</v>
      </c>
      <c r="C362" s="26" t="s">
        <v>1279</v>
      </c>
    </row>
    <row r="363" spans="1:3" x14ac:dyDescent="0.25">
      <c r="A363" s="36">
        <v>41346</v>
      </c>
      <c r="B363" s="122">
        <v>0.35753472222222221</v>
      </c>
      <c r="C363" s="26" t="s">
        <v>1286</v>
      </c>
    </row>
    <row r="364" spans="1:3" x14ac:dyDescent="0.25">
      <c r="A364" s="36">
        <v>41346</v>
      </c>
      <c r="B364" s="122">
        <v>0.35753472222222221</v>
      </c>
      <c r="C364" s="26" t="s">
        <v>1290</v>
      </c>
    </row>
    <row r="365" spans="1:3" x14ac:dyDescent="0.25">
      <c r="A365" s="36">
        <v>41346</v>
      </c>
      <c r="B365" s="122">
        <v>0.35753472222222221</v>
      </c>
      <c r="C365" s="26" t="s">
        <v>1290</v>
      </c>
    </row>
    <row r="366" spans="1:3" x14ac:dyDescent="0.25">
      <c r="A366" s="36">
        <v>41346</v>
      </c>
      <c r="B366" s="122">
        <v>0.35753472222222221</v>
      </c>
      <c r="C366" s="26" t="s">
        <v>1286</v>
      </c>
    </row>
    <row r="367" spans="1:3" x14ac:dyDescent="0.25">
      <c r="A367" s="36">
        <v>41346</v>
      </c>
      <c r="B367" s="122">
        <v>0.35753472222222221</v>
      </c>
      <c r="C367" s="26" t="s">
        <v>1291</v>
      </c>
    </row>
    <row r="368" spans="1:3" x14ac:dyDescent="0.25">
      <c r="A368" s="36">
        <v>41346</v>
      </c>
      <c r="B368" s="122">
        <v>0.35753472222222221</v>
      </c>
      <c r="C368" s="26" t="s">
        <v>1292</v>
      </c>
    </row>
    <row r="369" spans="1:3" x14ac:dyDescent="0.25">
      <c r="A369" s="36">
        <v>41346</v>
      </c>
      <c r="B369" s="122">
        <v>0.35753472222222221</v>
      </c>
      <c r="C369" s="26" t="s">
        <v>1289</v>
      </c>
    </row>
    <row r="370" spans="1:3" x14ac:dyDescent="0.25">
      <c r="A370" s="36">
        <v>41346</v>
      </c>
      <c r="B370" s="122">
        <v>0.35753472222222221</v>
      </c>
      <c r="C370" s="26" t="s">
        <v>1293</v>
      </c>
    </row>
    <row r="371" spans="1:3" x14ac:dyDescent="0.25">
      <c r="A371" s="36">
        <v>41346</v>
      </c>
      <c r="B371" s="122">
        <v>0.35753472222222221</v>
      </c>
      <c r="C371" s="26" t="s">
        <v>1293</v>
      </c>
    </row>
    <row r="372" spans="1:3" x14ac:dyDescent="0.25">
      <c r="A372" s="36">
        <v>41346</v>
      </c>
      <c r="B372" s="122">
        <v>0.35753472222222221</v>
      </c>
      <c r="C372" s="26" t="s">
        <v>1294</v>
      </c>
    </row>
    <row r="373" spans="1:3" x14ac:dyDescent="0.25">
      <c r="A373" s="36">
        <v>41346</v>
      </c>
      <c r="B373" s="122">
        <v>0.35753472222222221</v>
      </c>
      <c r="C373" s="26" t="s">
        <v>1281</v>
      </c>
    </row>
    <row r="374" spans="1:3" ht="30" x14ac:dyDescent="0.25">
      <c r="A374" s="36">
        <v>41346</v>
      </c>
      <c r="B374" s="122">
        <v>0.35753472222222221</v>
      </c>
      <c r="C374" s="789" t="s">
        <v>1314</v>
      </c>
    </row>
    <row r="375" spans="1:3" x14ac:dyDescent="0.25">
      <c r="A375" s="36">
        <v>41346</v>
      </c>
      <c r="B375" s="122">
        <v>0.35753472222222221</v>
      </c>
      <c r="C375" s="26" t="s">
        <v>1276</v>
      </c>
    </row>
    <row r="376" spans="1:3" x14ac:dyDescent="0.25">
      <c r="A376" s="36">
        <v>41346</v>
      </c>
      <c r="B376" s="122">
        <v>0.35903935185185182</v>
      </c>
      <c r="C376" s="26" t="s">
        <v>1315</v>
      </c>
    </row>
    <row r="377" spans="1:3" ht="30" x14ac:dyDescent="0.25">
      <c r="A377" s="36">
        <v>41346</v>
      </c>
      <c r="B377" s="122">
        <v>0.35925925925925922</v>
      </c>
      <c r="C377" s="789" t="s">
        <v>1316</v>
      </c>
    </row>
    <row r="378" spans="1:3" ht="45" x14ac:dyDescent="0.25">
      <c r="A378" s="36">
        <v>41346</v>
      </c>
      <c r="B378" s="122">
        <v>0.36016203703703703</v>
      </c>
      <c r="C378" s="789" t="s">
        <v>1317</v>
      </c>
    </row>
    <row r="379" spans="1:3" x14ac:dyDescent="0.25">
      <c r="A379" s="36">
        <v>41346</v>
      </c>
      <c r="B379" s="122">
        <v>0.37678240740740737</v>
      </c>
      <c r="C379" s="26" t="s">
        <v>1318</v>
      </c>
    </row>
    <row r="380" spans="1:3" x14ac:dyDescent="0.25">
      <c r="A380" s="36">
        <v>41346</v>
      </c>
      <c r="B380" s="122">
        <v>0.3772800925925926</v>
      </c>
      <c r="C380" s="26" t="s">
        <v>1319</v>
      </c>
    </row>
    <row r="381" spans="1:3" ht="30" x14ac:dyDescent="0.25">
      <c r="A381" s="36">
        <v>41346</v>
      </c>
      <c r="B381" s="122">
        <v>0.37732638888888892</v>
      </c>
      <c r="C381" s="789" t="s">
        <v>1320</v>
      </c>
    </row>
    <row r="382" spans="1:3" ht="45" x14ac:dyDescent="0.25">
      <c r="A382" s="36">
        <v>41346</v>
      </c>
      <c r="B382" s="122">
        <v>0.37739583333333332</v>
      </c>
      <c r="C382" s="789" t="s">
        <v>1321</v>
      </c>
    </row>
    <row r="383" spans="1:3" x14ac:dyDescent="0.25">
      <c r="A383" s="36">
        <v>41346</v>
      </c>
      <c r="B383" s="122">
        <v>0.37898148148148153</v>
      </c>
      <c r="C383" s="26" t="s">
        <v>1322</v>
      </c>
    </row>
    <row r="384" spans="1:3" ht="30" x14ac:dyDescent="0.25">
      <c r="A384" s="36">
        <v>41346</v>
      </c>
      <c r="B384" s="122">
        <v>0.37922453703703707</v>
      </c>
      <c r="C384" s="789" t="s">
        <v>1323</v>
      </c>
    </row>
    <row r="385" spans="1:3" ht="45" x14ac:dyDescent="0.25">
      <c r="A385" s="36">
        <v>41346</v>
      </c>
      <c r="B385" s="122">
        <v>0.38005787037037037</v>
      </c>
      <c r="C385" s="789" t="s">
        <v>1324</v>
      </c>
    </row>
    <row r="386" spans="1:3" x14ac:dyDescent="0.25">
      <c r="A386" s="36">
        <v>41346</v>
      </c>
      <c r="B386" s="122">
        <v>0.38091435185185185</v>
      </c>
      <c r="C386" s="26" t="s">
        <v>1260</v>
      </c>
    </row>
    <row r="387" spans="1:3" x14ac:dyDescent="0.25">
      <c r="A387" s="36">
        <v>41346</v>
      </c>
      <c r="B387" s="122">
        <v>0.38091435185185185</v>
      </c>
      <c r="C387" s="26" t="s">
        <v>1216</v>
      </c>
    </row>
    <row r="388" spans="1:3" x14ac:dyDescent="0.25">
      <c r="A388" s="36">
        <v>41346</v>
      </c>
      <c r="B388" s="122">
        <v>0.38091435185185185</v>
      </c>
      <c r="C388" s="26" t="s">
        <v>1170</v>
      </c>
    </row>
    <row r="389" spans="1:3" x14ac:dyDescent="0.25">
      <c r="A389" s="36">
        <v>41346</v>
      </c>
      <c r="B389" s="122">
        <v>0.38091435185185185</v>
      </c>
      <c r="C389" s="26" t="s">
        <v>1185</v>
      </c>
    </row>
    <row r="390" spans="1:3" x14ac:dyDescent="0.25">
      <c r="A390" s="36">
        <v>41346</v>
      </c>
      <c r="B390" s="122">
        <v>0.38091435185185185</v>
      </c>
      <c r="C390" s="26" t="s">
        <v>1241</v>
      </c>
    </row>
    <row r="391" spans="1:3" x14ac:dyDescent="0.25">
      <c r="A391" s="36">
        <v>41346</v>
      </c>
      <c r="B391" s="122">
        <v>0.38091435185185185</v>
      </c>
      <c r="C391" s="26" t="s">
        <v>1221</v>
      </c>
    </row>
    <row r="392" spans="1:3" x14ac:dyDescent="0.25">
      <c r="A392" s="36">
        <v>41346</v>
      </c>
      <c r="B392" s="122">
        <v>0.38091435185185185</v>
      </c>
      <c r="C392" s="26" t="s">
        <v>1183</v>
      </c>
    </row>
    <row r="393" spans="1:3" x14ac:dyDescent="0.25">
      <c r="A393" s="36">
        <v>41346</v>
      </c>
      <c r="B393" s="122">
        <v>0.38091435185185185</v>
      </c>
      <c r="C393" s="26" t="s">
        <v>1263</v>
      </c>
    </row>
    <row r="394" spans="1:3" x14ac:dyDescent="0.25">
      <c r="A394" s="36">
        <v>41346</v>
      </c>
      <c r="B394" s="122">
        <v>0.38091435185185185</v>
      </c>
      <c r="C394" s="26" t="s">
        <v>1212</v>
      </c>
    </row>
    <row r="395" spans="1:3" x14ac:dyDescent="0.25">
      <c r="A395" s="36">
        <v>41346</v>
      </c>
      <c r="B395" s="122">
        <v>0.38091435185185185</v>
      </c>
      <c r="C395" s="26" t="s">
        <v>1229</v>
      </c>
    </row>
    <row r="396" spans="1:3" x14ac:dyDescent="0.25">
      <c r="A396" s="36">
        <v>41346</v>
      </c>
      <c r="B396" s="122">
        <v>0.38091435185185185</v>
      </c>
      <c r="C396" s="26" t="s">
        <v>1177</v>
      </c>
    </row>
    <row r="397" spans="1:3" x14ac:dyDescent="0.25">
      <c r="A397" s="36">
        <v>41346</v>
      </c>
      <c r="B397" s="122">
        <v>0.38091435185185185</v>
      </c>
      <c r="C397" s="26" t="s">
        <v>1235</v>
      </c>
    </row>
    <row r="398" spans="1:3" x14ac:dyDescent="0.25">
      <c r="A398" s="36">
        <v>41346</v>
      </c>
      <c r="B398" s="122">
        <v>0.38091435185185185</v>
      </c>
      <c r="C398" s="26" t="s">
        <v>1266</v>
      </c>
    </row>
    <row r="399" spans="1:3" x14ac:dyDescent="0.25">
      <c r="A399" s="36">
        <v>41346</v>
      </c>
      <c r="B399" s="122">
        <v>0.38091435185185185</v>
      </c>
      <c r="C399" s="26" t="s">
        <v>1271</v>
      </c>
    </row>
    <row r="400" spans="1:3" x14ac:dyDescent="0.25">
      <c r="A400" s="36">
        <v>41346</v>
      </c>
      <c r="B400" s="122">
        <v>0.38091435185185185</v>
      </c>
      <c r="C400" s="26" t="s">
        <v>1262</v>
      </c>
    </row>
    <row r="401" spans="1:3" x14ac:dyDescent="0.25">
      <c r="A401" s="36">
        <v>41346</v>
      </c>
      <c r="B401" s="122">
        <v>0.38091435185185185</v>
      </c>
      <c r="C401" s="26" t="s">
        <v>1200</v>
      </c>
    </row>
    <row r="402" spans="1:3" x14ac:dyDescent="0.25">
      <c r="A402" s="36">
        <v>41346</v>
      </c>
      <c r="B402" s="122">
        <v>0.38091435185185185</v>
      </c>
      <c r="C402" s="26" t="s">
        <v>1272</v>
      </c>
    </row>
    <row r="403" spans="1:3" x14ac:dyDescent="0.25">
      <c r="A403" s="36">
        <v>41346</v>
      </c>
      <c r="B403" s="122">
        <v>0.38091435185185185</v>
      </c>
      <c r="C403" s="26" t="s">
        <v>1252</v>
      </c>
    </row>
    <row r="404" spans="1:3" x14ac:dyDescent="0.25">
      <c r="A404" s="36">
        <v>41346</v>
      </c>
      <c r="B404" s="122">
        <v>0.38091435185185185</v>
      </c>
      <c r="C404" s="26" t="s">
        <v>1241</v>
      </c>
    </row>
    <row r="405" spans="1:3" x14ac:dyDescent="0.25">
      <c r="A405" s="36">
        <v>41346</v>
      </c>
      <c r="B405" s="122">
        <v>0.38091435185185185</v>
      </c>
      <c r="C405" s="26" t="s">
        <v>1153</v>
      </c>
    </row>
    <row r="406" spans="1:3" x14ac:dyDescent="0.25">
      <c r="A406" s="36">
        <v>41346</v>
      </c>
      <c r="B406" s="122">
        <v>0.38091435185185185</v>
      </c>
      <c r="C406" s="26" t="s">
        <v>1154</v>
      </c>
    </row>
    <row r="407" spans="1:3" x14ac:dyDescent="0.25">
      <c r="A407" s="36">
        <v>41346</v>
      </c>
      <c r="B407" s="122">
        <v>0.38091435185185185</v>
      </c>
      <c r="C407" s="26" t="s">
        <v>1222</v>
      </c>
    </row>
    <row r="408" spans="1:3" x14ac:dyDescent="0.25">
      <c r="A408" s="36">
        <v>41346</v>
      </c>
      <c r="B408" s="122">
        <v>0.38091435185185185</v>
      </c>
      <c r="C408" s="26" t="s">
        <v>1194</v>
      </c>
    </row>
    <row r="409" spans="1:3" x14ac:dyDescent="0.25">
      <c r="A409" s="36">
        <v>41346</v>
      </c>
      <c r="B409" s="122">
        <v>0.38091435185185185</v>
      </c>
      <c r="C409" s="26" t="s">
        <v>1268</v>
      </c>
    </row>
    <row r="410" spans="1:3" x14ac:dyDescent="0.25">
      <c r="A410" s="36">
        <v>41346</v>
      </c>
      <c r="B410" s="122">
        <v>0.38091435185185185</v>
      </c>
      <c r="C410" s="26" t="s">
        <v>1240</v>
      </c>
    </row>
    <row r="411" spans="1:3" x14ac:dyDescent="0.25">
      <c r="A411" s="36">
        <v>41346</v>
      </c>
      <c r="B411" s="122">
        <v>0.38091435185185185</v>
      </c>
      <c r="C411" s="26" t="s">
        <v>1201</v>
      </c>
    </row>
    <row r="412" spans="1:3" x14ac:dyDescent="0.25">
      <c r="A412" s="36">
        <v>41346</v>
      </c>
      <c r="B412" s="122">
        <v>0.38091435185185185</v>
      </c>
      <c r="C412" s="26" t="s">
        <v>1198</v>
      </c>
    </row>
    <row r="413" spans="1:3" x14ac:dyDescent="0.25">
      <c r="A413" s="36">
        <v>41346</v>
      </c>
      <c r="B413" s="122">
        <v>0.38091435185185185</v>
      </c>
      <c r="C413" s="26" t="s">
        <v>1161</v>
      </c>
    </row>
    <row r="414" spans="1:3" x14ac:dyDescent="0.25">
      <c r="A414" s="36">
        <v>41346</v>
      </c>
      <c r="B414" s="122">
        <v>0.38091435185185185</v>
      </c>
      <c r="C414" s="26" t="s">
        <v>1232</v>
      </c>
    </row>
    <row r="415" spans="1:3" x14ac:dyDescent="0.25">
      <c r="A415" s="36">
        <v>41346</v>
      </c>
      <c r="B415" s="122">
        <v>0.38091435185185185</v>
      </c>
      <c r="C415" s="26" t="s">
        <v>1198</v>
      </c>
    </row>
    <row r="416" spans="1:3" x14ac:dyDescent="0.25">
      <c r="A416" s="36">
        <v>41346</v>
      </c>
      <c r="B416" s="122">
        <v>0.38091435185185185</v>
      </c>
      <c r="C416" s="26" t="s">
        <v>1258</v>
      </c>
    </row>
    <row r="417" spans="1:3" x14ac:dyDescent="0.25">
      <c r="A417" s="36">
        <v>41346</v>
      </c>
      <c r="B417" s="122">
        <v>0.38091435185185185</v>
      </c>
      <c r="C417" s="26" t="s">
        <v>1259</v>
      </c>
    </row>
    <row r="418" spans="1:3" x14ac:dyDescent="0.25">
      <c r="A418" s="36">
        <v>41346</v>
      </c>
      <c r="B418" s="122">
        <v>0.38091435185185185</v>
      </c>
      <c r="C418" s="26" t="s">
        <v>1263</v>
      </c>
    </row>
    <row r="419" spans="1:3" x14ac:dyDescent="0.25">
      <c r="A419" s="36">
        <v>41346</v>
      </c>
      <c r="B419" s="122">
        <v>0.38091435185185185</v>
      </c>
      <c r="C419" s="26" t="s">
        <v>1155</v>
      </c>
    </row>
    <row r="420" spans="1:3" x14ac:dyDescent="0.25">
      <c r="A420" s="36">
        <v>41346</v>
      </c>
      <c r="B420" s="122">
        <v>0.38091435185185185</v>
      </c>
      <c r="C420" s="26" t="s">
        <v>1203</v>
      </c>
    </row>
    <row r="421" spans="1:3" x14ac:dyDescent="0.25">
      <c r="A421" s="36">
        <v>41346</v>
      </c>
      <c r="B421" s="122">
        <v>0.38091435185185185</v>
      </c>
      <c r="C421" s="26" t="s">
        <v>1209</v>
      </c>
    </row>
    <row r="422" spans="1:3" x14ac:dyDescent="0.25">
      <c r="A422" s="36">
        <v>41346</v>
      </c>
      <c r="B422" s="122">
        <v>0.38091435185185185</v>
      </c>
      <c r="C422" s="26" t="s">
        <v>1167</v>
      </c>
    </row>
    <row r="423" spans="1:3" x14ac:dyDescent="0.25">
      <c r="A423" s="36">
        <v>41346</v>
      </c>
      <c r="B423" s="122">
        <v>0.38091435185185185</v>
      </c>
      <c r="C423" s="26" t="s">
        <v>1187</v>
      </c>
    </row>
    <row r="424" spans="1:3" x14ac:dyDescent="0.25">
      <c r="A424" s="36">
        <v>41346</v>
      </c>
      <c r="B424" s="122">
        <v>0.38091435185185185</v>
      </c>
      <c r="C424" s="26" t="s">
        <v>1195</v>
      </c>
    </row>
    <row r="425" spans="1:3" x14ac:dyDescent="0.25">
      <c r="A425" s="36">
        <v>41346</v>
      </c>
      <c r="B425" s="122">
        <v>0.38091435185185185</v>
      </c>
      <c r="C425" s="26" t="s">
        <v>1190</v>
      </c>
    </row>
    <row r="426" spans="1:3" x14ac:dyDescent="0.25">
      <c r="A426" s="36">
        <v>41346</v>
      </c>
      <c r="B426" s="122">
        <v>0.38091435185185185</v>
      </c>
      <c r="C426" s="26" t="s">
        <v>1190</v>
      </c>
    </row>
    <row r="427" spans="1:3" x14ac:dyDescent="0.25">
      <c r="A427" s="36">
        <v>41346</v>
      </c>
      <c r="B427" s="122">
        <v>0.38091435185185185</v>
      </c>
      <c r="C427" s="26" t="s">
        <v>1228</v>
      </c>
    </row>
    <row r="428" spans="1:3" x14ac:dyDescent="0.25">
      <c r="A428" s="36">
        <v>41346</v>
      </c>
      <c r="B428" s="122">
        <v>0.38091435185185185</v>
      </c>
      <c r="C428" s="26" t="s">
        <v>1253</v>
      </c>
    </row>
    <row r="429" spans="1:3" x14ac:dyDescent="0.25">
      <c r="A429" s="36">
        <v>41346</v>
      </c>
      <c r="B429" s="122">
        <v>0.38091435185185185</v>
      </c>
      <c r="C429" s="26" t="s">
        <v>1237</v>
      </c>
    </row>
    <row r="430" spans="1:3" x14ac:dyDescent="0.25">
      <c r="A430" s="36">
        <v>41346</v>
      </c>
      <c r="B430" s="122">
        <v>0.38091435185185185</v>
      </c>
      <c r="C430" s="26" t="s">
        <v>1207</v>
      </c>
    </row>
    <row r="431" spans="1:3" x14ac:dyDescent="0.25">
      <c r="A431" s="36">
        <v>41346</v>
      </c>
      <c r="B431" s="122">
        <v>0.38091435185185185</v>
      </c>
      <c r="C431" s="26" t="s">
        <v>1264</v>
      </c>
    </row>
    <row r="432" spans="1:3" x14ac:dyDescent="0.25">
      <c r="A432" s="36">
        <v>41346</v>
      </c>
      <c r="B432" s="122">
        <v>0.38091435185185185</v>
      </c>
      <c r="C432" s="26" t="s">
        <v>1193</v>
      </c>
    </row>
    <row r="433" spans="1:3" x14ac:dyDescent="0.25">
      <c r="A433" s="36">
        <v>41346</v>
      </c>
      <c r="B433" s="122">
        <v>0.38091435185185185</v>
      </c>
      <c r="C433" s="26" t="s">
        <v>1228</v>
      </c>
    </row>
    <row r="434" spans="1:3" x14ac:dyDescent="0.25">
      <c r="A434" s="36">
        <v>41346</v>
      </c>
      <c r="B434" s="122">
        <v>0.38091435185185185</v>
      </c>
      <c r="C434" s="26" t="s">
        <v>1217</v>
      </c>
    </row>
    <row r="435" spans="1:3" x14ac:dyDescent="0.25">
      <c r="A435" s="36">
        <v>41346</v>
      </c>
      <c r="B435" s="122">
        <v>0.38091435185185185</v>
      </c>
      <c r="C435" s="26" t="s">
        <v>1223</v>
      </c>
    </row>
    <row r="436" spans="1:3" x14ac:dyDescent="0.25">
      <c r="A436" s="36">
        <v>41346</v>
      </c>
      <c r="B436" s="122">
        <v>0.38091435185185185</v>
      </c>
      <c r="C436" s="26" t="s">
        <v>1274</v>
      </c>
    </row>
    <row r="437" spans="1:3" x14ac:dyDescent="0.25">
      <c r="A437" s="36">
        <v>41346</v>
      </c>
      <c r="B437" s="122">
        <v>0.38091435185185185</v>
      </c>
      <c r="C437" s="26" t="s">
        <v>1168</v>
      </c>
    </row>
    <row r="438" spans="1:3" x14ac:dyDescent="0.25">
      <c r="A438" s="36">
        <v>41346</v>
      </c>
      <c r="B438" s="122">
        <v>0.38091435185185185</v>
      </c>
      <c r="C438" s="26" t="s">
        <v>1157</v>
      </c>
    </row>
    <row r="439" spans="1:3" x14ac:dyDescent="0.25">
      <c r="A439" s="36">
        <v>41346</v>
      </c>
      <c r="B439" s="122">
        <v>0.38091435185185185</v>
      </c>
      <c r="C439" s="26" t="s">
        <v>1202</v>
      </c>
    </row>
    <row r="440" spans="1:3" x14ac:dyDescent="0.25">
      <c r="A440" s="36">
        <v>41346</v>
      </c>
      <c r="B440" s="122">
        <v>0.38091435185185185</v>
      </c>
      <c r="C440" s="26" t="s">
        <v>1218</v>
      </c>
    </row>
    <row r="441" spans="1:3" x14ac:dyDescent="0.25">
      <c r="A441" s="36">
        <v>41346</v>
      </c>
      <c r="B441" s="122">
        <v>0.38091435185185185</v>
      </c>
      <c r="C441" s="26" t="s">
        <v>1175</v>
      </c>
    </row>
    <row r="442" spans="1:3" x14ac:dyDescent="0.25">
      <c r="A442" s="36">
        <v>41346</v>
      </c>
      <c r="B442" s="122">
        <v>0.38091435185185185</v>
      </c>
      <c r="C442" s="26" t="s">
        <v>1213</v>
      </c>
    </row>
    <row r="443" spans="1:3" x14ac:dyDescent="0.25">
      <c r="A443" s="36">
        <v>41346</v>
      </c>
      <c r="B443" s="122">
        <v>0.38091435185185185</v>
      </c>
      <c r="C443" s="26" t="s">
        <v>1247</v>
      </c>
    </row>
    <row r="444" spans="1:3" x14ac:dyDescent="0.25">
      <c r="A444" s="36">
        <v>41346</v>
      </c>
      <c r="B444" s="122">
        <v>0.38091435185185185</v>
      </c>
      <c r="C444" s="26" t="s">
        <v>1274</v>
      </c>
    </row>
    <row r="445" spans="1:3" x14ac:dyDescent="0.25">
      <c r="A445" s="36">
        <v>41346</v>
      </c>
      <c r="B445" s="122">
        <v>0.38091435185185185</v>
      </c>
      <c r="C445" s="26" t="s">
        <v>1267</v>
      </c>
    </row>
    <row r="446" spans="1:3" x14ac:dyDescent="0.25">
      <c r="A446" s="36">
        <v>41346</v>
      </c>
      <c r="B446" s="122">
        <v>0.38091435185185185</v>
      </c>
      <c r="C446" s="26" t="s">
        <v>1223</v>
      </c>
    </row>
    <row r="447" spans="1:3" x14ac:dyDescent="0.25">
      <c r="A447" s="36">
        <v>41346</v>
      </c>
      <c r="B447" s="122">
        <v>0.38091435185185185</v>
      </c>
      <c r="C447" s="26" t="s">
        <v>1135</v>
      </c>
    </row>
    <row r="448" spans="1:3" x14ac:dyDescent="0.25">
      <c r="A448" s="36">
        <v>41346</v>
      </c>
      <c r="B448" s="122">
        <v>0.38091435185185185</v>
      </c>
      <c r="C448" s="26" t="s">
        <v>1226</v>
      </c>
    </row>
    <row r="449" spans="1:3" x14ac:dyDescent="0.25">
      <c r="A449" s="36">
        <v>41346</v>
      </c>
      <c r="B449" s="122">
        <v>0.38091435185185185</v>
      </c>
      <c r="C449" s="26" t="s">
        <v>1213</v>
      </c>
    </row>
    <row r="450" spans="1:3" x14ac:dyDescent="0.25">
      <c r="A450" s="36">
        <v>41346</v>
      </c>
      <c r="B450" s="122">
        <v>0.38091435185185185</v>
      </c>
      <c r="C450" s="26" t="s">
        <v>1114</v>
      </c>
    </row>
    <row r="451" spans="1:3" x14ac:dyDescent="0.25">
      <c r="A451" s="36">
        <v>41346</v>
      </c>
      <c r="B451" s="122">
        <v>0.38091435185185185</v>
      </c>
      <c r="C451" s="26" t="s">
        <v>1191</v>
      </c>
    </row>
    <row r="452" spans="1:3" x14ac:dyDescent="0.25">
      <c r="A452" s="36">
        <v>41346</v>
      </c>
      <c r="B452" s="122">
        <v>0.38091435185185185</v>
      </c>
      <c r="C452" s="26" t="s">
        <v>1274</v>
      </c>
    </row>
    <row r="453" spans="1:3" x14ac:dyDescent="0.25">
      <c r="A453" s="36">
        <v>41346</v>
      </c>
      <c r="B453" s="122">
        <v>0.38091435185185185</v>
      </c>
      <c r="C453" s="26" t="s">
        <v>1176</v>
      </c>
    </row>
    <row r="454" spans="1:3" x14ac:dyDescent="0.25">
      <c r="A454" s="36">
        <v>41346</v>
      </c>
      <c r="B454" s="122">
        <v>0.38091435185185185</v>
      </c>
      <c r="C454" s="26" t="s">
        <v>1125</v>
      </c>
    </row>
    <row r="455" spans="1:3" x14ac:dyDescent="0.25">
      <c r="A455" s="36">
        <v>41346</v>
      </c>
      <c r="B455" s="122">
        <v>0.38091435185185185</v>
      </c>
      <c r="C455" s="26" t="s">
        <v>1204</v>
      </c>
    </row>
    <row r="456" spans="1:3" x14ac:dyDescent="0.25">
      <c r="A456" s="36">
        <v>41346</v>
      </c>
      <c r="B456" s="122">
        <v>0.38091435185185185</v>
      </c>
      <c r="C456" s="26" t="s">
        <v>1152</v>
      </c>
    </row>
    <row r="457" spans="1:3" x14ac:dyDescent="0.25">
      <c r="A457" s="36">
        <v>41346</v>
      </c>
      <c r="B457" s="122">
        <v>0.38091435185185185</v>
      </c>
      <c r="C457" s="26" t="s">
        <v>1274</v>
      </c>
    </row>
    <row r="458" spans="1:3" x14ac:dyDescent="0.25">
      <c r="A458" s="36">
        <v>41346</v>
      </c>
      <c r="B458" s="122">
        <v>0.38091435185185185</v>
      </c>
      <c r="C458" s="26" t="s">
        <v>1104</v>
      </c>
    </row>
    <row r="459" spans="1:3" x14ac:dyDescent="0.25">
      <c r="A459" s="36">
        <v>41346</v>
      </c>
      <c r="B459" s="122">
        <v>0.38091435185185185</v>
      </c>
      <c r="C459" s="26" t="s">
        <v>1263</v>
      </c>
    </row>
    <row r="460" spans="1:3" x14ac:dyDescent="0.25">
      <c r="A460" s="36">
        <v>41346</v>
      </c>
      <c r="B460" s="122">
        <v>0.38091435185185185</v>
      </c>
      <c r="C460" s="26" t="s">
        <v>1181</v>
      </c>
    </row>
    <row r="461" spans="1:3" x14ac:dyDescent="0.25">
      <c r="A461" s="36">
        <v>41346</v>
      </c>
      <c r="B461" s="122">
        <v>0.38091435185185185</v>
      </c>
      <c r="C461" s="26" t="s">
        <v>1251</v>
      </c>
    </row>
    <row r="462" spans="1:3" x14ac:dyDescent="0.25">
      <c r="A462" s="36">
        <v>41346</v>
      </c>
      <c r="B462" s="122">
        <v>0.38091435185185185</v>
      </c>
      <c r="C462" s="26" t="s">
        <v>1191</v>
      </c>
    </row>
    <row r="463" spans="1:3" x14ac:dyDescent="0.25">
      <c r="A463" s="36">
        <v>41346</v>
      </c>
      <c r="B463" s="122">
        <v>0.38091435185185185</v>
      </c>
      <c r="C463" s="26" t="s">
        <v>1236</v>
      </c>
    </row>
    <row r="464" spans="1:3" x14ac:dyDescent="0.25">
      <c r="A464" s="36">
        <v>41346</v>
      </c>
      <c r="B464" s="122">
        <v>0.38091435185185185</v>
      </c>
      <c r="C464" s="26" t="s">
        <v>1191</v>
      </c>
    </row>
    <row r="465" spans="1:3" x14ac:dyDescent="0.25">
      <c r="A465" s="36">
        <v>41346</v>
      </c>
      <c r="B465" s="122">
        <v>0.38091435185185185</v>
      </c>
      <c r="C465" s="26" t="s">
        <v>1100</v>
      </c>
    </row>
    <row r="466" spans="1:3" x14ac:dyDescent="0.25">
      <c r="A466" s="36">
        <v>41346</v>
      </c>
      <c r="B466" s="122">
        <v>0.38091435185185185</v>
      </c>
      <c r="C466" s="26" t="s">
        <v>1100</v>
      </c>
    </row>
    <row r="467" spans="1:3" x14ac:dyDescent="0.25">
      <c r="A467" s="36">
        <v>41346</v>
      </c>
      <c r="B467" s="122">
        <v>0.38091435185185185</v>
      </c>
      <c r="C467" s="26" t="s">
        <v>1151</v>
      </c>
    </row>
    <row r="468" spans="1:3" x14ac:dyDescent="0.25">
      <c r="A468" s="36">
        <v>41346</v>
      </c>
      <c r="B468" s="122">
        <v>0.38091435185185185</v>
      </c>
      <c r="C468" s="26" t="s">
        <v>1151</v>
      </c>
    </row>
    <row r="469" spans="1:3" x14ac:dyDescent="0.25">
      <c r="A469" s="36">
        <v>41346</v>
      </c>
      <c r="B469" s="122">
        <v>0.38091435185185185</v>
      </c>
      <c r="C469" s="26" t="s">
        <v>1151</v>
      </c>
    </row>
    <row r="470" spans="1:3" x14ac:dyDescent="0.25">
      <c r="A470" s="36">
        <v>41346</v>
      </c>
      <c r="B470" s="122">
        <v>0.38091435185185185</v>
      </c>
      <c r="C470" s="26" t="s">
        <v>1151</v>
      </c>
    </row>
    <row r="471" spans="1:3" x14ac:dyDescent="0.25">
      <c r="A471" s="36">
        <v>41346</v>
      </c>
      <c r="B471" s="122">
        <v>0.38091435185185185</v>
      </c>
      <c r="C471" s="26" t="s">
        <v>1151</v>
      </c>
    </row>
    <row r="472" spans="1:3" x14ac:dyDescent="0.25">
      <c r="A472" s="36">
        <v>41346</v>
      </c>
      <c r="B472" s="122">
        <v>0.38091435185185185</v>
      </c>
      <c r="C472" s="26" t="s">
        <v>1151</v>
      </c>
    </row>
    <row r="473" spans="1:3" x14ac:dyDescent="0.25">
      <c r="A473" s="36">
        <v>41346</v>
      </c>
      <c r="B473" s="122">
        <v>0.38091435185185185</v>
      </c>
      <c r="C473" s="26" t="s">
        <v>1147</v>
      </c>
    </row>
    <row r="474" spans="1:3" x14ac:dyDescent="0.25">
      <c r="A474" s="36">
        <v>41346</v>
      </c>
      <c r="B474" s="122">
        <v>0.38091435185185185</v>
      </c>
      <c r="C474" s="26" t="s">
        <v>1110</v>
      </c>
    </row>
    <row r="475" spans="1:3" x14ac:dyDescent="0.25">
      <c r="A475" s="36">
        <v>41346</v>
      </c>
      <c r="B475" s="122">
        <v>0.38091435185185185</v>
      </c>
      <c r="C475" s="26" t="s">
        <v>1162</v>
      </c>
    </row>
    <row r="476" spans="1:3" x14ac:dyDescent="0.25">
      <c r="A476" s="36">
        <v>41346</v>
      </c>
      <c r="B476" s="122">
        <v>0.38091435185185185</v>
      </c>
      <c r="C476" s="26" t="s">
        <v>1119</v>
      </c>
    </row>
    <row r="477" spans="1:3" x14ac:dyDescent="0.25">
      <c r="A477" s="36">
        <v>41346</v>
      </c>
      <c r="B477" s="122">
        <v>0.38091435185185185</v>
      </c>
      <c r="C477" s="26" t="s">
        <v>1127</v>
      </c>
    </row>
    <row r="478" spans="1:3" x14ac:dyDescent="0.25">
      <c r="A478" s="36">
        <v>41346</v>
      </c>
      <c r="B478" s="122">
        <v>0.38091435185185185</v>
      </c>
      <c r="C478" s="26" t="s">
        <v>1232</v>
      </c>
    </row>
    <row r="479" spans="1:3" x14ac:dyDescent="0.25">
      <c r="A479" s="36">
        <v>41346</v>
      </c>
      <c r="B479" s="122">
        <v>0.38091435185185185</v>
      </c>
      <c r="C479" s="26" t="s">
        <v>1232</v>
      </c>
    </row>
    <row r="480" spans="1:3" x14ac:dyDescent="0.25">
      <c r="A480" s="36">
        <v>41346</v>
      </c>
      <c r="B480" s="122">
        <v>0.38091435185185185</v>
      </c>
      <c r="C480" s="26" t="s">
        <v>1121</v>
      </c>
    </row>
    <row r="481" spans="1:3" x14ac:dyDescent="0.25">
      <c r="A481" s="36">
        <v>41346</v>
      </c>
      <c r="B481" s="122">
        <v>0.38091435185185185</v>
      </c>
      <c r="C481" s="26" t="s">
        <v>1192</v>
      </c>
    </row>
    <row r="482" spans="1:3" x14ac:dyDescent="0.25">
      <c r="A482" s="36">
        <v>41346</v>
      </c>
      <c r="B482" s="122">
        <v>0.38091435185185185</v>
      </c>
      <c r="C482" s="26" t="s">
        <v>1232</v>
      </c>
    </row>
    <row r="483" spans="1:3" x14ac:dyDescent="0.25">
      <c r="A483" s="36">
        <v>41346</v>
      </c>
      <c r="B483" s="122">
        <v>0.38091435185185185</v>
      </c>
      <c r="C483" s="26" t="s">
        <v>1269</v>
      </c>
    </row>
    <row r="484" spans="1:3" x14ac:dyDescent="0.25">
      <c r="A484" s="36">
        <v>41346</v>
      </c>
      <c r="B484" s="122">
        <v>0.38091435185185185</v>
      </c>
      <c r="C484" s="26" t="s">
        <v>1120</v>
      </c>
    </row>
    <row r="485" spans="1:3" x14ac:dyDescent="0.25">
      <c r="A485" s="36">
        <v>41346</v>
      </c>
      <c r="B485" s="122">
        <v>0.38091435185185185</v>
      </c>
      <c r="C485" s="26" t="s">
        <v>1225</v>
      </c>
    </row>
    <row r="486" spans="1:3" x14ac:dyDescent="0.25">
      <c r="A486" s="36">
        <v>41346</v>
      </c>
      <c r="B486" s="122">
        <v>0.38091435185185185</v>
      </c>
      <c r="C486" s="26" t="s">
        <v>1240</v>
      </c>
    </row>
    <row r="487" spans="1:3" x14ac:dyDescent="0.25">
      <c r="A487" s="36">
        <v>41346</v>
      </c>
      <c r="B487" s="122">
        <v>0.38091435185185185</v>
      </c>
      <c r="C487" s="26" t="s">
        <v>1246</v>
      </c>
    </row>
    <row r="488" spans="1:3" x14ac:dyDescent="0.25">
      <c r="A488" s="36">
        <v>41346</v>
      </c>
      <c r="B488" s="122">
        <v>0.38091435185185185</v>
      </c>
      <c r="C488" s="26" t="s">
        <v>1261</v>
      </c>
    </row>
    <row r="489" spans="1:3" x14ac:dyDescent="0.25">
      <c r="A489" s="36">
        <v>41346</v>
      </c>
      <c r="B489" s="122">
        <v>0.38091435185185185</v>
      </c>
      <c r="C489" s="26" t="s">
        <v>1137</v>
      </c>
    </row>
    <row r="490" spans="1:3" x14ac:dyDescent="0.25">
      <c r="A490" s="36">
        <v>41346</v>
      </c>
      <c r="B490" s="122">
        <v>0.38091435185185185</v>
      </c>
      <c r="C490" s="26" t="s">
        <v>1274</v>
      </c>
    </row>
    <row r="491" spans="1:3" x14ac:dyDescent="0.25">
      <c r="A491" s="36">
        <v>41346</v>
      </c>
      <c r="B491" s="122">
        <v>0.38091435185185185</v>
      </c>
      <c r="C491" s="26" t="s">
        <v>1166</v>
      </c>
    </row>
    <row r="492" spans="1:3" x14ac:dyDescent="0.25">
      <c r="A492" s="36">
        <v>41346</v>
      </c>
      <c r="B492" s="122">
        <v>0.38091435185185185</v>
      </c>
      <c r="C492" s="26" t="s">
        <v>1184</v>
      </c>
    </row>
    <row r="493" spans="1:3" x14ac:dyDescent="0.25">
      <c r="A493" s="36">
        <v>41346</v>
      </c>
      <c r="B493" s="122">
        <v>0.38091435185185185</v>
      </c>
      <c r="C493" s="26" t="s">
        <v>1224</v>
      </c>
    </row>
    <row r="494" spans="1:3" x14ac:dyDescent="0.25">
      <c r="A494" s="36">
        <v>41346</v>
      </c>
      <c r="B494" s="122">
        <v>0.38091435185185185</v>
      </c>
      <c r="C494" s="26" t="s">
        <v>1270</v>
      </c>
    </row>
    <row r="495" spans="1:3" x14ac:dyDescent="0.25">
      <c r="A495" s="36">
        <v>41346</v>
      </c>
      <c r="B495" s="122">
        <v>0.38091435185185185</v>
      </c>
      <c r="C495" s="26" t="s">
        <v>1140</v>
      </c>
    </row>
    <row r="496" spans="1:3" x14ac:dyDescent="0.25">
      <c r="A496" s="36">
        <v>41346</v>
      </c>
      <c r="B496" s="122">
        <v>0.38091435185185185</v>
      </c>
      <c r="C496" s="26" t="s">
        <v>1144</v>
      </c>
    </row>
    <row r="497" spans="1:3" x14ac:dyDescent="0.25">
      <c r="A497" s="36">
        <v>41346</v>
      </c>
      <c r="B497" s="122">
        <v>0.38091435185185185</v>
      </c>
      <c r="C497" s="26" t="s">
        <v>1204</v>
      </c>
    </row>
    <row r="498" spans="1:3" x14ac:dyDescent="0.25">
      <c r="A498" s="36">
        <v>41346</v>
      </c>
      <c r="B498" s="122">
        <v>0.38091435185185185</v>
      </c>
      <c r="C498" s="26" t="s">
        <v>1238</v>
      </c>
    </row>
    <row r="499" spans="1:3" x14ac:dyDescent="0.25">
      <c r="A499" s="36">
        <v>41346</v>
      </c>
      <c r="B499" s="122">
        <v>0.38091435185185185</v>
      </c>
      <c r="C499" s="26" t="s">
        <v>1274</v>
      </c>
    </row>
    <row r="500" spans="1:3" x14ac:dyDescent="0.25">
      <c r="A500" s="36">
        <v>41346</v>
      </c>
      <c r="B500" s="122">
        <v>0.38091435185185185</v>
      </c>
      <c r="C500" s="26" t="s">
        <v>1179</v>
      </c>
    </row>
    <row r="501" spans="1:3" x14ac:dyDescent="0.25">
      <c r="A501" s="36">
        <v>41346</v>
      </c>
      <c r="B501" s="122">
        <v>0.38091435185185185</v>
      </c>
      <c r="C501" s="26" t="s">
        <v>1142</v>
      </c>
    </row>
    <row r="502" spans="1:3" x14ac:dyDescent="0.25">
      <c r="A502" s="36">
        <v>41346</v>
      </c>
      <c r="B502" s="122">
        <v>0.38091435185185185</v>
      </c>
      <c r="C502" s="26" t="s">
        <v>1233</v>
      </c>
    </row>
    <row r="503" spans="1:3" x14ac:dyDescent="0.25">
      <c r="A503" s="36">
        <v>41346</v>
      </c>
      <c r="B503" s="122">
        <v>0.38091435185185185</v>
      </c>
      <c r="C503" s="26" t="s">
        <v>1122</v>
      </c>
    </row>
    <row r="504" spans="1:3" x14ac:dyDescent="0.25">
      <c r="A504" s="36">
        <v>41346</v>
      </c>
      <c r="B504" s="122">
        <v>0.38091435185185185</v>
      </c>
      <c r="C504" s="26" t="s">
        <v>1129</v>
      </c>
    </row>
    <row r="505" spans="1:3" x14ac:dyDescent="0.25">
      <c r="A505" s="36">
        <v>41346</v>
      </c>
      <c r="B505" s="122">
        <v>0.38091435185185185</v>
      </c>
      <c r="C505" s="26" t="s">
        <v>1250</v>
      </c>
    </row>
    <row r="506" spans="1:3" x14ac:dyDescent="0.25">
      <c r="A506" s="36">
        <v>41346</v>
      </c>
      <c r="B506" s="122">
        <v>0.38091435185185185</v>
      </c>
      <c r="C506" s="26" t="s">
        <v>1173</v>
      </c>
    </row>
    <row r="507" spans="1:3" x14ac:dyDescent="0.25">
      <c r="A507" s="36">
        <v>41346</v>
      </c>
      <c r="B507" s="122">
        <v>0.38091435185185185</v>
      </c>
      <c r="C507" s="26" t="s">
        <v>1124</v>
      </c>
    </row>
    <row r="508" spans="1:3" x14ac:dyDescent="0.25">
      <c r="A508" s="36">
        <v>41346</v>
      </c>
      <c r="B508" s="122">
        <v>0.38091435185185185</v>
      </c>
      <c r="C508" s="26" t="s">
        <v>1131</v>
      </c>
    </row>
    <row r="509" spans="1:3" x14ac:dyDescent="0.25">
      <c r="A509" s="36">
        <v>41346</v>
      </c>
      <c r="B509" s="122">
        <v>0.38091435185185185</v>
      </c>
      <c r="C509" s="26" t="s">
        <v>1244</v>
      </c>
    </row>
    <row r="510" spans="1:3" x14ac:dyDescent="0.25">
      <c r="A510" s="36">
        <v>41346</v>
      </c>
      <c r="B510" s="122">
        <v>0.38091435185185185</v>
      </c>
      <c r="C510" s="26" t="s">
        <v>1275</v>
      </c>
    </row>
    <row r="511" spans="1:3" x14ac:dyDescent="0.25">
      <c r="A511" s="36">
        <v>41346</v>
      </c>
      <c r="B511" s="122">
        <v>0.38091435185185185</v>
      </c>
      <c r="C511" s="26" t="s">
        <v>1230</v>
      </c>
    </row>
    <row r="512" spans="1:3" x14ac:dyDescent="0.25">
      <c r="A512" s="36">
        <v>41346</v>
      </c>
      <c r="B512" s="122">
        <v>0.38091435185185185</v>
      </c>
      <c r="C512" s="26" t="s">
        <v>1180</v>
      </c>
    </row>
    <row r="513" spans="1:3" x14ac:dyDescent="0.25">
      <c r="A513" s="36">
        <v>41346</v>
      </c>
      <c r="B513" s="122">
        <v>0.38091435185185185</v>
      </c>
      <c r="C513" s="26" t="s">
        <v>1199</v>
      </c>
    </row>
    <row r="514" spans="1:3" x14ac:dyDescent="0.25">
      <c r="A514" s="36">
        <v>41346</v>
      </c>
      <c r="B514" s="122">
        <v>0.38091435185185185</v>
      </c>
      <c r="C514" s="26" t="s">
        <v>1138</v>
      </c>
    </row>
    <row r="515" spans="1:3" x14ac:dyDescent="0.25">
      <c r="A515" s="36">
        <v>41346</v>
      </c>
      <c r="B515" s="122">
        <v>0.38091435185185185</v>
      </c>
      <c r="C515" s="26" t="s">
        <v>1211</v>
      </c>
    </row>
    <row r="516" spans="1:3" x14ac:dyDescent="0.25">
      <c r="A516" s="36">
        <v>41346</v>
      </c>
      <c r="B516" s="122">
        <v>0.38091435185185185</v>
      </c>
      <c r="C516" s="26" t="s">
        <v>1255</v>
      </c>
    </row>
    <row r="517" spans="1:3" x14ac:dyDescent="0.25">
      <c r="A517" s="36">
        <v>41346</v>
      </c>
      <c r="B517" s="122">
        <v>0.38091435185185185</v>
      </c>
      <c r="C517" s="26" t="s">
        <v>1133</v>
      </c>
    </row>
    <row r="518" spans="1:3" x14ac:dyDescent="0.25">
      <c r="A518" s="36">
        <v>41346</v>
      </c>
      <c r="B518" s="122">
        <v>0.38091435185185185</v>
      </c>
      <c r="C518" s="26" t="s">
        <v>1239</v>
      </c>
    </row>
    <row r="519" spans="1:3" x14ac:dyDescent="0.25">
      <c r="A519" s="36">
        <v>41346</v>
      </c>
      <c r="B519" s="122">
        <v>0.38091435185185185</v>
      </c>
      <c r="C519" s="26" t="s">
        <v>1184</v>
      </c>
    </row>
    <row r="520" spans="1:3" x14ac:dyDescent="0.25">
      <c r="A520" s="36">
        <v>41346</v>
      </c>
      <c r="B520" s="122">
        <v>0.38091435185185185</v>
      </c>
      <c r="C520" s="26" t="s">
        <v>1274</v>
      </c>
    </row>
    <row r="521" spans="1:3" x14ac:dyDescent="0.25">
      <c r="A521" s="36">
        <v>41346</v>
      </c>
      <c r="B521" s="122">
        <v>0.38091435185185185</v>
      </c>
      <c r="C521" s="26" t="s">
        <v>1108</v>
      </c>
    </row>
    <row r="522" spans="1:3" x14ac:dyDescent="0.25">
      <c r="A522" s="36">
        <v>41346</v>
      </c>
      <c r="B522" s="122">
        <v>0.38091435185185185</v>
      </c>
      <c r="C522" s="26" t="s">
        <v>1133</v>
      </c>
    </row>
    <row r="523" spans="1:3" x14ac:dyDescent="0.25">
      <c r="A523" s="36">
        <v>41346</v>
      </c>
      <c r="B523" s="122">
        <v>0.38091435185185185</v>
      </c>
      <c r="C523" s="26" t="s">
        <v>1133</v>
      </c>
    </row>
    <row r="524" spans="1:3" x14ac:dyDescent="0.25">
      <c r="A524" s="36">
        <v>41346</v>
      </c>
      <c r="B524" s="122">
        <v>0.38091435185185185</v>
      </c>
      <c r="C524" s="26" t="s">
        <v>1133</v>
      </c>
    </row>
    <row r="525" spans="1:3" x14ac:dyDescent="0.25">
      <c r="A525" s="36">
        <v>41346</v>
      </c>
      <c r="B525" s="122">
        <v>0.38091435185185185</v>
      </c>
      <c r="C525" s="26" t="s">
        <v>1265</v>
      </c>
    </row>
    <row r="526" spans="1:3" x14ac:dyDescent="0.25">
      <c r="A526" s="36">
        <v>41346</v>
      </c>
      <c r="B526" s="122">
        <v>0.38091435185185185</v>
      </c>
      <c r="C526" s="26" t="s">
        <v>1109</v>
      </c>
    </row>
    <row r="527" spans="1:3" x14ac:dyDescent="0.25">
      <c r="A527" s="36">
        <v>41346</v>
      </c>
      <c r="B527" s="122">
        <v>0.38091435185185185</v>
      </c>
      <c r="C527" s="26" t="s">
        <v>1112</v>
      </c>
    </row>
    <row r="528" spans="1:3" x14ac:dyDescent="0.25">
      <c r="A528" s="36">
        <v>41346</v>
      </c>
      <c r="B528" s="122">
        <v>0.38091435185185185</v>
      </c>
      <c r="C528" s="26" t="s">
        <v>1126</v>
      </c>
    </row>
    <row r="529" spans="1:3" x14ac:dyDescent="0.25">
      <c r="A529" s="36">
        <v>41346</v>
      </c>
      <c r="B529" s="122">
        <v>0.38091435185185185</v>
      </c>
      <c r="C529" s="26" t="s">
        <v>1109</v>
      </c>
    </row>
    <row r="530" spans="1:3" x14ac:dyDescent="0.25">
      <c r="A530" s="36">
        <v>41346</v>
      </c>
      <c r="B530" s="122">
        <v>0.38091435185185185</v>
      </c>
      <c r="C530" s="26" t="s">
        <v>1243</v>
      </c>
    </row>
    <row r="531" spans="1:3" x14ac:dyDescent="0.25">
      <c r="A531" s="36">
        <v>41346</v>
      </c>
      <c r="B531" s="122">
        <v>0.38091435185185185</v>
      </c>
      <c r="C531" s="26" t="s">
        <v>1254</v>
      </c>
    </row>
    <row r="532" spans="1:3" x14ac:dyDescent="0.25">
      <c r="A532" s="36">
        <v>41346</v>
      </c>
      <c r="B532" s="122">
        <v>0.38091435185185185</v>
      </c>
      <c r="C532" s="26" t="s">
        <v>1178</v>
      </c>
    </row>
    <row r="533" spans="1:3" x14ac:dyDescent="0.25">
      <c r="A533" s="36">
        <v>41346</v>
      </c>
      <c r="B533" s="122">
        <v>0.38091435185185185</v>
      </c>
      <c r="C533" s="26" t="s">
        <v>1197</v>
      </c>
    </row>
    <row r="534" spans="1:3" x14ac:dyDescent="0.25">
      <c r="A534" s="36">
        <v>41346</v>
      </c>
      <c r="B534" s="122">
        <v>0.38091435185185185</v>
      </c>
      <c r="C534" s="26" t="s">
        <v>1113</v>
      </c>
    </row>
    <row r="535" spans="1:3" x14ac:dyDescent="0.25">
      <c r="A535" s="36">
        <v>41346</v>
      </c>
      <c r="B535" s="122">
        <v>0.38091435185185185</v>
      </c>
      <c r="C535" s="26" t="s">
        <v>1208</v>
      </c>
    </row>
    <row r="536" spans="1:3" x14ac:dyDescent="0.25">
      <c r="A536" s="36">
        <v>41346</v>
      </c>
      <c r="B536" s="122">
        <v>0.38091435185185185</v>
      </c>
      <c r="C536" s="26" t="s">
        <v>1111</v>
      </c>
    </row>
    <row r="537" spans="1:3" x14ac:dyDescent="0.25">
      <c r="A537" s="36">
        <v>41346</v>
      </c>
      <c r="B537" s="122">
        <v>0.38091435185185185</v>
      </c>
      <c r="C537" s="26" t="s">
        <v>1121</v>
      </c>
    </row>
    <row r="538" spans="1:3" x14ac:dyDescent="0.25">
      <c r="A538" s="36">
        <v>41346</v>
      </c>
      <c r="B538" s="122">
        <v>0.38091435185185185</v>
      </c>
      <c r="C538" s="26" t="s">
        <v>1149</v>
      </c>
    </row>
    <row r="539" spans="1:3" x14ac:dyDescent="0.25">
      <c r="A539" s="36">
        <v>41346</v>
      </c>
      <c r="B539" s="122">
        <v>0.38091435185185185</v>
      </c>
      <c r="C539" s="26" t="s">
        <v>1205</v>
      </c>
    </row>
    <row r="540" spans="1:3" x14ac:dyDescent="0.25">
      <c r="A540" s="36">
        <v>41346</v>
      </c>
      <c r="B540" s="122">
        <v>0.38091435185185185</v>
      </c>
      <c r="C540" s="26" t="s">
        <v>1196</v>
      </c>
    </row>
    <row r="541" spans="1:3" x14ac:dyDescent="0.25">
      <c r="A541" s="36">
        <v>41346</v>
      </c>
      <c r="B541" s="122">
        <v>0.38091435185185185</v>
      </c>
      <c r="C541" s="26" t="s">
        <v>1242</v>
      </c>
    </row>
    <row r="542" spans="1:3" x14ac:dyDescent="0.25">
      <c r="A542" s="36">
        <v>41346</v>
      </c>
      <c r="B542" s="122">
        <v>0.38091435185185185</v>
      </c>
      <c r="C542" s="26" t="s">
        <v>1139</v>
      </c>
    </row>
    <row r="543" spans="1:3" x14ac:dyDescent="0.25">
      <c r="A543" s="36">
        <v>41346</v>
      </c>
      <c r="B543" s="122">
        <v>0.38091435185185185</v>
      </c>
      <c r="C543" s="26" t="s">
        <v>1102</v>
      </c>
    </row>
    <row r="544" spans="1:3" x14ac:dyDescent="0.25">
      <c r="A544" s="36">
        <v>41346</v>
      </c>
      <c r="B544" s="122">
        <v>0.38091435185185185</v>
      </c>
      <c r="C544" s="26" t="s">
        <v>1256</v>
      </c>
    </row>
    <row r="545" spans="1:3" x14ac:dyDescent="0.25">
      <c r="A545" s="36">
        <v>41346</v>
      </c>
      <c r="B545" s="122">
        <v>0.38091435185185185</v>
      </c>
      <c r="C545" s="26" t="s">
        <v>1128</v>
      </c>
    </row>
    <row r="546" spans="1:3" x14ac:dyDescent="0.25">
      <c r="A546" s="36">
        <v>41346</v>
      </c>
      <c r="B546" s="122">
        <v>0.38091435185185185</v>
      </c>
      <c r="C546" s="26" t="s">
        <v>1257</v>
      </c>
    </row>
    <row r="547" spans="1:3" x14ac:dyDescent="0.25">
      <c r="A547" s="36">
        <v>41346</v>
      </c>
      <c r="B547" s="122">
        <v>0.38091435185185185</v>
      </c>
      <c r="C547" s="26" t="s">
        <v>1184</v>
      </c>
    </row>
    <row r="548" spans="1:3" x14ac:dyDescent="0.25">
      <c r="A548" s="36">
        <v>41346</v>
      </c>
      <c r="B548" s="122">
        <v>0.38091435185185185</v>
      </c>
      <c r="C548" s="26" t="s">
        <v>1156</v>
      </c>
    </row>
    <row r="549" spans="1:3" x14ac:dyDescent="0.25">
      <c r="A549" s="36">
        <v>41346</v>
      </c>
      <c r="B549" s="122">
        <v>0.38091435185185185</v>
      </c>
      <c r="C549" s="26" t="s">
        <v>1179</v>
      </c>
    </row>
    <row r="550" spans="1:3" x14ac:dyDescent="0.25">
      <c r="A550" s="36">
        <v>41346</v>
      </c>
      <c r="B550" s="122">
        <v>0.38091435185185185</v>
      </c>
      <c r="C550" s="26" t="s">
        <v>1188</v>
      </c>
    </row>
    <row r="551" spans="1:3" x14ac:dyDescent="0.25">
      <c r="A551" s="36">
        <v>41346</v>
      </c>
      <c r="B551" s="122">
        <v>0.38091435185185185</v>
      </c>
      <c r="C551" s="26" t="s">
        <v>1136</v>
      </c>
    </row>
    <row r="552" spans="1:3" x14ac:dyDescent="0.25">
      <c r="A552" s="36">
        <v>41346</v>
      </c>
      <c r="B552" s="122">
        <v>0.38091435185185185</v>
      </c>
      <c r="C552" s="26" t="s">
        <v>1143</v>
      </c>
    </row>
    <row r="553" spans="1:3" x14ac:dyDescent="0.25">
      <c r="A553" s="36">
        <v>41346</v>
      </c>
      <c r="B553" s="122">
        <v>0.38091435185185185</v>
      </c>
      <c r="C553" s="26" t="s">
        <v>1098</v>
      </c>
    </row>
    <row r="554" spans="1:3" x14ac:dyDescent="0.25">
      <c r="A554" s="36">
        <v>41346</v>
      </c>
      <c r="B554" s="122">
        <v>0.38091435185185185</v>
      </c>
      <c r="C554" s="26" t="s">
        <v>1134</v>
      </c>
    </row>
    <row r="555" spans="1:3" x14ac:dyDescent="0.25">
      <c r="A555" s="36">
        <v>41346</v>
      </c>
      <c r="B555" s="122">
        <v>0.38091435185185185</v>
      </c>
      <c r="C555" s="26" t="s">
        <v>1159</v>
      </c>
    </row>
    <row r="556" spans="1:3" x14ac:dyDescent="0.25">
      <c r="A556" s="36">
        <v>41346</v>
      </c>
      <c r="B556" s="122">
        <v>0.38091435185185185</v>
      </c>
      <c r="C556" s="26" t="s">
        <v>1164</v>
      </c>
    </row>
    <row r="557" spans="1:3" x14ac:dyDescent="0.25">
      <c r="A557" s="36">
        <v>41346</v>
      </c>
      <c r="B557" s="122">
        <v>0.38091435185185185</v>
      </c>
      <c r="C557" s="26" t="s">
        <v>1118</v>
      </c>
    </row>
    <row r="558" spans="1:3" x14ac:dyDescent="0.25">
      <c r="A558" s="36">
        <v>41346</v>
      </c>
      <c r="B558" s="122">
        <v>0.38091435185185185</v>
      </c>
      <c r="C558" s="26" t="s">
        <v>1240</v>
      </c>
    </row>
    <row r="559" spans="1:3" x14ac:dyDescent="0.25">
      <c r="A559" s="36">
        <v>41346</v>
      </c>
      <c r="B559" s="122">
        <v>0.38091435185185185</v>
      </c>
      <c r="C559" s="26" t="s">
        <v>1150</v>
      </c>
    </row>
    <row r="560" spans="1:3" x14ac:dyDescent="0.25">
      <c r="A560" s="36">
        <v>41346</v>
      </c>
      <c r="B560" s="122">
        <v>0.38091435185185185</v>
      </c>
      <c r="C560" s="26" t="s">
        <v>1227</v>
      </c>
    </row>
    <row r="561" spans="1:3" x14ac:dyDescent="0.25">
      <c r="A561" s="36">
        <v>41346</v>
      </c>
      <c r="B561" s="122">
        <v>0.38091435185185185</v>
      </c>
      <c r="C561" s="26" t="s">
        <v>1125</v>
      </c>
    </row>
    <row r="562" spans="1:3" x14ac:dyDescent="0.25">
      <c r="A562" s="36">
        <v>41346</v>
      </c>
      <c r="B562" s="122">
        <v>0.38091435185185185</v>
      </c>
      <c r="C562" s="26" t="s">
        <v>1273</v>
      </c>
    </row>
    <row r="563" spans="1:3" x14ac:dyDescent="0.25">
      <c r="A563" s="36">
        <v>41346</v>
      </c>
      <c r="B563" s="122">
        <v>0.38091435185185185</v>
      </c>
      <c r="C563" s="26" t="s">
        <v>1182</v>
      </c>
    </row>
    <row r="564" spans="1:3" x14ac:dyDescent="0.25">
      <c r="A564" s="36">
        <v>41346</v>
      </c>
      <c r="B564" s="122">
        <v>0.38091435185185185</v>
      </c>
      <c r="C564" s="26" t="s">
        <v>1189</v>
      </c>
    </row>
    <row r="565" spans="1:3" x14ac:dyDescent="0.25">
      <c r="A565" s="36">
        <v>41346</v>
      </c>
      <c r="B565" s="122">
        <v>0.38091435185185185</v>
      </c>
      <c r="C565" s="26" t="s">
        <v>1205</v>
      </c>
    </row>
    <row r="566" spans="1:3" x14ac:dyDescent="0.25">
      <c r="A566" s="36">
        <v>41346</v>
      </c>
      <c r="B566" s="122">
        <v>0.38091435185185185</v>
      </c>
      <c r="C566" s="26" t="s">
        <v>1105</v>
      </c>
    </row>
    <row r="567" spans="1:3" x14ac:dyDescent="0.25">
      <c r="A567" s="36">
        <v>41346</v>
      </c>
      <c r="B567" s="122">
        <v>0.38091435185185185</v>
      </c>
      <c r="C567" s="26" t="s">
        <v>1105</v>
      </c>
    </row>
    <row r="568" spans="1:3" x14ac:dyDescent="0.25">
      <c r="A568" s="36">
        <v>41346</v>
      </c>
      <c r="B568" s="122">
        <v>0.38091435185185185</v>
      </c>
      <c r="C568" s="26" t="s">
        <v>1215</v>
      </c>
    </row>
    <row r="569" spans="1:3" x14ac:dyDescent="0.25">
      <c r="A569" s="36">
        <v>41346</v>
      </c>
      <c r="B569" s="122">
        <v>0.38091435185185185</v>
      </c>
      <c r="C569" s="26" t="s">
        <v>1269</v>
      </c>
    </row>
    <row r="570" spans="1:3" x14ac:dyDescent="0.25">
      <c r="A570" s="36">
        <v>41346</v>
      </c>
      <c r="B570" s="122">
        <v>0.38091435185185185</v>
      </c>
      <c r="C570" s="26" t="s">
        <v>1117</v>
      </c>
    </row>
    <row r="571" spans="1:3" x14ac:dyDescent="0.25">
      <c r="A571" s="36">
        <v>41346</v>
      </c>
      <c r="B571" s="122">
        <v>0.38091435185185185</v>
      </c>
      <c r="C571" s="26" t="s">
        <v>1148</v>
      </c>
    </row>
    <row r="572" spans="1:3" x14ac:dyDescent="0.25">
      <c r="A572" s="36">
        <v>41346</v>
      </c>
      <c r="B572" s="122">
        <v>0.38091435185185185</v>
      </c>
      <c r="C572" s="26" t="s">
        <v>1117</v>
      </c>
    </row>
    <row r="573" spans="1:3" x14ac:dyDescent="0.25">
      <c r="A573" s="36">
        <v>41346</v>
      </c>
      <c r="B573" s="122">
        <v>0.38091435185185185</v>
      </c>
      <c r="C573" s="26" t="s">
        <v>1159</v>
      </c>
    </row>
    <row r="574" spans="1:3" x14ac:dyDescent="0.25">
      <c r="A574" s="36">
        <v>41346</v>
      </c>
      <c r="B574" s="122">
        <v>0.38091435185185185</v>
      </c>
      <c r="C574" s="26" t="s">
        <v>1146</v>
      </c>
    </row>
    <row r="575" spans="1:3" x14ac:dyDescent="0.25">
      <c r="A575" s="36">
        <v>41346</v>
      </c>
      <c r="B575" s="122">
        <v>0.38091435185185185</v>
      </c>
      <c r="C575" s="26" t="s">
        <v>1210</v>
      </c>
    </row>
    <row r="576" spans="1:3" x14ac:dyDescent="0.25">
      <c r="A576" s="36">
        <v>41346</v>
      </c>
      <c r="B576" s="122">
        <v>0.38091435185185185</v>
      </c>
      <c r="C576" s="26" t="s">
        <v>1220</v>
      </c>
    </row>
    <row r="577" spans="1:3" x14ac:dyDescent="0.25">
      <c r="A577" s="36">
        <v>41346</v>
      </c>
      <c r="B577" s="122">
        <v>0.38091435185185185</v>
      </c>
      <c r="C577" s="26" t="s">
        <v>1116</v>
      </c>
    </row>
    <row r="578" spans="1:3" x14ac:dyDescent="0.25">
      <c r="A578" s="36">
        <v>41346</v>
      </c>
      <c r="B578" s="122">
        <v>0.38091435185185185</v>
      </c>
      <c r="C578" s="26" t="s">
        <v>1206</v>
      </c>
    </row>
    <row r="579" spans="1:3" x14ac:dyDescent="0.25">
      <c r="A579" s="36">
        <v>41346</v>
      </c>
      <c r="B579" s="122">
        <v>0.38091435185185185</v>
      </c>
      <c r="C579" s="26" t="s">
        <v>1184</v>
      </c>
    </row>
    <row r="580" spans="1:3" x14ac:dyDescent="0.25">
      <c r="A580" s="36">
        <v>41346</v>
      </c>
      <c r="B580" s="122">
        <v>0.38091435185185185</v>
      </c>
      <c r="C580" s="26" t="s">
        <v>1214</v>
      </c>
    </row>
    <row r="581" spans="1:3" x14ac:dyDescent="0.25">
      <c r="A581" s="36">
        <v>41346</v>
      </c>
      <c r="B581" s="122">
        <v>0.38091435185185185</v>
      </c>
      <c r="C581" s="26" t="s">
        <v>1169</v>
      </c>
    </row>
    <row r="582" spans="1:3" x14ac:dyDescent="0.25">
      <c r="A582" s="36">
        <v>41346</v>
      </c>
      <c r="B582" s="122">
        <v>0.38091435185185185</v>
      </c>
      <c r="C582" s="26" t="s">
        <v>1250</v>
      </c>
    </row>
    <row r="583" spans="1:3" x14ac:dyDescent="0.25">
      <c r="A583" s="36">
        <v>41346</v>
      </c>
      <c r="B583" s="122">
        <v>0.38091435185185185</v>
      </c>
      <c r="C583" s="26" t="s">
        <v>1123</v>
      </c>
    </row>
    <row r="584" spans="1:3" x14ac:dyDescent="0.25">
      <c r="A584" s="36">
        <v>41346</v>
      </c>
      <c r="B584" s="122">
        <v>0.38091435185185185</v>
      </c>
      <c r="C584" s="26" t="s">
        <v>1230</v>
      </c>
    </row>
    <row r="585" spans="1:3" x14ac:dyDescent="0.25">
      <c r="A585" s="36">
        <v>41346</v>
      </c>
      <c r="B585" s="122">
        <v>0.38091435185185185</v>
      </c>
      <c r="C585" s="26" t="s">
        <v>1204</v>
      </c>
    </row>
    <row r="586" spans="1:3" x14ac:dyDescent="0.25">
      <c r="A586" s="36">
        <v>41346</v>
      </c>
      <c r="B586" s="122">
        <v>0.38091435185185185</v>
      </c>
      <c r="C586" s="26" t="s">
        <v>1132</v>
      </c>
    </row>
    <row r="587" spans="1:3" x14ac:dyDescent="0.25">
      <c r="A587" s="36">
        <v>41346</v>
      </c>
      <c r="B587" s="122">
        <v>0.38091435185185185</v>
      </c>
      <c r="C587" s="26" t="s">
        <v>1171</v>
      </c>
    </row>
    <row r="588" spans="1:3" x14ac:dyDescent="0.25">
      <c r="A588" s="36">
        <v>41346</v>
      </c>
      <c r="B588" s="122">
        <v>0.38091435185185185</v>
      </c>
      <c r="C588" s="26" t="s">
        <v>1186</v>
      </c>
    </row>
    <row r="589" spans="1:3" x14ac:dyDescent="0.25">
      <c r="A589" s="36">
        <v>41346</v>
      </c>
      <c r="B589" s="122">
        <v>0.38091435185185185</v>
      </c>
      <c r="C589" s="26" t="s">
        <v>1231</v>
      </c>
    </row>
    <row r="590" spans="1:3" x14ac:dyDescent="0.25">
      <c r="A590" s="36">
        <v>41346</v>
      </c>
      <c r="B590" s="122">
        <v>0.38091435185185185</v>
      </c>
      <c r="C590" s="26" t="s">
        <v>1107</v>
      </c>
    </row>
    <row r="591" spans="1:3" x14ac:dyDescent="0.25">
      <c r="A591" s="36">
        <v>41346</v>
      </c>
      <c r="B591" s="122">
        <v>0.38091435185185185</v>
      </c>
      <c r="C591" s="26" t="s">
        <v>1146</v>
      </c>
    </row>
    <row r="592" spans="1:3" x14ac:dyDescent="0.25">
      <c r="A592" s="36">
        <v>41346</v>
      </c>
      <c r="B592" s="122">
        <v>0.38091435185185185</v>
      </c>
      <c r="C592" s="26" t="s">
        <v>1232</v>
      </c>
    </row>
    <row r="593" spans="1:3" x14ac:dyDescent="0.25">
      <c r="A593" s="36">
        <v>41346</v>
      </c>
      <c r="B593" s="122">
        <v>0.38091435185185185</v>
      </c>
      <c r="C593" s="26" t="s">
        <v>1232</v>
      </c>
    </row>
    <row r="594" spans="1:3" x14ac:dyDescent="0.25">
      <c r="A594" s="36">
        <v>41346</v>
      </c>
      <c r="B594" s="122">
        <v>0.38091435185185185</v>
      </c>
      <c r="C594" s="26" t="s">
        <v>1249</v>
      </c>
    </row>
    <row r="595" spans="1:3" x14ac:dyDescent="0.25">
      <c r="A595" s="36">
        <v>41346</v>
      </c>
      <c r="B595" s="122">
        <v>0.38091435185185185</v>
      </c>
      <c r="C595" s="26" t="s">
        <v>1232</v>
      </c>
    </row>
    <row r="596" spans="1:3" x14ac:dyDescent="0.25">
      <c r="A596" s="36">
        <v>41346</v>
      </c>
      <c r="B596" s="122">
        <v>0.38091435185185185</v>
      </c>
      <c r="C596" s="26" t="s">
        <v>1118</v>
      </c>
    </row>
    <row r="597" spans="1:3" x14ac:dyDescent="0.25">
      <c r="A597" s="36">
        <v>41346</v>
      </c>
      <c r="B597" s="122">
        <v>0.38091435185185185</v>
      </c>
      <c r="C597" s="26" t="s">
        <v>1163</v>
      </c>
    </row>
    <row r="598" spans="1:3" x14ac:dyDescent="0.25">
      <c r="A598" s="36">
        <v>41346</v>
      </c>
      <c r="B598" s="122">
        <v>0.38091435185185185</v>
      </c>
      <c r="C598" s="26" t="s">
        <v>1245</v>
      </c>
    </row>
    <row r="599" spans="1:3" x14ac:dyDescent="0.25">
      <c r="A599" s="36">
        <v>41346</v>
      </c>
      <c r="B599" s="122">
        <v>0.38091435185185185</v>
      </c>
      <c r="C599" s="26" t="s">
        <v>1270</v>
      </c>
    </row>
    <row r="600" spans="1:3" x14ac:dyDescent="0.25">
      <c r="A600" s="36">
        <v>41346</v>
      </c>
      <c r="B600" s="122">
        <v>0.38091435185185185</v>
      </c>
      <c r="C600" s="26" t="s">
        <v>1101</v>
      </c>
    </row>
    <row r="601" spans="1:3" x14ac:dyDescent="0.25">
      <c r="A601" s="36">
        <v>41346</v>
      </c>
      <c r="B601" s="122">
        <v>0.38091435185185185</v>
      </c>
      <c r="C601" s="26" t="s">
        <v>1141</v>
      </c>
    </row>
    <row r="602" spans="1:3" x14ac:dyDescent="0.25">
      <c r="A602" s="36">
        <v>41346</v>
      </c>
      <c r="B602" s="122">
        <v>0.38091435185185185</v>
      </c>
      <c r="C602" s="26" t="s">
        <v>1145</v>
      </c>
    </row>
    <row r="603" spans="1:3" x14ac:dyDescent="0.25">
      <c r="A603" s="36">
        <v>41346</v>
      </c>
      <c r="B603" s="122">
        <v>0.38091435185185185</v>
      </c>
      <c r="C603" s="26" t="s">
        <v>1234</v>
      </c>
    </row>
    <row r="604" spans="1:3" x14ac:dyDescent="0.25">
      <c r="A604" s="36">
        <v>41346</v>
      </c>
      <c r="B604" s="122">
        <v>0.38091435185185185</v>
      </c>
      <c r="C604" s="26" t="s">
        <v>1115</v>
      </c>
    </row>
    <row r="605" spans="1:3" x14ac:dyDescent="0.25">
      <c r="A605" s="36">
        <v>41346</v>
      </c>
      <c r="B605" s="122">
        <v>0.38091435185185185</v>
      </c>
      <c r="C605" s="26" t="s">
        <v>1130</v>
      </c>
    </row>
    <row r="606" spans="1:3" x14ac:dyDescent="0.25">
      <c r="A606" s="36">
        <v>41346</v>
      </c>
      <c r="B606" s="122">
        <v>0.38091435185185185</v>
      </c>
      <c r="C606" s="26" t="s">
        <v>1179</v>
      </c>
    </row>
    <row r="607" spans="1:3" x14ac:dyDescent="0.25">
      <c r="A607" s="36">
        <v>41346</v>
      </c>
      <c r="B607" s="122">
        <v>0.38091435185185185</v>
      </c>
      <c r="C607" s="26" t="s">
        <v>1103</v>
      </c>
    </row>
    <row r="608" spans="1:3" x14ac:dyDescent="0.25">
      <c r="A608" s="36">
        <v>41346</v>
      </c>
      <c r="B608" s="122">
        <v>0.38091435185185185</v>
      </c>
      <c r="C608" s="26" t="s">
        <v>1118</v>
      </c>
    </row>
    <row r="609" spans="1:3" x14ac:dyDescent="0.25">
      <c r="A609" s="36">
        <v>41346</v>
      </c>
      <c r="B609" s="122">
        <v>0.38091435185185185</v>
      </c>
      <c r="C609" s="26" t="s">
        <v>1165</v>
      </c>
    </row>
    <row r="610" spans="1:3" x14ac:dyDescent="0.25">
      <c r="A610" s="36">
        <v>41346</v>
      </c>
      <c r="B610" s="122">
        <v>0.38091435185185185</v>
      </c>
      <c r="C610" s="26" t="s">
        <v>1106</v>
      </c>
    </row>
    <row r="611" spans="1:3" x14ac:dyDescent="0.25">
      <c r="A611" s="36">
        <v>41346</v>
      </c>
      <c r="B611" s="122">
        <v>0.38091435185185185</v>
      </c>
      <c r="C611" s="26" t="s">
        <v>1096</v>
      </c>
    </row>
    <row r="612" spans="1:3" x14ac:dyDescent="0.25">
      <c r="A612" s="36">
        <v>41346</v>
      </c>
      <c r="B612" s="122">
        <v>0.38091435185185185</v>
      </c>
      <c r="C612" s="26" t="s">
        <v>1158</v>
      </c>
    </row>
    <row r="613" spans="1:3" x14ac:dyDescent="0.25">
      <c r="A613" s="36">
        <v>41346</v>
      </c>
      <c r="B613" s="122">
        <v>0.38091435185185185</v>
      </c>
      <c r="C613" s="26" t="s">
        <v>1160</v>
      </c>
    </row>
    <row r="614" spans="1:3" x14ac:dyDescent="0.25">
      <c r="A614" s="36">
        <v>41346</v>
      </c>
      <c r="B614" s="122">
        <v>0.38091435185185185</v>
      </c>
      <c r="C614" s="26" t="s">
        <v>1172</v>
      </c>
    </row>
    <row r="615" spans="1:3" x14ac:dyDescent="0.25">
      <c r="A615" s="36">
        <v>41346</v>
      </c>
      <c r="B615" s="122">
        <v>0.38091435185185185</v>
      </c>
      <c r="C615" s="26" t="s">
        <v>1174</v>
      </c>
    </row>
    <row r="616" spans="1:3" x14ac:dyDescent="0.25">
      <c r="A616" s="36">
        <v>41346</v>
      </c>
      <c r="B616" s="122">
        <v>0.38091435185185185</v>
      </c>
      <c r="C616" s="26" t="s">
        <v>1219</v>
      </c>
    </row>
    <row r="617" spans="1:3" x14ac:dyDescent="0.25">
      <c r="A617" s="36">
        <v>41346</v>
      </c>
      <c r="B617" s="122">
        <v>0.38091435185185185</v>
      </c>
      <c r="C617" s="26" t="s">
        <v>1248</v>
      </c>
    </row>
    <row r="618" spans="1:3" x14ac:dyDescent="0.25">
      <c r="A618" s="36">
        <v>41346</v>
      </c>
      <c r="B618" s="122">
        <v>0.38091435185185185</v>
      </c>
      <c r="C618" s="26" t="s">
        <v>1248</v>
      </c>
    </row>
    <row r="619" spans="1:3" x14ac:dyDescent="0.25">
      <c r="A619" s="36">
        <v>41346</v>
      </c>
      <c r="B619" s="122">
        <v>0.38091435185185185</v>
      </c>
      <c r="C619" s="26" t="s">
        <v>1106</v>
      </c>
    </row>
    <row r="620" spans="1:3" x14ac:dyDescent="0.25">
      <c r="A620" s="36">
        <v>41346</v>
      </c>
      <c r="B620" s="122">
        <v>0.38091435185185185</v>
      </c>
      <c r="C620" s="26" t="s">
        <v>1296</v>
      </c>
    </row>
    <row r="621" spans="1:3" x14ac:dyDescent="0.25">
      <c r="A621" s="36">
        <v>41346</v>
      </c>
      <c r="B621" s="122">
        <v>0.38091435185185185</v>
      </c>
      <c r="C621" s="26" t="s">
        <v>1297</v>
      </c>
    </row>
    <row r="622" spans="1:3" x14ac:dyDescent="0.25">
      <c r="A622" s="36">
        <v>41346</v>
      </c>
      <c r="B622" s="122">
        <v>0.38091435185185185</v>
      </c>
      <c r="C622" s="26" t="s">
        <v>1295</v>
      </c>
    </row>
    <row r="623" spans="1:3" x14ac:dyDescent="0.25">
      <c r="A623" s="36">
        <v>41346</v>
      </c>
      <c r="B623" s="122">
        <v>0.38091435185185185</v>
      </c>
      <c r="C623" s="26" t="s">
        <v>1298</v>
      </c>
    </row>
    <row r="624" spans="1:3" x14ac:dyDescent="0.25">
      <c r="A624" s="36">
        <v>41346</v>
      </c>
      <c r="B624" s="122">
        <v>0.38091435185185185</v>
      </c>
      <c r="C624" s="26" t="s">
        <v>1225</v>
      </c>
    </row>
    <row r="625" spans="1:3" x14ac:dyDescent="0.25">
      <c r="A625" s="36">
        <v>41346</v>
      </c>
      <c r="B625" s="122">
        <v>0.38091435185185185</v>
      </c>
      <c r="C625" s="26" t="s">
        <v>1251</v>
      </c>
    </row>
    <row r="626" spans="1:3" x14ac:dyDescent="0.25">
      <c r="A626" s="36">
        <v>41346</v>
      </c>
      <c r="B626" s="122">
        <v>0.38091435185185185</v>
      </c>
      <c r="C626" s="26" t="s">
        <v>1304</v>
      </c>
    </row>
    <row r="627" spans="1:3" x14ac:dyDescent="0.25">
      <c r="A627" s="36">
        <v>41346</v>
      </c>
      <c r="B627" s="122">
        <v>0.38092592592592589</v>
      </c>
      <c r="C627" s="26" t="s">
        <v>1276</v>
      </c>
    </row>
    <row r="628" spans="1:3" x14ac:dyDescent="0.25">
      <c r="A628" s="36">
        <v>41346</v>
      </c>
      <c r="B628" s="122">
        <v>0.38609953703703703</v>
      </c>
      <c r="C628" s="26" t="s">
        <v>1325</v>
      </c>
    </row>
    <row r="629" spans="1:3" x14ac:dyDescent="0.25">
      <c r="A629" s="36">
        <v>41346</v>
      </c>
      <c r="B629" s="122">
        <v>0.3871412037037037</v>
      </c>
      <c r="C629" s="26" t="s">
        <v>1319</v>
      </c>
    </row>
    <row r="630" spans="1:3" ht="30" x14ac:dyDescent="0.25">
      <c r="A630" s="36">
        <v>41346</v>
      </c>
      <c r="B630" s="122">
        <v>0.38717592592592592</v>
      </c>
      <c r="C630" s="789" t="s">
        <v>1326</v>
      </c>
    </row>
    <row r="631" spans="1:3" ht="45" x14ac:dyDescent="0.25">
      <c r="A631" s="36">
        <v>41346</v>
      </c>
      <c r="B631" s="122">
        <v>0.38723379629629634</v>
      </c>
      <c r="C631" s="789" t="s">
        <v>1327</v>
      </c>
    </row>
    <row r="632" spans="1:3" x14ac:dyDescent="0.25">
      <c r="A632" s="36">
        <v>41346</v>
      </c>
      <c r="B632" s="122">
        <v>0.38849537037037035</v>
      </c>
      <c r="C632" s="26" t="s">
        <v>1328</v>
      </c>
    </row>
    <row r="633" spans="1:3" ht="30" x14ac:dyDescent="0.25">
      <c r="A633" s="36">
        <v>41346</v>
      </c>
      <c r="B633" s="122">
        <v>0.38871527777777781</v>
      </c>
      <c r="C633" s="789" t="s">
        <v>1329</v>
      </c>
    </row>
    <row r="634" spans="1:3" ht="45" x14ac:dyDescent="0.25">
      <c r="A634" s="36">
        <v>41346</v>
      </c>
      <c r="B634" s="122">
        <v>0.38960648148148147</v>
      </c>
      <c r="C634" s="789" t="s">
        <v>1330</v>
      </c>
    </row>
    <row r="635" spans="1:3" x14ac:dyDescent="0.25">
      <c r="A635" s="36">
        <v>41347</v>
      </c>
      <c r="B635" s="122">
        <v>0.90357638888888892</v>
      </c>
      <c r="C635" s="26" t="s">
        <v>1331</v>
      </c>
    </row>
    <row r="636" spans="1:3" ht="45" x14ac:dyDescent="0.25">
      <c r="A636" s="36">
        <v>41347</v>
      </c>
      <c r="B636" s="122">
        <v>0.90451388888888884</v>
      </c>
      <c r="C636" s="789" t="s">
        <v>1332</v>
      </c>
    </row>
    <row r="637" spans="1:3" ht="45" x14ac:dyDescent="0.25">
      <c r="A637" s="36">
        <v>41347</v>
      </c>
      <c r="B637" s="122">
        <v>0.9046643518518519</v>
      </c>
      <c r="C637" s="789" t="s">
        <v>1333</v>
      </c>
    </row>
    <row r="638" spans="1:3" ht="30" x14ac:dyDescent="0.25">
      <c r="A638" s="36">
        <v>41347</v>
      </c>
      <c r="B638" s="122">
        <v>0.90474537037037039</v>
      </c>
      <c r="C638" s="789" t="s">
        <v>1334</v>
      </c>
    </row>
    <row r="639" spans="1:3" x14ac:dyDescent="0.25">
      <c r="A639" s="36">
        <v>41347</v>
      </c>
      <c r="B639" s="122">
        <v>0.91262731481481474</v>
      </c>
      <c r="C639" s="26" t="s">
        <v>1335</v>
      </c>
    </row>
    <row r="640" spans="1:3" ht="30" x14ac:dyDescent="0.25">
      <c r="A640" s="36">
        <v>41347</v>
      </c>
      <c r="B640" s="122">
        <v>0.91302083333333339</v>
      </c>
      <c r="C640" s="789" t="s">
        <v>1336</v>
      </c>
    </row>
    <row r="641" spans="1:3" x14ac:dyDescent="0.25">
      <c r="A641" s="36">
        <v>41347</v>
      </c>
      <c r="B641" s="122">
        <v>0.95841435185185186</v>
      </c>
      <c r="C641" s="26" t="s">
        <v>1337</v>
      </c>
    </row>
    <row r="642" spans="1:3" ht="45" x14ac:dyDescent="0.25">
      <c r="A642" s="36">
        <v>41347</v>
      </c>
      <c r="B642" s="122">
        <v>0.95938657407407402</v>
      </c>
      <c r="C642" s="789" t="s">
        <v>1338</v>
      </c>
    </row>
    <row r="643" spans="1:3" ht="45" x14ac:dyDescent="0.25">
      <c r="A643" s="36">
        <v>41347</v>
      </c>
      <c r="B643" s="122">
        <v>0.95952546296296293</v>
      </c>
      <c r="C643" s="789" t="s">
        <v>1339</v>
      </c>
    </row>
    <row r="644" spans="1:3" ht="30" x14ac:dyDescent="0.25">
      <c r="A644" s="36">
        <v>41347</v>
      </c>
      <c r="B644" s="122">
        <v>0.95964120370370365</v>
      </c>
      <c r="C644" s="789" t="s">
        <v>1340</v>
      </c>
    </row>
    <row r="645" spans="1:3" x14ac:dyDescent="0.25">
      <c r="A645" s="36">
        <v>41347</v>
      </c>
      <c r="B645" s="122">
        <v>0.96660879629629637</v>
      </c>
      <c r="C645" s="26" t="s">
        <v>1084</v>
      </c>
    </row>
    <row r="646" spans="1:3" x14ac:dyDescent="0.25">
      <c r="A646" s="36">
        <v>41347</v>
      </c>
      <c r="B646" s="122">
        <v>0.96660879629629637</v>
      </c>
      <c r="C646" s="26" t="s">
        <v>1085</v>
      </c>
    </row>
    <row r="647" spans="1:3" x14ac:dyDescent="0.25">
      <c r="A647" s="36">
        <v>41347</v>
      </c>
      <c r="B647" s="122">
        <v>0.96660879629629637</v>
      </c>
      <c r="C647" s="26" t="s">
        <v>1086</v>
      </c>
    </row>
    <row r="648" spans="1:3" x14ac:dyDescent="0.25">
      <c r="A648" s="36">
        <v>41347</v>
      </c>
      <c r="B648" s="122">
        <v>0.96660879629629637</v>
      </c>
      <c r="C648" s="26" t="s">
        <v>1087</v>
      </c>
    </row>
    <row r="649" spans="1:3" x14ac:dyDescent="0.25">
      <c r="A649" s="36">
        <v>41347</v>
      </c>
      <c r="B649" s="122">
        <v>0.96660879629629637</v>
      </c>
      <c r="C649" s="26" t="s">
        <v>1088</v>
      </c>
    </row>
    <row r="650" spans="1:3" x14ac:dyDescent="0.25">
      <c r="A650" s="36">
        <v>41347</v>
      </c>
      <c r="B650" s="122">
        <v>0.96660879629629637</v>
      </c>
      <c r="C650" s="26" t="s">
        <v>1086</v>
      </c>
    </row>
    <row r="651" spans="1:3" x14ac:dyDescent="0.25">
      <c r="A651" s="36">
        <v>41347</v>
      </c>
      <c r="B651" s="122">
        <v>0.96660879629629637</v>
      </c>
      <c r="C651" s="26" t="s">
        <v>1089</v>
      </c>
    </row>
    <row r="652" spans="1:3" x14ac:dyDescent="0.25">
      <c r="A652" s="36">
        <v>41347</v>
      </c>
      <c r="B652" s="122">
        <v>0.96660879629629637</v>
      </c>
      <c r="C652" s="26" t="s">
        <v>1089</v>
      </c>
    </row>
    <row r="653" spans="1:3" x14ac:dyDescent="0.25">
      <c r="A653" s="36">
        <v>41347</v>
      </c>
      <c r="B653" s="122">
        <v>0.96660879629629637</v>
      </c>
      <c r="C653" s="26" t="s">
        <v>1090</v>
      </c>
    </row>
    <row r="654" spans="1:3" x14ac:dyDescent="0.25">
      <c r="A654" s="36">
        <v>41347</v>
      </c>
      <c r="B654" s="122">
        <v>0.96660879629629637</v>
      </c>
      <c r="C654" s="26" t="s">
        <v>1091</v>
      </c>
    </row>
    <row r="655" spans="1:3" x14ac:dyDescent="0.25">
      <c r="A655" s="36">
        <v>41347</v>
      </c>
      <c r="B655" s="122">
        <v>0.96660879629629637</v>
      </c>
      <c r="C655" s="26" t="s">
        <v>1092</v>
      </c>
    </row>
    <row r="656" spans="1:3" x14ac:dyDescent="0.25">
      <c r="A656" s="36">
        <v>41347</v>
      </c>
      <c r="B656" s="122">
        <v>0.96660879629629637</v>
      </c>
      <c r="C656" s="26" t="s">
        <v>1093</v>
      </c>
    </row>
    <row r="657" spans="1:3" x14ac:dyDescent="0.25">
      <c r="A657" s="36">
        <v>41347</v>
      </c>
      <c r="B657" s="122">
        <v>0.96660879629629637</v>
      </c>
      <c r="C657" s="26" t="s">
        <v>1094</v>
      </c>
    </row>
    <row r="658" spans="1:3" x14ac:dyDescent="0.25">
      <c r="A658" s="36">
        <v>41347</v>
      </c>
      <c r="B658" s="122">
        <v>0.96660879629629637</v>
      </c>
      <c r="C658" s="26" t="s">
        <v>1086</v>
      </c>
    </row>
    <row r="659" spans="1:3" x14ac:dyDescent="0.25">
      <c r="A659" s="36">
        <v>41347</v>
      </c>
      <c r="B659" s="122">
        <v>0.96660879629629637</v>
      </c>
      <c r="C659" s="26" t="s">
        <v>1084</v>
      </c>
    </row>
    <row r="660" spans="1:3" x14ac:dyDescent="0.25">
      <c r="A660" s="36">
        <v>41347</v>
      </c>
      <c r="B660" s="122">
        <v>0.96660879629629637</v>
      </c>
      <c r="C660" s="26" t="s">
        <v>1084</v>
      </c>
    </row>
    <row r="661" spans="1:3" x14ac:dyDescent="0.25">
      <c r="A661" s="36">
        <v>41347</v>
      </c>
      <c r="B661" s="122">
        <v>0.96660879629629637</v>
      </c>
      <c r="C661" s="26" t="s">
        <v>1341</v>
      </c>
    </row>
    <row r="662" spans="1:3" x14ac:dyDescent="0.25">
      <c r="A662" s="36">
        <v>41347</v>
      </c>
      <c r="B662" s="122">
        <v>0.9666203703703703</v>
      </c>
      <c r="C662" s="26" t="s">
        <v>1095</v>
      </c>
    </row>
    <row r="663" spans="1:3" x14ac:dyDescent="0.25">
      <c r="A663" s="36">
        <v>41347</v>
      </c>
      <c r="B663" s="122">
        <v>0.9666435185185186</v>
      </c>
      <c r="C663" s="26" t="s">
        <v>1342</v>
      </c>
    </row>
    <row r="664" spans="1:3" x14ac:dyDescent="0.25">
      <c r="A664" s="36">
        <v>41347</v>
      </c>
      <c r="B664" s="122">
        <v>0.96986111111111117</v>
      </c>
      <c r="C664" s="26" t="s">
        <v>1343</v>
      </c>
    </row>
    <row r="665" spans="1:3" ht="30" x14ac:dyDescent="0.25">
      <c r="A665" s="36">
        <v>41347</v>
      </c>
      <c r="B665" s="122">
        <v>0.96994212962962967</v>
      </c>
      <c r="C665" s="789" t="s">
        <v>1344</v>
      </c>
    </row>
    <row r="666" spans="1:3" ht="45" x14ac:dyDescent="0.25">
      <c r="A666" s="36">
        <v>41347</v>
      </c>
      <c r="B666" s="122">
        <v>0.97004629629629635</v>
      </c>
      <c r="C666" s="789" t="s">
        <v>1345</v>
      </c>
    </row>
    <row r="667" spans="1:3" x14ac:dyDescent="0.25">
      <c r="A667" s="36">
        <v>41347</v>
      </c>
      <c r="B667" s="122">
        <v>0.97150462962962969</v>
      </c>
      <c r="C667" s="26" t="s">
        <v>1085</v>
      </c>
    </row>
    <row r="668" spans="1:3" x14ac:dyDescent="0.25">
      <c r="A668" s="36">
        <v>41347</v>
      </c>
      <c r="B668" s="122">
        <v>0.97150462962962969</v>
      </c>
      <c r="C668" s="26" t="s">
        <v>1086</v>
      </c>
    </row>
    <row r="669" spans="1:3" x14ac:dyDescent="0.25">
      <c r="A669" s="36">
        <v>41347</v>
      </c>
      <c r="B669" s="122">
        <v>0.97150462962962969</v>
      </c>
      <c r="C669" s="26" t="s">
        <v>1087</v>
      </c>
    </row>
    <row r="670" spans="1:3" x14ac:dyDescent="0.25">
      <c r="A670" s="36">
        <v>41347</v>
      </c>
      <c r="B670" s="122">
        <v>0.97150462962962969</v>
      </c>
      <c r="C670" s="26" t="s">
        <v>1088</v>
      </c>
    </row>
    <row r="671" spans="1:3" x14ac:dyDescent="0.25">
      <c r="A671" s="36">
        <v>41347</v>
      </c>
      <c r="B671" s="122">
        <v>0.97150462962962969</v>
      </c>
      <c r="C671" s="26" t="s">
        <v>1086</v>
      </c>
    </row>
    <row r="672" spans="1:3" x14ac:dyDescent="0.25">
      <c r="A672" s="36">
        <v>41347</v>
      </c>
      <c r="B672" s="122">
        <v>0.97150462962962969</v>
      </c>
      <c r="C672" s="26" t="s">
        <v>1089</v>
      </c>
    </row>
    <row r="673" spans="1:3" x14ac:dyDescent="0.25">
      <c r="A673" s="36">
        <v>41347</v>
      </c>
      <c r="B673" s="122">
        <v>0.97150462962962969</v>
      </c>
      <c r="C673" s="26" t="s">
        <v>1089</v>
      </c>
    </row>
    <row r="674" spans="1:3" x14ac:dyDescent="0.25">
      <c r="A674" s="36">
        <v>41347</v>
      </c>
      <c r="B674" s="122">
        <v>0.97150462962962969</v>
      </c>
      <c r="C674" s="26" t="s">
        <v>1090</v>
      </c>
    </row>
    <row r="675" spans="1:3" x14ac:dyDescent="0.25">
      <c r="A675" s="36">
        <v>41347</v>
      </c>
      <c r="B675" s="122">
        <v>0.97150462962962969</v>
      </c>
      <c r="C675" s="26" t="s">
        <v>1091</v>
      </c>
    </row>
    <row r="676" spans="1:3" x14ac:dyDescent="0.25">
      <c r="A676" s="36">
        <v>41347</v>
      </c>
      <c r="B676" s="122">
        <v>0.97150462962962969</v>
      </c>
      <c r="C676" s="26" t="s">
        <v>1092</v>
      </c>
    </row>
    <row r="677" spans="1:3" x14ac:dyDescent="0.25">
      <c r="A677" s="36">
        <v>41347</v>
      </c>
      <c r="B677" s="122">
        <v>0.97150462962962969</v>
      </c>
      <c r="C677" s="26" t="s">
        <v>1093</v>
      </c>
    </row>
    <row r="678" spans="1:3" x14ac:dyDescent="0.25">
      <c r="A678" s="36">
        <v>41347</v>
      </c>
      <c r="B678" s="122">
        <v>0.97150462962962969</v>
      </c>
      <c r="C678" s="26" t="s">
        <v>1094</v>
      </c>
    </row>
    <row r="679" spans="1:3" x14ac:dyDescent="0.25">
      <c r="A679" s="36">
        <v>41347</v>
      </c>
      <c r="B679" s="122">
        <v>0.97150462962962969</v>
      </c>
      <c r="C679" s="26" t="s">
        <v>1086</v>
      </c>
    </row>
    <row r="680" spans="1:3" x14ac:dyDescent="0.25">
      <c r="A680" s="36">
        <v>41347</v>
      </c>
      <c r="B680" s="122">
        <v>0.97150462962962969</v>
      </c>
      <c r="C680" s="26" t="s">
        <v>1341</v>
      </c>
    </row>
    <row r="681" spans="1:3" x14ac:dyDescent="0.25">
      <c r="A681" s="36">
        <v>41347</v>
      </c>
      <c r="B681" s="122">
        <v>0.97150462962962969</v>
      </c>
      <c r="C681" s="26" t="s">
        <v>1095</v>
      </c>
    </row>
    <row r="682" spans="1:3" x14ac:dyDescent="0.25">
      <c r="A682" s="36">
        <v>41347</v>
      </c>
      <c r="B682" s="122">
        <v>0.97150462962962969</v>
      </c>
      <c r="C682" s="26" t="s">
        <v>1346</v>
      </c>
    </row>
    <row r="683" spans="1:3" x14ac:dyDescent="0.25">
      <c r="A683" s="36">
        <v>41347</v>
      </c>
      <c r="B683" s="122">
        <v>0.97510416666666666</v>
      </c>
      <c r="C683" s="26" t="s">
        <v>1347</v>
      </c>
    </row>
    <row r="684" spans="1:3" ht="30" x14ac:dyDescent="0.25">
      <c r="A684" s="36">
        <v>41347</v>
      </c>
      <c r="B684" s="122">
        <v>0.97518518518518515</v>
      </c>
      <c r="C684" s="789" t="s">
        <v>1348</v>
      </c>
    </row>
    <row r="685" spans="1:3" ht="45" x14ac:dyDescent="0.25">
      <c r="A685" s="36">
        <v>41347</v>
      </c>
      <c r="B685" s="122">
        <v>0.9752777777777778</v>
      </c>
      <c r="C685" s="789" t="s">
        <v>1349</v>
      </c>
    </row>
    <row r="686" spans="1:3" x14ac:dyDescent="0.25">
      <c r="A686" s="36">
        <v>41347</v>
      </c>
      <c r="B686" s="122">
        <v>0.9759606481481482</v>
      </c>
      <c r="C686" s="26" t="s">
        <v>1260</v>
      </c>
    </row>
    <row r="687" spans="1:3" x14ac:dyDescent="0.25">
      <c r="A687" s="36">
        <v>41347</v>
      </c>
      <c r="B687" s="122">
        <v>0.9759606481481482</v>
      </c>
      <c r="C687" s="26" t="s">
        <v>1216</v>
      </c>
    </row>
    <row r="688" spans="1:3" x14ac:dyDescent="0.25">
      <c r="A688" s="36">
        <v>41347</v>
      </c>
      <c r="B688" s="122">
        <v>0.9759606481481482</v>
      </c>
      <c r="C688" s="26" t="s">
        <v>1170</v>
      </c>
    </row>
    <row r="689" spans="1:3" x14ac:dyDescent="0.25">
      <c r="A689" s="36">
        <v>41347</v>
      </c>
      <c r="B689" s="122">
        <v>0.9759606481481482</v>
      </c>
      <c r="C689" s="26" t="s">
        <v>1185</v>
      </c>
    </row>
    <row r="690" spans="1:3" x14ac:dyDescent="0.25">
      <c r="A690" s="36">
        <v>41347</v>
      </c>
      <c r="B690" s="122">
        <v>0.9759606481481482</v>
      </c>
      <c r="C690" s="26" t="s">
        <v>1241</v>
      </c>
    </row>
    <row r="691" spans="1:3" x14ac:dyDescent="0.25">
      <c r="A691" s="36">
        <v>41347</v>
      </c>
      <c r="B691" s="122">
        <v>0.9759606481481482</v>
      </c>
      <c r="C691" s="26" t="s">
        <v>1221</v>
      </c>
    </row>
    <row r="692" spans="1:3" x14ac:dyDescent="0.25">
      <c r="A692" s="36">
        <v>41347</v>
      </c>
      <c r="B692" s="122">
        <v>0.9759606481481482</v>
      </c>
      <c r="C692" s="26" t="s">
        <v>1183</v>
      </c>
    </row>
    <row r="693" spans="1:3" x14ac:dyDescent="0.25">
      <c r="A693" s="36">
        <v>41347</v>
      </c>
      <c r="B693" s="122">
        <v>0.9759606481481482</v>
      </c>
      <c r="C693" s="26" t="s">
        <v>1263</v>
      </c>
    </row>
    <row r="694" spans="1:3" x14ac:dyDescent="0.25">
      <c r="A694" s="36">
        <v>41347</v>
      </c>
      <c r="B694" s="122">
        <v>0.9759606481481482</v>
      </c>
      <c r="C694" s="26" t="s">
        <v>1212</v>
      </c>
    </row>
    <row r="695" spans="1:3" x14ac:dyDescent="0.25">
      <c r="A695" s="36">
        <v>41347</v>
      </c>
      <c r="B695" s="122">
        <v>0.9759606481481482</v>
      </c>
      <c r="C695" s="26" t="s">
        <v>1229</v>
      </c>
    </row>
    <row r="696" spans="1:3" x14ac:dyDescent="0.25">
      <c r="A696" s="36">
        <v>41347</v>
      </c>
      <c r="B696" s="122">
        <v>0.9759606481481482</v>
      </c>
      <c r="C696" s="26" t="s">
        <v>1177</v>
      </c>
    </row>
    <row r="697" spans="1:3" x14ac:dyDescent="0.25">
      <c r="A697" s="36">
        <v>41347</v>
      </c>
      <c r="B697" s="122">
        <v>0.9759606481481482</v>
      </c>
      <c r="C697" s="26" t="s">
        <v>1235</v>
      </c>
    </row>
    <row r="698" spans="1:3" x14ac:dyDescent="0.25">
      <c r="A698" s="36">
        <v>41347</v>
      </c>
      <c r="B698" s="122">
        <v>0.9759606481481482</v>
      </c>
      <c r="C698" s="26" t="s">
        <v>1266</v>
      </c>
    </row>
    <row r="699" spans="1:3" x14ac:dyDescent="0.25">
      <c r="A699" s="36">
        <v>41347</v>
      </c>
      <c r="B699" s="122">
        <v>0.9759606481481482</v>
      </c>
      <c r="C699" s="26" t="s">
        <v>1271</v>
      </c>
    </row>
    <row r="700" spans="1:3" x14ac:dyDescent="0.25">
      <c r="A700" s="36">
        <v>41347</v>
      </c>
      <c r="B700" s="122">
        <v>0.9759606481481482</v>
      </c>
      <c r="C700" s="26" t="s">
        <v>1262</v>
      </c>
    </row>
    <row r="701" spans="1:3" x14ac:dyDescent="0.25">
      <c r="A701" s="36">
        <v>41347</v>
      </c>
      <c r="B701" s="122">
        <v>0.9759606481481482</v>
      </c>
      <c r="C701" s="26" t="s">
        <v>1200</v>
      </c>
    </row>
    <row r="702" spans="1:3" x14ac:dyDescent="0.25">
      <c r="A702" s="36">
        <v>41347</v>
      </c>
      <c r="B702" s="122">
        <v>0.9759606481481482</v>
      </c>
      <c r="C702" s="26" t="s">
        <v>1272</v>
      </c>
    </row>
    <row r="703" spans="1:3" x14ac:dyDescent="0.25">
      <c r="A703" s="36">
        <v>41347</v>
      </c>
      <c r="B703" s="122">
        <v>0.9759606481481482</v>
      </c>
      <c r="C703" s="26" t="s">
        <v>1252</v>
      </c>
    </row>
    <row r="704" spans="1:3" x14ac:dyDescent="0.25">
      <c r="A704" s="36">
        <v>41347</v>
      </c>
      <c r="B704" s="122">
        <v>0.9759606481481482</v>
      </c>
      <c r="C704" s="26" t="s">
        <v>1241</v>
      </c>
    </row>
    <row r="705" spans="1:3" x14ac:dyDescent="0.25">
      <c r="A705" s="36">
        <v>41347</v>
      </c>
      <c r="B705" s="122">
        <v>0.9759606481481482</v>
      </c>
      <c r="C705" s="26" t="s">
        <v>1153</v>
      </c>
    </row>
    <row r="706" spans="1:3" x14ac:dyDescent="0.25">
      <c r="A706" s="36">
        <v>41347</v>
      </c>
      <c r="B706" s="122">
        <v>0.9759606481481482</v>
      </c>
      <c r="C706" s="26" t="s">
        <v>1154</v>
      </c>
    </row>
    <row r="707" spans="1:3" x14ac:dyDescent="0.25">
      <c r="A707" s="36">
        <v>41347</v>
      </c>
      <c r="B707" s="122">
        <v>0.9759606481481482</v>
      </c>
      <c r="C707" s="26" t="s">
        <v>1222</v>
      </c>
    </row>
    <row r="708" spans="1:3" x14ac:dyDescent="0.25">
      <c r="A708" s="36">
        <v>41347</v>
      </c>
      <c r="B708" s="122">
        <v>0.9759606481481482</v>
      </c>
      <c r="C708" s="26" t="s">
        <v>1194</v>
      </c>
    </row>
    <row r="709" spans="1:3" x14ac:dyDescent="0.25">
      <c r="A709" s="36">
        <v>41347</v>
      </c>
      <c r="B709" s="122">
        <v>0.9759606481481482</v>
      </c>
      <c r="C709" s="26" t="s">
        <v>1268</v>
      </c>
    </row>
    <row r="710" spans="1:3" x14ac:dyDescent="0.25">
      <c r="A710" s="36">
        <v>41347</v>
      </c>
      <c r="B710" s="122">
        <v>0.9759606481481482</v>
      </c>
      <c r="C710" s="26" t="s">
        <v>1240</v>
      </c>
    </row>
    <row r="711" spans="1:3" x14ac:dyDescent="0.25">
      <c r="A711" s="36">
        <v>41347</v>
      </c>
      <c r="B711" s="122">
        <v>0.9759606481481482</v>
      </c>
      <c r="C711" s="26" t="s">
        <v>1201</v>
      </c>
    </row>
    <row r="712" spans="1:3" x14ac:dyDescent="0.25">
      <c r="A712" s="36">
        <v>41347</v>
      </c>
      <c r="B712" s="122">
        <v>0.9759606481481482</v>
      </c>
      <c r="C712" s="26" t="s">
        <v>1198</v>
      </c>
    </row>
    <row r="713" spans="1:3" x14ac:dyDescent="0.25">
      <c r="A713" s="36">
        <v>41347</v>
      </c>
      <c r="B713" s="122">
        <v>0.9759606481481482</v>
      </c>
      <c r="C713" s="26" t="s">
        <v>1161</v>
      </c>
    </row>
    <row r="714" spans="1:3" x14ac:dyDescent="0.25">
      <c r="A714" s="36">
        <v>41347</v>
      </c>
      <c r="B714" s="122">
        <v>0.9759606481481482</v>
      </c>
      <c r="C714" s="26" t="s">
        <v>1232</v>
      </c>
    </row>
    <row r="715" spans="1:3" x14ac:dyDescent="0.25">
      <c r="A715" s="36">
        <v>41347</v>
      </c>
      <c r="B715" s="122">
        <v>0.9759606481481482</v>
      </c>
      <c r="C715" s="26" t="s">
        <v>1198</v>
      </c>
    </row>
    <row r="716" spans="1:3" x14ac:dyDescent="0.25">
      <c r="A716" s="36">
        <v>41347</v>
      </c>
      <c r="B716" s="122">
        <v>0.9759606481481482</v>
      </c>
      <c r="C716" s="26" t="s">
        <v>1258</v>
      </c>
    </row>
    <row r="717" spans="1:3" x14ac:dyDescent="0.25">
      <c r="A717" s="36">
        <v>41347</v>
      </c>
      <c r="B717" s="122">
        <v>0.9759606481481482</v>
      </c>
      <c r="C717" s="26" t="s">
        <v>1259</v>
      </c>
    </row>
    <row r="718" spans="1:3" x14ac:dyDescent="0.25">
      <c r="A718" s="36">
        <v>41347</v>
      </c>
      <c r="B718" s="122">
        <v>0.9759606481481482</v>
      </c>
      <c r="C718" s="26" t="s">
        <v>1263</v>
      </c>
    </row>
    <row r="719" spans="1:3" x14ac:dyDescent="0.25">
      <c r="A719" s="36">
        <v>41347</v>
      </c>
      <c r="B719" s="122">
        <v>0.9759606481481482</v>
      </c>
      <c r="C719" s="26" t="s">
        <v>1155</v>
      </c>
    </row>
    <row r="720" spans="1:3" x14ac:dyDescent="0.25">
      <c r="A720" s="36">
        <v>41347</v>
      </c>
      <c r="B720" s="122">
        <v>0.9759606481481482</v>
      </c>
      <c r="C720" s="26" t="s">
        <v>1203</v>
      </c>
    </row>
    <row r="721" spans="1:3" x14ac:dyDescent="0.25">
      <c r="A721" s="36">
        <v>41347</v>
      </c>
      <c r="B721" s="122">
        <v>0.9759606481481482</v>
      </c>
      <c r="C721" s="26" t="s">
        <v>1209</v>
      </c>
    </row>
    <row r="722" spans="1:3" x14ac:dyDescent="0.25">
      <c r="A722" s="36">
        <v>41347</v>
      </c>
      <c r="B722" s="122">
        <v>0.9759606481481482</v>
      </c>
      <c r="C722" s="26" t="s">
        <v>1167</v>
      </c>
    </row>
    <row r="723" spans="1:3" x14ac:dyDescent="0.25">
      <c r="A723" s="36">
        <v>41347</v>
      </c>
      <c r="B723" s="122">
        <v>0.9759606481481482</v>
      </c>
      <c r="C723" s="26" t="s">
        <v>1187</v>
      </c>
    </row>
    <row r="724" spans="1:3" x14ac:dyDescent="0.25">
      <c r="A724" s="36">
        <v>41347</v>
      </c>
      <c r="B724" s="122">
        <v>0.97597222222222213</v>
      </c>
      <c r="C724" s="26" t="s">
        <v>1195</v>
      </c>
    </row>
    <row r="725" spans="1:3" x14ac:dyDescent="0.25">
      <c r="A725" s="36">
        <v>41347</v>
      </c>
      <c r="B725" s="122">
        <v>0.97597222222222213</v>
      </c>
      <c r="C725" s="26" t="s">
        <v>1190</v>
      </c>
    </row>
    <row r="726" spans="1:3" x14ac:dyDescent="0.25">
      <c r="A726" s="36">
        <v>41347</v>
      </c>
      <c r="B726" s="122">
        <v>0.97597222222222213</v>
      </c>
      <c r="C726" s="26" t="s">
        <v>1190</v>
      </c>
    </row>
    <row r="727" spans="1:3" x14ac:dyDescent="0.25">
      <c r="A727" s="36">
        <v>41347</v>
      </c>
      <c r="B727" s="122">
        <v>0.97597222222222213</v>
      </c>
      <c r="C727" s="26" t="s">
        <v>1228</v>
      </c>
    </row>
    <row r="728" spans="1:3" x14ac:dyDescent="0.25">
      <c r="A728" s="36">
        <v>41347</v>
      </c>
      <c r="B728" s="122">
        <v>0.97597222222222213</v>
      </c>
      <c r="C728" s="26" t="s">
        <v>1253</v>
      </c>
    </row>
    <row r="729" spans="1:3" x14ac:dyDescent="0.25">
      <c r="A729" s="36">
        <v>41347</v>
      </c>
      <c r="B729" s="122">
        <v>0.97597222222222213</v>
      </c>
      <c r="C729" s="26" t="s">
        <v>1237</v>
      </c>
    </row>
    <row r="730" spans="1:3" x14ac:dyDescent="0.25">
      <c r="A730" s="36">
        <v>41347</v>
      </c>
      <c r="B730" s="122">
        <v>0.97597222222222213</v>
      </c>
      <c r="C730" s="26" t="s">
        <v>1207</v>
      </c>
    </row>
    <row r="731" spans="1:3" x14ac:dyDescent="0.25">
      <c r="A731" s="36">
        <v>41347</v>
      </c>
      <c r="B731" s="122">
        <v>0.97597222222222213</v>
      </c>
      <c r="C731" s="26" t="s">
        <v>1264</v>
      </c>
    </row>
    <row r="732" spans="1:3" x14ac:dyDescent="0.25">
      <c r="A732" s="36">
        <v>41347</v>
      </c>
      <c r="B732" s="122">
        <v>0.97597222222222213</v>
      </c>
      <c r="C732" s="26" t="s">
        <v>1193</v>
      </c>
    </row>
    <row r="733" spans="1:3" x14ac:dyDescent="0.25">
      <c r="A733" s="36">
        <v>41347</v>
      </c>
      <c r="B733" s="122">
        <v>0.97597222222222213</v>
      </c>
      <c r="C733" s="26" t="s">
        <v>1228</v>
      </c>
    </row>
    <row r="734" spans="1:3" x14ac:dyDescent="0.25">
      <c r="A734" s="36">
        <v>41347</v>
      </c>
      <c r="B734" s="122">
        <v>0.97597222222222213</v>
      </c>
      <c r="C734" s="26" t="s">
        <v>1217</v>
      </c>
    </row>
    <row r="735" spans="1:3" x14ac:dyDescent="0.25">
      <c r="A735" s="36">
        <v>41347</v>
      </c>
      <c r="B735" s="122">
        <v>0.97597222222222213</v>
      </c>
      <c r="C735" s="26" t="s">
        <v>1223</v>
      </c>
    </row>
    <row r="736" spans="1:3" x14ac:dyDescent="0.25">
      <c r="A736" s="36">
        <v>41347</v>
      </c>
      <c r="B736" s="122">
        <v>0.97597222222222213</v>
      </c>
      <c r="C736" s="26" t="s">
        <v>1274</v>
      </c>
    </row>
    <row r="737" spans="1:3" x14ac:dyDescent="0.25">
      <c r="A737" s="36">
        <v>41347</v>
      </c>
      <c r="B737" s="122">
        <v>0.97597222222222213</v>
      </c>
      <c r="C737" s="26" t="s">
        <v>1168</v>
      </c>
    </row>
    <row r="738" spans="1:3" x14ac:dyDescent="0.25">
      <c r="A738" s="36">
        <v>41347</v>
      </c>
      <c r="B738" s="122">
        <v>0.97597222222222213</v>
      </c>
      <c r="C738" s="26" t="s">
        <v>1157</v>
      </c>
    </row>
    <row r="739" spans="1:3" x14ac:dyDescent="0.25">
      <c r="A739" s="36">
        <v>41347</v>
      </c>
      <c r="B739" s="122">
        <v>0.97597222222222213</v>
      </c>
      <c r="C739" s="26" t="s">
        <v>1202</v>
      </c>
    </row>
    <row r="740" spans="1:3" x14ac:dyDescent="0.25">
      <c r="A740" s="36">
        <v>41347</v>
      </c>
      <c r="B740" s="122">
        <v>0.97597222222222213</v>
      </c>
      <c r="C740" s="26" t="s">
        <v>1218</v>
      </c>
    </row>
    <row r="741" spans="1:3" x14ac:dyDescent="0.25">
      <c r="A741" s="36">
        <v>41347</v>
      </c>
      <c r="B741" s="122">
        <v>0.97597222222222213</v>
      </c>
      <c r="C741" s="26" t="s">
        <v>1175</v>
      </c>
    </row>
    <row r="742" spans="1:3" x14ac:dyDescent="0.25">
      <c r="A742" s="36">
        <v>41347</v>
      </c>
      <c r="B742" s="122">
        <v>0.97597222222222213</v>
      </c>
      <c r="C742" s="26" t="s">
        <v>1213</v>
      </c>
    </row>
    <row r="743" spans="1:3" x14ac:dyDescent="0.25">
      <c r="A743" s="36">
        <v>41347</v>
      </c>
      <c r="B743" s="122">
        <v>0.97597222222222213</v>
      </c>
      <c r="C743" s="26" t="s">
        <v>1247</v>
      </c>
    </row>
    <row r="744" spans="1:3" x14ac:dyDescent="0.25">
      <c r="A744" s="36">
        <v>41347</v>
      </c>
      <c r="B744" s="122">
        <v>0.97597222222222213</v>
      </c>
      <c r="C744" s="26" t="s">
        <v>1274</v>
      </c>
    </row>
    <row r="745" spans="1:3" x14ac:dyDescent="0.25">
      <c r="A745" s="36">
        <v>41347</v>
      </c>
      <c r="B745" s="122">
        <v>0.97597222222222213</v>
      </c>
      <c r="C745" s="26" t="s">
        <v>1267</v>
      </c>
    </row>
    <row r="746" spans="1:3" x14ac:dyDescent="0.25">
      <c r="A746" s="36">
        <v>41347</v>
      </c>
      <c r="B746" s="122">
        <v>0.97597222222222213</v>
      </c>
      <c r="C746" s="26" t="s">
        <v>1223</v>
      </c>
    </row>
    <row r="747" spans="1:3" x14ac:dyDescent="0.25">
      <c r="A747" s="36">
        <v>41347</v>
      </c>
      <c r="B747" s="122">
        <v>0.97597222222222213</v>
      </c>
      <c r="C747" s="26" t="s">
        <v>1135</v>
      </c>
    </row>
    <row r="748" spans="1:3" x14ac:dyDescent="0.25">
      <c r="A748" s="36">
        <v>41347</v>
      </c>
      <c r="B748" s="122">
        <v>0.97597222222222213</v>
      </c>
      <c r="C748" s="26" t="s">
        <v>1226</v>
      </c>
    </row>
    <row r="749" spans="1:3" x14ac:dyDescent="0.25">
      <c r="A749" s="36">
        <v>41347</v>
      </c>
      <c r="B749" s="122">
        <v>0.97597222222222213</v>
      </c>
      <c r="C749" s="26" t="s">
        <v>1213</v>
      </c>
    </row>
    <row r="750" spans="1:3" x14ac:dyDescent="0.25">
      <c r="A750" s="36">
        <v>41347</v>
      </c>
      <c r="B750" s="122">
        <v>0.97597222222222213</v>
      </c>
      <c r="C750" s="26" t="s">
        <v>1114</v>
      </c>
    </row>
    <row r="751" spans="1:3" x14ac:dyDescent="0.25">
      <c r="A751" s="36">
        <v>41347</v>
      </c>
      <c r="B751" s="122">
        <v>0.97597222222222213</v>
      </c>
      <c r="C751" s="26" t="s">
        <v>1191</v>
      </c>
    </row>
    <row r="752" spans="1:3" x14ac:dyDescent="0.25">
      <c r="A752" s="36">
        <v>41347</v>
      </c>
      <c r="B752" s="122">
        <v>0.97597222222222213</v>
      </c>
      <c r="C752" s="26" t="s">
        <v>1274</v>
      </c>
    </row>
    <row r="753" spans="1:3" x14ac:dyDescent="0.25">
      <c r="A753" s="36">
        <v>41347</v>
      </c>
      <c r="B753" s="122">
        <v>0.97597222222222213</v>
      </c>
      <c r="C753" s="26" t="s">
        <v>1176</v>
      </c>
    </row>
    <row r="754" spans="1:3" x14ac:dyDescent="0.25">
      <c r="A754" s="36">
        <v>41347</v>
      </c>
      <c r="B754" s="122">
        <v>0.97597222222222213</v>
      </c>
      <c r="C754" s="26" t="s">
        <v>1125</v>
      </c>
    </row>
    <row r="755" spans="1:3" x14ac:dyDescent="0.25">
      <c r="A755" s="36">
        <v>41347</v>
      </c>
      <c r="B755" s="122">
        <v>0.97597222222222213</v>
      </c>
      <c r="C755" s="26" t="s">
        <v>1204</v>
      </c>
    </row>
    <row r="756" spans="1:3" x14ac:dyDescent="0.25">
      <c r="A756" s="36">
        <v>41347</v>
      </c>
      <c r="B756" s="122">
        <v>0.97597222222222213</v>
      </c>
      <c r="C756" s="26" t="s">
        <v>1152</v>
      </c>
    </row>
    <row r="757" spans="1:3" x14ac:dyDescent="0.25">
      <c r="A757" s="36">
        <v>41347</v>
      </c>
      <c r="B757" s="122">
        <v>0.97597222222222213</v>
      </c>
      <c r="C757" s="26" t="s">
        <v>1274</v>
      </c>
    </row>
    <row r="758" spans="1:3" x14ac:dyDescent="0.25">
      <c r="A758" s="36">
        <v>41347</v>
      </c>
      <c r="B758" s="122">
        <v>0.97597222222222213</v>
      </c>
      <c r="C758" s="26" t="s">
        <v>1104</v>
      </c>
    </row>
    <row r="759" spans="1:3" x14ac:dyDescent="0.25">
      <c r="A759" s="36">
        <v>41347</v>
      </c>
      <c r="B759" s="122">
        <v>0.97597222222222213</v>
      </c>
      <c r="C759" s="26" t="s">
        <v>1263</v>
      </c>
    </row>
    <row r="760" spans="1:3" x14ac:dyDescent="0.25">
      <c r="A760" s="36">
        <v>41347</v>
      </c>
      <c r="B760" s="122">
        <v>0.97597222222222213</v>
      </c>
      <c r="C760" s="26" t="s">
        <v>1181</v>
      </c>
    </row>
    <row r="761" spans="1:3" x14ac:dyDescent="0.25">
      <c r="A761" s="36">
        <v>41347</v>
      </c>
      <c r="B761" s="122">
        <v>0.97597222222222213</v>
      </c>
      <c r="C761" s="26" t="s">
        <v>1251</v>
      </c>
    </row>
    <row r="762" spans="1:3" x14ac:dyDescent="0.25">
      <c r="A762" s="36">
        <v>41347</v>
      </c>
      <c r="B762" s="122">
        <v>0.97597222222222213</v>
      </c>
      <c r="C762" s="26" t="s">
        <v>1191</v>
      </c>
    </row>
    <row r="763" spans="1:3" x14ac:dyDescent="0.25">
      <c r="A763" s="36">
        <v>41347</v>
      </c>
      <c r="B763" s="122">
        <v>0.97597222222222213</v>
      </c>
      <c r="C763" s="26" t="s">
        <v>1236</v>
      </c>
    </row>
    <row r="764" spans="1:3" x14ac:dyDescent="0.25">
      <c r="A764" s="36">
        <v>41347</v>
      </c>
      <c r="B764" s="122">
        <v>0.97597222222222213</v>
      </c>
      <c r="C764" s="26" t="s">
        <v>1191</v>
      </c>
    </row>
    <row r="765" spans="1:3" x14ac:dyDescent="0.25">
      <c r="A765" s="36">
        <v>41347</v>
      </c>
      <c r="B765" s="122">
        <v>0.97597222222222213</v>
      </c>
      <c r="C765" s="26" t="s">
        <v>1100</v>
      </c>
    </row>
    <row r="766" spans="1:3" x14ac:dyDescent="0.25">
      <c r="A766" s="36">
        <v>41347</v>
      </c>
      <c r="B766" s="122">
        <v>0.97597222222222213</v>
      </c>
      <c r="C766" s="26" t="s">
        <v>1100</v>
      </c>
    </row>
    <row r="767" spans="1:3" x14ac:dyDescent="0.25">
      <c r="A767" s="36">
        <v>41347</v>
      </c>
      <c r="B767" s="122">
        <v>0.97597222222222213</v>
      </c>
      <c r="C767" s="26" t="s">
        <v>1151</v>
      </c>
    </row>
    <row r="768" spans="1:3" x14ac:dyDescent="0.25">
      <c r="A768" s="36">
        <v>41347</v>
      </c>
      <c r="B768" s="122">
        <v>0.97597222222222213</v>
      </c>
      <c r="C768" s="26" t="s">
        <v>1151</v>
      </c>
    </row>
    <row r="769" spans="1:3" x14ac:dyDescent="0.25">
      <c r="A769" s="36">
        <v>41347</v>
      </c>
      <c r="B769" s="122">
        <v>0.97597222222222213</v>
      </c>
      <c r="C769" s="26" t="s">
        <v>1151</v>
      </c>
    </row>
    <row r="770" spans="1:3" x14ac:dyDescent="0.25">
      <c r="A770" s="36">
        <v>41347</v>
      </c>
      <c r="B770" s="122">
        <v>0.97597222222222213</v>
      </c>
      <c r="C770" s="26" t="s">
        <v>1151</v>
      </c>
    </row>
    <row r="771" spans="1:3" x14ac:dyDescent="0.25">
      <c r="A771" s="36">
        <v>41347</v>
      </c>
      <c r="B771" s="122">
        <v>0.97597222222222213</v>
      </c>
      <c r="C771" s="26" t="s">
        <v>1151</v>
      </c>
    </row>
    <row r="772" spans="1:3" x14ac:dyDescent="0.25">
      <c r="A772" s="36">
        <v>41347</v>
      </c>
      <c r="B772" s="122">
        <v>0.97597222222222213</v>
      </c>
      <c r="C772" s="26" t="s">
        <v>1151</v>
      </c>
    </row>
    <row r="773" spans="1:3" x14ac:dyDescent="0.25">
      <c r="A773" s="36">
        <v>41347</v>
      </c>
      <c r="B773" s="122">
        <v>0.97597222222222213</v>
      </c>
      <c r="C773" s="26" t="s">
        <v>1147</v>
      </c>
    </row>
    <row r="774" spans="1:3" x14ac:dyDescent="0.25">
      <c r="A774" s="36">
        <v>41347</v>
      </c>
      <c r="B774" s="122">
        <v>0.97597222222222213</v>
      </c>
      <c r="C774" s="26" t="s">
        <v>1110</v>
      </c>
    </row>
    <row r="775" spans="1:3" x14ac:dyDescent="0.25">
      <c r="A775" s="36">
        <v>41347</v>
      </c>
      <c r="B775" s="122">
        <v>0.97597222222222213</v>
      </c>
      <c r="C775" s="26" t="s">
        <v>1162</v>
      </c>
    </row>
    <row r="776" spans="1:3" x14ac:dyDescent="0.25">
      <c r="A776" s="36">
        <v>41347</v>
      </c>
      <c r="B776" s="122">
        <v>0.97597222222222213</v>
      </c>
      <c r="C776" s="26" t="s">
        <v>1119</v>
      </c>
    </row>
    <row r="777" spans="1:3" x14ac:dyDescent="0.25">
      <c r="A777" s="36">
        <v>41347</v>
      </c>
      <c r="B777" s="122">
        <v>0.97597222222222213</v>
      </c>
      <c r="C777" s="26" t="s">
        <v>1127</v>
      </c>
    </row>
    <row r="778" spans="1:3" x14ac:dyDescent="0.25">
      <c r="A778" s="36">
        <v>41347</v>
      </c>
      <c r="B778" s="122">
        <v>0.97597222222222213</v>
      </c>
      <c r="C778" s="26" t="s">
        <v>1232</v>
      </c>
    </row>
    <row r="779" spans="1:3" x14ac:dyDescent="0.25">
      <c r="A779" s="36">
        <v>41347</v>
      </c>
      <c r="B779" s="122">
        <v>0.97597222222222213</v>
      </c>
      <c r="C779" s="26" t="s">
        <v>1232</v>
      </c>
    </row>
    <row r="780" spans="1:3" x14ac:dyDescent="0.25">
      <c r="A780" s="36">
        <v>41347</v>
      </c>
      <c r="B780" s="122">
        <v>0.97597222222222213</v>
      </c>
      <c r="C780" s="26" t="s">
        <v>1121</v>
      </c>
    </row>
    <row r="781" spans="1:3" x14ac:dyDescent="0.25">
      <c r="A781" s="36">
        <v>41347</v>
      </c>
      <c r="B781" s="122">
        <v>0.97597222222222213</v>
      </c>
      <c r="C781" s="26" t="s">
        <v>1192</v>
      </c>
    </row>
    <row r="782" spans="1:3" x14ac:dyDescent="0.25">
      <c r="A782" s="36">
        <v>41347</v>
      </c>
      <c r="B782" s="122">
        <v>0.97597222222222213</v>
      </c>
      <c r="C782" s="26" t="s">
        <v>1232</v>
      </c>
    </row>
    <row r="783" spans="1:3" x14ac:dyDescent="0.25">
      <c r="A783" s="36">
        <v>41347</v>
      </c>
      <c r="B783" s="122">
        <v>0.97597222222222213</v>
      </c>
      <c r="C783" s="26" t="s">
        <v>1269</v>
      </c>
    </row>
    <row r="784" spans="1:3" x14ac:dyDescent="0.25">
      <c r="A784" s="36">
        <v>41347</v>
      </c>
      <c r="B784" s="122">
        <v>0.97597222222222213</v>
      </c>
      <c r="C784" s="26" t="s">
        <v>1120</v>
      </c>
    </row>
    <row r="785" spans="1:3" x14ac:dyDescent="0.25">
      <c r="A785" s="36">
        <v>41347</v>
      </c>
      <c r="B785" s="122">
        <v>0.97597222222222213</v>
      </c>
      <c r="C785" s="26" t="s">
        <v>1225</v>
      </c>
    </row>
    <row r="786" spans="1:3" x14ac:dyDescent="0.25">
      <c r="A786" s="36">
        <v>41347</v>
      </c>
      <c r="B786" s="122">
        <v>0.97597222222222213</v>
      </c>
      <c r="C786" s="26" t="s">
        <v>1240</v>
      </c>
    </row>
    <row r="787" spans="1:3" x14ac:dyDescent="0.25">
      <c r="A787" s="36">
        <v>41347</v>
      </c>
      <c r="B787" s="122">
        <v>0.97597222222222213</v>
      </c>
      <c r="C787" s="26" t="s">
        <v>1246</v>
      </c>
    </row>
    <row r="788" spans="1:3" x14ac:dyDescent="0.25">
      <c r="A788" s="36">
        <v>41347</v>
      </c>
      <c r="B788" s="122">
        <v>0.97597222222222213</v>
      </c>
      <c r="C788" s="26" t="s">
        <v>1261</v>
      </c>
    </row>
    <row r="789" spans="1:3" x14ac:dyDescent="0.25">
      <c r="A789" s="36">
        <v>41347</v>
      </c>
      <c r="B789" s="122">
        <v>0.97597222222222213</v>
      </c>
      <c r="C789" s="26" t="s">
        <v>1137</v>
      </c>
    </row>
    <row r="790" spans="1:3" x14ac:dyDescent="0.25">
      <c r="A790" s="36">
        <v>41347</v>
      </c>
      <c r="B790" s="122">
        <v>0.97597222222222213</v>
      </c>
      <c r="C790" s="26" t="s">
        <v>1274</v>
      </c>
    </row>
    <row r="791" spans="1:3" x14ac:dyDescent="0.25">
      <c r="A791" s="36">
        <v>41347</v>
      </c>
      <c r="B791" s="122">
        <v>0.97597222222222213</v>
      </c>
      <c r="C791" s="26" t="s">
        <v>1166</v>
      </c>
    </row>
    <row r="792" spans="1:3" x14ac:dyDescent="0.25">
      <c r="A792" s="36">
        <v>41347</v>
      </c>
      <c r="B792" s="122">
        <v>0.97597222222222213</v>
      </c>
      <c r="C792" s="26" t="s">
        <v>1184</v>
      </c>
    </row>
    <row r="793" spans="1:3" x14ac:dyDescent="0.25">
      <c r="A793" s="36">
        <v>41347</v>
      </c>
      <c r="B793" s="122">
        <v>0.97597222222222213</v>
      </c>
      <c r="C793" s="26" t="s">
        <v>1224</v>
      </c>
    </row>
    <row r="794" spans="1:3" x14ac:dyDescent="0.25">
      <c r="A794" s="36">
        <v>41347</v>
      </c>
      <c r="B794" s="122">
        <v>0.97597222222222213</v>
      </c>
      <c r="C794" s="26" t="s">
        <v>1270</v>
      </c>
    </row>
    <row r="795" spans="1:3" x14ac:dyDescent="0.25">
      <c r="A795" s="36">
        <v>41347</v>
      </c>
      <c r="B795" s="122">
        <v>0.97597222222222213</v>
      </c>
      <c r="C795" s="26" t="s">
        <v>1140</v>
      </c>
    </row>
    <row r="796" spans="1:3" x14ac:dyDescent="0.25">
      <c r="A796" s="36">
        <v>41347</v>
      </c>
      <c r="B796" s="122">
        <v>0.97597222222222213</v>
      </c>
      <c r="C796" s="26" t="s">
        <v>1144</v>
      </c>
    </row>
    <row r="797" spans="1:3" x14ac:dyDescent="0.25">
      <c r="A797" s="36">
        <v>41347</v>
      </c>
      <c r="B797" s="122">
        <v>0.97597222222222213</v>
      </c>
      <c r="C797" s="26" t="s">
        <v>1204</v>
      </c>
    </row>
    <row r="798" spans="1:3" x14ac:dyDescent="0.25">
      <c r="A798" s="36">
        <v>41347</v>
      </c>
      <c r="B798" s="122">
        <v>0.97597222222222213</v>
      </c>
      <c r="C798" s="26" t="s">
        <v>1238</v>
      </c>
    </row>
    <row r="799" spans="1:3" x14ac:dyDescent="0.25">
      <c r="A799" s="36">
        <v>41347</v>
      </c>
      <c r="B799" s="122">
        <v>0.97597222222222213</v>
      </c>
      <c r="C799" s="26" t="s">
        <v>1274</v>
      </c>
    </row>
    <row r="800" spans="1:3" x14ac:dyDescent="0.25">
      <c r="A800" s="36">
        <v>41347</v>
      </c>
      <c r="B800" s="122">
        <v>0.97597222222222213</v>
      </c>
      <c r="C800" s="26" t="s">
        <v>1179</v>
      </c>
    </row>
    <row r="801" spans="1:3" x14ac:dyDescent="0.25">
      <c r="A801" s="36">
        <v>41347</v>
      </c>
      <c r="B801" s="122">
        <v>0.97597222222222213</v>
      </c>
      <c r="C801" s="26" t="s">
        <v>1142</v>
      </c>
    </row>
    <row r="802" spans="1:3" x14ac:dyDescent="0.25">
      <c r="A802" s="36">
        <v>41347</v>
      </c>
      <c r="B802" s="122">
        <v>0.97597222222222213</v>
      </c>
      <c r="C802" s="26" t="s">
        <v>1233</v>
      </c>
    </row>
    <row r="803" spans="1:3" x14ac:dyDescent="0.25">
      <c r="A803" s="36">
        <v>41347</v>
      </c>
      <c r="B803" s="122">
        <v>0.97597222222222213</v>
      </c>
      <c r="C803" s="26" t="s">
        <v>1122</v>
      </c>
    </row>
    <row r="804" spans="1:3" x14ac:dyDescent="0.25">
      <c r="A804" s="36">
        <v>41347</v>
      </c>
      <c r="B804" s="122">
        <v>0.97597222222222213</v>
      </c>
      <c r="C804" s="26" t="s">
        <v>1129</v>
      </c>
    </row>
    <row r="805" spans="1:3" x14ac:dyDescent="0.25">
      <c r="A805" s="36">
        <v>41347</v>
      </c>
      <c r="B805" s="122">
        <v>0.97597222222222213</v>
      </c>
      <c r="C805" s="26" t="s">
        <v>1250</v>
      </c>
    </row>
    <row r="806" spans="1:3" x14ac:dyDescent="0.25">
      <c r="A806" s="36">
        <v>41347</v>
      </c>
      <c r="B806" s="122">
        <v>0.97597222222222213</v>
      </c>
      <c r="C806" s="26" t="s">
        <v>1173</v>
      </c>
    </row>
    <row r="807" spans="1:3" x14ac:dyDescent="0.25">
      <c r="A807" s="36">
        <v>41347</v>
      </c>
      <c r="B807" s="122">
        <v>0.97597222222222213</v>
      </c>
      <c r="C807" s="26" t="s">
        <v>1124</v>
      </c>
    </row>
    <row r="808" spans="1:3" x14ac:dyDescent="0.25">
      <c r="A808" s="36">
        <v>41347</v>
      </c>
      <c r="B808" s="122">
        <v>0.97597222222222213</v>
      </c>
      <c r="C808" s="26" t="s">
        <v>1131</v>
      </c>
    </row>
    <row r="809" spans="1:3" x14ac:dyDescent="0.25">
      <c r="A809" s="36">
        <v>41347</v>
      </c>
      <c r="B809" s="122">
        <v>0.97597222222222213</v>
      </c>
      <c r="C809" s="26" t="s">
        <v>1244</v>
      </c>
    </row>
    <row r="810" spans="1:3" x14ac:dyDescent="0.25">
      <c r="A810" s="36">
        <v>41347</v>
      </c>
      <c r="B810" s="122">
        <v>0.97597222222222213</v>
      </c>
      <c r="C810" s="26" t="s">
        <v>1275</v>
      </c>
    </row>
    <row r="811" spans="1:3" x14ac:dyDescent="0.25">
      <c r="A811" s="36">
        <v>41347</v>
      </c>
      <c r="B811" s="122">
        <v>0.97597222222222213</v>
      </c>
      <c r="C811" s="26" t="s">
        <v>1230</v>
      </c>
    </row>
    <row r="812" spans="1:3" x14ac:dyDescent="0.25">
      <c r="A812" s="36">
        <v>41347</v>
      </c>
      <c r="B812" s="122">
        <v>0.97597222222222213</v>
      </c>
      <c r="C812" s="26" t="s">
        <v>1180</v>
      </c>
    </row>
    <row r="813" spans="1:3" x14ac:dyDescent="0.25">
      <c r="A813" s="36">
        <v>41347</v>
      </c>
      <c r="B813" s="122">
        <v>0.97597222222222213</v>
      </c>
      <c r="C813" s="26" t="s">
        <v>1199</v>
      </c>
    </row>
    <row r="814" spans="1:3" x14ac:dyDescent="0.25">
      <c r="A814" s="36">
        <v>41347</v>
      </c>
      <c r="B814" s="122">
        <v>0.97597222222222213</v>
      </c>
      <c r="C814" s="26" t="s">
        <v>1138</v>
      </c>
    </row>
    <row r="815" spans="1:3" x14ac:dyDescent="0.25">
      <c r="A815" s="36">
        <v>41347</v>
      </c>
      <c r="B815" s="122">
        <v>0.97597222222222213</v>
      </c>
      <c r="C815" s="26" t="s">
        <v>1211</v>
      </c>
    </row>
    <row r="816" spans="1:3" x14ac:dyDescent="0.25">
      <c r="A816" s="36">
        <v>41347</v>
      </c>
      <c r="B816" s="122">
        <v>0.97597222222222213</v>
      </c>
      <c r="C816" s="26" t="s">
        <v>1255</v>
      </c>
    </row>
    <row r="817" spans="1:3" x14ac:dyDescent="0.25">
      <c r="A817" s="36">
        <v>41347</v>
      </c>
      <c r="B817" s="122">
        <v>0.97597222222222213</v>
      </c>
      <c r="C817" s="26" t="s">
        <v>1133</v>
      </c>
    </row>
    <row r="818" spans="1:3" x14ac:dyDescent="0.25">
      <c r="A818" s="36">
        <v>41347</v>
      </c>
      <c r="B818" s="122">
        <v>0.97597222222222213</v>
      </c>
      <c r="C818" s="26" t="s">
        <v>1239</v>
      </c>
    </row>
    <row r="819" spans="1:3" x14ac:dyDescent="0.25">
      <c r="A819" s="36">
        <v>41347</v>
      </c>
      <c r="B819" s="122">
        <v>0.97597222222222213</v>
      </c>
      <c r="C819" s="26" t="s">
        <v>1184</v>
      </c>
    </row>
    <row r="820" spans="1:3" x14ac:dyDescent="0.25">
      <c r="A820" s="36">
        <v>41347</v>
      </c>
      <c r="B820" s="122">
        <v>0.97597222222222213</v>
      </c>
      <c r="C820" s="26" t="s">
        <v>1274</v>
      </c>
    </row>
    <row r="821" spans="1:3" x14ac:dyDescent="0.25">
      <c r="A821" s="36">
        <v>41347</v>
      </c>
      <c r="B821" s="122">
        <v>0.97597222222222213</v>
      </c>
      <c r="C821" s="26" t="s">
        <v>1108</v>
      </c>
    </row>
    <row r="822" spans="1:3" x14ac:dyDescent="0.25">
      <c r="A822" s="36">
        <v>41347</v>
      </c>
      <c r="B822" s="122">
        <v>0.97597222222222213</v>
      </c>
      <c r="C822" s="26" t="s">
        <v>1133</v>
      </c>
    </row>
    <row r="823" spans="1:3" x14ac:dyDescent="0.25">
      <c r="A823" s="36">
        <v>41347</v>
      </c>
      <c r="B823" s="122">
        <v>0.97597222222222213</v>
      </c>
      <c r="C823" s="26" t="s">
        <v>1133</v>
      </c>
    </row>
    <row r="824" spans="1:3" x14ac:dyDescent="0.25">
      <c r="A824" s="36">
        <v>41347</v>
      </c>
      <c r="B824" s="122">
        <v>0.97597222222222213</v>
      </c>
      <c r="C824" s="26" t="s">
        <v>1133</v>
      </c>
    </row>
    <row r="825" spans="1:3" x14ac:dyDescent="0.25">
      <c r="A825" s="36">
        <v>41347</v>
      </c>
      <c r="B825" s="122">
        <v>0.97597222222222213</v>
      </c>
      <c r="C825" s="26" t="s">
        <v>1265</v>
      </c>
    </row>
    <row r="826" spans="1:3" x14ac:dyDescent="0.25">
      <c r="A826" s="36">
        <v>41347</v>
      </c>
      <c r="B826" s="122">
        <v>0.97597222222222213</v>
      </c>
      <c r="C826" s="26" t="s">
        <v>1109</v>
      </c>
    </row>
    <row r="827" spans="1:3" x14ac:dyDescent="0.25">
      <c r="A827" s="36">
        <v>41347</v>
      </c>
      <c r="B827" s="122">
        <v>0.97597222222222213</v>
      </c>
      <c r="C827" s="26" t="s">
        <v>1112</v>
      </c>
    </row>
    <row r="828" spans="1:3" x14ac:dyDescent="0.25">
      <c r="A828" s="36">
        <v>41347</v>
      </c>
      <c r="B828" s="122">
        <v>0.97597222222222213</v>
      </c>
      <c r="C828" s="26" t="s">
        <v>1126</v>
      </c>
    </row>
    <row r="829" spans="1:3" x14ac:dyDescent="0.25">
      <c r="A829" s="36">
        <v>41347</v>
      </c>
      <c r="B829" s="122">
        <v>0.97597222222222213</v>
      </c>
      <c r="C829" s="26" t="s">
        <v>1109</v>
      </c>
    </row>
    <row r="830" spans="1:3" x14ac:dyDescent="0.25">
      <c r="A830" s="36">
        <v>41347</v>
      </c>
      <c r="B830" s="122">
        <v>0.97597222222222213</v>
      </c>
      <c r="C830" s="26" t="s">
        <v>1243</v>
      </c>
    </row>
    <row r="831" spans="1:3" x14ac:dyDescent="0.25">
      <c r="A831" s="36">
        <v>41347</v>
      </c>
      <c r="B831" s="122">
        <v>0.97597222222222213</v>
      </c>
      <c r="C831" s="26" t="s">
        <v>1254</v>
      </c>
    </row>
    <row r="832" spans="1:3" x14ac:dyDescent="0.25">
      <c r="A832" s="36">
        <v>41347</v>
      </c>
      <c r="B832" s="122">
        <v>0.97597222222222213</v>
      </c>
      <c r="C832" s="26" t="s">
        <v>1178</v>
      </c>
    </row>
    <row r="833" spans="1:3" x14ac:dyDescent="0.25">
      <c r="A833" s="36">
        <v>41347</v>
      </c>
      <c r="B833" s="122">
        <v>0.97597222222222213</v>
      </c>
      <c r="C833" s="26" t="s">
        <v>1197</v>
      </c>
    </row>
    <row r="834" spans="1:3" x14ac:dyDescent="0.25">
      <c r="A834" s="36">
        <v>41347</v>
      </c>
      <c r="B834" s="122">
        <v>0.97597222222222213</v>
      </c>
      <c r="C834" s="26" t="s">
        <v>1113</v>
      </c>
    </row>
    <row r="835" spans="1:3" x14ac:dyDescent="0.25">
      <c r="A835" s="36">
        <v>41347</v>
      </c>
      <c r="B835" s="122">
        <v>0.97597222222222213</v>
      </c>
      <c r="C835" s="26" t="s">
        <v>1208</v>
      </c>
    </row>
    <row r="836" spans="1:3" x14ac:dyDescent="0.25">
      <c r="A836" s="36">
        <v>41347</v>
      </c>
      <c r="B836" s="122">
        <v>0.97597222222222213</v>
      </c>
      <c r="C836" s="26" t="s">
        <v>1111</v>
      </c>
    </row>
    <row r="837" spans="1:3" x14ac:dyDescent="0.25">
      <c r="A837" s="36">
        <v>41347</v>
      </c>
      <c r="B837" s="122">
        <v>0.97597222222222213</v>
      </c>
      <c r="C837" s="26" t="s">
        <v>1121</v>
      </c>
    </row>
    <row r="838" spans="1:3" x14ac:dyDescent="0.25">
      <c r="A838" s="36">
        <v>41347</v>
      </c>
      <c r="B838" s="122">
        <v>0.97597222222222213</v>
      </c>
      <c r="C838" s="26" t="s">
        <v>1149</v>
      </c>
    </row>
    <row r="839" spans="1:3" x14ac:dyDescent="0.25">
      <c r="A839" s="36">
        <v>41347</v>
      </c>
      <c r="B839" s="122">
        <v>0.97597222222222213</v>
      </c>
      <c r="C839" s="26" t="s">
        <v>1205</v>
      </c>
    </row>
    <row r="840" spans="1:3" x14ac:dyDescent="0.25">
      <c r="A840" s="36">
        <v>41347</v>
      </c>
      <c r="B840" s="122">
        <v>0.97597222222222213</v>
      </c>
      <c r="C840" s="26" t="s">
        <v>1196</v>
      </c>
    </row>
    <row r="841" spans="1:3" x14ac:dyDescent="0.25">
      <c r="A841" s="36">
        <v>41347</v>
      </c>
      <c r="B841" s="122">
        <v>0.97597222222222213</v>
      </c>
      <c r="C841" s="26" t="s">
        <v>1242</v>
      </c>
    </row>
    <row r="842" spans="1:3" x14ac:dyDescent="0.25">
      <c r="A842" s="36">
        <v>41347</v>
      </c>
      <c r="B842" s="122">
        <v>0.97597222222222213</v>
      </c>
      <c r="C842" s="26" t="s">
        <v>1139</v>
      </c>
    </row>
    <row r="843" spans="1:3" x14ac:dyDescent="0.25">
      <c r="A843" s="36">
        <v>41347</v>
      </c>
      <c r="B843" s="122">
        <v>0.97597222222222213</v>
      </c>
      <c r="C843" s="26" t="s">
        <v>1102</v>
      </c>
    </row>
    <row r="844" spans="1:3" x14ac:dyDescent="0.25">
      <c r="A844" s="36">
        <v>41347</v>
      </c>
      <c r="B844" s="122">
        <v>0.97597222222222213</v>
      </c>
      <c r="C844" s="26" t="s">
        <v>1256</v>
      </c>
    </row>
    <row r="845" spans="1:3" x14ac:dyDescent="0.25">
      <c r="A845" s="36">
        <v>41347</v>
      </c>
      <c r="B845" s="122">
        <v>0.97597222222222213</v>
      </c>
      <c r="C845" s="26" t="s">
        <v>1128</v>
      </c>
    </row>
    <row r="846" spans="1:3" x14ac:dyDescent="0.25">
      <c r="A846" s="36">
        <v>41347</v>
      </c>
      <c r="B846" s="122">
        <v>0.97597222222222213</v>
      </c>
      <c r="C846" s="26" t="s">
        <v>1257</v>
      </c>
    </row>
    <row r="847" spans="1:3" x14ac:dyDescent="0.25">
      <c r="A847" s="36">
        <v>41347</v>
      </c>
      <c r="B847" s="122">
        <v>0.97597222222222213</v>
      </c>
      <c r="C847" s="26" t="s">
        <v>1184</v>
      </c>
    </row>
    <row r="848" spans="1:3" x14ac:dyDescent="0.25">
      <c r="A848" s="36">
        <v>41347</v>
      </c>
      <c r="B848" s="122">
        <v>0.97597222222222213</v>
      </c>
      <c r="C848" s="26" t="s">
        <v>1156</v>
      </c>
    </row>
    <row r="849" spans="1:3" x14ac:dyDescent="0.25">
      <c r="A849" s="36">
        <v>41347</v>
      </c>
      <c r="B849" s="122">
        <v>0.97597222222222213</v>
      </c>
      <c r="C849" s="26" t="s">
        <v>1179</v>
      </c>
    </row>
    <row r="850" spans="1:3" x14ac:dyDescent="0.25">
      <c r="A850" s="36">
        <v>41347</v>
      </c>
      <c r="B850" s="122">
        <v>0.97597222222222213</v>
      </c>
      <c r="C850" s="26" t="s">
        <v>1188</v>
      </c>
    </row>
    <row r="851" spans="1:3" x14ac:dyDescent="0.25">
      <c r="A851" s="36">
        <v>41347</v>
      </c>
      <c r="B851" s="122">
        <v>0.97597222222222213</v>
      </c>
      <c r="C851" s="26" t="s">
        <v>1136</v>
      </c>
    </row>
    <row r="852" spans="1:3" x14ac:dyDescent="0.25">
      <c r="A852" s="36">
        <v>41347</v>
      </c>
      <c r="B852" s="122">
        <v>0.97597222222222213</v>
      </c>
      <c r="C852" s="26" t="s">
        <v>1143</v>
      </c>
    </row>
    <row r="853" spans="1:3" x14ac:dyDescent="0.25">
      <c r="A853" s="36">
        <v>41347</v>
      </c>
      <c r="B853" s="122">
        <v>0.97597222222222213</v>
      </c>
      <c r="C853" s="26" t="s">
        <v>1098</v>
      </c>
    </row>
    <row r="854" spans="1:3" x14ac:dyDescent="0.25">
      <c r="A854" s="36">
        <v>41347</v>
      </c>
      <c r="B854" s="122">
        <v>0.97597222222222213</v>
      </c>
      <c r="C854" s="26" t="s">
        <v>1134</v>
      </c>
    </row>
    <row r="855" spans="1:3" x14ac:dyDescent="0.25">
      <c r="A855" s="36">
        <v>41347</v>
      </c>
      <c r="B855" s="122">
        <v>0.97597222222222213</v>
      </c>
      <c r="C855" s="26" t="s">
        <v>1159</v>
      </c>
    </row>
    <row r="856" spans="1:3" x14ac:dyDescent="0.25">
      <c r="A856" s="36">
        <v>41347</v>
      </c>
      <c r="B856" s="122">
        <v>0.97597222222222213</v>
      </c>
      <c r="C856" s="26" t="s">
        <v>1164</v>
      </c>
    </row>
    <row r="857" spans="1:3" x14ac:dyDescent="0.25">
      <c r="A857" s="36">
        <v>41347</v>
      </c>
      <c r="B857" s="122">
        <v>0.97597222222222213</v>
      </c>
      <c r="C857" s="26" t="s">
        <v>1118</v>
      </c>
    </row>
    <row r="858" spans="1:3" x14ac:dyDescent="0.25">
      <c r="A858" s="36">
        <v>41347</v>
      </c>
      <c r="B858" s="122">
        <v>0.97597222222222213</v>
      </c>
      <c r="C858" s="26" t="s">
        <v>1240</v>
      </c>
    </row>
    <row r="859" spans="1:3" x14ac:dyDescent="0.25">
      <c r="A859" s="36">
        <v>41347</v>
      </c>
      <c r="B859" s="122">
        <v>0.97597222222222213</v>
      </c>
      <c r="C859" s="26" t="s">
        <v>1150</v>
      </c>
    </row>
    <row r="860" spans="1:3" x14ac:dyDescent="0.25">
      <c r="A860" s="36">
        <v>41347</v>
      </c>
      <c r="B860" s="122">
        <v>0.97597222222222213</v>
      </c>
      <c r="C860" s="26" t="s">
        <v>1227</v>
      </c>
    </row>
    <row r="861" spans="1:3" x14ac:dyDescent="0.25">
      <c r="A861" s="36">
        <v>41347</v>
      </c>
      <c r="B861" s="122">
        <v>0.97597222222222213</v>
      </c>
      <c r="C861" s="26" t="s">
        <v>1125</v>
      </c>
    </row>
    <row r="862" spans="1:3" x14ac:dyDescent="0.25">
      <c r="A862" s="36">
        <v>41347</v>
      </c>
      <c r="B862" s="122">
        <v>0.97597222222222213</v>
      </c>
      <c r="C862" s="26" t="s">
        <v>1273</v>
      </c>
    </row>
    <row r="863" spans="1:3" x14ac:dyDescent="0.25">
      <c r="A863" s="36">
        <v>41347</v>
      </c>
      <c r="B863" s="122">
        <v>0.97597222222222213</v>
      </c>
      <c r="C863" s="26" t="s">
        <v>1182</v>
      </c>
    </row>
    <row r="864" spans="1:3" x14ac:dyDescent="0.25">
      <c r="A864" s="36">
        <v>41347</v>
      </c>
      <c r="B864" s="122">
        <v>0.97597222222222213</v>
      </c>
      <c r="C864" s="26" t="s">
        <v>1189</v>
      </c>
    </row>
    <row r="865" spans="1:3" x14ac:dyDescent="0.25">
      <c r="A865" s="36">
        <v>41347</v>
      </c>
      <c r="B865" s="122">
        <v>0.97597222222222213</v>
      </c>
      <c r="C865" s="26" t="s">
        <v>1205</v>
      </c>
    </row>
    <row r="866" spans="1:3" x14ac:dyDescent="0.25">
      <c r="A866" s="36">
        <v>41347</v>
      </c>
      <c r="B866" s="122">
        <v>0.97597222222222213</v>
      </c>
      <c r="C866" s="26" t="s">
        <v>1105</v>
      </c>
    </row>
    <row r="867" spans="1:3" x14ac:dyDescent="0.25">
      <c r="A867" s="36">
        <v>41347</v>
      </c>
      <c r="B867" s="122">
        <v>0.97597222222222213</v>
      </c>
      <c r="C867" s="26" t="s">
        <v>1105</v>
      </c>
    </row>
    <row r="868" spans="1:3" x14ac:dyDescent="0.25">
      <c r="A868" s="36">
        <v>41347</v>
      </c>
      <c r="B868" s="122">
        <v>0.97597222222222213</v>
      </c>
      <c r="C868" s="26" t="s">
        <v>1215</v>
      </c>
    </row>
    <row r="869" spans="1:3" x14ac:dyDescent="0.25">
      <c r="A869" s="36">
        <v>41347</v>
      </c>
      <c r="B869" s="122">
        <v>0.97597222222222213</v>
      </c>
      <c r="C869" s="26" t="s">
        <v>1269</v>
      </c>
    </row>
    <row r="870" spans="1:3" x14ac:dyDescent="0.25">
      <c r="A870" s="36">
        <v>41347</v>
      </c>
      <c r="B870" s="122">
        <v>0.97597222222222213</v>
      </c>
      <c r="C870" s="26" t="s">
        <v>1117</v>
      </c>
    </row>
    <row r="871" spans="1:3" x14ac:dyDescent="0.25">
      <c r="A871" s="36">
        <v>41347</v>
      </c>
      <c r="B871" s="122">
        <v>0.97597222222222213</v>
      </c>
      <c r="C871" s="26" t="s">
        <v>1148</v>
      </c>
    </row>
    <row r="872" spans="1:3" x14ac:dyDescent="0.25">
      <c r="A872" s="36">
        <v>41347</v>
      </c>
      <c r="B872" s="122">
        <v>0.97597222222222213</v>
      </c>
      <c r="C872" s="26" t="s">
        <v>1117</v>
      </c>
    </row>
    <row r="873" spans="1:3" x14ac:dyDescent="0.25">
      <c r="A873" s="36">
        <v>41347</v>
      </c>
      <c r="B873" s="122">
        <v>0.97597222222222213</v>
      </c>
      <c r="C873" s="26" t="s">
        <v>1159</v>
      </c>
    </row>
    <row r="874" spans="1:3" x14ac:dyDescent="0.25">
      <c r="A874" s="36">
        <v>41347</v>
      </c>
      <c r="B874" s="122">
        <v>0.97597222222222213</v>
      </c>
      <c r="C874" s="26" t="s">
        <v>1146</v>
      </c>
    </row>
    <row r="875" spans="1:3" x14ac:dyDescent="0.25">
      <c r="A875" s="36">
        <v>41347</v>
      </c>
      <c r="B875" s="122">
        <v>0.97597222222222213</v>
      </c>
      <c r="C875" s="26" t="s">
        <v>1210</v>
      </c>
    </row>
    <row r="876" spans="1:3" x14ac:dyDescent="0.25">
      <c r="A876" s="36">
        <v>41347</v>
      </c>
      <c r="B876" s="122">
        <v>0.97597222222222213</v>
      </c>
      <c r="C876" s="26" t="s">
        <v>1220</v>
      </c>
    </row>
    <row r="877" spans="1:3" x14ac:dyDescent="0.25">
      <c r="A877" s="36">
        <v>41347</v>
      </c>
      <c r="B877" s="122">
        <v>0.97597222222222213</v>
      </c>
      <c r="C877" s="26" t="s">
        <v>1116</v>
      </c>
    </row>
    <row r="878" spans="1:3" x14ac:dyDescent="0.25">
      <c r="A878" s="36">
        <v>41347</v>
      </c>
      <c r="B878" s="122">
        <v>0.97597222222222213</v>
      </c>
      <c r="C878" s="26" t="s">
        <v>1206</v>
      </c>
    </row>
    <row r="879" spans="1:3" x14ac:dyDescent="0.25">
      <c r="A879" s="36">
        <v>41347</v>
      </c>
      <c r="B879" s="122">
        <v>0.97597222222222213</v>
      </c>
      <c r="C879" s="26" t="s">
        <v>1184</v>
      </c>
    </row>
    <row r="880" spans="1:3" x14ac:dyDescent="0.25">
      <c r="A880" s="36">
        <v>41347</v>
      </c>
      <c r="B880" s="122">
        <v>0.97597222222222213</v>
      </c>
      <c r="C880" s="26" t="s">
        <v>1214</v>
      </c>
    </row>
    <row r="881" spans="1:3" x14ac:dyDescent="0.25">
      <c r="A881" s="36">
        <v>41347</v>
      </c>
      <c r="B881" s="122">
        <v>0.97597222222222213</v>
      </c>
      <c r="C881" s="26" t="s">
        <v>1169</v>
      </c>
    </row>
    <row r="882" spans="1:3" x14ac:dyDescent="0.25">
      <c r="A882" s="36">
        <v>41347</v>
      </c>
      <c r="B882" s="122">
        <v>0.97597222222222213</v>
      </c>
      <c r="C882" s="26" t="s">
        <v>1250</v>
      </c>
    </row>
    <row r="883" spans="1:3" x14ac:dyDescent="0.25">
      <c r="A883" s="36">
        <v>41347</v>
      </c>
      <c r="B883" s="122">
        <v>0.97597222222222213</v>
      </c>
      <c r="C883" s="26" t="s">
        <v>1123</v>
      </c>
    </row>
    <row r="884" spans="1:3" x14ac:dyDescent="0.25">
      <c r="A884" s="36">
        <v>41347</v>
      </c>
      <c r="B884" s="122">
        <v>0.97597222222222213</v>
      </c>
      <c r="C884" s="26" t="s">
        <v>1230</v>
      </c>
    </row>
    <row r="885" spans="1:3" x14ac:dyDescent="0.25">
      <c r="A885" s="36">
        <v>41347</v>
      </c>
      <c r="B885" s="122">
        <v>0.97597222222222213</v>
      </c>
      <c r="C885" s="26" t="s">
        <v>1204</v>
      </c>
    </row>
    <row r="886" spans="1:3" x14ac:dyDescent="0.25">
      <c r="A886" s="36">
        <v>41347</v>
      </c>
      <c r="B886" s="122">
        <v>0.97597222222222213</v>
      </c>
      <c r="C886" s="26" t="s">
        <v>1132</v>
      </c>
    </row>
    <row r="887" spans="1:3" x14ac:dyDescent="0.25">
      <c r="A887" s="36">
        <v>41347</v>
      </c>
      <c r="B887" s="122">
        <v>0.97597222222222213</v>
      </c>
      <c r="C887" s="26" t="s">
        <v>1171</v>
      </c>
    </row>
    <row r="888" spans="1:3" x14ac:dyDescent="0.25">
      <c r="A888" s="36">
        <v>41347</v>
      </c>
      <c r="B888" s="122">
        <v>0.97597222222222213</v>
      </c>
      <c r="C888" s="26" t="s">
        <v>1186</v>
      </c>
    </row>
    <row r="889" spans="1:3" x14ac:dyDescent="0.25">
      <c r="A889" s="36">
        <v>41347</v>
      </c>
      <c r="B889" s="122">
        <v>0.97597222222222213</v>
      </c>
      <c r="C889" s="26" t="s">
        <v>1231</v>
      </c>
    </row>
    <row r="890" spans="1:3" x14ac:dyDescent="0.25">
      <c r="A890" s="36">
        <v>41347</v>
      </c>
      <c r="B890" s="122">
        <v>0.97597222222222213</v>
      </c>
      <c r="C890" s="26" t="s">
        <v>1107</v>
      </c>
    </row>
    <row r="891" spans="1:3" x14ac:dyDescent="0.25">
      <c r="A891" s="36">
        <v>41347</v>
      </c>
      <c r="B891" s="122">
        <v>0.97597222222222213</v>
      </c>
      <c r="C891" s="26" t="s">
        <v>1146</v>
      </c>
    </row>
    <row r="892" spans="1:3" x14ac:dyDescent="0.25">
      <c r="A892" s="36">
        <v>41347</v>
      </c>
      <c r="B892" s="122">
        <v>0.97597222222222213</v>
      </c>
      <c r="C892" s="26" t="s">
        <v>1232</v>
      </c>
    </row>
    <row r="893" spans="1:3" x14ac:dyDescent="0.25">
      <c r="A893" s="36">
        <v>41347</v>
      </c>
      <c r="B893" s="122">
        <v>0.97597222222222213</v>
      </c>
      <c r="C893" s="26" t="s">
        <v>1232</v>
      </c>
    </row>
    <row r="894" spans="1:3" x14ac:dyDescent="0.25">
      <c r="A894" s="36">
        <v>41347</v>
      </c>
      <c r="B894" s="122">
        <v>0.97597222222222213</v>
      </c>
      <c r="C894" s="26" t="s">
        <v>1249</v>
      </c>
    </row>
    <row r="895" spans="1:3" x14ac:dyDescent="0.25">
      <c r="A895" s="36">
        <v>41347</v>
      </c>
      <c r="B895" s="122">
        <v>0.97597222222222213</v>
      </c>
      <c r="C895" s="26" t="s">
        <v>1232</v>
      </c>
    </row>
    <row r="896" spans="1:3" x14ac:dyDescent="0.25">
      <c r="A896" s="36">
        <v>41347</v>
      </c>
      <c r="B896" s="122">
        <v>0.97597222222222213</v>
      </c>
      <c r="C896" s="26" t="s">
        <v>1118</v>
      </c>
    </row>
    <row r="897" spans="1:3" x14ac:dyDescent="0.25">
      <c r="A897" s="36">
        <v>41347</v>
      </c>
      <c r="B897" s="122">
        <v>0.97597222222222213</v>
      </c>
      <c r="C897" s="26" t="s">
        <v>1163</v>
      </c>
    </row>
    <row r="898" spans="1:3" x14ac:dyDescent="0.25">
      <c r="A898" s="36">
        <v>41347</v>
      </c>
      <c r="B898" s="122">
        <v>0.97597222222222213</v>
      </c>
      <c r="C898" s="26" t="s">
        <v>1245</v>
      </c>
    </row>
    <row r="899" spans="1:3" x14ac:dyDescent="0.25">
      <c r="A899" s="36">
        <v>41347</v>
      </c>
      <c r="B899" s="122">
        <v>0.97597222222222213</v>
      </c>
      <c r="C899" s="26" t="s">
        <v>1270</v>
      </c>
    </row>
    <row r="900" spans="1:3" x14ac:dyDescent="0.25">
      <c r="A900" s="36">
        <v>41347</v>
      </c>
      <c r="B900" s="122">
        <v>0.97597222222222213</v>
      </c>
      <c r="C900" s="26" t="s">
        <v>1101</v>
      </c>
    </row>
    <row r="901" spans="1:3" x14ac:dyDescent="0.25">
      <c r="A901" s="36">
        <v>41347</v>
      </c>
      <c r="B901" s="122">
        <v>0.97597222222222213</v>
      </c>
      <c r="C901" s="26" t="s">
        <v>1141</v>
      </c>
    </row>
    <row r="902" spans="1:3" x14ac:dyDescent="0.25">
      <c r="A902" s="36">
        <v>41347</v>
      </c>
      <c r="B902" s="122">
        <v>0.97597222222222213</v>
      </c>
      <c r="C902" s="26" t="s">
        <v>1145</v>
      </c>
    </row>
    <row r="903" spans="1:3" x14ac:dyDescent="0.25">
      <c r="A903" s="36">
        <v>41347</v>
      </c>
      <c r="B903" s="122">
        <v>0.97597222222222213</v>
      </c>
      <c r="C903" s="26" t="s">
        <v>1234</v>
      </c>
    </row>
    <row r="904" spans="1:3" x14ac:dyDescent="0.25">
      <c r="A904" s="36">
        <v>41347</v>
      </c>
      <c r="B904" s="122">
        <v>0.97597222222222213</v>
      </c>
      <c r="C904" s="26" t="s">
        <v>1115</v>
      </c>
    </row>
    <row r="905" spans="1:3" x14ac:dyDescent="0.25">
      <c r="A905" s="36">
        <v>41347</v>
      </c>
      <c r="B905" s="122">
        <v>0.97597222222222213</v>
      </c>
      <c r="C905" s="26" t="s">
        <v>1130</v>
      </c>
    </row>
    <row r="906" spans="1:3" x14ac:dyDescent="0.25">
      <c r="A906" s="36">
        <v>41347</v>
      </c>
      <c r="B906" s="122">
        <v>0.97597222222222213</v>
      </c>
      <c r="C906" s="26" t="s">
        <v>1179</v>
      </c>
    </row>
    <row r="907" spans="1:3" x14ac:dyDescent="0.25">
      <c r="A907" s="36">
        <v>41347</v>
      </c>
      <c r="B907" s="122">
        <v>0.97597222222222213</v>
      </c>
      <c r="C907" s="26" t="s">
        <v>1103</v>
      </c>
    </row>
    <row r="908" spans="1:3" x14ac:dyDescent="0.25">
      <c r="A908" s="36">
        <v>41347</v>
      </c>
      <c r="B908" s="122">
        <v>0.97597222222222213</v>
      </c>
      <c r="C908" s="26" t="s">
        <v>1118</v>
      </c>
    </row>
    <row r="909" spans="1:3" x14ac:dyDescent="0.25">
      <c r="A909" s="36">
        <v>41347</v>
      </c>
      <c r="B909" s="122">
        <v>0.97597222222222213</v>
      </c>
      <c r="C909" s="26" t="s">
        <v>1165</v>
      </c>
    </row>
    <row r="910" spans="1:3" x14ac:dyDescent="0.25">
      <c r="A910" s="36">
        <v>41347</v>
      </c>
      <c r="B910" s="122">
        <v>0.97597222222222213</v>
      </c>
      <c r="C910" s="26" t="s">
        <v>1106</v>
      </c>
    </row>
    <row r="911" spans="1:3" x14ac:dyDescent="0.25">
      <c r="A911" s="36">
        <v>41347</v>
      </c>
      <c r="B911" s="122">
        <v>0.97597222222222213</v>
      </c>
      <c r="C911" s="26" t="s">
        <v>1096</v>
      </c>
    </row>
    <row r="912" spans="1:3" x14ac:dyDescent="0.25">
      <c r="A912" s="36">
        <v>41347</v>
      </c>
      <c r="B912" s="122">
        <v>0.97597222222222213</v>
      </c>
      <c r="C912" s="26" t="s">
        <v>1158</v>
      </c>
    </row>
    <row r="913" spans="1:3" x14ac:dyDescent="0.25">
      <c r="A913" s="36">
        <v>41347</v>
      </c>
      <c r="B913" s="122">
        <v>0.97597222222222213</v>
      </c>
      <c r="C913" s="26" t="s">
        <v>1160</v>
      </c>
    </row>
    <row r="914" spans="1:3" x14ac:dyDescent="0.25">
      <c r="A914" s="36">
        <v>41347</v>
      </c>
      <c r="B914" s="122">
        <v>0.97597222222222213</v>
      </c>
      <c r="C914" s="26" t="s">
        <v>1172</v>
      </c>
    </row>
    <row r="915" spans="1:3" x14ac:dyDescent="0.25">
      <c r="A915" s="36">
        <v>41347</v>
      </c>
      <c r="B915" s="122">
        <v>0.97597222222222213</v>
      </c>
      <c r="C915" s="26" t="s">
        <v>1174</v>
      </c>
    </row>
    <row r="916" spans="1:3" x14ac:dyDescent="0.25">
      <c r="A916" s="36">
        <v>41347</v>
      </c>
      <c r="B916" s="122">
        <v>0.97597222222222213</v>
      </c>
      <c r="C916" s="26" t="s">
        <v>1219</v>
      </c>
    </row>
    <row r="917" spans="1:3" x14ac:dyDescent="0.25">
      <c r="A917" s="36">
        <v>41347</v>
      </c>
      <c r="B917" s="122">
        <v>0.97597222222222213</v>
      </c>
      <c r="C917" s="26" t="s">
        <v>1248</v>
      </c>
    </row>
    <row r="918" spans="1:3" x14ac:dyDescent="0.25">
      <c r="A918" s="36">
        <v>41347</v>
      </c>
      <c r="B918" s="122">
        <v>0.97597222222222213</v>
      </c>
      <c r="C918" s="26" t="s">
        <v>1248</v>
      </c>
    </row>
    <row r="919" spans="1:3" x14ac:dyDescent="0.25">
      <c r="A919" s="36">
        <v>41347</v>
      </c>
      <c r="B919" s="122">
        <v>0.97597222222222213</v>
      </c>
      <c r="C919" s="26" t="s">
        <v>1106</v>
      </c>
    </row>
    <row r="920" spans="1:3" x14ac:dyDescent="0.25">
      <c r="A920" s="36">
        <v>41347</v>
      </c>
      <c r="B920" s="122">
        <v>0.97597222222222213</v>
      </c>
      <c r="C920" s="26" t="s">
        <v>1298</v>
      </c>
    </row>
    <row r="921" spans="1:3" x14ac:dyDescent="0.25">
      <c r="A921" s="36">
        <v>41347</v>
      </c>
      <c r="B921" s="122">
        <v>0.97597222222222213</v>
      </c>
      <c r="C921" s="26" t="s">
        <v>1225</v>
      </c>
    </row>
    <row r="922" spans="1:3" x14ac:dyDescent="0.25">
      <c r="A922" s="36">
        <v>41347</v>
      </c>
      <c r="B922" s="122">
        <v>0.97597222222222213</v>
      </c>
      <c r="C922" s="26" t="s">
        <v>1251</v>
      </c>
    </row>
    <row r="923" spans="1:3" x14ac:dyDescent="0.25">
      <c r="A923" s="36">
        <v>41347</v>
      </c>
      <c r="B923" s="122">
        <v>0.97597222222222213</v>
      </c>
      <c r="C923" s="26" t="s">
        <v>1304</v>
      </c>
    </row>
    <row r="924" spans="1:3" x14ac:dyDescent="0.25">
      <c r="A924" s="36">
        <v>41347</v>
      </c>
      <c r="B924" s="122">
        <v>0.97597222222222213</v>
      </c>
      <c r="C924" s="26" t="s">
        <v>1276</v>
      </c>
    </row>
    <row r="925" spans="1:3" x14ac:dyDescent="0.25">
      <c r="A925" s="36">
        <v>41347</v>
      </c>
      <c r="B925" s="122">
        <v>0.9775462962962963</v>
      </c>
      <c r="C925" s="26" t="s">
        <v>1350</v>
      </c>
    </row>
    <row r="926" spans="1:3" ht="30" x14ac:dyDescent="0.25">
      <c r="A926" s="36">
        <v>41347</v>
      </c>
      <c r="B926" s="122">
        <v>0.97796296296296292</v>
      </c>
      <c r="C926" s="789" t="s">
        <v>1351</v>
      </c>
    </row>
    <row r="927" spans="1:3" ht="45" x14ac:dyDescent="0.25">
      <c r="A927" s="36">
        <v>41347</v>
      </c>
      <c r="B927" s="122">
        <v>0.97925925925925927</v>
      </c>
      <c r="C927" s="789" t="s">
        <v>1352</v>
      </c>
    </row>
    <row r="928" spans="1:3" x14ac:dyDescent="0.25">
      <c r="A928" s="36">
        <v>41348</v>
      </c>
      <c r="B928" s="122">
        <v>4.1666666666666669E-4</v>
      </c>
      <c r="C928" s="26" t="s">
        <v>1353</v>
      </c>
    </row>
    <row r="929" spans="1:3" x14ac:dyDescent="0.25">
      <c r="A929" s="36">
        <v>41348</v>
      </c>
      <c r="B929" s="122">
        <v>7.0601851851851847E-4</v>
      </c>
      <c r="C929" s="26" t="s">
        <v>1096</v>
      </c>
    </row>
    <row r="930" spans="1:3" x14ac:dyDescent="0.25">
      <c r="A930" s="36">
        <v>41348</v>
      </c>
      <c r="B930" s="122">
        <v>7.0601851851851847E-4</v>
      </c>
      <c r="C930" s="26" t="s">
        <v>1106</v>
      </c>
    </row>
    <row r="931" spans="1:3" x14ac:dyDescent="0.25">
      <c r="A931" s="36">
        <v>41348</v>
      </c>
      <c r="B931" s="122">
        <v>7.0601851851851847E-4</v>
      </c>
      <c r="C931" s="26" t="s">
        <v>1098</v>
      </c>
    </row>
    <row r="932" spans="1:3" x14ac:dyDescent="0.25">
      <c r="A932" s="36">
        <v>41348</v>
      </c>
      <c r="B932" s="122">
        <v>7.0601851851851847E-4</v>
      </c>
      <c r="C932" s="26" t="s">
        <v>1100</v>
      </c>
    </row>
    <row r="933" spans="1:3" x14ac:dyDescent="0.25">
      <c r="A933" s="36">
        <v>41348</v>
      </c>
      <c r="B933" s="122">
        <v>7.0601851851851847E-4</v>
      </c>
      <c r="C933" s="26" t="s">
        <v>1101</v>
      </c>
    </row>
    <row r="934" spans="1:3" x14ac:dyDescent="0.25">
      <c r="A934" s="36">
        <v>41348</v>
      </c>
      <c r="B934" s="122">
        <v>7.0601851851851847E-4</v>
      </c>
      <c r="C934" s="26" t="s">
        <v>1102</v>
      </c>
    </row>
    <row r="935" spans="1:3" x14ac:dyDescent="0.25">
      <c r="A935" s="36">
        <v>41348</v>
      </c>
      <c r="B935" s="122">
        <v>7.0601851851851847E-4</v>
      </c>
      <c r="C935" s="26" t="s">
        <v>1103</v>
      </c>
    </row>
    <row r="936" spans="1:3" x14ac:dyDescent="0.25">
      <c r="A936" s="36">
        <v>41348</v>
      </c>
      <c r="B936" s="122">
        <v>7.0601851851851847E-4</v>
      </c>
      <c r="C936" s="26" t="s">
        <v>1104</v>
      </c>
    </row>
    <row r="937" spans="1:3" x14ac:dyDescent="0.25">
      <c r="A937" s="36">
        <v>41348</v>
      </c>
      <c r="B937" s="122">
        <v>7.0601851851851847E-4</v>
      </c>
      <c r="C937" s="26" t="s">
        <v>1105</v>
      </c>
    </row>
    <row r="938" spans="1:3" x14ac:dyDescent="0.25">
      <c r="A938" s="36">
        <v>41348</v>
      </c>
      <c r="B938" s="122">
        <v>7.0601851851851847E-4</v>
      </c>
      <c r="C938" s="26" t="s">
        <v>1106</v>
      </c>
    </row>
    <row r="939" spans="1:3" x14ac:dyDescent="0.25">
      <c r="A939" s="36">
        <v>41348</v>
      </c>
      <c r="B939" s="122">
        <v>7.0601851851851847E-4</v>
      </c>
      <c r="C939" s="26" t="s">
        <v>1107</v>
      </c>
    </row>
    <row r="940" spans="1:3" x14ac:dyDescent="0.25">
      <c r="A940" s="36">
        <v>41348</v>
      </c>
      <c r="B940" s="122">
        <v>7.0601851851851847E-4</v>
      </c>
      <c r="C940" s="26" t="s">
        <v>1108</v>
      </c>
    </row>
    <row r="941" spans="1:3" x14ac:dyDescent="0.25">
      <c r="A941" s="36">
        <v>41348</v>
      </c>
      <c r="B941" s="122">
        <v>7.0601851851851847E-4</v>
      </c>
      <c r="C941" s="26" t="s">
        <v>1109</v>
      </c>
    </row>
    <row r="942" spans="1:3" x14ac:dyDescent="0.25">
      <c r="A942" s="36">
        <v>41348</v>
      </c>
      <c r="B942" s="122">
        <v>7.0601851851851847E-4</v>
      </c>
      <c r="C942" s="26" t="s">
        <v>1110</v>
      </c>
    </row>
    <row r="943" spans="1:3" x14ac:dyDescent="0.25">
      <c r="A943" s="36">
        <v>41348</v>
      </c>
      <c r="B943" s="122">
        <v>7.0601851851851847E-4</v>
      </c>
      <c r="C943" s="26" t="s">
        <v>1111</v>
      </c>
    </row>
    <row r="944" spans="1:3" x14ac:dyDescent="0.25">
      <c r="A944" s="36">
        <v>41348</v>
      </c>
      <c r="B944" s="122">
        <v>7.0601851851851847E-4</v>
      </c>
      <c r="C944" s="26" t="s">
        <v>1112</v>
      </c>
    </row>
    <row r="945" spans="1:3" x14ac:dyDescent="0.25">
      <c r="A945" s="36">
        <v>41348</v>
      </c>
      <c r="B945" s="122">
        <v>7.0601851851851847E-4</v>
      </c>
      <c r="C945" s="26" t="s">
        <v>1113</v>
      </c>
    </row>
    <row r="946" spans="1:3" x14ac:dyDescent="0.25">
      <c r="A946" s="36">
        <v>41348</v>
      </c>
      <c r="B946" s="122">
        <v>7.0601851851851847E-4</v>
      </c>
      <c r="C946" s="26" t="s">
        <v>1304</v>
      </c>
    </row>
    <row r="947" spans="1:3" x14ac:dyDescent="0.25">
      <c r="A947" s="36">
        <v>41348</v>
      </c>
      <c r="B947" s="122">
        <v>7.0601851851851847E-4</v>
      </c>
      <c r="C947" s="26" t="s">
        <v>1114</v>
      </c>
    </row>
    <row r="948" spans="1:3" x14ac:dyDescent="0.25">
      <c r="A948" s="36">
        <v>41348</v>
      </c>
      <c r="B948" s="122">
        <v>7.0601851851851847E-4</v>
      </c>
      <c r="C948" s="26" t="s">
        <v>1115</v>
      </c>
    </row>
    <row r="949" spans="1:3" x14ac:dyDescent="0.25">
      <c r="A949" s="36">
        <v>41348</v>
      </c>
      <c r="B949" s="122">
        <v>7.0601851851851847E-4</v>
      </c>
      <c r="C949" s="26" t="s">
        <v>1116</v>
      </c>
    </row>
    <row r="950" spans="1:3" x14ac:dyDescent="0.25">
      <c r="A950" s="36">
        <v>41348</v>
      </c>
      <c r="B950" s="122">
        <v>7.0601851851851847E-4</v>
      </c>
      <c r="C950" s="26" t="s">
        <v>1117</v>
      </c>
    </row>
    <row r="951" spans="1:3" x14ac:dyDescent="0.25">
      <c r="A951" s="36">
        <v>41348</v>
      </c>
      <c r="B951" s="122">
        <v>7.0601851851851847E-4</v>
      </c>
      <c r="C951" s="26" t="s">
        <v>1118</v>
      </c>
    </row>
    <row r="952" spans="1:3" x14ac:dyDescent="0.25">
      <c r="A952" s="36">
        <v>41348</v>
      </c>
      <c r="B952" s="122">
        <v>7.0601851851851847E-4</v>
      </c>
      <c r="C952" s="26" t="s">
        <v>1119</v>
      </c>
    </row>
    <row r="953" spans="1:3" x14ac:dyDescent="0.25">
      <c r="A953" s="36">
        <v>41348</v>
      </c>
      <c r="B953" s="122">
        <v>7.0601851851851847E-4</v>
      </c>
      <c r="C953" s="26" t="s">
        <v>1120</v>
      </c>
    </row>
    <row r="954" spans="1:3" x14ac:dyDescent="0.25">
      <c r="A954" s="36">
        <v>41348</v>
      </c>
      <c r="B954" s="122">
        <v>7.0601851851851847E-4</v>
      </c>
      <c r="C954" s="26" t="s">
        <v>1121</v>
      </c>
    </row>
    <row r="955" spans="1:3" x14ac:dyDescent="0.25">
      <c r="A955" s="36">
        <v>41348</v>
      </c>
      <c r="B955" s="122">
        <v>7.0601851851851847E-4</v>
      </c>
      <c r="C955" s="26" t="s">
        <v>1121</v>
      </c>
    </row>
    <row r="956" spans="1:3" x14ac:dyDescent="0.25">
      <c r="A956" s="36">
        <v>41348</v>
      </c>
      <c r="B956" s="122">
        <v>7.0601851851851847E-4</v>
      </c>
      <c r="C956" s="26" t="s">
        <v>1105</v>
      </c>
    </row>
    <row r="957" spans="1:3" x14ac:dyDescent="0.25">
      <c r="A957" s="36">
        <v>41348</v>
      </c>
      <c r="B957" s="122">
        <v>7.0601851851851847E-4</v>
      </c>
      <c r="C957" s="26" t="s">
        <v>1122</v>
      </c>
    </row>
    <row r="958" spans="1:3" x14ac:dyDescent="0.25">
      <c r="A958" s="36">
        <v>41348</v>
      </c>
      <c r="B958" s="122">
        <v>7.0601851851851847E-4</v>
      </c>
      <c r="C958" s="26" t="s">
        <v>1123</v>
      </c>
    </row>
    <row r="959" spans="1:3" x14ac:dyDescent="0.25">
      <c r="A959" s="36">
        <v>41348</v>
      </c>
      <c r="B959" s="122">
        <v>7.0601851851851847E-4</v>
      </c>
      <c r="C959" s="26" t="s">
        <v>1124</v>
      </c>
    </row>
    <row r="960" spans="1:3" x14ac:dyDescent="0.25">
      <c r="A960" s="36">
        <v>41348</v>
      </c>
      <c r="B960" s="122">
        <v>7.0601851851851847E-4</v>
      </c>
      <c r="C960" s="26" t="s">
        <v>1125</v>
      </c>
    </row>
    <row r="961" spans="1:3" x14ac:dyDescent="0.25">
      <c r="A961" s="36">
        <v>41348</v>
      </c>
      <c r="B961" s="122">
        <v>7.0601851851851847E-4</v>
      </c>
      <c r="C961" s="26" t="s">
        <v>1126</v>
      </c>
    </row>
    <row r="962" spans="1:3" x14ac:dyDescent="0.25">
      <c r="A962" s="36">
        <v>41348</v>
      </c>
      <c r="B962" s="122">
        <v>7.0601851851851847E-4</v>
      </c>
      <c r="C962" s="26" t="s">
        <v>1127</v>
      </c>
    </row>
    <row r="963" spans="1:3" x14ac:dyDescent="0.25">
      <c r="A963" s="36">
        <v>41348</v>
      </c>
      <c r="B963" s="122">
        <v>7.0601851851851847E-4</v>
      </c>
      <c r="C963" s="26" t="s">
        <v>1128</v>
      </c>
    </row>
    <row r="964" spans="1:3" x14ac:dyDescent="0.25">
      <c r="A964" s="36">
        <v>41348</v>
      </c>
      <c r="B964" s="122">
        <v>7.0601851851851847E-4</v>
      </c>
      <c r="C964" s="26" t="s">
        <v>1129</v>
      </c>
    </row>
    <row r="965" spans="1:3" x14ac:dyDescent="0.25">
      <c r="A965" s="36">
        <v>41348</v>
      </c>
      <c r="B965" s="122">
        <v>7.0601851851851847E-4</v>
      </c>
      <c r="C965" s="26" t="s">
        <v>1130</v>
      </c>
    </row>
    <row r="966" spans="1:3" x14ac:dyDescent="0.25">
      <c r="A966" s="36">
        <v>41348</v>
      </c>
      <c r="B966" s="122">
        <v>7.0601851851851847E-4</v>
      </c>
      <c r="C966" s="26" t="s">
        <v>1131</v>
      </c>
    </row>
    <row r="967" spans="1:3" x14ac:dyDescent="0.25">
      <c r="A967" s="36">
        <v>41348</v>
      </c>
      <c r="B967" s="122">
        <v>7.0601851851851847E-4</v>
      </c>
      <c r="C967" s="26" t="s">
        <v>1132</v>
      </c>
    </row>
    <row r="968" spans="1:3" x14ac:dyDescent="0.25">
      <c r="A968" s="36">
        <v>41348</v>
      </c>
      <c r="B968" s="122">
        <v>7.0601851851851847E-4</v>
      </c>
      <c r="C968" s="26" t="s">
        <v>1133</v>
      </c>
    </row>
    <row r="969" spans="1:3" x14ac:dyDescent="0.25">
      <c r="A969" s="36">
        <v>41348</v>
      </c>
      <c r="B969" s="122">
        <v>7.0601851851851847E-4</v>
      </c>
      <c r="C969" s="26" t="s">
        <v>1133</v>
      </c>
    </row>
    <row r="970" spans="1:3" x14ac:dyDescent="0.25">
      <c r="A970" s="36">
        <v>41348</v>
      </c>
      <c r="B970" s="122">
        <v>7.0601851851851847E-4</v>
      </c>
      <c r="C970" s="26" t="s">
        <v>1134</v>
      </c>
    </row>
    <row r="971" spans="1:3" x14ac:dyDescent="0.25">
      <c r="A971" s="36">
        <v>41348</v>
      </c>
      <c r="B971" s="122">
        <v>7.0601851851851847E-4</v>
      </c>
      <c r="C971" s="26" t="s">
        <v>1135</v>
      </c>
    </row>
    <row r="972" spans="1:3" x14ac:dyDescent="0.25">
      <c r="A972" s="36">
        <v>41348</v>
      </c>
      <c r="B972" s="122">
        <v>7.0601851851851847E-4</v>
      </c>
      <c r="C972" s="26" t="s">
        <v>1136</v>
      </c>
    </row>
    <row r="973" spans="1:3" x14ac:dyDescent="0.25">
      <c r="A973" s="36">
        <v>41348</v>
      </c>
      <c r="B973" s="122">
        <v>7.0601851851851847E-4</v>
      </c>
      <c r="C973" s="26" t="s">
        <v>1118</v>
      </c>
    </row>
    <row r="974" spans="1:3" x14ac:dyDescent="0.25">
      <c r="A974" s="36">
        <v>41348</v>
      </c>
      <c r="B974" s="122">
        <v>7.0601851851851847E-4</v>
      </c>
      <c r="C974" s="26" t="s">
        <v>1118</v>
      </c>
    </row>
    <row r="975" spans="1:3" x14ac:dyDescent="0.25">
      <c r="A975" s="36">
        <v>41348</v>
      </c>
      <c r="B975" s="122">
        <v>7.0601851851851847E-4</v>
      </c>
      <c r="C975" s="26" t="s">
        <v>1137</v>
      </c>
    </row>
    <row r="976" spans="1:3" x14ac:dyDescent="0.25">
      <c r="A976" s="36">
        <v>41348</v>
      </c>
      <c r="B976" s="122">
        <v>7.0601851851851847E-4</v>
      </c>
      <c r="C976" s="26" t="s">
        <v>1100</v>
      </c>
    </row>
    <row r="977" spans="1:3" x14ac:dyDescent="0.25">
      <c r="A977" s="36">
        <v>41348</v>
      </c>
      <c r="B977" s="122">
        <v>7.0601851851851847E-4</v>
      </c>
      <c r="C977" s="26" t="s">
        <v>1138</v>
      </c>
    </row>
    <row r="978" spans="1:3" x14ac:dyDescent="0.25">
      <c r="A978" s="36">
        <v>41348</v>
      </c>
      <c r="B978" s="122">
        <v>7.0601851851851847E-4</v>
      </c>
      <c r="C978" s="26" t="s">
        <v>1139</v>
      </c>
    </row>
    <row r="979" spans="1:3" x14ac:dyDescent="0.25">
      <c r="A979" s="36">
        <v>41348</v>
      </c>
      <c r="B979" s="122">
        <v>7.0601851851851847E-4</v>
      </c>
      <c r="C979" s="26" t="s">
        <v>1140</v>
      </c>
    </row>
    <row r="980" spans="1:3" x14ac:dyDescent="0.25">
      <c r="A980" s="36">
        <v>41348</v>
      </c>
      <c r="B980" s="122">
        <v>7.0601851851851847E-4</v>
      </c>
      <c r="C980" s="26" t="s">
        <v>1141</v>
      </c>
    </row>
    <row r="981" spans="1:3" x14ac:dyDescent="0.25">
      <c r="A981" s="36">
        <v>41348</v>
      </c>
      <c r="B981" s="122">
        <v>7.0601851851851847E-4</v>
      </c>
      <c r="C981" s="26" t="s">
        <v>1142</v>
      </c>
    </row>
    <row r="982" spans="1:3" x14ac:dyDescent="0.25">
      <c r="A982" s="36">
        <v>41348</v>
      </c>
      <c r="B982" s="122">
        <v>7.0601851851851847E-4</v>
      </c>
      <c r="C982" s="26" t="s">
        <v>1143</v>
      </c>
    </row>
    <row r="983" spans="1:3" x14ac:dyDescent="0.25">
      <c r="A983" s="36">
        <v>41348</v>
      </c>
      <c r="B983" s="122">
        <v>7.0601851851851847E-4</v>
      </c>
      <c r="C983" s="26" t="s">
        <v>1144</v>
      </c>
    </row>
    <row r="984" spans="1:3" x14ac:dyDescent="0.25">
      <c r="A984" s="36">
        <v>41348</v>
      </c>
      <c r="B984" s="122">
        <v>7.0601851851851847E-4</v>
      </c>
      <c r="C984" s="26" t="s">
        <v>1145</v>
      </c>
    </row>
    <row r="985" spans="1:3" x14ac:dyDescent="0.25">
      <c r="A985" s="36">
        <v>41348</v>
      </c>
      <c r="B985" s="122">
        <v>7.0601851851851847E-4</v>
      </c>
      <c r="C985" s="26" t="s">
        <v>1146</v>
      </c>
    </row>
    <row r="986" spans="1:3" x14ac:dyDescent="0.25">
      <c r="A986" s="36">
        <v>41348</v>
      </c>
      <c r="B986" s="122">
        <v>7.0601851851851847E-4</v>
      </c>
      <c r="C986" s="26" t="s">
        <v>1147</v>
      </c>
    </row>
    <row r="987" spans="1:3" x14ac:dyDescent="0.25">
      <c r="A987" s="36">
        <v>41348</v>
      </c>
      <c r="B987" s="122">
        <v>7.0601851851851847E-4</v>
      </c>
      <c r="C987" s="26" t="s">
        <v>1148</v>
      </c>
    </row>
    <row r="988" spans="1:3" x14ac:dyDescent="0.25">
      <c r="A988" s="36">
        <v>41348</v>
      </c>
      <c r="B988" s="122">
        <v>7.0601851851851847E-4</v>
      </c>
      <c r="C988" s="26" t="s">
        <v>1149</v>
      </c>
    </row>
    <row r="989" spans="1:3" x14ac:dyDescent="0.25">
      <c r="A989" s="36">
        <v>41348</v>
      </c>
      <c r="B989" s="122">
        <v>7.0601851851851847E-4</v>
      </c>
      <c r="C989" s="26" t="s">
        <v>1150</v>
      </c>
    </row>
    <row r="990" spans="1:3" x14ac:dyDescent="0.25">
      <c r="A990" s="36">
        <v>41348</v>
      </c>
      <c r="B990" s="122">
        <v>7.0601851851851847E-4</v>
      </c>
      <c r="C990" s="26" t="s">
        <v>1151</v>
      </c>
    </row>
    <row r="991" spans="1:3" x14ac:dyDescent="0.25">
      <c r="A991" s="36">
        <v>41348</v>
      </c>
      <c r="B991" s="122">
        <v>7.0601851851851847E-4</v>
      </c>
      <c r="C991" s="26" t="s">
        <v>1152</v>
      </c>
    </row>
    <row r="992" spans="1:3" x14ac:dyDescent="0.25">
      <c r="A992" s="36">
        <v>41348</v>
      </c>
      <c r="B992" s="122">
        <v>7.0601851851851847E-4</v>
      </c>
      <c r="C992" s="26" t="s">
        <v>1117</v>
      </c>
    </row>
    <row r="993" spans="1:3" x14ac:dyDescent="0.25">
      <c r="A993" s="36">
        <v>41348</v>
      </c>
      <c r="B993" s="122">
        <v>7.0601851851851847E-4</v>
      </c>
      <c r="C993" s="26" t="s">
        <v>1153</v>
      </c>
    </row>
    <row r="994" spans="1:3" x14ac:dyDescent="0.25">
      <c r="A994" s="36">
        <v>41348</v>
      </c>
      <c r="B994" s="122">
        <v>7.0601851851851847E-4</v>
      </c>
      <c r="C994" s="26" t="s">
        <v>1154</v>
      </c>
    </row>
    <row r="995" spans="1:3" x14ac:dyDescent="0.25">
      <c r="A995" s="36">
        <v>41348</v>
      </c>
      <c r="B995" s="122">
        <v>7.0601851851851847E-4</v>
      </c>
      <c r="C995" s="26" t="s">
        <v>1155</v>
      </c>
    </row>
    <row r="996" spans="1:3" x14ac:dyDescent="0.25">
      <c r="A996" s="36">
        <v>41348</v>
      </c>
      <c r="B996" s="122">
        <v>7.0601851851851847E-4</v>
      </c>
      <c r="C996" s="26" t="s">
        <v>1156</v>
      </c>
    </row>
    <row r="997" spans="1:3" x14ac:dyDescent="0.25">
      <c r="A997" s="36">
        <v>41348</v>
      </c>
      <c r="B997" s="122">
        <v>7.0601851851851847E-4</v>
      </c>
      <c r="C997" s="26" t="s">
        <v>1157</v>
      </c>
    </row>
    <row r="998" spans="1:3" x14ac:dyDescent="0.25">
      <c r="A998" s="36">
        <v>41348</v>
      </c>
      <c r="B998" s="122">
        <v>7.0601851851851847E-4</v>
      </c>
      <c r="C998" s="26" t="s">
        <v>1158</v>
      </c>
    </row>
    <row r="999" spans="1:3" x14ac:dyDescent="0.25">
      <c r="A999" s="36">
        <v>41348</v>
      </c>
      <c r="B999" s="122">
        <v>7.0601851851851847E-4</v>
      </c>
      <c r="C999" s="26" t="s">
        <v>1159</v>
      </c>
    </row>
    <row r="1000" spans="1:3" x14ac:dyDescent="0.25">
      <c r="A1000" s="36">
        <v>41348</v>
      </c>
      <c r="B1000" s="122">
        <v>7.0601851851851847E-4</v>
      </c>
      <c r="C1000" s="26" t="s">
        <v>1159</v>
      </c>
    </row>
    <row r="1001" spans="1:3" x14ac:dyDescent="0.25">
      <c r="A1001" s="36">
        <v>41348</v>
      </c>
      <c r="B1001" s="122">
        <v>7.0601851851851847E-4</v>
      </c>
      <c r="C1001" s="26" t="s">
        <v>1160</v>
      </c>
    </row>
    <row r="1002" spans="1:3" x14ac:dyDescent="0.25">
      <c r="A1002" s="36">
        <v>41348</v>
      </c>
      <c r="B1002" s="122">
        <v>7.0601851851851847E-4</v>
      </c>
      <c r="C1002" s="26" t="s">
        <v>1161</v>
      </c>
    </row>
    <row r="1003" spans="1:3" x14ac:dyDescent="0.25">
      <c r="A1003" s="36">
        <v>41348</v>
      </c>
      <c r="B1003" s="122">
        <v>7.0601851851851847E-4</v>
      </c>
      <c r="C1003" s="26" t="s">
        <v>1162</v>
      </c>
    </row>
    <row r="1004" spans="1:3" x14ac:dyDescent="0.25">
      <c r="A1004" s="36">
        <v>41348</v>
      </c>
      <c r="B1004" s="122">
        <v>7.0601851851851847E-4</v>
      </c>
      <c r="C1004" s="26" t="s">
        <v>1163</v>
      </c>
    </row>
    <row r="1005" spans="1:3" x14ac:dyDescent="0.25">
      <c r="A1005" s="36">
        <v>41348</v>
      </c>
      <c r="B1005" s="122">
        <v>7.0601851851851847E-4</v>
      </c>
      <c r="C1005" s="26" t="s">
        <v>1133</v>
      </c>
    </row>
    <row r="1006" spans="1:3" x14ac:dyDescent="0.25">
      <c r="A1006" s="36">
        <v>41348</v>
      </c>
      <c r="B1006" s="122">
        <v>7.0601851851851847E-4</v>
      </c>
      <c r="C1006" s="26" t="s">
        <v>1164</v>
      </c>
    </row>
    <row r="1007" spans="1:3" x14ac:dyDescent="0.25">
      <c r="A1007" s="36">
        <v>41348</v>
      </c>
      <c r="B1007" s="122">
        <v>7.0601851851851847E-4</v>
      </c>
      <c r="C1007" s="26" t="s">
        <v>1165</v>
      </c>
    </row>
    <row r="1008" spans="1:3" x14ac:dyDescent="0.25">
      <c r="A1008" s="36">
        <v>41348</v>
      </c>
      <c r="B1008" s="122">
        <v>7.0601851851851847E-4</v>
      </c>
      <c r="C1008" s="26" t="s">
        <v>1166</v>
      </c>
    </row>
    <row r="1009" spans="1:3" x14ac:dyDescent="0.25">
      <c r="A1009" s="36">
        <v>41348</v>
      </c>
      <c r="B1009" s="122">
        <v>7.0601851851851847E-4</v>
      </c>
      <c r="C1009" s="26" t="s">
        <v>1167</v>
      </c>
    </row>
    <row r="1010" spans="1:3" x14ac:dyDescent="0.25">
      <c r="A1010" s="36">
        <v>41348</v>
      </c>
      <c r="B1010" s="122">
        <v>7.0601851851851847E-4</v>
      </c>
      <c r="C1010" s="26" t="s">
        <v>1109</v>
      </c>
    </row>
    <row r="1011" spans="1:3" x14ac:dyDescent="0.25">
      <c r="A1011" s="36">
        <v>41348</v>
      </c>
      <c r="B1011" s="122">
        <v>7.0601851851851847E-4</v>
      </c>
      <c r="C1011" s="26" t="s">
        <v>1168</v>
      </c>
    </row>
    <row r="1012" spans="1:3" x14ac:dyDescent="0.25">
      <c r="A1012" s="36">
        <v>41348</v>
      </c>
      <c r="B1012" s="122">
        <v>7.0601851851851847E-4</v>
      </c>
      <c r="C1012" s="26" t="s">
        <v>1169</v>
      </c>
    </row>
    <row r="1013" spans="1:3" x14ac:dyDescent="0.25">
      <c r="A1013" s="36">
        <v>41348</v>
      </c>
      <c r="B1013" s="122">
        <v>7.0601851851851847E-4</v>
      </c>
      <c r="C1013" s="26" t="s">
        <v>1170</v>
      </c>
    </row>
    <row r="1014" spans="1:3" x14ac:dyDescent="0.25">
      <c r="A1014" s="36">
        <v>41348</v>
      </c>
      <c r="B1014" s="122">
        <v>7.0601851851851847E-4</v>
      </c>
      <c r="C1014" s="26" t="s">
        <v>1133</v>
      </c>
    </row>
    <row r="1015" spans="1:3" x14ac:dyDescent="0.25">
      <c r="A1015" s="36">
        <v>41348</v>
      </c>
      <c r="B1015" s="122">
        <v>7.0601851851851847E-4</v>
      </c>
      <c r="C1015" s="26" t="s">
        <v>1171</v>
      </c>
    </row>
    <row r="1016" spans="1:3" x14ac:dyDescent="0.25">
      <c r="A1016" s="36">
        <v>41348</v>
      </c>
      <c r="B1016" s="122">
        <v>7.0601851851851847E-4</v>
      </c>
      <c r="C1016" s="26" t="s">
        <v>1172</v>
      </c>
    </row>
    <row r="1017" spans="1:3" x14ac:dyDescent="0.25">
      <c r="A1017" s="36">
        <v>41348</v>
      </c>
      <c r="B1017" s="122">
        <v>7.0601851851851847E-4</v>
      </c>
      <c r="C1017" s="26" t="s">
        <v>1173</v>
      </c>
    </row>
    <row r="1018" spans="1:3" x14ac:dyDescent="0.25">
      <c r="A1018" s="36">
        <v>41348</v>
      </c>
      <c r="B1018" s="122">
        <v>7.0601851851851847E-4</v>
      </c>
      <c r="C1018" s="26" t="s">
        <v>1174</v>
      </c>
    </row>
    <row r="1019" spans="1:3" x14ac:dyDescent="0.25">
      <c r="A1019" s="36">
        <v>41348</v>
      </c>
      <c r="B1019" s="122">
        <v>7.0601851851851847E-4</v>
      </c>
      <c r="C1019" s="26" t="s">
        <v>1175</v>
      </c>
    </row>
    <row r="1020" spans="1:3" x14ac:dyDescent="0.25">
      <c r="A1020" s="36">
        <v>41348</v>
      </c>
      <c r="B1020" s="122">
        <v>7.0601851851851847E-4</v>
      </c>
      <c r="C1020" s="26" t="s">
        <v>1176</v>
      </c>
    </row>
    <row r="1021" spans="1:3" x14ac:dyDescent="0.25">
      <c r="A1021" s="36">
        <v>41348</v>
      </c>
      <c r="B1021" s="122">
        <v>7.0601851851851847E-4</v>
      </c>
      <c r="C1021" s="26" t="s">
        <v>1177</v>
      </c>
    </row>
    <row r="1022" spans="1:3" x14ac:dyDescent="0.25">
      <c r="A1022" s="36">
        <v>41348</v>
      </c>
      <c r="B1022" s="122">
        <v>7.0601851851851847E-4</v>
      </c>
      <c r="C1022" s="26" t="s">
        <v>1178</v>
      </c>
    </row>
    <row r="1023" spans="1:3" x14ac:dyDescent="0.25">
      <c r="A1023" s="36">
        <v>41348</v>
      </c>
      <c r="B1023" s="122">
        <v>7.0601851851851847E-4</v>
      </c>
      <c r="C1023" s="26" t="s">
        <v>1298</v>
      </c>
    </row>
    <row r="1024" spans="1:3" x14ac:dyDescent="0.25">
      <c r="A1024" s="36">
        <v>41348</v>
      </c>
      <c r="B1024" s="122">
        <v>7.0601851851851847E-4</v>
      </c>
      <c r="C1024" s="26" t="s">
        <v>1179</v>
      </c>
    </row>
    <row r="1025" spans="1:3" x14ac:dyDescent="0.25">
      <c r="A1025" s="36">
        <v>41348</v>
      </c>
      <c r="B1025" s="122">
        <v>7.0601851851851847E-4</v>
      </c>
      <c r="C1025" s="26" t="s">
        <v>1180</v>
      </c>
    </row>
    <row r="1026" spans="1:3" x14ac:dyDescent="0.25">
      <c r="A1026" s="36">
        <v>41348</v>
      </c>
      <c r="B1026" s="122">
        <v>7.0601851851851847E-4</v>
      </c>
      <c r="C1026" s="26" t="s">
        <v>1181</v>
      </c>
    </row>
    <row r="1027" spans="1:3" x14ac:dyDescent="0.25">
      <c r="A1027" s="36">
        <v>41348</v>
      </c>
      <c r="B1027" s="122">
        <v>7.0601851851851847E-4</v>
      </c>
      <c r="C1027" s="26" t="s">
        <v>1182</v>
      </c>
    </row>
    <row r="1028" spans="1:3" x14ac:dyDescent="0.25">
      <c r="A1028" s="36">
        <v>41348</v>
      </c>
      <c r="B1028" s="122">
        <v>7.0601851851851847E-4</v>
      </c>
      <c r="C1028" s="26" t="s">
        <v>1183</v>
      </c>
    </row>
    <row r="1029" spans="1:3" x14ac:dyDescent="0.25">
      <c r="A1029" s="36">
        <v>41348</v>
      </c>
      <c r="B1029" s="122">
        <v>7.0601851851851847E-4</v>
      </c>
      <c r="C1029" s="26" t="s">
        <v>1184</v>
      </c>
    </row>
    <row r="1030" spans="1:3" x14ac:dyDescent="0.25">
      <c r="A1030" s="36">
        <v>41348</v>
      </c>
      <c r="B1030" s="122">
        <v>7.0601851851851847E-4</v>
      </c>
      <c r="C1030" s="26" t="s">
        <v>1185</v>
      </c>
    </row>
    <row r="1031" spans="1:3" x14ac:dyDescent="0.25">
      <c r="A1031" s="36">
        <v>41348</v>
      </c>
      <c r="B1031" s="122">
        <v>7.0601851851851847E-4</v>
      </c>
      <c r="C1031" s="26" t="s">
        <v>1186</v>
      </c>
    </row>
    <row r="1032" spans="1:3" x14ac:dyDescent="0.25">
      <c r="A1032" s="36">
        <v>41348</v>
      </c>
      <c r="B1032" s="122">
        <v>7.0601851851851847E-4</v>
      </c>
      <c r="C1032" s="26" t="s">
        <v>1187</v>
      </c>
    </row>
    <row r="1033" spans="1:3" x14ac:dyDescent="0.25">
      <c r="A1033" s="36">
        <v>41348</v>
      </c>
      <c r="B1033" s="122">
        <v>7.0601851851851847E-4</v>
      </c>
      <c r="C1033" s="26" t="s">
        <v>1188</v>
      </c>
    </row>
    <row r="1034" spans="1:3" x14ac:dyDescent="0.25">
      <c r="A1034" s="36">
        <v>41348</v>
      </c>
      <c r="B1034" s="122">
        <v>7.0601851851851847E-4</v>
      </c>
      <c r="C1034" s="26" t="s">
        <v>1189</v>
      </c>
    </row>
    <row r="1035" spans="1:3" x14ac:dyDescent="0.25">
      <c r="A1035" s="36">
        <v>41348</v>
      </c>
      <c r="B1035" s="122">
        <v>7.0601851851851847E-4</v>
      </c>
      <c r="C1035" s="26" t="s">
        <v>1190</v>
      </c>
    </row>
    <row r="1036" spans="1:3" x14ac:dyDescent="0.25">
      <c r="A1036" s="36">
        <v>41348</v>
      </c>
      <c r="B1036" s="122">
        <v>7.0601851851851847E-4</v>
      </c>
      <c r="C1036" s="26" t="s">
        <v>1191</v>
      </c>
    </row>
    <row r="1037" spans="1:3" x14ac:dyDescent="0.25">
      <c r="A1037" s="36">
        <v>41348</v>
      </c>
      <c r="B1037" s="122">
        <v>7.0601851851851847E-4</v>
      </c>
      <c r="C1037" s="26" t="s">
        <v>1192</v>
      </c>
    </row>
    <row r="1038" spans="1:3" x14ac:dyDescent="0.25">
      <c r="A1038" s="36">
        <v>41348</v>
      </c>
      <c r="B1038" s="122">
        <v>7.0601851851851847E-4</v>
      </c>
      <c r="C1038" s="26" t="s">
        <v>1193</v>
      </c>
    </row>
    <row r="1039" spans="1:3" x14ac:dyDescent="0.25">
      <c r="A1039" s="36">
        <v>41348</v>
      </c>
      <c r="B1039" s="122">
        <v>7.0601851851851847E-4</v>
      </c>
      <c r="C1039" s="26" t="s">
        <v>1151</v>
      </c>
    </row>
    <row r="1040" spans="1:3" x14ac:dyDescent="0.25">
      <c r="A1040" s="36">
        <v>41348</v>
      </c>
      <c r="B1040" s="122">
        <v>7.0601851851851847E-4</v>
      </c>
      <c r="C1040" s="26" t="s">
        <v>1194</v>
      </c>
    </row>
    <row r="1041" spans="1:3" x14ac:dyDescent="0.25">
      <c r="A1041" s="36">
        <v>41348</v>
      </c>
      <c r="B1041" s="122">
        <v>7.0601851851851847E-4</v>
      </c>
      <c r="C1041" s="26" t="s">
        <v>1195</v>
      </c>
    </row>
    <row r="1042" spans="1:3" x14ac:dyDescent="0.25">
      <c r="A1042" s="36">
        <v>41348</v>
      </c>
      <c r="B1042" s="122">
        <v>7.0601851851851847E-4</v>
      </c>
      <c r="C1042" s="26" t="s">
        <v>1196</v>
      </c>
    </row>
    <row r="1043" spans="1:3" x14ac:dyDescent="0.25">
      <c r="A1043" s="36">
        <v>41348</v>
      </c>
      <c r="B1043" s="122">
        <v>7.0601851851851847E-4</v>
      </c>
      <c r="C1043" s="26" t="s">
        <v>1197</v>
      </c>
    </row>
    <row r="1044" spans="1:3" x14ac:dyDescent="0.25">
      <c r="A1044" s="36">
        <v>41348</v>
      </c>
      <c r="B1044" s="122">
        <v>7.0601851851851847E-4</v>
      </c>
      <c r="C1044" s="26" t="s">
        <v>1198</v>
      </c>
    </row>
    <row r="1045" spans="1:3" x14ac:dyDescent="0.25">
      <c r="A1045" s="36">
        <v>41348</v>
      </c>
      <c r="B1045" s="122">
        <v>7.0601851851851847E-4</v>
      </c>
      <c r="C1045" s="26" t="s">
        <v>1198</v>
      </c>
    </row>
    <row r="1046" spans="1:3" x14ac:dyDescent="0.25">
      <c r="A1046" s="36">
        <v>41348</v>
      </c>
      <c r="B1046" s="122">
        <v>7.0601851851851847E-4</v>
      </c>
      <c r="C1046" s="26" t="s">
        <v>1125</v>
      </c>
    </row>
    <row r="1047" spans="1:3" x14ac:dyDescent="0.25">
      <c r="A1047" s="36">
        <v>41348</v>
      </c>
      <c r="B1047" s="122">
        <v>7.0601851851851847E-4</v>
      </c>
      <c r="C1047" s="26" t="s">
        <v>1199</v>
      </c>
    </row>
    <row r="1048" spans="1:3" x14ac:dyDescent="0.25">
      <c r="A1048" s="36">
        <v>41348</v>
      </c>
      <c r="B1048" s="122">
        <v>7.0601851851851847E-4</v>
      </c>
      <c r="C1048" s="26" t="s">
        <v>1200</v>
      </c>
    </row>
    <row r="1049" spans="1:3" x14ac:dyDescent="0.25">
      <c r="A1049" s="36">
        <v>41348</v>
      </c>
      <c r="B1049" s="122">
        <v>7.0601851851851847E-4</v>
      </c>
      <c r="C1049" s="26" t="s">
        <v>1201</v>
      </c>
    </row>
    <row r="1050" spans="1:3" x14ac:dyDescent="0.25">
      <c r="A1050" s="36">
        <v>41348</v>
      </c>
      <c r="B1050" s="122">
        <v>7.0601851851851847E-4</v>
      </c>
      <c r="C1050" s="26" t="s">
        <v>1202</v>
      </c>
    </row>
    <row r="1051" spans="1:3" x14ac:dyDescent="0.25">
      <c r="A1051" s="36">
        <v>41348</v>
      </c>
      <c r="B1051" s="122">
        <v>7.0601851851851847E-4</v>
      </c>
      <c r="C1051" s="26" t="s">
        <v>1203</v>
      </c>
    </row>
    <row r="1052" spans="1:3" x14ac:dyDescent="0.25">
      <c r="A1052" s="36">
        <v>41348</v>
      </c>
      <c r="B1052" s="122">
        <v>7.0601851851851847E-4</v>
      </c>
      <c r="C1052" s="26" t="s">
        <v>1204</v>
      </c>
    </row>
    <row r="1053" spans="1:3" x14ac:dyDescent="0.25">
      <c r="A1053" s="36">
        <v>41348</v>
      </c>
      <c r="B1053" s="122">
        <v>7.0601851851851847E-4</v>
      </c>
      <c r="C1053" s="26" t="s">
        <v>1204</v>
      </c>
    </row>
    <row r="1054" spans="1:3" x14ac:dyDescent="0.25">
      <c r="A1054" s="36">
        <v>41348</v>
      </c>
      <c r="B1054" s="122">
        <v>7.0601851851851847E-4</v>
      </c>
      <c r="C1054" s="26" t="s">
        <v>1204</v>
      </c>
    </row>
    <row r="1055" spans="1:3" x14ac:dyDescent="0.25">
      <c r="A1055" s="36">
        <v>41348</v>
      </c>
      <c r="B1055" s="122">
        <v>7.0601851851851847E-4</v>
      </c>
      <c r="C1055" s="26" t="s">
        <v>1205</v>
      </c>
    </row>
    <row r="1056" spans="1:3" x14ac:dyDescent="0.25">
      <c r="A1056" s="36">
        <v>41348</v>
      </c>
      <c r="B1056" s="122">
        <v>7.0601851851851847E-4</v>
      </c>
      <c r="C1056" s="26" t="s">
        <v>1146</v>
      </c>
    </row>
    <row r="1057" spans="1:3" x14ac:dyDescent="0.25">
      <c r="A1057" s="36">
        <v>41348</v>
      </c>
      <c r="B1057" s="122">
        <v>7.0601851851851847E-4</v>
      </c>
      <c r="C1057" s="26" t="s">
        <v>1206</v>
      </c>
    </row>
    <row r="1058" spans="1:3" x14ac:dyDescent="0.25">
      <c r="A1058" s="36">
        <v>41348</v>
      </c>
      <c r="B1058" s="122">
        <v>7.0601851851851847E-4</v>
      </c>
      <c r="C1058" s="26" t="s">
        <v>1207</v>
      </c>
    </row>
    <row r="1059" spans="1:3" x14ac:dyDescent="0.25">
      <c r="A1059" s="36">
        <v>41348</v>
      </c>
      <c r="B1059" s="122">
        <v>7.0601851851851847E-4</v>
      </c>
      <c r="C1059" s="26" t="s">
        <v>1208</v>
      </c>
    </row>
    <row r="1060" spans="1:3" x14ac:dyDescent="0.25">
      <c r="A1060" s="36">
        <v>41348</v>
      </c>
      <c r="B1060" s="122">
        <v>7.0601851851851847E-4</v>
      </c>
      <c r="C1060" s="26" t="s">
        <v>1209</v>
      </c>
    </row>
    <row r="1061" spans="1:3" x14ac:dyDescent="0.25">
      <c r="A1061" s="36">
        <v>41348</v>
      </c>
      <c r="B1061" s="122">
        <v>7.0601851851851847E-4</v>
      </c>
      <c r="C1061" s="26" t="s">
        <v>1205</v>
      </c>
    </row>
    <row r="1062" spans="1:3" x14ac:dyDescent="0.25">
      <c r="A1062" s="36">
        <v>41348</v>
      </c>
      <c r="B1062" s="122">
        <v>7.0601851851851847E-4</v>
      </c>
      <c r="C1062" s="26" t="s">
        <v>1210</v>
      </c>
    </row>
    <row r="1063" spans="1:3" x14ac:dyDescent="0.25">
      <c r="A1063" s="36">
        <v>41348</v>
      </c>
      <c r="B1063" s="122">
        <v>7.0601851851851847E-4</v>
      </c>
      <c r="C1063" s="26" t="s">
        <v>1211</v>
      </c>
    </row>
    <row r="1064" spans="1:3" x14ac:dyDescent="0.25">
      <c r="A1064" s="36">
        <v>41348</v>
      </c>
      <c r="B1064" s="122">
        <v>7.0601851851851847E-4</v>
      </c>
      <c r="C1064" s="26" t="s">
        <v>1212</v>
      </c>
    </row>
    <row r="1065" spans="1:3" x14ac:dyDescent="0.25">
      <c r="A1065" s="36">
        <v>41348</v>
      </c>
      <c r="B1065" s="122">
        <v>7.0601851851851847E-4</v>
      </c>
      <c r="C1065" s="26" t="s">
        <v>1213</v>
      </c>
    </row>
    <row r="1066" spans="1:3" x14ac:dyDescent="0.25">
      <c r="A1066" s="36">
        <v>41348</v>
      </c>
      <c r="B1066" s="122">
        <v>7.0601851851851847E-4</v>
      </c>
      <c r="C1066" s="26" t="s">
        <v>1214</v>
      </c>
    </row>
    <row r="1067" spans="1:3" x14ac:dyDescent="0.25">
      <c r="A1067" s="36">
        <v>41348</v>
      </c>
      <c r="B1067" s="122">
        <v>7.0601851851851847E-4</v>
      </c>
      <c r="C1067" s="26" t="s">
        <v>1179</v>
      </c>
    </row>
    <row r="1068" spans="1:3" x14ac:dyDescent="0.25">
      <c r="A1068" s="36">
        <v>41348</v>
      </c>
      <c r="B1068" s="122">
        <v>7.0601851851851847E-4</v>
      </c>
      <c r="C1068" s="26" t="s">
        <v>1151</v>
      </c>
    </row>
    <row r="1069" spans="1:3" x14ac:dyDescent="0.25">
      <c r="A1069" s="36">
        <v>41348</v>
      </c>
      <c r="B1069" s="122">
        <v>7.0601851851851847E-4</v>
      </c>
      <c r="C1069" s="26" t="s">
        <v>1215</v>
      </c>
    </row>
    <row r="1070" spans="1:3" x14ac:dyDescent="0.25">
      <c r="A1070" s="36">
        <v>41348</v>
      </c>
      <c r="B1070" s="122">
        <v>7.0601851851851847E-4</v>
      </c>
      <c r="C1070" s="26" t="s">
        <v>1216</v>
      </c>
    </row>
    <row r="1071" spans="1:3" x14ac:dyDescent="0.25">
      <c r="A1071" s="36">
        <v>41348</v>
      </c>
      <c r="B1071" s="122">
        <v>7.0601851851851847E-4</v>
      </c>
      <c r="C1071" s="26" t="s">
        <v>1217</v>
      </c>
    </row>
    <row r="1072" spans="1:3" x14ac:dyDescent="0.25">
      <c r="A1072" s="36">
        <v>41348</v>
      </c>
      <c r="B1072" s="122">
        <v>7.0601851851851847E-4</v>
      </c>
      <c r="C1072" s="26" t="s">
        <v>1218</v>
      </c>
    </row>
    <row r="1073" spans="1:3" x14ac:dyDescent="0.25">
      <c r="A1073" s="36">
        <v>41348</v>
      </c>
      <c r="B1073" s="122">
        <v>7.0601851851851847E-4</v>
      </c>
      <c r="C1073" s="26" t="s">
        <v>1219</v>
      </c>
    </row>
    <row r="1074" spans="1:3" x14ac:dyDescent="0.25">
      <c r="A1074" s="36">
        <v>41348</v>
      </c>
      <c r="B1074" s="122">
        <v>7.0601851851851847E-4</v>
      </c>
      <c r="C1074" s="26" t="s">
        <v>1191</v>
      </c>
    </row>
    <row r="1075" spans="1:3" x14ac:dyDescent="0.25">
      <c r="A1075" s="36">
        <v>41348</v>
      </c>
      <c r="B1075" s="122">
        <v>7.0601851851851847E-4</v>
      </c>
      <c r="C1075" s="26" t="s">
        <v>1220</v>
      </c>
    </row>
    <row r="1076" spans="1:3" x14ac:dyDescent="0.25">
      <c r="A1076" s="36">
        <v>41348</v>
      </c>
      <c r="B1076" s="122">
        <v>7.0601851851851847E-4</v>
      </c>
      <c r="C1076" s="26" t="s">
        <v>1221</v>
      </c>
    </row>
    <row r="1077" spans="1:3" x14ac:dyDescent="0.25">
      <c r="A1077" s="36">
        <v>41348</v>
      </c>
      <c r="B1077" s="122">
        <v>7.0601851851851847E-4</v>
      </c>
      <c r="C1077" s="26" t="s">
        <v>1222</v>
      </c>
    </row>
    <row r="1078" spans="1:3" x14ac:dyDescent="0.25">
      <c r="A1078" s="36">
        <v>41348</v>
      </c>
      <c r="B1078" s="122">
        <v>7.0601851851851847E-4</v>
      </c>
      <c r="C1078" s="26" t="s">
        <v>1223</v>
      </c>
    </row>
    <row r="1079" spans="1:3" x14ac:dyDescent="0.25">
      <c r="A1079" s="36">
        <v>41348</v>
      </c>
      <c r="B1079" s="122">
        <v>7.0601851851851847E-4</v>
      </c>
      <c r="C1079" s="26" t="s">
        <v>1223</v>
      </c>
    </row>
    <row r="1080" spans="1:3" x14ac:dyDescent="0.25">
      <c r="A1080" s="36">
        <v>41348</v>
      </c>
      <c r="B1080" s="122">
        <v>7.0601851851851847E-4</v>
      </c>
      <c r="C1080" s="26" t="s">
        <v>1224</v>
      </c>
    </row>
    <row r="1081" spans="1:3" x14ac:dyDescent="0.25">
      <c r="A1081" s="36">
        <v>41348</v>
      </c>
      <c r="B1081" s="122">
        <v>7.0601851851851847E-4</v>
      </c>
      <c r="C1081" s="26" t="s">
        <v>1225</v>
      </c>
    </row>
    <row r="1082" spans="1:3" x14ac:dyDescent="0.25">
      <c r="A1082" s="36">
        <v>41348</v>
      </c>
      <c r="B1082" s="122">
        <v>7.0601851851851847E-4</v>
      </c>
      <c r="C1082" s="26" t="s">
        <v>1225</v>
      </c>
    </row>
    <row r="1083" spans="1:3" x14ac:dyDescent="0.25">
      <c r="A1083" s="36">
        <v>41348</v>
      </c>
      <c r="B1083" s="122">
        <v>7.0601851851851847E-4</v>
      </c>
      <c r="C1083" s="26" t="s">
        <v>1190</v>
      </c>
    </row>
    <row r="1084" spans="1:3" x14ac:dyDescent="0.25">
      <c r="A1084" s="36">
        <v>41348</v>
      </c>
      <c r="B1084" s="122">
        <v>7.0601851851851847E-4</v>
      </c>
      <c r="C1084" s="26" t="s">
        <v>1226</v>
      </c>
    </row>
    <row r="1085" spans="1:3" x14ac:dyDescent="0.25">
      <c r="A1085" s="36">
        <v>41348</v>
      </c>
      <c r="B1085" s="122">
        <v>7.0601851851851847E-4</v>
      </c>
      <c r="C1085" s="26" t="s">
        <v>1227</v>
      </c>
    </row>
    <row r="1086" spans="1:3" x14ac:dyDescent="0.25">
      <c r="A1086" s="36">
        <v>41348</v>
      </c>
      <c r="B1086" s="122">
        <v>7.0601851851851847E-4</v>
      </c>
      <c r="C1086" s="26" t="s">
        <v>1228</v>
      </c>
    </row>
    <row r="1087" spans="1:3" x14ac:dyDescent="0.25">
      <c r="A1087" s="36">
        <v>41348</v>
      </c>
      <c r="B1087" s="122">
        <v>7.0601851851851847E-4</v>
      </c>
      <c r="C1087" s="26" t="s">
        <v>1228</v>
      </c>
    </row>
    <row r="1088" spans="1:3" x14ac:dyDescent="0.25">
      <c r="A1088" s="36">
        <v>41348</v>
      </c>
      <c r="B1088" s="122">
        <v>7.0601851851851847E-4</v>
      </c>
      <c r="C1088" s="26" t="s">
        <v>1229</v>
      </c>
    </row>
    <row r="1089" spans="1:3" x14ac:dyDescent="0.25">
      <c r="A1089" s="36">
        <v>41348</v>
      </c>
      <c r="B1089" s="122">
        <v>7.0601851851851847E-4</v>
      </c>
      <c r="C1089" s="26" t="s">
        <v>1230</v>
      </c>
    </row>
    <row r="1090" spans="1:3" x14ac:dyDescent="0.25">
      <c r="A1090" s="36">
        <v>41348</v>
      </c>
      <c r="B1090" s="122">
        <v>7.0601851851851847E-4</v>
      </c>
      <c r="C1090" s="26" t="s">
        <v>1230</v>
      </c>
    </row>
    <row r="1091" spans="1:3" x14ac:dyDescent="0.25">
      <c r="A1091" s="36">
        <v>41348</v>
      </c>
      <c r="B1091" s="122">
        <v>7.0601851851851847E-4</v>
      </c>
      <c r="C1091" s="26" t="s">
        <v>1179</v>
      </c>
    </row>
    <row r="1092" spans="1:3" x14ac:dyDescent="0.25">
      <c r="A1092" s="36">
        <v>41348</v>
      </c>
      <c r="B1092" s="122">
        <v>7.0601851851851847E-4</v>
      </c>
      <c r="C1092" s="26" t="s">
        <v>1151</v>
      </c>
    </row>
    <row r="1093" spans="1:3" x14ac:dyDescent="0.25">
      <c r="A1093" s="36">
        <v>41348</v>
      </c>
      <c r="B1093" s="122">
        <v>7.0601851851851847E-4</v>
      </c>
      <c r="C1093" s="26" t="s">
        <v>1231</v>
      </c>
    </row>
    <row r="1094" spans="1:3" x14ac:dyDescent="0.25">
      <c r="A1094" s="36">
        <v>41348</v>
      </c>
      <c r="B1094" s="122">
        <v>7.0601851851851847E-4</v>
      </c>
      <c r="C1094" s="26" t="s">
        <v>1232</v>
      </c>
    </row>
    <row r="1095" spans="1:3" x14ac:dyDescent="0.25">
      <c r="A1095" s="36">
        <v>41348</v>
      </c>
      <c r="B1095" s="122">
        <v>7.0601851851851847E-4</v>
      </c>
      <c r="C1095" s="26" t="s">
        <v>1233</v>
      </c>
    </row>
    <row r="1096" spans="1:3" x14ac:dyDescent="0.25">
      <c r="A1096" s="36">
        <v>41348</v>
      </c>
      <c r="B1096" s="122">
        <v>7.0601851851851847E-4</v>
      </c>
      <c r="C1096" s="26" t="s">
        <v>1191</v>
      </c>
    </row>
    <row r="1097" spans="1:3" x14ac:dyDescent="0.25">
      <c r="A1097" s="36">
        <v>41348</v>
      </c>
      <c r="B1097" s="122">
        <v>7.0601851851851847E-4</v>
      </c>
      <c r="C1097" s="26" t="s">
        <v>1234</v>
      </c>
    </row>
    <row r="1098" spans="1:3" x14ac:dyDescent="0.25">
      <c r="A1098" s="36">
        <v>41348</v>
      </c>
      <c r="B1098" s="122">
        <v>7.0601851851851847E-4</v>
      </c>
      <c r="C1098" s="26" t="s">
        <v>1235</v>
      </c>
    </row>
    <row r="1099" spans="1:3" x14ac:dyDescent="0.25">
      <c r="A1099" s="36">
        <v>41348</v>
      </c>
      <c r="B1099" s="122">
        <v>7.0601851851851847E-4</v>
      </c>
      <c r="C1099" s="26" t="s">
        <v>1236</v>
      </c>
    </row>
    <row r="1100" spans="1:3" x14ac:dyDescent="0.25">
      <c r="A1100" s="36">
        <v>41348</v>
      </c>
      <c r="B1100" s="122">
        <v>7.0601851851851847E-4</v>
      </c>
      <c r="C1100" s="26" t="s">
        <v>1237</v>
      </c>
    </row>
    <row r="1101" spans="1:3" x14ac:dyDescent="0.25">
      <c r="A1101" s="36">
        <v>41348</v>
      </c>
      <c r="B1101" s="122">
        <v>7.0601851851851847E-4</v>
      </c>
      <c r="C1101" s="26" t="s">
        <v>1213</v>
      </c>
    </row>
    <row r="1102" spans="1:3" x14ac:dyDescent="0.25">
      <c r="A1102" s="36">
        <v>41348</v>
      </c>
      <c r="B1102" s="122">
        <v>7.0601851851851847E-4</v>
      </c>
      <c r="C1102" s="26" t="s">
        <v>1232</v>
      </c>
    </row>
    <row r="1103" spans="1:3" x14ac:dyDescent="0.25">
      <c r="A1103" s="36">
        <v>41348</v>
      </c>
      <c r="B1103" s="122">
        <v>7.0601851851851847E-4</v>
      </c>
      <c r="C1103" s="26" t="s">
        <v>1238</v>
      </c>
    </row>
    <row r="1104" spans="1:3" x14ac:dyDescent="0.25">
      <c r="A1104" s="36">
        <v>41348</v>
      </c>
      <c r="B1104" s="122">
        <v>7.0601851851851847E-4</v>
      </c>
      <c r="C1104" s="26" t="s">
        <v>1239</v>
      </c>
    </row>
    <row r="1105" spans="1:3" x14ac:dyDescent="0.25">
      <c r="A1105" s="36">
        <v>41348</v>
      </c>
      <c r="B1105" s="122">
        <v>7.0601851851851847E-4</v>
      </c>
      <c r="C1105" s="26" t="s">
        <v>1151</v>
      </c>
    </row>
    <row r="1106" spans="1:3" x14ac:dyDescent="0.25">
      <c r="A1106" s="36">
        <v>41348</v>
      </c>
      <c r="B1106" s="122">
        <v>7.0601851851851847E-4</v>
      </c>
      <c r="C1106" s="26" t="s">
        <v>1240</v>
      </c>
    </row>
    <row r="1107" spans="1:3" x14ac:dyDescent="0.25">
      <c r="A1107" s="36">
        <v>41348</v>
      </c>
      <c r="B1107" s="122">
        <v>7.0601851851851847E-4</v>
      </c>
      <c r="C1107" s="26" t="s">
        <v>1240</v>
      </c>
    </row>
    <row r="1108" spans="1:3" x14ac:dyDescent="0.25">
      <c r="A1108" s="36">
        <v>41348</v>
      </c>
      <c r="B1108" s="122">
        <v>7.0601851851851847E-4</v>
      </c>
      <c r="C1108" s="26" t="s">
        <v>1240</v>
      </c>
    </row>
    <row r="1109" spans="1:3" x14ac:dyDescent="0.25">
      <c r="A1109" s="36">
        <v>41348</v>
      </c>
      <c r="B1109" s="122">
        <v>7.0601851851851847E-4</v>
      </c>
      <c r="C1109" s="26" t="s">
        <v>1241</v>
      </c>
    </row>
    <row r="1110" spans="1:3" x14ac:dyDescent="0.25">
      <c r="A1110" s="36">
        <v>41348</v>
      </c>
      <c r="B1110" s="122">
        <v>7.0601851851851847E-4</v>
      </c>
      <c r="C1110" s="26" t="s">
        <v>1242</v>
      </c>
    </row>
    <row r="1111" spans="1:3" x14ac:dyDescent="0.25">
      <c r="A1111" s="36">
        <v>41348</v>
      </c>
      <c r="B1111" s="122">
        <v>7.0601851851851847E-4</v>
      </c>
      <c r="C1111" s="26" t="s">
        <v>1243</v>
      </c>
    </row>
    <row r="1112" spans="1:3" x14ac:dyDescent="0.25">
      <c r="A1112" s="36">
        <v>41348</v>
      </c>
      <c r="B1112" s="122">
        <v>7.0601851851851847E-4</v>
      </c>
      <c r="C1112" s="26" t="s">
        <v>1244</v>
      </c>
    </row>
    <row r="1113" spans="1:3" x14ac:dyDescent="0.25">
      <c r="A1113" s="36">
        <v>41348</v>
      </c>
      <c r="B1113" s="122">
        <v>7.0601851851851847E-4</v>
      </c>
      <c r="C1113" s="26" t="s">
        <v>1245</v>
      </c>
    </row>
    <row r="1114" spans="1:3" x14ac:dyDescent="0.25">
      <c r="A1114" s="36">
        <v>41348</v>
      </c>
      <c r="B1114" s="122">
        <v>7.0601851851851847E-4</v>
      </c>
      <c r="C1114" s="26" t="s">
        <v>1246</v>
      </c>
    </row>
    <row r="1115" spans="1:3" x14ac:dyDescent="0.25">
      <c r="A1115" s="36">
        <v>41348</v>
      </c>
      <c r="B1115" s="122">
        <v>7.0601851851851847E-4</v>
      </c>
      <c r="C1115" s="26" t="s">
        <v>1247</v>
      </c>
    </row>
    <row r="1116" spans="1:3" x14ac:dyDescent="0.25">
      <c r="A1116" s="36">
        <v>41348</v>
      </c>
      <c r="B1116" s="122">
        <v>7.0601851851851847E-4</v>
      </c>
      <c r="C1116" s="26" t="s">
        <v>1232</v>
      </c>
    </row>
    <row r="1117" spans="1:3" x14ac:dyDescent="0.25">
      <c r="A1117" s="36">
        <v>41348</v>
      </c>
      <c r="B1117" s="122">
        <v>7.0601851851851847E-4</v>
      </c>
      <c r="C1117" s="26" t="s">
        <v>1248</v>
      </c>
    </row>
    <row r="1118" spans="1:3" x14ac:dyDescent="0.25">
      <c r="A1118" s="36">
        <v>41348</v>
      </c>
      <c r="B1118" s="122">
        <v>7.0601851851851847E-4</v>
      </c>
      <c r="C1118" s="26" t="s">
        <v>1249</v>
      </c>
    </row>
    <row r="1119" spans="1:3" x14ac:dyDescent="0.25">
      <c r="A1119" s="36">
        <v>41348</v>
      </c>
      <c r="B1119" s="122">
        <v>7.0601851851851847E-4</v>
      </c>
      <c r="C1119" s="26" t="s">
        <v>1232</v>
      </c>
    </row>
    <row r="1120" spans="1:3" x14ac:dyDescent="0.25">
      <c r="A1120" s="36">
        <v>41348</v>
      </c>
      <c r="B1120" s="122">
        <v>7.0601851851851847E-4</v>
      </c>
      <c r="C1120" s="26" t="s">
        <v>1241</v>
      </c>
    </row>
    <row r="1121" spans="1:3" x14ac:dyDescent="0.25">
      <c r="A1121" s="36">
        <v>41348</v>
      </c>
      <c r="B1121" s="122">
        <v>7.0601851851851847E-4</v>
      </c>
      <c r="C1121" s="26" t="s">
        <v>1250</v>
      </c>
    </row>
    <row r="1122" spans="1:3" x14ac:dyDescent="0.25">
      <c r="A1122" s="36">
        <v>41348</v>
      </c>
      <c r="B1122" s="122">
        <v>7.0601851851851847E-4</v>
      </c>
      <c r="C1122" s="26" t="s">
        <v>1250</v>
      </c>
    </row>
    <row r="1123" spans="1:3" x14ac:dyDescent="0.25">
      <c r="A1123" s="36">
        <v>41348</v>
      </c>
      <c r="B1123" s="122">
        <v>7.0601851851851847E-4</v>
      </c>
      <c r="C1123" s="26" t="s">
        <v>1232</v>
      </c>
    </row>
    <row r="1124" spans="1:3" x14ac:dyDescent="0.25">
      <c r="A1124" s="36">
        <v>41348</v>
      </c>
      <c r="B1124" s="122">
        <v>7.0601851851851847E-4</v>
      </c>
      <c r="C1124" s="26" t="s">
        <v>1251</v>
      </c>
    </row>
    <row r="1125" spans="1:3" x14ac:dyDescent="0.25">
      <c r="A1125" s="36">
        <v>41348</v>
      </c>
      <c r="B1125" s="122">
        <v>7.0601851851851847E-4</v>
      </c>
      <c r="C1125" s="26" t="s">
        <v>1251</v>
      </c>
    </row>
    <row r="1126" spans="1:3" x14ac:dyDescent="0.25">
      <c r="A1126" s="36">
        <v>41348</v>
      </c>
      <c r="B1126" s="122">
        <v>7.0601851851851847E-4</v>
      </c>
      <c r="C1126" s="26" t="s">
        <v>1252</v>
      </c>
    </row>
    <row r="1127" spans="1:3" x14ac:dyDescent="0.25">
      <c r="A1127" s="36">
        <v>41348</v>
      </c>
      <c r="B1127" s="122">
        <v>7.0601851851851847E-4</v>
      </c>
      <c r="C1127" s="26" t="s">
        <v>1253</v>
      </c>
    </row>
    <row r="1128" spans="1:3" x14ac:dyDescent="0.25">
      <c r="A1128" s="36">
        <v>41348</v>
      </c>
      <c r="B1128" s="122">
        <v>7.0601851851851847E-4</v>
      </c>
      <c r="C1128" s="26" t="s">
        <v>1254</v>
      </c>
    </row>
    <row r="1129" spans="1:3" x14ac:dyDescent="0.25">
      <c r="A1129" s="36">
        <v>41348</v>
      </c>
      <c r="B1129" s="122">
        <v>7.0601851851851847E-4</v>
      </c>
      <c r="C1129" s="26" t="s">
        <v>1255</v>
      </c>
    </row>
    <row r="1130" spans="1:3" x14ac:dyDescent="0.25">
      <c r="A1130" s="36">
        <v>41348</v>
      </c>
      <c r="B1130" s="122">
        <v>7.0601851851851847E-4</v>
      </c>
      <c r="C1130" s="26" t="s">
        <v>1256</v>
      </c>
    </row>
    <row r="1131" spans="1:3" x14ac:dyDescent="0.25">
      <c r="A1131" s="36">
        <v>41348</v>
      </c>
      <c r="B1131" s="122">
        <v>7.0601851851851847E-4</v>
      </c>
      <c r="C1131" s="26" t="s">
        <v>1257</v>
      </c>
    </row>
    <row r="1132" spans="1:3" x14ac:dyDescent="0.25">
      <c r="A1132" s="36">
        <v>41348</v>
      </c>
      <c r="B1132" s="122">
        <v>7.0601851851851847E-4</v>
      </c>
      <c r="C1132" s="26" t="s">
        <v>1258</v>
      </c>
    </row>
    <row r="1133" spans="1:3" x14ac:dyDescent="0.25">
      <c r="A1133" s="36">
        <v>41348</v>
      </c>
      <c r="B1133" s="122">
        <v>7.0601851851851847E-4</v>
      </c>
      <c r="C1133" s="26" t="s">
        <v>1259</v>
      </c>
    </row>
    <row r="1134" spans="1:3" x14ac:dyDescent="0.25">
      <c r="A1134" s="36">
        <v>41348</v>
      </c>
      <c r="B1134" s="122">
        <v>7.0601851851851847E-4</v>
      </c>
      <c r="C1134" s="26" t="s">
        <v>1260</v>
      </c>
    </row>
    <row r="1135" spans="1:3" x14ac:dyDescent="0.25">
      <c r="A1135" s="36">
        <v>41348</v>
      </c>
      <c r="B1135" s="122">
        <v>7.0601851851851847E-4</v>
      </c>
      <c r="C1135" s="26" t="s">
        <v>1261</v>
      </c>
    </row>
    <row r="1136" spans="1:3" x14ac:dyDescent="0.25">
      <c r="A1136" s="36">
        <v>41348</v>
      </c>
      <c r="B1136" s="122">
        <v>7.0601851851851847E-4</v>
      </c>
      <c r="C1136" s="26" t="s">
        <v>1262</v>
      </c>
    </row>
    <row r="1137" spans="1:3" x14ac:dyDescent="0.25">
      <c r="A1137" s="36">
        <v>41348</v>
      </c>
      <c r="B1137" s="122">
        <v>7.0601851851851847E-4</v>
      </c>
      <c r="C1137" s="26" t="s">
        <v>1263</v>
      </c>
    </row>
    <row r="1138" spans="1:3" x14ac:dyDescent="0.25">
      <c r="A1138" s="36">
        <v>41348</v>
      </c>
      <c r="B1138" s="122">
        <v>7.0601851851851847E-4</v>
      </c>
      <c r="C1138" s="26" t="s">
        <v>1263</v>
      </c>
    </row>
    <row r="1139" spans="1:3" x14ac:dyDescent="0.25">
      <c r="A1139" s="36">
        <v>41348</v>
      </c>
      <c r="B1139" s="122">
        <v>7.0601851851851847E-4</v>
      </c>
      <c r="C1139" s="26" t="s">
        <v>1263</v>
      </c>
    </row>
    <row r="1140" spans="1:3" x14ac:dyDescent="0.25">
      <c r="A1140" s="36">
        <v>41348</v>
      </c>
      <c r="B1140" s="122">
        <v>7.0601851851851847E-4</v>
      </c>
      <c r="C1140" s="26" t="s">
        <v>1264</v>
      </c>
    </row>
    <row r="1141" spans="1:3" x14ac:dyDescent="0.25">
      <c r="A1141" s="36">
        <v>41348</v>
      </c>
      <c r="B1141" s="122">
        <v>7.0601851851851847E-4</v>
      </c>
      <c r="C1141" s="26" t="s">
        <v>1151</v>
      </c>
    </row>
    <row r="1142" spans="1:3" x14ac:dyDescent="0.25">
      <c r="A1142" s="36">
        <v>41348</v>
      </c>
      <c r="B1142" s="122">
        <v>7.0601851851851847E-4</v>
      </c>
      <c r="C1142" s="26" t="s">
        <v>1248</v>
      </c>
    </row>
    <row r="1143" spans="1:3" x14ac:dyDescent="0.25">
      <c r="A1143" s="36">
        <v>41348</v>
      </c>
      <c r="B1143" s="122">
        <v>7.0601851851851847E-4</v>
      </c>
      <c r="C1143" s="26" t="s">
        <v>1265</v>
      </c>
    </row>
    <row r="1144" spans="1:3" x14ac:dyDescent="0.25">
      <c r="A1144" s="36">
        <v>41348</v>
      </c>
      <c r="B1144" s="122">
        <v>7.0601851851851847E-4</v>
      </c>
      <c r="C1144" s="26" t="s">
        <v>1232</v>
      </c>
    </row>
    <row r="1145" spans="1:3" x14ac:dyDescent="0.25">
      <c r="A1145" s="36">
        <v>41348</v>
      </c>
      <c r="B1145" s="122">
        <v>7.0601851851851847E-4</v>
      </c>
      <c r="C1145" s="26" t="s">
        <v>1266</v>
      </c>
    </row>
    <row r="1146" spans="1:3" x14ac:dyDescent="0.25">
      <c r="A1146" s="36">
        <v>41348</v>
      </c>
      <c r="B1146" s="122">
        <v>7.0601851851851847E-4</v>
      </c>
      <c r="C1146" s="26" t="s">
        <v>1267</v>
      </c>
    </row>
    <row r="1147" spans="1:3" x14ac:dyDescent="0.25">
      <c r="A1147" s="36">
        <v>41348</v>
      </c>
      <c r="B1147" s="122">
        <v>7.0601851851851847E-4</v>
      </c>
      <c r="C1147" s="26" t="s">
        <v>1184</v>
      </c>
    </row>
    <row r="1148" spans="1:3" x14ac:dyDescent="0.25">
      <c r="A1148" s="36">
        <v>41348</v>
      </c>
      <c r="B1148" s="122">
        <v>7.0601851851851847E-4</v>
      </c>
      <c r="C1148" s="26" t="s">
        <v>1184</v>
      </c>
    </row>
    <row r="1149" spans="1:3" x14ac:dyDescent="0.25">
      <c r="A1149" s="36">
        <v>41348</v>
      </c>
      <c r="B1149" s="122">
        <v>7.0601851851851847E-4</v>
      </c>
      <c r="C1149" s="26" t="s">
        <v>1184</v>
      </c>
    </row>
    <row r="1150" spans="1:3" x14ac:dyDescent="0.25">
      <c r="A1150" s="36">
        <v>41348</v>
      </c>
      <c r="B1150" s="122">
        <v>7.0601851851851847E-4</v>
      </c>
      <c r="C1150" s="26" t="s">
        <v>1232</v>
      </c>
    </row>
    <row r="1151" spans="1:3" x14ac:dyDescent="0.25">
      <c r="A1151" s="36">
        <v>41348</v>
      </c>
      <c r="B1151" s="122">
        <v>7.0601851851851847E-4</v>
      </c>
      <c r="C1151" s="26" t="s">
        <v>1268</v>
      </c>
    </row>
    <row r="1152" spans="1:3" x14ac:dyDescent="0.25">
      <c r="A1152" s="36">
        <v>41348</v>
      </c>
      <c r="B1152" s="122">
        <v>7.0601851851851847E-4</v>
      </c>
      <c r="C1152" s="26" t="s">
        <v>1269</v>
      </c>
    </row>
    <row r="1153" spans="1:3" x14ac:dyDescent="0.25">
      <c r="A1153" s="36">
        <v>41348</v>
      </c>
      <c r="B1153" s="122">
        <v>7.0601851851851847E-4</v>
      </c>
      <c r="C1153" s="26" t="s">
        <v>1269</v>
      </c>
    </row>
    <row r="1154" spans="1:3" x14ac:dyDescent="0.25">
      <c r="A1154" s="36">
        <v>41348</v>
      </c>
      <c r="B1154" s="122">
        <v>7.0601851851851847E-4</v>
      </c>
      <c r="C1154" s="26" t="s">
        <v>1270</v>
      </c>
    </row>
    <row r="1155" spans="1:3" x14ac:dyDescent="0.25">
      <c r="A1155" s="36">
        <v>41348</v>
      </c>
      <c r="B1155" s="122">
        <v>7.0601851851851847E-4</v>
      </c>
      <c r="C1155" s="26" t="s">
        <v>1270</v>
      </c>
    </row>
    <row r="1156" spans="1:3" x14ac:dyDescent="0.25">
      <c r="A1156" s="36">
        <v>41348</v>
      </c>
      <c r="B1156" s="122">
        <v>7.0601851851851847E-4</v>
      </c>
      <c r="C1156" s="26" t="s">
        <v>1271</v>
      </c>
    </row>
    <row r="1157" spans="1:3" x14ac:dyDescent="0.25">
      <c r="A1157" s="36">
        <v>41348</v>
      </c>
      <c r="B1157" s="122">
        <v>7.0601851851851847E-4</v>
      </c>
      <c r="C1157" s="26" t="s">
        <v>1272</v>
      </c>
    </row>
    <row r="1158" spans="1:3" x14ac:dyDescent="0.25">
      <c r="A1158" s="36">
        <v>41348</v>
      </c>
      <c r="B1158" s="122">
        <v>7.0601851851851847E-4</v>
      </c>
      <c r="C1158" s="26" t="s">
        <v>1273</v>
      </c>
    </row>
    <row r="1159" spans="1:3" x14ac:dyDescent="0.25">
      <c r="A1159" s="36">
        <v>41348</v>
      </c>
      <c r="B1159" s="122">
        <v>7.0601851851851847E-4</v>
      </c>
      <c r="C1159" s="26" t="s">
        <v>1274</v>
      </c>
    </row>
    <row r="1160" spans="1:3" x14ac:dyDescent="0.25">
      <c r="A1160" s="36">
        <v>41348</v>
      </c>
      <c r="B1160" s="122">
        <v>7.0601851851851847E-4</v>
      </c>
      <c r="C1160" s="26" t="s">
        <v>1274</v>
      </c>
    </row>
    <row r="1161" spans="1:3" x14ac:dyDescent="0.25">
      <c r="A1161" s="36">
        <v>41348</v>
      </c>
      <c r="B1161" s="122">
        <v>7.0601851851851847E-4</v>
      </c>
      <c r="C1161" s="26" t="s">
        <v>1274</v>
      </c>
    </row>
    <row r="1162" spans="1:3" x14ac:dyDescent="0.25">
      <c r="A1162" s="36">
        <v>41348</v>
      </c>
      <c r="B1162" s="122">
        <v>7.0601851851851847E-4</v>
      </c>
      <c r="C1162" s="26" t="s">
        <v>1274</v>
      </c>
    </row>
    <row r="1163" spans="1:3" x14ac:dyDescent="0.25">
      <c r="A1163" s="36">
        <v>41348</v>
      </c>
      <c r="B1163" s="122">
        <v>7.0601851851851847E-4</v>
      </c>
      <c r="C1163" s="26" t="s">
        <v>1274</v>
      </c>
    </row>
    <row r="1164" spans="1:3" x14ac:dyDescent="0.25">
      <c r="A1164" s="36">
        <v>41348</v>
      </c>
      <c r="B1164" s="122">
        <v>7.0601851851851847E-4</v>
      </c>
      <c r="C1164" s="26" t="s">
        <v>1274</v>
      </c>
    </row>
    <row r="1165" spans="1:3" x14ac:dyDescent="0.25">
      <c r="A1165" s="36">
        <v>41348</v>
      </c>
      <c r="B1165" s="122">
        <v>7.0601851851851847E-4</v>
      </c>
      <c r="C1165" s="26" t="s">
        <v>1274</v>
      </c>
    </row>
    <row r="1166" spans="1:3" x14ac:dyDescent="0.25">
      <c r="A1166" s="36">
        <v>41348</v>
      </c>
      <c r="B1166" s="122">
        <v>7.0601851851851847E-4</v>
      </c>
      <c r="C1166" s="26" t="s">
        <v>1275</v>
      </c>
    </row>
    <row r="1167" spans="1:3" x14ac:dyDescent="0.25">
      <c r="A1167" s="36">
        <v>41348</v>
      </c>
      <c r="B1167" s="122">
        <v>7.175925925925927E-4</v>
      </c>
      <c r="C1167" s="26" t="s">
        <v>1354</v>
      </c>
    </row>
    <row r="1168" spans="1:3" x14ac:dyDescent="0.25">
      <c r="A1168" s="36">
        <v>41348</v>
      </c>
      <c r="B1168" s="122">
        <v>5.4629629629629637E-3</v>
      </c>
      <c r="C1168" s="26" t="s">
        <v>1355</v>
      </c>
    </row>
    <row r="1169" spans="1:3" ht="30" x14ac:dyDescent="0.25">
      <c r="A1169" s="36">
        <v>41348</v>
      </c>
      <c r="B1169" s="122">
        <v>5.8680555555555543E-3</v>
      </c>
      <c r="C1169" s="789" t="s">
        <v>1356</v>
      </c>
    </row>
    <row r="1170" spans="1:3" ht="45" x14ac:dyDescent="0.25">
      <c r="A1170" s="36">
        <v>41348</v>
      </c>
      <c r="B1170" s="122">
        <v>6.9907407407407409E-3</v>
      </c>
      <c r="C1170" s="789" t="s">
        <v>1357</v>
      </c>
    </row>
    <row r="1171" spans="1:3" x14ac:dyDescent="0.25">
      <c r="A1171" s="36">
        <v>41348</v>
      </c>
      <c r="B1171" s="122">
        <v>7.858796296296296E-3</v>
      </c>
      <c r="C1171" s="26" t="s">
        <v>1085</v>
      </c>
    </row>
    <row r="1172" spans="1:3" x14ac:dyDescent="0.25">
      <c r="A1172" s="36">
        <v>41348</v>
      </c>
      <c r="B1172" s="122">
        <v>7.858796296296296E-3</v>
      </c>
      <c r="C1172" s="26" t="s">
        <v>1086</v>
      </c>
    </row>
    <row r="1173" spans="1:3" x14ac:dyDescent="0.25">
      <c r="A1173" s="36">
        <v>41348</v>
      </c>
      <c r="B1173" s="122">
        <v>7.858796296296296E-3</v>
      </c>
      <c r="C1173" s="26" t="s">
        <v>1087</v>
      </c>
    </row>
    <row r="1174" spans="1:3" x14ac:dyDescent="0.25">
      <c r="A1174" s="36">
        <v>41348</v>
      </c>
      <c r="B1174" s="122">
        <v>7.858796296296296E-3</v>
      </c>
      <c r="C1174" s="26" t="s">
        <v>1088</v>
      </c>
    </row>
    <row r="1175" spans="1:3" x14ac:dyDescent="0.25">
      <c r="A1175" s="36">
        <v>41348</v>
      </c>
      <c r="B1175" s="122">
        <v>7.858796296296296E-3</v>
      </c>
      <c r="C1175" s="26" t="s">
        <v>1086</v>
      </c>
    </row>
    <row r="1176" spans="1:3" x14ac:dyDescent="0.25">
      <c r="A1176" s="36">
        <v>41348</v>
      </c>
      <c r="B1176" s="122">
        <v>7.858796296296296E-3</v>
      </c>
      <c r="C1176" s="26" t="s">
        <v>1089</v>
      </c>
    </row>
    <row r="1177" spans="1:3" x14ac:dyDescent="0.25">
      <c r="A1177" s="36">
        <v>41348</v>
      </c>
      <c r="B1177" s="122">
        <v>7.858796296296296E-3</v>
      </c>
      <c r="C1177" s="26" t="s">
        <v>1089</v>
      </c>
    </row>
    <row r="1178" spans="1:3" x14ac:dyDescent="0.25">
      <c r="A1178" s="36">
        <v>41348</v>
      </c>
      <c r="B1178" s="122">
        <v>7.858796296296296E-3</v>
      </c>
      <c r="C1178" s="26" t="s">
        <v>1090</v>
      </c>
    </row>
    <row r="1179" spans="1:3" x14ac:dyDescent="0.25">
      <c r="A1179" s="36">
        <v>41348</v>
      </c>
      <c r="B1179" s="122">
        <v>7.858796296296296E-3</v>
      </c>
      <c r="C1179" s="26" t="s">
        <v>1091</v>
      </c>
    </row>
    <row r="1180" spans="1:3" x14ac:dyDescent="0.25">
      <c r="A1180" s="36">
        <v>41348</v>
      </c>
      <c r="B1180" s="122">
        <v>7.858796296296296E-3</v>
      </c>
      <c r="C1180" s="26" t="s">
        <v>1092</v>
      </c>
    </row>
    <row r="1181" spans="1:3" x14ac:dyDescent="0.25">
      <c r="A1181" s="36">
        <v>41348</v>
      </c>
      <c r="B1181" s="122">
        <v>7.858796296296296E-3</v>
      </c>
      <c r="C1181" s="26" t="s">
        <v>1093</v>
      </c>
    </row>
    <row r="1182" spans="1:3" x14ac:dyDescent="0.25">
      <c r="A1182" s="36">
        <v>41348</v>
      </c>
      <c r="B1182" s="122">
        <v>7.858796296296296E-3</v>
      </c>
      <c r="C1182" s="26" t="s">
        <v>1094</v>
      </c>
    </row>
    <row r="1183" spans="1:3" x14ac:dyDescent="0.25">
      <c r="A1183" s="36">
        <v>41348</v>
      </c>
      <c r="B1183" s="122">
        <v>7.858796296296296E-3</v>
      </c>
      <c r="C1183" s="26" t="s">
        <v>1086</v>
      </c>
    </row>
    <row r="1184" spans="1:3" x14ac:dyDescent="0.25">
      <c r="A1184" s="36">
        <v>41348</v>
      </c>
      <c r="B1184" s="122">
        <v>7.8703703703703713E-3</v>
      </c>
      <c r="C1184" s="26" t="s">
        <v>1341</v>
      </c>
    </row>
    <row r="1185" spans="1:3" x14ac:dyDescent="0.25">
      <c r="A1185" s="36">
        <v>41348</v>
      </c>
      <c r="B1185" s="122">
        <v>7.8703703703703713E-3</v>
      </c>
      <c r="C1185" s="26" t="s">
        <v>1095</v>
      </c>
    </row>
    <row r="1186" spans="1:3" x14ac:dyDescent="0.25">
      <c r="A1186" s="36">
        <v>41348</v>
      </c>
      <c r="B1186" s="122">
        <v>7.8703703703703713E-3</v>
      </c>
      <c r="C1186" s="26" t="s">
        <v>1358</v>
      </c>
    </row>
    <row r="1187" spans="1:3" x14ac:dyDescent="0.25">
      <c r="A1187" s="36">
        <v>41348</v>
      </c>
      <c r="B1187" s="122">
        <v>8.1944444444444452E-3</v>
      </c>
      <c r="C1187" s="26" t="s">
        <v>1278</v>
      </c>
    </row>
    <row r="1188" spans="1:3" x14ac:dyDescent="0.25">
      <c r="A1188" s="36">
        <v>41348</v>
      </c>
      <c r="B1188" s="122">
        <v>8.1944444444444452E-3</v>
      </c>
      <c r="C1188" s="26" t="s">
        <v>1278</v>
      </c>
    </row>
    <row r="1189" spans="1:3" x14ac:dyDescent="0.25">
      <c r="A1189" s="36">
        <v>41348</v>
      </c>
      <c r="B1189" s="122">
        <v>8.1944444444444452E-3</v>
      </c>
      <c r="C1189" s="26" t="s">
        <v>1279</v>
      </c>
    </row>
    <row r="1190" spans="1:3" x14ac:dyDescent="0.25">
      <c r="A1190" s="36">
        <v>41348</v>
      </c>
      <c r="B1190" s="122">
        <v>8.1944444444444452E-3</v>
      </c>
      <c r="C1190" s="26" t="s">
        <v>1280</v>
      </c>
    </row>
    <row r="1191" spans="1:3" x14ac:dyDescent="0.25">
      <c r="A1191" s="36">
        <v>41348</v>
      </c>
      <c r="B1191" s="122">
        <v>8.1944444444444452E-3</v>
      </c>
      <c r="C1191" s="26" t="s">
        <v>1281</v>
      </c>
    </row>
    <row r="1192" spans="1:3" x14ac:dyDescent="0.25">
      <c r="A1192" s="36">
        <v>41348</v>
      </c>
      <c r="B1192" s="122">
        <v>8.1944444444444452E-3</v>
      </c>
      <c r="C1192" s="26" t="s">
        <v>1279</v>
      </c>
    </row>
    <row r="1193" spans="1:3" x14ac:dyDescent="0.25">
      <c r="A1193" s="36">
        <v>41348</v>
      </c>
      <c r="B1193" s="122">
        <v>8.1944444444444452E-3</v>
      </c>
      <c r="C1193" s="26" t="s">
        <v>1279</v>
      </c>
    </row>
    <row r="1194" spans="1:3" x14ac:dyDescent="0.25">
      <c r="A1194" s="36">
        <v>41348</v>
      </c>
      <c r="B1194" s="122">
        <v>8.1944444444444452E-3</v>
      </c>
      <c r="C1194" s="26" t="s">
        <v>1281</v>
      </c>
    </row>
    <row r="1195" spans="1:3" x14ac:dyDescent="0.25">
      <c r="A1195" s="36">
        <v>41348</v>
      </c>
      <c r="B1195" s="122">
        <v>8.2060185185185187E-3</v>
      </c>
      <c r="C1195" s="26" t="s">
        <v>1282</v>
      </c>
    </row>
    <row r="1196" spans="1:3" x14ac:dyDescent="0.25">
      <c r="A1196" s="36">
        <v>41348</v>
      </c>
      <c r="B1196" s="122">
        <v>8.2060185185185187E-3</v>
      </c>
      <c r="C1196" s="26" t="s">
        <v>1283</v>
      </c>
    </row>
    <row r="1197" spans="1:3" x14ac:dyDescent="0.25">
      <c r="A1197" s="36">
        <v>41348</v>
      </c>
      <c r="B1197" s="122">
        <v>8.2060185185185187E-3</v>
      </c>
      <c r="C1197" s="26" t="s">
        <v>1284</v>
      </c>
    </row>
    <row r="1198" spans="1:3" x14ac:dyDescent="0.25">
      <c r="A1198" s="36">
        <v>41348</v>
      </c>
      <c r="B1198" s="122">
        <v>8.2060185185185187E-3</v>
      </c>
      <c r="C1198" s="26" t="s">
        <v>1283</v>
      </c>
    </row>
    <row r="1199" spans="1:3" x14ac:dyDescent="0.25">
      <c r="A1199" s="36">
        <v>41348</v>
      </c>
      <c r="B1199" s="122">
        <v>8.2060185185185187E-3</v>
      </c>
      <c r="C1199" s="26" t="s">
        <v>1283</v>
      </c>
    </row>
    <row r="1200" spans="1:3" x14ac:dyDescent="0.25">
      <c r="A1200" s="36">
        <v>41348</v>
      </c>
      <c r="B1200" s="122">
        <v>8.2060185185185187E-3</v>
      </c>
      <c r="C1200" s="26" t="s">
        <v>1285</v>
      </c>
    </row>
    <row r="1201" spans="1:3" x14ac:dyDescent="0.25">
      <c r="A1201" s="36">
        <v>41348</v>
      </c>
      <c r="B1201" s="122">
        <v>8.2060185185185187E-3</v>
      </c>
      <c r="C1201" s="26" t="s">
        <v>1286</v>
      </c>
    </row>
    <row r="1202" spans="1:3" x14ac:dyDescent="0.25">
      <c r="A1202" s="36">
        <v>41348</v>
      </c>
      <c r="B1202" s="122">
        <v>8.2060185185185187E-3</v>
      </c>
      <c r="C1202" s="26" t="s">
        <v>1286</v>
      </c>
    </row>
    <row r="1203" spans="1:3" x14ac:dyDescent="0.25">
      <c r="A1203" s="36">
        <v>41348</v>
      </c>
      <c r="B1203" s="122">
        <v>8.2060185185185187E-3</v>
      </c>
      <c r="C1203" s="26" t="s">
        <v>1287</v>
      </c>
    </row>
    <row r="1204" spans="1:3" x14ac:dyDescent="0.25">
      <c r="A1204" s="36">
        <v>41348</v>
      </c>
      <c r="B1204" s="122">
        <v>8.2060185185185187E-3</v>
      </c>
      <c r="C1204" s="26" t="s">
        <v>1288</v>
      </c>
    </row>
    <row r="1205" spans="1:3" x14ac:dyDescent="0.25">
      <c r="A1205" s="36">
        <v>41348</v>
      </c>
      <c r="B1205" s="122">
        <v>8.2060185185185187E-3</v>
      </c>
      <c r="C1205" s="26" t="s">
        <v>1289</v>
      </c>
    </row>
    <row r="1206" spans="1:3" x14ac:dyDescent="0.25">
      <c r="A1206" s="36">
        <v>41348</v>
      </c>
      <c r="B1206" s="122">
        <v>8.2060185185185187E-3</v>
      </c>
      <c r="C1206" s="26" t="s">
        <v>1290</v>
      </c>
    </row>
    <row r="1207" spans="1:3" x14ac:dyDescent="0.25">
      <c r="A1207" s="36">
        <v>41348</v>
      </c>
      <c r="B1207" s="122">
        <v>8.2060185185185187E-3</v>
      </c>
      <c r="C1207" s="26" t="s">
        <v>1283</v>
      </c>
    </row>
    <row r="1208" spans="1:3" x14ac:dyDescent="0.25">
      <c r="A1208" s="36">
        <v>41348</v>
      </c>
      <c r="B1208" s="122">
        <v>8.217592592592594E-3</v>
      </c>
      <c r="C1208" s="26" t="s">
        <v>1286</v>
      </c>
    </row>
    <row r="1209" spans="1:3" x14ac:dyDescent="0.25">
      <c r="A1209" s="36">
        <v>41348</v>
      </c>
      <c r="B1209" s="122">
        <v>8.217592592592594E-3</v>
      </c>
      <c r="C1209" s="26" t="s">
        <v>1289</v>
      </c>
    </row>
    <row r="1210" spans="1:3" x14ac:dyDescent="0.25">
      <c r="A1210" s="36">
        <v>41348</v>
      </c>
      <c r="B1210" s="122">
        <v>8.217592592592594E-3</v>
      </c>
      <c r="C1210" s="26" t="s">
        <v>1286</v>
      </c>
    </row>
    <row r="1211" spans="1:3" x14ac:dyDescent="0.25">
      <c r="A1211" s="36">
        <v>41348</v>
      </c>
      <c r="B1211" s="122">
        <v>8.217592592592594E-3</v>
      </c>
      <c r="C1211" s="26" t="s">
        <v>1289</v>
      </c>
    </row>
    <row r="1212" spans="1:3" x14ac:dyDescent="0.25">
      <c r="A1212" s="36">
        <v>41348</v>
      </c>
      <c r="B1212" s="122">
        <v>8.217592592592594E-3</v>
      </c>
      <c r="C1212" s="26" t="s">
        <v>1289</v>
      </c>
    </row>
    <row r="1213" spans="1:3" x14ac:dyDescent="0.25">
      <c r="A1213" s="36">
        <v>41348</v>
      </c>
      <c r="B1213" s="122">
        <v>8.217592592592594E-3</v>
      </c>
      <c r="C1213" s="26" t="s">
        <v>1288</v>
      </c>
    </row>
    <row r="1214" spans="1:3" x14ac:dyDescent="0.25">
      <c r="A1214" s="36">
        <v>41348</v>
      </c>
      <c r="B1214" s="122">
        <v>8.217592592592594E-3</v>
      </c>
      <c r="C1214" s="26" t="s">
        <v>1359</v>
      </c>
    </row>
    <row r="1215" spans="1:3" x14ac:dyDescent="0.25">
      <c r="A1215" s="36">
        <v>41348</v>
      </c>
      <c r="B1215" s="122">
        <v>8.217592592592594E-3</v>
      </c>
      <c r="C1215" s="26" t="s">
        <v>1279</v>
      </c>
    </row>
    <row r="1216" spans="1:3" x14ac:dyDescent="0.25">
      <c r="A1216" s="36">
        <v>41348</v>
      </c>
      <c r="B1216" s="122">
        <v>8.217592592592594E-3</v>
      </c>
      <c r="C1216" s="26" t="s">
        <v>1286</v>
      </c>
    </row>
    <row r="1217" spans="1:3" x14ac:dyDescent="0.25">
      <c r="A1217" s="36">
        <v>41348</v>
      </c>
      <c r="B1217" s="122">
        <v>8.217592592592594E-3</v>
      </c>
      <c r="C1217" s="26" t="s">
        <v>1290</v>
      </c>
    </row>
    <row r="1218" spans="1:3" x14ac:dyDescent="0.25">
      <c r="A1218" s="36">
        <v>41348</v>
      </c>
      <c r="B1218" s="122">
        <v>8.217592592592594E-3</v>
      </c>
      <c r="C1218" s="26" t="s">
        <v>1290</v>
      </c>
    </row>
    <row r="1219" spans="1:3" x14ac:dyDescent="0.25">
      <c r="A1219" s="36">
        <v>41348</v>
      </c>
      <c r="B1219" s="122">
        <v>8.217592592592594E-3</v>
      </c>
      <c r="C1219" s="26" t="s">
        <v>1286</v>
      </c>
    </row>
    <row r="1220" spans="1:3" x14ac:dyDescent="0.25">
      <c r="A1220" s="36">
        <v>41348</v>
      </c>
      <c r="B1220" s="122">
        <v>8.217592592592594E-3</v>
      </c>
      <c r="C1220" s="26" t="s">
        <v>1291</v>
      </c>
    </row>
    <row r="1221" spans="1:3" x14ac:dyDescent="0.25">
      <c r="A1221" s="36">
        <v>41348</v>
      </c>
      <c r="B1221" s="122">
        <v>8.217592592592594E-3</v>
      </c>
      <c r="C1221" s="26" t="s">
        <v>1292</v>
      </c>
    </row>
    <row r="1222" spans="1:3" x14ac:dyDescent="0.25">
      <c r="A1222" s="36">
        <v>41348</v>
      </c>
      <c r="B1222" s="122">
        <v>8.217592592592594E-3</v>
      </c>
      <c r="C1222" s="26" t="s">
        <v>1289</v>
      </c>
    </row>
    <row r="1223" spans="1:3" x14ac:dyDescent="0.25">
      <c r="A1223" s="36">
        <v>41348</v>
      </c>
      <c r="B1223" s="122">
        <v>8.217592592592594E-3</v>
      </c>
      <c r="C1223" s="26" t="s">
        <v>1293</v>
      </c>
    </row>
    <row r="1224" spans="1:3" x14ac:dyDescent="0.25">
      <c r="A1224" s="36">
        <v>41348</v>
      </c>
      <c r="B1224" s="122">
        <v>8.217592592592594E-3</v>
      </c>
      <c r="C1224" s="26" t="s">
        <v>1293</v>
      </c>
    </row>
    <row r="1225" spans="1:3" x14ac:dyDescent="0.25">
      <c r="A1225" s="36">
        <v>41348</v>
      </c>
      <c r="B1225" s="122">
        <v>8.217592592592594E-3</v>
      </c>
      <c r="C1225" s="26" t="s">
        <v>1294</v>
      </c>
    </row>
    <row r="1226" spans="1:3" x14ac:dyDescent="0.25">
      <c r="A1226" s="36">
        <v>41348</v>
      </c>
      <c r="B1226" s="122">
        <v>8.217592592592594E-3</v>
      </c>
      <c r="C1226" s="26" t="s">
        <v>1281</v>
      </c>
    </row>
    <row r="1227" spans="1:3" ht="30" x14ac:dyDescent="0.25">
      <c r="A1227" s="36">
        <v>41348</v>
      </c>
      <c r="B1227" s="122">
        <v>8.217592592592594E-3</v>
      </c>
      <c r="C1227" s="789" t="s">
        <v>1360</v>
      </c>
    </row>
    <row r="1228" spans="1:3" x14ac:dyDescent="0.25">
      <c r="A1228" s="36">
        <v>41348</v>
      </c>
      <c r="B1228" s="122">
        <v>8.217592592592594E-3</v>
      </c>
      <c r="C1228" s="26" t="s">
        <v>1361</v>
      </c>
    </row>
    <row r="1229" spans="1:3" x14ac:dyDescent="0.25">
      <c r="A1229" s="36">
        <v>41348</v>
      </c>
      <c r="B1229" s="122">
        <v>8.3449074074074085E-3</v>
      </c>
      <c r="C1229" s="26" t="s">
        <v>1278</v>
      </c>
    </row>
    <row r="1230" spans="1:3" x14ac:dyDescent="0.25">
      <c r="A1230" s="36">
        <v>41348</v>
      </c>
      <c r="B1230" s="122">
        <v>8.3449074074074085E-3</v>
      </c>
      <c r="C1230" s="26" t="s">
        <v>1278</v>
      </c>
    </row>
    <row r="1231" spans="1:3" x14ac:dyDescent="0.25">
      <c r="A1231" s="36">
        <v>41348</v>
      </c>
      <c r="B1231" s="122">
        <v>8.3449074074074085E-3</v>
      </c>
      <c r="C1231" s="26" t="s">
        <v>1279</v>
      </c>
    </row>
    <row r="1232" spans="1:3" x14ac:dyDescent="0.25">
      <c r="A1232" s="36">
        <v>41348</v>
      </c>
      <c r="B1232" s="122">
        <v>8.3449074074074085E-3</v>
      </c>
      <c r="C1232" s="26" t="s">
        <v>1280</v>
      </c>
    </row>
    <row r="1233" spans="1:3" x14ac:dyDescent="0.25">
      <c r="A1233" s="36">
        <v>41348</v>
      </c>
      <c r="B1233" s="122">
        <v>8.3564814814814804E-3</v>
      </c>
      <c r="C1233" s="26" t="s">
        <v>1281</v>
      </c>
    </row>
    <row r="1234" spans="1:3" x14ac:dyDescent="0.25">
      <c r="A1234" s="36">
        <v>41348</v>
      </c>
      <c r="B1234" s="122">
        <v>8.3564814814814804E-3</v>
      </c>
      <c r="C1234" s="26" t="s">
        <v>1279</v>
      </c>
    </row>
    <row r="1235" spans="1:3" x14ac:dyDescent="0.25">
      <c r="A1235" s="36">
        <v>41348</v>
      </c>
      <c r="B1235" s="122">
        <v>8.3564814814814804E-3</v>
      </c>
      <c r="C1235" s="26" t="s">
        <v>1279</v>
      </c>
    </row>
    <row r="1236" spans="1:3" x14ac:dyDescent="0.25">
      <c r="A1236" s="36">
        <v>41348</v>
      </c>
      <c r="B1236" s="122">
        <v>8.3564814814814804E-3</v>
      </c>
      <c r="C1236" s="26" t="s">
        <v>1281</v>
      </c>
    </row>
    <row r="1237" spans="1:3" x14ac:dyDescent="0.25">
      <c r="A1237" s="36">
        <v>41348</v>
      </c>
      <c r="B1237" s="122">
        <v>8.3564814814814804E-3</v>
      </c>
      <c r="C1237" s="26" t="s">
        <v>1282</v>
      </c>
    </row>
    <row r="1238" spans="1:3" x14ac:dyDescent="0.25">
      <c r="A1238" s="36">
        <v>41348</v>
      </c>
      <c r="B1238" s="122">
        <v>8.3564814814814804E-3</v>
      </c>
      <c r="C1238" s="26" t="s">
        <v>1283</v>
      </c>
    </row>
    <row r="1239" spans="1:3" x14ac:dyDescent="0.25">
      <c r="A1239" s="36">
        <v>41348</v>
      </c>
      <c r="B1239" s="122">
        <v>8.3680555555555557E-3</v>
      </c>
      <c r="C1239" s="26" t="s">
        <v>1284</v>
      </c>
    </row>
    <row r="1240" spans="1:3" x14ac:dyDescent="0.25">
      <c r="A1240" s="36">
        <v>41348</v>
      </c>
      <c r="B1240" s="122">
        <v>8.3680555555555557E-3</v>
      </c>
      <c r="C1240" s="26" t="s">
        <v>1283</v>
      </c>
    </row>
    <row r="1241" spans="1:3" x14ac:dyDescent="0.25">
      <c r="A1241" s="36">
        <v>41348</v>
      </c>
      <c r="B1241" s="122">
        <v>8.3680555555555557E-3</v>
      </c>
      <c r="C1241" s="26" t="s">
        <v>1283</v>
      </c>
    </row>
    <row r="1242" spans="1:3" x14ac:dyDescent="0.25">
      <c r="A1242" s="36">
        <v>41348</v>
      </c>
      <c r="B1242" s="122">
        <v>8.3680555555555557E-3</v>
      </c>
      <c r="C1242" s="26" t="s">
        <v>1285</v>
      </c>
    </row>
    <row r="1243" spans="1:3" x14ac:dyDescent="0.25">
      <c r="A1243" s="36">
        <v>41348</v>
      </c>
      <c r="B1243" s="122">
        <v>8.3680555555555557E-3</v>
      </c>
      <c r="C1243" s="26" t="s">
        <v>1286</v>
      </c>
    </row>
    <row r="1244" spans="1:3" x14ac:dyDescent="0.25">
      <c r="A1244" s="36">
        <v>41348</v>
      </c>
      <c r="B1244" s="122">
        <v>8.3680555555555557E-3</v>
      </c>
      <c r="C1244" s="26" t="s">
        <v>1286</v>
      </c>
    </row>
    <row r="1245" spans="1:3" x14ac:dyDescent="0.25">
      <c r="A1245" s="36">
        <v>41348</v>
      </c>
      <c r="B1245" s="122">
        <v>8.3680555555555557E-3</v>
      </c>
      <c r="C1245" s="26" t="s">
        <v>1287</v>
      </c>
    </row>
    <row r="1246" spans="1:3" x14ac:dyDescent="0.25">
      <c r="A1246" s="36">
        <v>41348</v>
      </c>
      <c r="B1246" s="122">
        <v>8.3680555555555557E-3</v>
      </c>
      <c r="C1246" s="26" t="s">
        <v>1288</v>
      </c>
    </row>
    <row r="1247" spans="1:3" x14ac:dyDescent="0.25">
      <c r="A1247" s="36">
        <v>41348</v>
      </c>
      <c r="B1247" s="122">
        <v>8.3680555555555557E-3</v>
      </c>
      <c r="C1247" s="26" t="s">
        <v>1289</v>
      </c>
    </row>
    <row r="1248" spans="1:3" x14ac:dyDescent="0.25">
      <c r="A1248" s="36">
        <v>41348</v>
      </c>
      <c r="B1248" s="122">
        <v>8.3680555555555557E-3</v>
      </c>
      <c r="C1248" s="26" t="s">
        <v>1290</v>
      </c>
    </row>
    <row r="1249" spans="1:3" x14ac:dyDescent="0.25">
      <c r="A1249" s="36">
        <v>41348</v>
      </c>
      <c r="B1249" s="122">
        <v>8.3680555555555557E-3</v>
      </c>
      <c r="C1249" s="26" t="s">
        <v>1283</v>
      </c>
    </row>
    <row r="1250" spans="1:3" x14ac:dyDescent="0.25">
      <c r="A1250" s="36">
        <v>41348</v>
      </c>
      <c r="B1250" s="122">
        <v>8.3680555555555557E-3</v>
      </c>
      <c r="C1250" s="26" t="s">
        <v>1286</v>
      </c>
    </row>
    <row r="1251" spans="1:3" x14ac:dyDescent="0.25">
      <c r="A1251" s="36">
        <v>41348</v>
      </c>
      <c r="B1251" s="122">
        <v>8.3680555555555557E-3</v>
      </c>
      <c r="C1251" s="26" t="s">
        <v>1289</v>
      </c>
    </row>
    <row r="1252" spans="1:3" x14ac:dyDescent="0.25">
      <c r="A1252" s="36">
        <v>41348</v>
      </c>
      <c r="B1252" s="122">
        <v>8.3680555555555557E-3</v>
      </c>
      <c r="C1252" s="26" t="s">
        <v>1286</v>
      </c>
    </row>
    <row r="1253" spans="1:3" x14ac:dyDescent="0.25">
      <c r="A1253" s="36">
        <v>41348</v>
      </c>
      <c r="B1253" s="122">
        <v>8.3680555555555557E-3</v>
      </c>
      <c r="C1253" s="26" t="s">
        <v>1289</v>
      </c>
    </row>
    <row r="1254" spans="1:3" x14ac:dyDescent="0.25">
      <c r="A1254" s="36">
        <v>41348</v>
      </c>
      <c r="B1254" s="122">
        <v>8.3680555555555557E-3</v>
      </c>
      <c r="C1254" s="26" t="s">
        <v>1289</v>
      </c>
    </row>
    <row r="1255" spans="1:3" x14ac:dyDescent="0.25">
      <c r="A1255" s="36">
        <v>41348</v>
      </c>
      <c r="B1255" s="122">
        <v>8.3680555555555557E-3</v>
      </c>
      <c r="C1255" s="26" t="s">
        <v>1288</v>
      </c>
    </row>
    <row r="1256" spans="1:3" x14ac:dyDescent="0.25">
      <c r="A1256" s="36">
        <v>41348</v>
      </c>
      <c r="B1256" s="122">
        <v>8.3680555555555557E-3</v>
      </c>
      <c r="C1256" s="26" t="s">
        <v>1359</v>
      </c>
    </row>
    <row r="1257" spans="1:3" x14ac:dyDescent="0.25">
      <c r="A1257" s="36">
        <v>41348</v>
      </c>
      <c r="B1257" s="122">
        <v>8.3680555555555557E-3</v>
      </c>
      <c r="C1257" s="26" t="s">
        <v>1279</v>
      </c>
    </row>
    <row r="1258" spans="1:3" x14ac:dyDescent="0.25">
      <c r="A1258" s="36">
        <v>41348</v>
      </c>
      <c r="B1258" s="122">
        <v>8.3680555555555557E-3</v>
      </c>
      <c r="C1258" s="26" t="s">
        <v>1286</v>
      </c>
    </row>
    <row r="1259" spans="1:3" x14ac:dyDescent="0.25">
      <c r="A1259" s="36">
        <v>41348</v>
      </c>
      <c r="B1259" s="122">
        <v>8.3680555555555557E-3</v>
      </c>
      <c r="C1259" s="26" t="s">
        <v>1290</v>
      </c>
    </row>
    <row r="1260" spans="1:3" x14ac:dyDescent="0.25">
      <c r="A1260" s="36">
        <v>41348</v>
      </c>
      <c r="B1260" s="122">
        <v>8.3680555555555557E-3</v>
      </c>
      <c r="C1260" s="26" t="s">
        <v>1290</v>
      </c>
    </row>
    <row r="1261" spans="1:3" x14ac:dyDescent="0.25">
      <c r="A1261" s="36">
        <v>41348</v>
      </c>
      <c r="B1261" s="122">
        <v>8.3796296296296292E-3</v>
      </c>
      <c r="C1261" s="26" t="s">
        <v>1286</v>
      </c>
    </row>
    <row r="1262" spans="1:3" x14ac:dyDescent="0.25">
      <c r="A1262" s="36">
        <v>41348</v>
      </c>
      <c r="B1262" s="122">
        <v>8.3796296296296292E-3</v>
      </c>
      <c r="C1262" s="26" t="s">
        <v>1291</v>
      </c>
    </row>
    <row r="1263" spans="1:3" x14ac:dyDescent="0.25">
      <c r="A1263" s="36">
        <v>41348</v>
      </c>
      <c r="B1263" s="122">
        <v>8.3796296296296292E-3</v>
      </c>
      <c r="C1263" s="26" t="s">
        <v>1292</v>
      </c>
    </row>
    <row r="1264" spans="1:3" x14ac:dyDescent="0.25">
      <c r="A1264" s="36">
        <v>41348</v>
      </c>
      <c r="B1264" s="122">
        <v>8.3796296296296292E-3</v>
      </c>
      <c r="C1264" s="26" t="s">
        <v>1289</v>
      </c>
    </row>
    <row r="1265" spans="1:3" x14ac:dyDescent="0.25">
      <c r="A1265" s="36">
        <v>41348</v>
      </c>
      <c r="B1265" s="122">
        <v>8.3796296296296292E-3</v>
      </c>
      <c r="C1265" s="26" t="s">
        <v>1293</v>
      </c>
    </row>
    <row r="1266" spans="1:3" x14ac:dyDescent="0.25">
      <c r="A1266" s="36">
        <v>41348</v>
      </c>
      <c r="B1266" s="122">
        <v>8.3796296296296292E-3</v>
      </c>
      <c r="C1266" s="26" t="s">
        <v>1293</v>
      </c>
    </row>
    <row r="1267" spans="1:3" x14ac:dyDescent="0.25">
      <c r="A1267" s="36">
        <v>41348</v>
      </c>
      <c r="B1267" s="122">
        <v>8.3796296296296292E-3</v>
      </c>
      <c r="C1267" s="26" t="s">
        <v>1294</v>
      </c>
    </row>
    <row r="1268" spans="1:3" x14ac:dyDescent="0.25">
      <c r="A1268" s="36">
        <v>41348</v>
      </c>
      <c r="B1268" s="122">
        <v>8.3796296296296292E-3</v>
      </c>
      <c r="C1268" s="26" t="s">
        <v>1281</v>
      </c>
    </row>
    <row r="1269" spans="1:3" ht="30" x14ac:dyDescent="0.25">
      <c r="A1269" s="36">
        <v>41348</v>
      </c>
      <c r="B1269" s="122">
        <v>8.3796296296296292E-3</v>
      </c>
      <c r="C1269" s="789" t="s">
        <v>1362</v>
      </c>
    </row>
    <row r="1270" spans="1:3" x14ac:dyDescent="0.25">
      <c r="A1270" s="36">
        <v>41348</v>
      </c>
      <c r="B1270" s="122">
        <v>8.3796296296296292E-3</v>
      </c>
      <c r="C1270" s="26" t="s">
        <v>1305</v>
      </c>
    </row>
    <row r="1271" spans="1:3" x14ac:dyDescent="0.25">
      <c r="A1271" s="36">
        <v>41348</v>
      </c>
      <c r="B1271" s="122">
        <v>1.6875000000000001E-2</v>
      </c>
      <c r="C1271" s="26" t="s">
        <v>1363</v>
      </c>
    </row>
    <row r="1272" spans="1:3" x14ac:dyDescent="0.25">
      <c r="A1272" s="36">
        <v>41348</v>
      </c>
      <c r="B1272" s="122">
        <v>1.7048611111111112E-2</v>
      </c>
      <c r="C1272" s="26" t="s">
        <v>1106</v>
      </c>
    </row>
    <row r="1273" spans="1:3" x14ac:dyDescent="0.25">
      <c r="A1273" s="36">
        <v>41348</v>
      </c>
      <c r="B1273" s="122">
        <v>1.7048611111111112E-2</v>
      </c>
      <c r="C1273" s="26" t="s">
        <v>1098</v>
      </c>
    </row>
    <row r="1274" spans="1:3" x14ac:dyDescent="0.25">
      <c r="A1274" s="36">
        <v>41348</v>
      </c>
      <c r="B1274" s="122">
        <v>1.7048611111111112E-2</v>
      </c>
      <c r="C1274" s="26" t="s">
        <v>1100</v>
      </c>
    </row>
    <row r="1275" spans="1:3" x14ac:dyDescent="0.25">
      <c r="A1275" s="36">
        <v>41348</v>
      </c>
      <c r="B1275" s="122">
        <v>1.7048611111111112E-2</v>
      </c>
      <c r="C1275" s="26" t="s">
        <v>1101</v>
      </c>
    </row>
    <row r="1276" spans="1:3" x14ac:dyDescent="0.25">
      <c r="A1276" s="36">
        <v>41348</v>
      </c>
      <c r="B1276" s="122">
        <v>1.7048611111111112E-2</v>
      </c>
      <c r="C1276" s="26" t="s">
        <v>1102</v>
      </c>
    </row>
    <row r="1277" spans="1:3" x14ac:dyDescent="0.25">
      <c r="A1277" s="36">
        <v>41348</v>
      </c>
      <c r="B1277" s="122">
        <v>1.7048611111111112E-2</v>
      </c>
      <c r="C1277" s="26" t="s">
        <v>1103</v>
      </c>
    </row>
    <row r="1278" spans="1:3" x14ac:dyDescent="0.25">
      <c r="A1278" s="36">
        <v>41348</v>
      </c>
      <c r="B1278" s="122">
        <v>1.7048611111111112E-2</v>
      </c>
      <c r="C1278" s="26" t="s">
        <v>1104</v>
      </c>
    </row>
    <row r="1279" spans="1:3" x14ac:dyDescent="0.25">
      <c r="A1279" s="36">
        <v>41348</v>
      </c>
      <c r="B1279" s="122">
        <v>1.7048611111111112E-2</v>
      </c>
      <c r="C1279" s="26" t="s">
        <v>1105</v>
      </c>
    </row>
    <row r="1280" spans="1:3" x14ac:dyDescent="0.25">
      <c r="A1280" s="36">
        <v>41348</v>
      </c>
      <c r="B1280" s="122">
        <v>1.7048611111111112E-2</v>
      </c>
      <c r="C1280" s="26" t="s">
        <v>1106</v>
      </c>
    </row>
    <row r="1281" spans="1:3" x14ac:dyDescent="0.25">
      <c r="A1281" s="36">
        <v>41348</v>
      </c>
      <c r="B1281" s="122">
        <v>1.7048611111111112E-2</v>
      </c>
      <c r="C1281" s="26" t="s">
        <v>1107</v>
      </c>
    </row>
    <row r="1282" spans="1:3" x14ac:dyDescent="0.25">
      <c r="A1282" s="36">
        <v>41348</v>
      </c>
      <c r="B1282" s="122">
        <v>1.7048611111111112E-2</v>
      </c>
      <c r="C1282" s="26" t="s">
        <v>1108</v>
      </c>
    </row>
    <row r="1283" spans="1:3" x14ac:dyDescent="0.25">
      <c r="A1283" s="36">
        <v>41348</v>
      </c>
      <c r="B1283" s="122">
        <v>1.7048611111111112E-2</v>
      </c>
      <c r="C1283" s="26" t="s">
        <v>1109</v>
      </c>
    </row>
    <row r="1284" spans="1:3" x14ac:dyDescent="0.25">
      <c r="A1284" s="36">
        <v>41348</v>
      </c>
      <c r="B1284" s="122">
        <v>1.7048611111111112E-2</v>
      </c>
      <c r="C1284" s="26" t="s">
        <v>1110</v>
      </c>
    </row>
    <row r="1285" spans="1:3" x14ac:dyDescent="0.25">
      <c r="A1285" s="36">
        <v>41348</v>
      </c>
      <c r="B1285" s="122">
        <v>1.7048611111111112E-2</v>
      </c>
      <c r="C1285" s="26" t="s">
        <v>1111</v>
      </c>
    </row>
    <row r="1286" spans="1:3" x14ac:dyDescent="0.25">
      <c r="A1286" s="36">
        <v>41348</v>
      </c>
      <c r="B1286" s="122">
        <v>1.7048611111111112E-2</v>
      </c>
      <c r="C1286" s="26" t="s">
        <v>1112</v>
      </c>
    </row>
    <row r="1287" spans="1:3" x14ac:dyDescent="0.25">
      <c r="A1287" s="36">
        <v>41348</v>
      </c>
      <c r="B1287" s="122">
        <v>1.7048611111111112E-2</v>
      </c>
      <c r="C1287" s="26" t="s">
        <v>1113</v>
      </c>
    </row>
    <row r="1288" spans="1:3" x14ac:dyDescent="0.25">
      <c r="A1288" s="36">
        <v>41348</v>
      </c>
      <c r="B1288" s="122">
        <v>1.7048611111111112E-2</v>
      </c>
      <c r="C1288" s="26" t="s">
        <v>1304</v>
      </c>
    </row>
    <row r="1289" spans="1:3" x14ac:dyDescent="0.25">
      <c r="A1289" s="36">
        <v>41348</v>
      </c>
      <c r="B1289" s="122">
        <v>1.7048611111111112E-2</v>
      </c>
      <c r="C1289" s="26" t="s">
        <v>1114</v>
      </c>
    </row>
    <row r="1290" spans="1:3" x14ac:dyDescent="0.25">
      <c r="A1290" s="36">
        <v>41348</v>
      </c>
      <c r="B1290" s="122">
        <v>1.7048611111111112E-2</v>
      </c>
      <c r="C1290" s="26" t="s">
        <v>1115</v>
      </c>
    </row>
    <row r="1291" spans="1:3" x14ac:dyDescent="0.25">
      <c r="A1291" s="36">
        <v>41348</v>
      </c>
      <c r="B1291" s="122">
        <v>1.7048611111111112E-2</v>
      </c>
      <c r="C1291" s="26" t="s">
        <v>1116</v>
      </c>
    </row>
    <row r="1292" spans="1:3" x14ac:dyDescent="0.25">
      <c r="A1292" s="36">
        <v>41348</v>
      </c>
      <c r="B1292" s="122">
        <v>1.7048611111111112E-2</v>
      </c>
      <c r="C1292" s="26" t="s">
        <v>1117</v>
      </c>
    </row>
    <row r="1293" spans="1:3" x14ac:dyDescent="0.25">
      <c r="A1293" s="36">
        <v>41348</v>
      </c>
      <c r="B1293" s="122">
        <v>1.7048611111111112E-2</v>
      </c>
      <c r="C1293" s="26" t="s">
        <v>1118</v>
      </c>
    </row>
    <row r="1294" spans="1:3" x14ac:dyDescent="0.25">
      <c r="A1294" s="36">
        <v>41348</v>
      </c>
      <c r="B1294" s="122">
        <v>1.7048611111111112E-2</v>
      </c>
      <c r="C1294" s="26" t="s">
        <v>1119</v>
      </c>
    </row>
    <row r="1295" spans="1:3" x14ac:dyDescent="0.25">
      <c r="A1295" s="36">
        <v>41348</v>
      </c>
      <c r="B1295" s="122">
        <v>1.7048611111111112E-2</v>
      </c>
      <c r="C1295" s="26" t="s">
        <v>1120</v>
      </c>
    </row>
    <row r="1296" spans="1:3" x14ac:dyDescent="0.25">
      <c r="A1296" s="36">
        <v>41348</v>
      </c>
      <c r="B1296" s="122">
        <v>1.7048611111111112E-2</v>
      </c>
      <c r="C1296" s="26" t="s">
        <v>1121</v>
      </c>
    </row>
    <row r="1297" spans="1:3" x14ac:dyDescent="0.25">
      <c r="A1297" s="36">
        <v>41348</v>
      </c>
      <c r="B1297" s="122">
        <v>1.7048611111111112E-2</v>
      </c>
      <c r="C1297" s="26" t="s">
        <v>1121</v>
      </c>
    </row>
    <row r="1298" spans="1:3" x14ac:dyDescent="0.25">
      <c r="A1298" s="36">
        <v>41348</v>
      </c>
      <c r="B1298" s="122">
        <v>1.7048611111111112E-2</v>
      </c>
      <c r="C1298" s="26" t="s">
        <v>1105</v>
      </c>
    </row>
    <row r="1299" spans="1:3" x14ac:dyDescent="0.25">
      <c r="A1299" s="36">
        <v>41348</v>
      </c>
      <c r="B1299" s="122">
        <v>1.7048611111111112E-2</v>
      </c>
      <c r="C1299" s="26" t="s">
        <v>1122</v>
      </c>
    </row>
    <row r="1300" spans="1:3" x14ac:dyDescent="0.25">
      <c r="A1300" s="36">
        <v>41348</v>
      </c>
      <c r="B1300" s="122">
        <v>1.7048611111111112E-2</v>
      </c>
      <c r="C1300" s="26" t="s">
        <v>1123</v>
      </c>
    </row>
    <row r="1301" spans="1:3" x14ac:dyDescent="0.25">
      <c r="A1301" s="36">
        <v>41348</v>
      </c>
      <c r="B1301" s="122">
        <v>1.7048611111111112E-2</v>
      </c>
      <c r="C1301" s="26" t="s">
        <v>1124</v>
      </c>
    </row>
    <row r="1302" spans="1:3" x14ac:dyDescent="0.25">
      <c r="A1302" s="36">
        <v>41348</v>
      </c>
      <c r="B1302" s="122">
        <v>1.7048611111111112E-2</v>
      </c>
      <c r="C1302" s="26" t="s">
        <v>1125</v>
      </c>
    </row>
    <row r="1303" spans="1:3" x14ac:dyDescent="0.25">
      <c r="A1303" s="36">
        <v>41348</v>
      </c>
      <c r="B1303" s="122">
        <v>1.7048611111111112E-2</v>
      </c>
      <c r="C1303" s="26" t="s">
        <v>1126</v>
      </c>
    </row>
    <row r="1304" spans="1:3" x14ac:dyDescent="0.25">
      <c r="A1304" s="36">
        <v>41348</v>
      </c>
      <c r="B1304" s="122">
        <v>1.7048611111111112E-2</v>
      </c>
      <c r="C1304" s="26" t="s">
        <v>1127</v>
      </c>
    </row>
    <row r="1305" spans="1:3" x14ac:dyDescent="0.25">
      <c r="A1305" s="36">
        <v>41348</v>
      </c>
      <c r="B1305" s="122">
        <v>1.7048611111111112E-2</v>
      </c>
      <c r="C1305" s="26" t="s">
        <v>1128</v>
      </c>
    </row>
    <row r="1306" spans="1:3" x14ac:dyDescent="0.25">
      <c r="A1306" s="36">
        <v>41348</v>
      </c>
      <c r="B1306" s="122">
        <v>1.7048611111111112E-2</v>
      </c>
      <c r="C1306" s="26" t="s">
        <v>1129</v>
      </c>
    </row>
    <row r="1307" spans="1:3" x14ac:dyDescent="0.25">
      <c r="A1307" s="36">
        <v>41348</v>
      </c>
      <c r="B1307" s="122">
        <v>1.7048611111111112E-2</v>
      </c>
      <c r="C1307" s="26" t="s">
        <v>1130</v>
      </c>
    </row>
    <row r="1308" spans="1:3" x14ac:dyDescent="0.25">
      <c r="A1308" s="36">
        <v>41348</v>
      </c>
      <c r="B1308" s="122">
        <v>1.7048611111111112E-2</v>
      </c>
      <c r="C1308" s="26" t="s">
        <v>1131</v>
      </c>
    </row>
    <row r="1309" spans="1:3" x14ac:dyDescent="0.25">
      <c r="A1309" s="36">
        <v>41348</v>
      </c>
      <c r="B1309" s="122">
        <v>1.7048611111111112E-2</v>
      </c>
      <c r="C1309" s="26" t="s">
        <v>1132</v>
      </c>
    </row>
    <row r="1310" spans="1:3" x14ac:dyDescent="0.25">
      <c r="A1310" s="36">
        <v>41348</v>
      </c>
      <c r="B1310" s="122">
        <v>1.7048611111111112E-2</v>
      </c>
      <c r="C1310" s="26" t="s">
        <v>1133</v>
      </c>
    </row>
    <row r="1311" spans="1:3" x14ac:dyDescent="0.25">
      <c r="A1311" s="36">
        <v>41348</v>
      </c>
      <c r="B1311" s="122">
        <v>1.7048611111111112E-2</v>
      </c>
      <c r="C1311" s="26" t="s">
        <v>1133</v>
      </c>
    </row>
    <row r="1312" spans="1:3" x14ac:dyDescent="0.25">
      <c r="A1312" s="36">
        <v>41348</v>
      </c>
      <c r="B1312" s="122">
        <v>1.7048611111111112E-2</v>
      </c>
      <c r="C1312" s="26" t="s">
        <v>1134</v>
      </c>
    </row>
    <row r="1313" spans="1:3" x14ac:dyDescent="0.25">
      <c r="A1313" s="36">
        <v>41348</v>
      </c>
      <c r="B1313" s="122">
        <v>1.7048611111111112E-2</v>
      </c>
      <c r="C1313" s="26" t="s">
        <v>1135</v>
      </c>
    </row>
    <row r="1314" spans="1:3" x14ac:dyDescent="0.25">
      <c r="A1314" s="36">
        <v>41348</v>
      </c>
      <c r="B1314" s="122">
        <v>1.7048611111111112E-2</v>
      </c>
      <c r="C1314" s="26" t="s">
        <v>1136</v>
      </c>
    </row>
    <row r="1315" spans="1:3" x14ac:dyDescent="0.25">
      <c r="A1315" s="36">
        <v>41348</v>
      </c>
      <c r="B1315" s="122">
        <v>1.7048611111111112E-2</v>
      </c>
      <c r="C1315" s="26" t="s">
        <v>1118</v>
      </c>
    </row>
    <row r="1316" spans="1:3" x14ac:dyDescent="0.25">
      <c r="A1316" s="36">
        <v>41348</v>
      </c>
      <c r="B1316" s="122">
        <v>1.7048611111111112E-2</v>
      </c>
      <c r="C1316" s="26" t="s">
        <v>1118</v>
      </c>
    </row>
    <row r="1317" spans="1:3" x14ac:dyDescent="0.25">
      <c r="A1317" s="36">
        <v>41348</v>
      </c>
      <c r="B1317" s="122">
        <v>1.7048611111111112E-2</v>
      </c>
      <c r="C1317" s="26" t="s">
        <v>1137</v>
      </c>
    </row>
    <row r="1318" spans="1:3" x14ac:dyDescent="0.25">
      <c r="A1318" s="36">
        <v>41348</v>
      </c>
      <c r="B1318" s="122">
        <v>1.7048611111111112E-2</v>
      </c>
      <c r="C1318" s="26" t="s">
        <v>1100</v>
      </c>
    </row>
    <row r="1319" spans="1:3" x14ac:dyDescent="0.25">
      <c r="A1319" s="36">
        <v>41348</v>
      </c>
      <c r="B1319" s="122">
        <v>1.7048611111111112E-2</v>
      </c>
      <c r="C1319" s="26" t="s">
        <v>1138</v>
      </c>
    </row>
    <row r="1320" spans="1:3" x14ac:dyDescent="0.25">
      <c r="A1320" s="36">
        <v>41348</v>
      </c>
      <c r="B1320" s="122">
        <v>1.7048611111111112E-2</v>
      </c>
      <c r="C1320" s="26" t="s">
        <v>1139</v>
      </c>
    </row>
    <row r="1321" spans="1:3" x14ac:dyDescent="0.25">
      <c r="A1321" s="36">
        <v>41348</v>
      </c>
      <c r="B1321" s="122">
        <v>1.7048611111111112E-2</v>
      </c>
      <c r="C1321" s="26" t="s">
        <v>1140</v>
      </c>
    </row>
    <row r="1322" spans="1:3" x14ac:dyDescent="0.25">
      <c r="A1322" s="36">
        <v>41348</v>
      </c>
      <c r="B1322" s="122">
        <v>1.7048611111111112E-2</v>
      </c>
      <c r="C1322" s="26" t="s">
        <v>1141</v>
      </c>
    </row>
    <row r="1323" spans="1:3" x14ac:dyDescent="0.25">
      <c r="A1323" s="36">
        <v>41348</v>
      </c>
      <c r="B1323" s="122">
        <v>1.7048611111111112E-2</v>
      </c>
      <c r="C1323" s="26" t="s">
        <v>1142</v>
      </c>
    </row>
    <row r="1324" spans="1:3" x14ac:dyDescent="0.25">
      <c r="A1324" s="36">
        <v>41348</v>
      </c>
      <c r="B1324" s="122">
        <v>1.7048611111111112E-2</v>
      </c>
      <c r="C1324" s="26" t="s">
        <v>1143</v>
      </c>
    </row>
    <row r="1325" spans="1:3" x14ac:dyDescent="0.25">
      <c r="A1325" s="36">
        <v>41348</v>
      </c>
      <c r="B1325" s="122">
        <v>1.7048611111111112E-2</v>
      </c>
      <c r="C1325" s="26" t="s">
        <v>1144</v>
      </c>
    </row>
    <row r="1326" spans="1:3" x14ac:dyDescent="0.25">
      <c r="A1326" s="36">
        <v>41348</v>
      </c>
      <c r="B1326" s="122">
        <v>1.7048611111111112E-2</v>
      </c>
      <c r="C1326" s="26" t="s">
        <v>1145</v>
      </c>
    </row>
    <row r="1327" spans="1:3" x14ac:dyDescent="0.25">
      <c r="A1327" s="36">
        <v>41348</v>
      </c>
      <c r="B1327" s="122">
        <v>1.7048611111111112E-2</v>
      </c>
      <c r="C1327" s="26" t="s">
        <v>1146</v>
      </c>
    </row>
    <row r="1328" spans="1:3" x14ac:dyDescent="0.25">
      <c r="A1328" s="36">
        <v>41348</v>
      </c>
      <c r="B1328" s="122">
        <v>1.7048611111111112E-2</v>
      </c>
      <c r="C1328" s="26" t="s">
        <v>1147</v>
      </c>
    </row>
    <row r="1329" spans="1:3" x14ac:dyDescent="0.25">
      <c r="A1329" s="36">
        <v>41348</v>
      </c>
      <c r="B1329" s="122">
        <v>1.7048611111111112E-2</v>
      </c>
      <c r="C1329" s="26" t="s">
        <v>1148</v>
      </c>
    </row>
    <row r="1330" spans="1:3" x14ac:dyDescent="0.25">
      <c r="A1330" s="36">
        <v>41348</v>
      </c>
      <c r="B1330" s="122">
        <v>1.7048611111111112E-2</v>
      </c>
      <c r="C1330" s="26" t="s">
        <v>1149</v>
      </c>
    </row>
    <row r="1331" spans="1:3" x14ac:dyDescent="0.25">
      <c r="A1331" s="36">
        <v>41348</v>
      </c>
      <c r="B1331" s="122">
        <v>1.7048611111111112E-2</v>
      </c>
      <c r="C1331" s="26" t="s">
        <v>1150</v>
      </c>
    </row>
    <row r="1332" spans="1:3" x14ac:dyDescent="0.25">
      <c r="A1332" s="36">
        <v>41348</v>
      </c>
      <c r="B1332" s="122">
        <v>1.7048611111111112E-2</v>
      </c>
      <c r="C1332" s="26" t="s">
        <v>1151</v>
      </c>
    </row>
    <row r="1333" spans="1:3" x14ac:dyDescent="0.25">
      <c r="A1333" s="36">
        <v>41348</v>
      </c>
      <c r="B1333" s="122">
        <v>1.7048611111111112E-2</v>
      </c>
      <c r="C1333" s="26" t="s">
        <v>1152</v>
      </c>
    </row>
    <row r="1334" spans="1:3" x14ac:dyDescent="0.25">
      <c r="A1334" s="36">
        <v>41348</v>
      </c>
      <c r="B1334" s="122">
        <v>1.7048611111111112E-2</v>
      </c>
      <c r="C1334" s="26" t="s">
        <v>1117</v>
      </c>
    </row>
    <row r="1335" spans="1:3" x14ac:dyDescent="0.25">
      <c r="A1335" s="36">
        <v>41348</v>
      </c>
      <c r="B1335" s="122">
        <v>1.7048611111111112E-2</v>
      </c>
      <c r="C1335" s="26" t="s">
        <v>1153</v>
      </c>
    </row>
    <row r="1336" spans="1:3" x14ac:dyDescent="0.25">
      <c r="A1336" s="36">
        <v>41348</v>
      </c>
      <c r="B1336" s="122">
        <v>1.7048611111111112E-2</v>
      </c>
      <c r="C1336" s="26" t="s">
        <v>1154</v>
      </c>
    </row>
    <row r="1337" spans="1:3" x14ac:dyDescent="0.25">
      <c r="A1337" s="36">
        <v>41348</v>
      </c>
      <c r="B1337" s="122">
        <v>1.7048611111111112E-2</v>
      </c>
      <c r="C1337" s="26" t="s">
        <v>1155</v>
      </c>
    </row>
    <row r="1338" spans="1:3" x14ac:dyDescent="0.25">
      <c r="A1338" s="36">
        <v>41348</v>
      </c>
      <c r="B1338" s="122">
        <v>1.7048611111111112E-2</v>
      </c>
      <c r="C1338" s="26" t="s">
        <v>1156</v>
      </c>
    </row>
    <row r="1339" spans="1:3" x14ac:dyDescent="0.25">
      <c r="A1339" s="36">
        <v>41348</v>
      </c>
      <c r="B1339" s="122">
        <v>1.7048611111111112E-2</v>
      </c>
      <c r="C1339" s="26" t="s">
        <v>1157</v>
      </c>
    </row>
    <row r="1340" spans="1:3" x14ac:dyDescent="0.25">
      <c r="A1340" s="36">
        <v>41348</v>
      </c>
      <c r="B1340" s="122">
        <v>1.7048611111111112E-2</v>
      </c>
      <c r="C1340" s="26" t="s">
        <v>1158</v>
      </c>
    </row>
    <row r="1341" spans="1:3" x14ac:dyDescent="0.25">
      <c r="A1341" s="36">
        <v>41348</v>
      </c>
      <c r="B1341" s="122">
        <v>1.7048611111111112E-2</v>
      </c>
      <c r="C1341" s="26" t="s">
        <v>1159</v>
      </c>
    </row>
    <row r="1342" spans="1:3" x14ac:dyDescent="0.25">
      <c r="A1342" s="36">
        <v>41348</v>
      </c>
      <c r="B1342" s="122">
        <v>1.7048611111111112E-2</v>
      </c>
      <c r="C1342" s="26" t="s">
        <v>1159</v>
      </c>
    </row>
    <row r="1343" spans="1:3" x14ac:dyDescent="0.25">
      <c r="A1343" s="36">
        <v>41348</v>
      </c>
      <c r="B1343" s="122">
        <v>1.7048611111111112E-2</v>
      </c>
      <c r="C1343" s="26" t="s">
        <v>1160</v>
      </c>
    </row>
    <row r="1344" spans="1:3" x14ac:dyDescent="0.25">
      <c r="A1344" s="36">
        <v>41348</v>
      </c>
      <c r="B1344" s="122">
        <v>1.7048611111111112E-2</v>
      </c>
      <c r="C1344" s="26" t="s">
        <v>1161</v>
      </c>
    </row>
    <row r="1345" spans="1:3" x14ac:dyDescent="0.25">
      <c r="A1345" s="36">
        <v>41348</v>
      </c>
      <c r="B1345" s="122">
        <v>1.7048611111111112E-2</v>
      </c>
      <c r="C1345" s="26" t="s">
        <v>1162</v>
      </c>
    </row>
    <row r="1346" spans="1:3" x14ac:dyDescent="0.25">
      <c r="A1346" s="36">
        <v>41348</v>
      </c>
      <c r="B1346" s="122">
        <v>1.7048611111111112E-2</v>
      </c>
      <c r="C1346" s="26" t="s">
        <v>1163</v>
      </c>
    </row>
    <row r="1347" spans="1:3" x14ac:dyDescent="0.25">
      <c r="A1347" s="36">
        <v>41348</v>
      </c>
      <c r="B1347" s="122">
        <v>1.7048611111111112E-2</v>
      </c>
      <c r="C1347" s="26" t="s">
        <v>1133</v>
      </c>
    </row>
    <row r="1348" spans="1:3" x14ac:dyDescent="0.25">
      <c r="A1348" s="36">
        <v>41348</v>
      </c>
      <c r="B1348" s="122">
        <v>1.7048611111111112E-2</v>
      </c>
      <c r="C1348" s="26" t="s">
        <v>1164</v>
      </c>
    </row>
    <row r="1349" spans="1:3" x14ac:dyDescent="0.25">
      <c r="A1349" s="36">
        <v>41348</v>
      </c>
      <c r="B1349" s="122">
        <v>1.7048611111111112E-2</v>
      </c>
      <c r="C1349" s="26" t="s">
        <v>1165</v>
      </c>
    </row>
    <row r="1350" spans="1:3" x14ac:dyDescent="0.25">
      <c r="A1350" s="36">
        <v>41348</v>
      </c>
      <c r="B1350" s="122">
        <v>1.7048611111111112E-2</v>
      </c>
      <c r="C1350" s="26" t="s">
        <v>1166</v>
      </c>
    </row>
    <row r="1351" spans="1:3" x14ac:dyDescent="0.25">
      <c r="A1351" s="36">
        <v>41348</v>
      </c>
      <c r="B1351" s="122">
        <v>1.7048611111111112E-2</v>
      </c>
      <c r="C1351" s="26" t="s">
        <v>1167</v>
      </c>
    </row>
    <row r="1352" spans="1:3" x14ac:dyDescent="0.25">
      <c r="A1352" s="36">
        <v>41348</v>
      </c>
      <c r="B1352" s="122">
        <v>1.7048611111111112E-2</v>
      </c>
      <c r="C1352" s="26" t="s">
        <v>1109</v>
      </c>
    </row>
    <row r="1353" spans="1:3" x14ac:dyDescent="0.25">
      <c r="A1353" s="36">
        <v>41348</v>
      </c>
      <c r="B1353" s="122">
        <v>1.7048611111111112E-2</v>
      </c>
      <c r="C1353" s="26" t="s">
        <v>1168</v>
      </c>
    </row>
    <row r="1354" spans="1:3" x14ac:dyDescent="0.25">
      <c r="A1354" s="36">
        <v>41348</v>
      </c>
      <c r="B1354" s="122">
        <v>1.7048611111111112E-2</v>
      </c>
      <c r="C1354" s="26" t="s">
        <v>1169</v>
      </c>
    </row>
    <row r="1355" spans="1:3" x14ac:dyDescent="0.25">
      <c r="A1355" s="36">
        <v>41348</v>
      </c>
      <c r="B1355" s="122">
        <v>1.7048611111111112E-2</v>
      </c>
      <c r="C1355" s="26" t="s">
        <v>1170</v>
      </c>
    </row>
    <row r="1356" spans="1:3" x14ac:dyDescent="0.25">
      <c r="A1356" s="36">
        <v>41348</v>
      </c>
      <c r="B1356" s="122">
        <v>1.7048611111111112E-2</v>
      </c>
      <c r="C1356" s="26" t="s">
        <v>1133</v>
      </c>
    </row>
    <row r="1357" spans="1:3" x14ac:dyDescent="0.25">
      <c r="A1357" s="36">
        <v>41348</v>
      </c>
      <c r="B1357" s="122">
        <v>1.7048611111111112E-2</v>
      </c>
      <c r="C1357" s="26" t="s">
        <v>1171</v>
      </c>
    </row>
    <row r="1358" spans="1:3" x14ac:dyDescent="0.25">
      <c r="A1358" s="36">
        <v>41348</v>
      </c>
      <c r="B1358" s="122">
        <v>1.7048611111111112E-2</v>
      </c>
      <c r="C1358" s="26" t="s">
        <v>1172</v>
      </c>
    </row>
    <row r="1359" spans="1:3" x14ac:dyDescent="0.25">
      <c r="A1359" s="36">
        <v>41348</v>
      </c>
      <c r="B1359" s="122">
        <v>1.7048611111111112E-2</v>
      </c>
      <c r="C1359" s="26" t="s">
        <v>1173</v>
      </c>
    </row>
    <row r="1360" spans="1:3" x14ac:dyDescent="0.25">
      <c r="A1360" s="36">
        <v>41348</v>
      </c>
      <c r="B1360" s="122">
        <v>1.7048611111111112E-2</v>
      </c>
      <c r="C1360" s="26" t="s">
        <v>1174</v>
      </c>
    </row>
    <row r="1361" spans="1:3" x14ac:dyDescent="0.25">
      <c r="A1361" s="36">
        <v>41348</v>
      </c>
      <c r="B1361" s="122">
        <v>1.7048611111111112E-2</v>
      </c>
      <c r="C1361" s="26" t="s">
        <v>1175</v>
      </c>
    </row>
    <row r="1362" spans="1:3" x14ac:dyDescent="0.25">
      <c r="A1362" s="36">
        <v>41348</v>
      </c>
      <c r="B1362" s="122">
        <v>1.7048611111111112E-2</v>
      </c>
      <c r="C1362" s="26" t="s">
        <v>1176</v>
      </c>
    </row>
    <row r="1363" spans="1:3" x14ac:dyDescent="0.25">
      <c r="A1363" s="36">
        <v>41348</v>
      </c>
      <c r="B1363" s="122">
        <v>1.7048611111111112E-2</v>
      </c>
      <c r="C1363" s="26" t="s">
        <v>1177</v>
      </c>
    </row>
    <row r="1364" spans="1:3" x14ac:dyDescent="0.25">
      <c r="A1364" s="36">
        <v>41348</v>
      </c>
      <c r="B1364" s="122">
        <v>1.7048611111111112E-2</v>
      </c>
      <c r="C1364" s="26" t="s">
        <v>1178</v>
      </c>
    </row>
    <row r="1365" spans="1:3" x14ac:dyDescent="0.25">
      <c r="A1365" s="36">
        <v>41348</v>
      </c>
      <c r="B1365" s="122">
        <v>1.7048611111111112E-2</v>
      </c>
      <c r="C1365" s="26" t="s">
        <v>1298</v>
      </c>
    </row>
    <row r="1366" spans="1:3" x14ac:dyDescent="0.25">
      <c r="A1366" s="36">
        <v>41348</v>
      </c>
      <c r="B1366" s="122">
        <v>1.7048611111111112E-2</v>
      </c>
      <c r="C1366" s="26" t="s">
        <v>1179</v>
      </c>
    </row>
    <row r="1367" spans="1:3" x14ac:dyDescent="0.25">
      <c r="A1367" s="36">
        <v>41348</v>
      </c>
      <c r="B1367" s="122">
        <v>1.7048611111111112E-2</v>
      </c>
      <c r="C1367" s="26" t="s">
        <v>1180</v>
      </c>
    </row>
    <row r="1368" spans="1:3" x14ac:dyDescent="0.25">
      <c r="A1368" s="36">
        <v>41348</v>
      </c>
      <c r="B1368" s="122">
        <v>1.7048611111111112E-2</v>
      </c>
      <c r="C1368" s="26" t="s">
        <v>1181</v>
      </c>
    </row>
    <row r="1369" spans="1:3" x14ac:dyDescent="0.25">
      <c r="A1369" s="36">
        <v>41348</v>
      </c>
      <c r="B1369" s="122">
        <v>1.7048611111111112E-2</v>
      </c>
      <c r="C1369" s="26" t="s">
        <v>1182</v>
      </c>
    </row>
    <row r="1370" spans="1:3" x14ac:dyDescent="0.25">
      <c r="A1370" s="36">
        <v>41348</v>
      </c>
      <c r="B1370" s="122">
        <v>1.7048611111111112E-2</v>
      </c>
      <c r="C1370" s="26" t="s">
        <v>1183</v>
      </c>
    </row>
    <row r="1371" spans="1:3" x14ac:dyDescent="0.25">
      <c r="A1371" s="36">
        <v>41348</v>
      </c>
      <c r="B1371" s="122">
        <v>1.7048611111111112E-2</v>
      </c>
      <c r="C1371" s="26" t="s">
        <v>1184</v>
      </c>
    </row>
    <row r="1372" spans="1:3" x14ac:dyDescent="0.25">
      <c r="A1372" s="36">
        <v>41348</v>
      </c>
      <c r="B1372" s="122">
        <v>1.7048611111111112E-2</v>
      </c>
      <c r="C1372" s="26" t="s">
        <v>1185</v>
      </c>
    </row>
    <row r="1373" spans="1:3" x14ac:dyDescent="0.25">
      <c r="A1373" s="36">
        <v>41348</v>
      </c>
      <c r="B1373" s="122">
        <v>1.7048611111111112E-2</v>
      </c>
      <c r="C1373" s="26" t="s">
        <v>1186</v>
      </c>
    </row>
    <row r="1374" spans="1:3" x14ac:dyDescent="0.25">
      <c r="A1374" s="36">
        <v>41348</v>
      </c>
      <c r="B1374" s="122">
        <v>1.7048611111111112E-2</v>
      </c>
      <c r="C1374" s="26" t="s">
        <v>1187</v>
      </c>
    </row>
    <row r="1375" spans="1:3" x14ac:dyDescent="0.25">
      <c r="A1375" s="36">
        <v>41348</v>
      </c>
      <c r="B1375" s="122">
        <v>1.7048611111111112E-2</v>
      </c>
      <c r="C1375" s="26" t="s">
        <v>1188</v>
      </c>
    </row>
    <row r="1376" spans="1:3" x14ac:dyDescent="0.25">
      <c r="A1376" s="36">
        <v>41348</v>
      </c>
      <c r="B1376" s="122">
        <v>1.7048611111111112E-2</v>
      </c>
      <c r="C1376" s="26" t="s">
        <v>1189</v>
      </c>
    </row>
    <row r="1377" spans="1:3" x14ac:dyDescent="0.25">
      <c r="A1377" s="36">
        <v>41348</v>
      </c>
      <c r="B1377" s="122">
        <v>1.7048611111111112E-2</v>
      </c>
      <c r="C1377" s="26" t="s">
        <v>1190</v>
      </c>
    </row>
    <row r="1378" spans="1:3" x14ac:dyDescent="0.25">
      <c r="A1378" s="36">
        <v>41348</v>
      </c>
      <c r="B1378" s="122">
        <v>1.7048611111111112E-2</v>
      </c>
      <c r="C1378" s="26" t="s">
        <v>1191</v>
      </c>
    </row>
    <row r="1379" spans="1:3" x14ac:dyDescent="0.25">
      <c r="A1379" s="36">
        <v>41348</v>
      </c>
      <c r="B1379" s="122">
        <v>1.7048611111111112E-2</v>
      </c>
      <c r="C1379" s="26" t="s">
        <v>1192</v>
      </c>
    </row>
    <row r="1380" spans="1:3" x14ac:dyDescent="0.25">
      <c r="A1380" s="36">
        <v>41348</v>
      </c>
      <c r="B1380" s="122">
        <v>1.7048611111111112E-2</v>
      </c>
      <c r="C1380" s="26" t="s">
        <v>1193</v>
      </c>
    </row>
    <row r="1381" spans="1:3" x14ac:dyDescent="0.25">
      <c r="A1381" s="36">
        <v>41348</v>
      </c>
      <c r="B1381" s="122">
        <v>1.7048611111111112E-2</v>
      </c>
      <c r="C1381" s="26" t="s">
        <v>1151</v>
      </c>
    </row>
    <row r="1382" spans="1:3" x14ac:dyDescent="0.25">
      <c r="A1382" s="36">
        <v>41348</v>
      </c>
      <c r="B1382" s="122">
        <v>1.7048611111111112E-2</v>
      </c>
      <c r="C1382" s="26" t="s">
        <v>1194</v>
      </c>
    </row>
    <row r="1383" spans="1:3" x14ac:dyDescent="0.25">
      <c r="A1383" s="36">
        <v>41348</v>
      </c>
      <c r="B1383" s="122">
        <v>1.7048611111111112E-2</v>
      </c>
      <c r="C1383" s="26" t="s">
        <v>1195</v>
      </c>
    </row>
    <row r="1384" spans="1:3" x14ac:dyDescent="0.25">
      <c r="A1384" s="36">
        <v>41348</v>
      </c>
      <c r="B1384" s="122">
        <v>1.7048611111111112E-2</v>
      </c>
      <c r="C1384" s="26" t="s">
        <v>1196</v>
      </c>
    </row>
    <row r="1385" spans="1:3" x14ac:dyDescent="0.25">
      <c r="A1385" s="36">
        <v>41348</v>
      </c>
      <c r="B1385" s="122">
        <v>1.7048611111111112E-2</v>
      </c>
      <c r="C1385" s="26" t="s">
        <v>1197</v>
      </c>
    </row>
    <row r="1386" spans="1:3" x14ac:dyDescent="0.25">
      <c r="A1386" s="36">
        <v>41348</v>
      </c>
      <c r="B1386" s="122">
        <v>1.7048611111111112E-2</v>
      </c>
      <c r="C1386" s="26" t="s">
        <v>1198</v>
      </c>
    </row>
    <row r="1387" spans="1:3" x14ac:dyDescent="0.25">
      <c r="A1387" s="36">
        <v>41348</v>
      </c>
      <c r="B1387" s="122">
        <v>1.7048611111111112E-2</v>
      </c>
      <c r="C1387" s="26" t="s">
        <v>1198</v>
      </c>
    </row>
    <row r="1388" spans="1:3" x14ac:dyDescent="0.25">
      <c r="A1388" s="36">
        <v>41348</v>
      </c>
      <c r="B1388" s="122">
        <v>1.7048611111111112E-2</v>
      </c>
      <c r="C1388" s="26" t="s">
        <v>1125</v>
      </c>
    </row>
    <row r="1389" spans="1:3" x14ac:dyDescent="0.25">
      <c r="A1389" s="36">
        <v>41348</v>
      </c>
      <c r="B1389" s="122">
        <v>1.7048611111111112E-2</v>
      </c>
      <c r="C1389" s="26" t="s">
        <v>1199</v>
      </c>
    </row>
    <row r="1390" spans="1:3" x14ac:dyDescent="0.25">
      <c r="A1390" s="36">
        <v>41348</v>
      </c>
      <c r="B1390" s="122">
        <v>1.7048611111111112E-2</v>
      </c>
      <c r="C1390" s="26" t="s">
        <v>1200</v>
      </c>
    </row>
    <row r="1391" spans="1:3" x14ac:dyDescent="0.25">
      <c r="A1391" s="36">
        <v>41348</v>
      </c>
      <c r="B1391" s="122">
        <v>1.7048611111111112E-2</v>
      </c>
      <c r="C1391" s="26" t="s">
        <v>1201</v>
      </c>
    </row>
    <row r="1392" spans="1:3" x14ac:dyDescent="0.25">
      <c r="A1392" s="36">
        <v>41348</v>
      </c>
      <c r="B1392" s="122">
        <v>1.7048611111111112E-2</v>
      </c>
      <c r="C1392" s="26" t="s">
        <v>1202</v>
      </c>
    </row>
    <row r="1393" spans="1:3" x14ac:dyDescent="0.25">
      <c r="A1393" s="36">
        <v>41348</v>
      </c>
      <c r="B1393" s="122">
        <v>1.7048611111111112E-2</v>
      </c>
      <c r="C1393" s="26" t="s">
        <v>1203</v>
      </c>
    </row>
    <row r="1394" spans="1:3" x14ac:dyDescent="0.25">
      <c r="A1394" s="36">
        <v>41348</v>
      </c>
      <c r="B1394" s="122">
        <v>1.7048611111111112E-2</v>
      </c>
      <c r="C1394" s="26" t="s">
        <v>1204</v>
      </c>
    </row>
    <row r="1395" spans="1:3" x14ac:dyDescent="0.25">
      <c r="A1395" s="36">
        <v>41348</v>
      </c>
      <c r="B1395" s="122">
        <v>1.7048611111111112E-2</v>
      </c>
      <c r="C1395" s="26" t="s">
        <v>1204</v>
      </c>
    </row>
    <row r="1396" spans="1:3" x14ac:dyDescent="0.25">
      <c r="A1396" s="36">
        <v>41348</v>
      </c>
      <c r="B1396" s="122">
        <v>1.7048611111111112E-2</v>
      </c>
      <c r="C1396" s="26" t="s">
        <v>1204</v>
      </c>
    </row>
    <row r="1397" spans="1:3" x14ac:dyDescent="0.25">
      <c r="A1397" s="36">
        <v>41348</v>
      </c>
      <c r="B1397" s="122">
        <v>1.7048611111111112E-2</v>
      </c>
      <c r="C1397" s="26" t="s">
        <v>1205</v>
      </c>
    </row>
    <row r="1398" spans="1:3" x14ac:dyDescent="0.25">
      <c r="A1398" s="36">
        <v>41348</v>
      </c>
      <c r="B1398" s="122">
        <v>1.7048611111111112E-2</v>
      </c>
      <c r="C1398" s="26" t="s">
        <v>1146</v>
      </c>
    </row>
    <row r="1399" spans="1:3" x14ac:dyDescent="0.25">
      <c r="A1399" s="36">
        <v>41348</v>
      </c>
      <c r="B1399" s="122">
        <v>1.7048611111111112E-2</v>
      </c>
      <c r="C1399" s="26" t="s">
        <v>1206</v>
      </c>
    </row>
    <row r="1400" spans="1:3" x14ac:dyDescent="0.25">
      <c r="A1400" s="36">
        <v>41348</v>
      </c>
      <c r="B1400" s="122">
        <v>1.7048611111111112E-2</v>
      </c>
      <c r="C1400" s="26" t="s">
        <v>1207</v>
      </c>
    </row>
    <row r="1401" spans="1:3" x14ac:dyDescent="0.25">
      <c r="A1401" s="36">
        <v>41348</v>
      </c>
      <c r="B1401" s="122">
        <v>1.7048611111111112E-2</v>
      </c>
      <c r="C1401" s="26" t="s">
        <v>1208</v>
      </c>
    </row>
    <row r="1402" spans="1:3" x14ac:dyDescent="0.25">
      <c r="A1402" s="36">
        <v>41348</v>
      </c>
      <c r="B1402" s="122">
        <v>1.7048611111111112E-2</v>
      </c>
      <c r="C1402" s="26" t="s">
        <v>1209</v>
      </c>
    </row>
    <row r="1403" spans="1:3" x14ac:dyDescent="0.25">
      <c r="A1403" s="36">
        <v>41348</v>
      </c>
      <c r="B1403" s="122">
        <v>1.7048611111111112E-2</v>
      </c>
      <c r="C1403" s="26" t="s">
        <v>1205</v>
      </c>
    </row>
    <row r="1404" spans="1:3" x14ac:dyDescent="0.25">
      <c r="A1404" s="36">
        <v>41348</v>
      </c>
      <c r="B1404" s="122">
        <v>1.7048611111111112E-2</v>
      </c>
      <c r="C1404" s="26" t="s">
        <v>1210</v>
      </c>
    </row>
    <row r="1405" spans="1:3" x14ac:dyDescent="0.25">
      <c r="A1405" s="36">
        <v>41348</v>
      </c>
      <c r="B1405" s="122">
        <v>1.7048611111111112E-2</v>
      </c>
      <c r="C1405" s="26" t="s">
        <v>1211</v>
      </c>
    </row>
    <row r="1406" spans="1:3" x14ac:dyDescent="0.25">
      <c r="A1406" s="36">
        <v>41348</v>
      </c>
      <c r="B1406" s="122">
        <v>1.7048611111111112E-2</v>
      </c>
      <c r="C1406" s="26" t="s">
        <v>1212</v>
      </c>
    </row>
    <row r="1407" spans="1:3" x14ac:dyDescent="0.25">
      <c r="A1407" s="36">
        <v>41348</v>
      </c>
      <c r="B1407" s="122">
        <v>1.7048611111111112E-2</v>
      </c>
      <c r="C1407" s="26" t="s">
        <v>1213</v>
      </c>
    </row>
    <row r="1408" spans="1:3" x14ac:dyDescent="0.25">
      <c r="A1408" s="36">
        <v>41348</v>
      </c>
      <c r="B1408" s="122">
        <v>1.7048611111111112E-2</v>
      </c>
      <c r="C1408" s="26" t="s">
        <v>1214</v>
      </c>
    </row>
    <row r="1409" spans="1:3" x14ac:dyDescent="0.25">
      <c r="A1409" s="36">
        <v>41348</v>
      </c>
      <c r="B1409" s="122">
        <v>1.7048611111111112E-2</v>
      </c>
      <c r="C1409" s="26" t="s">
        <v>1179</v>
      </c>
    </row>
    <row r="1410" spans="1:3" x14ac:dyDescent="0.25">
      <c r="A1410" s="36">
        <v>41348</v>
      </c>
      <c r="B1410" s="122">
        <v>1.7048611111111112E-2</v>
      </c>
      <c r="C1410" s="26" t="s">
        <v>1151</v>
      </c>
    </row>
    <row r="1411" spans="1:3" x14ac:dyDescent="0.25">
      <c r="A1411" s="36">
        <v>41348</v>
      </c>
      <c r="B1411" s="122">
        <v>1.7048611111111112E-2</v>
      </c>
      <c r="C1411" s="26" t="s">
        <v>1215</v>
      </c>
    </row>
    <row r="1412" spans="1:3" x14ac:dyDescent="0.25">
      <c r="A1412" s="36">
        <v>41348</v>
      </c>
      <c r="B1412" s="122">
        <v>1.7048611111111112E-2</v>
      </c>
      <c r="C1412" s="26" t="s">
        <v>1216</v>
      </c>
    </row>
    <row r="1413" spans="1:3" x14ac:dyDescent="0.25">
      <c r="A1413" s="36">
        <v>41348</v>
      </c>
      <c r="B1413" s="122">
        <v>1.7048611111111112E-2</v>
      </c>
      <c r="C1413" s="26" t="s">
        <v>1217</v>
      </c>
    </row>
    <row r="1414" spans="1:3" x14ac:dyDescent="0.25">
      <c r="A1414" s="36">
        <v>41348</v>
      </c>
      <c r="B1414" s="122">
        <v>1.7048611111111112E-2</v>
      </c>
      <c r="C1414" s="26" t="s">
        <v>1218</v>
      </c>
    </row>
    <row r="1415" spans="1:3" x14ac:dyDescent="0.25">
      <c r="A1415" s="36">
        <v>41348</v>
      </c>
      <c r="B1415" s="122">
        <v>1.7048611111111112E-2</v>
      </c>
      <c r="C1415" s="26" t="s">
        <v>1219</v>
      </c>
    </row>
    <row r="1416" spans="1:3" x14ac:dyDescent="0.25">
      <c r="A1416" s="36">
        <v>41348</v>
      </c>
      <c r="B1416" s="122">
        <v>1.7048611111111112E-2</v>
      </c>
      <c r="C1416" s="26" t="s">
        <v>1191</v>
      </c>
    </row>
    <row r="1417" spans="1:3" x14ac:dyDescent="0.25">
      <c r="A1417" s="36">
        <v>41348</v>
      </c>
      <c r="B1417" s="122">
        <v>1.7048611111111112E-2</v>
      </c>
      <c r="C1417" s="26" t="s">
        <v>1220</v>
      </c>
    </row>
    <row r="1418" spans="1:3" x14ac:dyDescent="0.25">
      <c r="A1418" s="36">
        <v>41348</v>
      </c>
      <c r="B1418" s="122">
        <v>1.7048611111111112E-2</v>
      </c>
      <c r="C1418" s="26" t="s">
        <v>1221</v>
      </c>
    </row>
    <row r="1419" spans="1:3" x14ac:dyDescent="0.25">
      <c r="A1419" s="36">
        <v>41348</v>
      </c>
      <c r="B1419" s="122">
        <v>1.7048611111111112E-2</v>
      </c>
      <c r="C1419" s="26" t="s">
        <v>1222</v>
      </c>
    </row>
    <row r="1420" spans="1:3" x14ac:dyDescent="0.25">
      <c r="A1420" s="36">
        <v>41348</v>
      </c>
      <c r="B1420" s="122">
        <v>1.7048611111111112E-2</v>
      </c>
      <c r="C1420" s="26" t="s">
        <v>1223</v>
      </c>
    </row>
    <row r="1421" spans="1:3" x14ac:dyDescent="0.25">
      <c r="A1421" s="36">
        <v>41348</v>
      </c>
      <c r="B1421" s="122">
        <v>1.7048611111111112E-2</v>
      </c>
      <c r="C1421" s="26" t="s">
        <v>1223</v>
      </c>
    </row>
    <row r="1422" spans="1:3" x14ac:dyDescent="0.25">
      <c r="A1422" s="36">
        <v>41348</v>
      </c>
      <c r="B1422" s="122">
        <v>1.7048611111111112E-2</v>
      </c>
      <c r="C1422" s="26" t="s">
        <v>1224</v>
      </c>
    </row>
    <row r="1423" spans="1:3" x14ac:dyDescent="0.25">
      <c r="A1423" s="36">
        <v>41348</v>
      </c>
      <c r="B1423" s="122">
        <v>1.7048611111111112E-2</v>
      </c>
      <c r="C1423" s="26" t="s">
        <v>1225</v>
      </c>
    </row>
    <row r="1424" spans="1:3" x14ac:dyDescent="0.25">
      <c r="A1424" s="36">
        <v>41348</v>
      </c>
      <c r="B1424" s="122">
        <v>1.7048611111111112E-2</v>
      </c>
      <c r="C1424" s="26" t="s">
        <v>1225</v>
      </c>
    </row>
    <row r="1425" spans="1:3" x14ac:dyDescent="0.25">
      <c r="A1425" s="36">
        <v>41348</v>
      </c>
      <c r="B1425" s="122">
        <v>1.7048611111111112E-2</v>
      </c>
      <c r="C1425" s="26" t="s">
        <v>1190</v>
      </c>
    </row>
    <row r="1426" spans="1:3" x14ac:dyDescent="0.25">
      <c r="A1426" s="36">
        <v>41348</v>
      </c>
      <c r="B1426" s="122">
        <v>1.7048611111111112E-2</v>
      </c>
      <c r="C1426" s="26" t="s">
        <v>1226</v>
      </c>
    </row>
    <row r="1427" spans="1:3" x14ac:dyDescent="0.25">
      <c r="A1427" s="36">
        <v>41348</v>
      </c>
      <c r="B1427" s="122">
        <v>1.7048611111111112E-2</v>
      </c>
      <c r="C1427" s="26" t="s">
        <v>1227</v>
      </c>
    </row>
    <row r="1428" spans="1:3" x14ac:dyDescent="0.25">
      <c r="A1428" s="36">
        <v>41348</v>
      </c>
      <c r="B1428" s="122">
        <v>1.7048611111111112E-2</v>
      </c>
      <c r="C1428" s="26" t="s">
        <v>1228</v>
      </c>
    </row>
    <row r="1429" spans="1:3" x14ac:dyDescent="0.25">
      <c r="A1429" s="36">
        <v>41348</v>
      </c>
      <c r="B1429" s="122">
        <v>1.7048611111111112E-2</v>
      </c>
      <c r="C1429" s="26" t="s">
        <v>1228</v>
      </c>
    </row>
    <row r="1430" spans="1:3" x14ac:dyDescent="0.25">
      <c r="A1430" s="36">
        <v>41348</v>
      </c>
      <c r="B1430" s="122">
        <v>1.7048611111111112E-2</v>
      </c>
      <c r="C1430" s="26" t="s">
        <v>1229</v>
      </c>
    </row>
    <row r="1431" spans="1:3" x14ac:dyDescent="0.25">
      <c r="A1431" s="36">
        <v>41348</v>
      </c>
      <c r="B1431" s="122">
        <v>1.7048611111111112E-2</v>
      </c>
      <c r="C1431" s="26" t="s">
        <v>1230</v>
      </c>
    </row>
    <row r="1432" spans="1:3" x14ac:dyDescent="0.25">
      <c r="A1432" s="36">
        <v>41348</v>
      </c>
      <c r="B1432" s="122">
        <v>1.7048611111111112E-2</v>
      </c>
      <c r="C1432" s="26" t="s">
        <v>1230</v>
      </c>
    </row>
    <row r="1433" spans="1:3" x14ac:dyDescent="0.25">
      <c r="A1433" s="36">
        <v>41348</v>
      </c>
      <c r="B1433" s="122">
        <v>1.7048611111111112E-2</v>
      </c>
      <c r="C1433" s="26" t="s">
        <v>1179</v>
      </c>
    </row>
    <row r="1434" spans="1:3" x14ac:dyDescent="0.25">
      <c r="A1434" s="36">
        <v>41348</v>
      </c>
      <c r="B1434" s="122">
        <v>1.7048611111111112E-2</v>
      </c>
      <c r="C1434" s="26" t="s">
        <v>1151</v>
      </c>
    </row>
    <row r="1435" spans="1:3" x14ac:dyDescent="0.25">
      <c r="A1435" s="36">
        <v>41348</v>
      </c>
      <c r="B1435" s="122">
        <v>1.7048611111111112E-2</v>
      </c>
      <c r="C1435" s="26" t="s">
        <v>1231</v>
      </c>
    </row>
    <row r="1436" spans="1:3" x14ac:dyDescent="0.25">
      <c r="A1436" s="36">
        <v>41348</v>
      </c>
      <c r="B1436" s="122">
        <v>1.7048611111111112E-2</v>
      </c>
      <c r="C1436" s="26" t="s">
        <v>1232</v>
      </c>
    </row>
    <row r="1437" spans="1:3" x14ac:dyDescent="0.25">
      <c r="A1437" s="36">
        <v>41348</v>
      </c>
      <c r="B1437" s="122">
        <v>1.7048611111111112E-2</v>
      </c>
      <c r="C1437" s="26" t="s">
        <v>1233</v>
      </c>
    </row>
    <row r="1438" spans="1:3" x14ac:dyDescent="0.25">
      <c r="A1438" s="36">
        <v>41348</v>
      </c>
      <c r="B1438" s="122">
        <v>1.7048611111111112E-2</v>
      </c>
      <c r="C1438" s="26" t="s">
        <v>1191</v>
      </c>
    </row>
    <row r="1439" spans="1:3" x14ac:dyDescent="0.25">
      <c r="A1439" s="36">
        <v>41348</v>
      </c>
      <c r="B1439" s="122">
        <v>1.7048611111111112E-2</v>
      </c>
      <c r="C1439" s="26" t="s">
        <v>1234</v>
      </c>
    </row>
    <row r="1440" spans="1:3" x14ac:dyDescent="0.25">
      <c r="A1440" s="36">
        <v>41348</v>
      </c>
      <c r="B1440" s="122">
        <v>1.7048611111111112E-2</v>
      </c>
      <c r="C1440" s="26" t="s">
        <v>1235</v>
      </c>
    </row>
    <row r="1441" spans="1:3" x14ac:dyDescent="0.25">
      <c r="A1441" s="36">
        <v>41348</v>
      </c>
      <c r="B1441" s="122">
        <v>1.7048611111111112E-2</v>
      </c>
      <c r="C1441" s="26" t="s">
        <v>1236</v>
      </c>
    </row>
    <row r="1442" spans="1:3" x14ac:dyDescent="0.25">
      <c r="A1442" s="36">
        <v>41348</v>
      </c>
      <c r="B1442" s="122">
        <v>1.7048611111111112E-2</v>
      </c>
      <c r="C1442" s="26" t="s">
        <v>1237</v>
      </c>
    </row>
    <row r="1443" spans="1:3" x14ac:dyDescent="0.25">
      <c r="A1443" s="36">
        <v>41348</v>
      </c>
      <c r="B1443" s="122">
        <v>1.7048611111111112E-2</v>
      </c>
      <c r="C1443" s="26" t="s">
        <v>1213</v>
      </c>
    </row>
    <row r="1444" spans="1:3" x14ac:dyDescent="0.25">
      <c r="A1444" s="36">
        <v>41348</v>
      </c>
      <c r="B1444" s="122">
        <v>1.7048611111111112E-2</v>
      </c>
      <c r="C1444" s="26" t="s">
        <v>1232</v>
      </c>
    </row>
    <row r="1445" spans="1:3" x14ac:dyDescent="0.25">
      <c r="A1445" s="36">
        <v>41348</v>
      </c>
      <c r="B1445" s="122">
        <v>1.7048611111111112E-2</v>
      </c>
      <c r="C1445" s="26" t="s">
        <v>1238</v>
      </c>
    </row>
    <row r="1446" spans="1:3" x14ac:dyDescent="0.25">
      <c r="A1446" s="36">
        <v>41348</v>
      </c>
      <c r="B1446" s="122">
        <v>1.7048611111111112E-2</v>
      </c>
      <c r="C1446" s="26" t="s">
        <v>1239</v>
      </c>
    </row>
    <row r="1447" spans="1:3" x14ac:dyDescent="0.25">
      <c r="A1447" s="36">
        <v>41348</v>
      </c>
      <c r="B1447" s="122">
        <v>1.7048611111111112E-2</v>
      </c>
      <c r="C1447" s="26" t="s">
        <v>1151</v>
      </c>
    </row>
    <row r="1448" spans="1:3" x14ac:dyDescent="0.25">
      <c r="A1448" s="36">
        <v>41348</v>
      </c>
      <c r="B1448" s="122">
        <v>1.7048611111111112E-2</v>
      </c>
      <c r="C1448" s="26" t="s">
        <v>1240</v>
      </c>
    </row>
    <row r="1449" spans="1:3" x14ac:dyDescent="0.25">
      <c r="A1449" s="36">
        <v>41348</v>
      </c>
      <c r="B1449" s="122">
        <v>1.7048611111111112E-2</v>
      </c>
      <c r="C1449" s="26" t="s">
        <v>1240</v>
      </c>
    </row>
    <row r="1450" spans="1:3" x14ac:dyDescent="0.25">
      <c r="A1450" s="36">
        <v>41348</v>
      </c>
      <c r="B1450" s="122">
        <v>1.7048611111111112E-2</v>
      </c>
      <c r="C1450" s="26" t="s">
        <v>1240</v>
      </c>
    </row>
    <row r="1451" spans="1:3" x14ac:dyDescent="0.25">
      <c r="A1451" s="36">
        <v>41348</v>
      </c>
      <c r="B1451" s="122">
        <v>1.7048611111111112E-2</v>
      </c>
      <c r="C1451" s="26" t="s">
        <v>1241</v>
      </c>
    </row>
    <row r="1452" spans="1:3" x14ac:dyDescent="0.25">
      <c r="A1452" s="36">
        <v>41348</v>
      </c>
      <c r="B1452" s="122">
        <v>1.7048611111111112E-2</v>
      </c>
      <c r="C1452" s="26" t="s">
        <v>1242</v>
      </c>
    </row>
    <row r="1453" spans="1:3" x14ac:dyDescent="0.25">
      <c r="A1453" s="36">
        <v>41348</v>
      </c>
      <c r="B1453" s="122">
        <v>1.7048611111111112E-2</v>
      </c>
      <c r="C1453" s="26" t="s">
        <v>1243</v>
      </c>
    </row>
    <row r="1454" spans="1:3" x14ac:dyDescent="0.25">
      <c r="A1454" s="36">
        <v>41348</v>
      </c>
      <c r="B1454" s="122">
        <v>1.7048611111111112E-2</v>
      </c>
      <c r="C1454" s="26" t="s">
        <v>1244</v>
      </c>
    </row>
    <row r="1455" spans="1:3" x14ac:dyDescent="0.25">
      <c r="A1455" s="36">
        <v>41348</v>
      </c>
      <c r="B1455" s="122">
        <v>1.7048611111111112E-2</v>
      </c>
      <c r="C1455" s="26" t="s">
        <v>1245</v>
      </c>
    </row>
    <row r="1456" spans="1:3" x14ac:dyDescent="0.25">
      <c r="A1456" s="36">
        <v>41348</v>
      </c>
      <c r="B1456" s="122">
        <v>1.7048611111111112E-2</v>
      </c>
      <c r="C1456" s="26" t="s">
        <v>1246</v>
      </c>
    </row>
    <row r="1457" spans="1:3" x14ac:dyDescent="0.25">
      <c r="A1457" s="36">
        <v>41348</v>
      </c>
      <c r="B1457" s="122">
        <v>1.7048611111111112E-2</v>
      </c>
      <c r="C1457" s="26" t="s">
        <v>1247</v>
      </c>
    </row>
    <row r="1458" spans="1:3" x14ac:dyDescent="0.25">
      <c r="A1458" s="36">
        <v>41348</v>
      </c>
      <c r="B1458" s="122">
        <v>1.7048611111111112E-2</v>
      </c>
      <c r="C1458" s="26" t="s">
        <v>1232</v>
      </c>
    </row>
    <row r="1459" spans="1:3" x14ac:dyDescent="0.25">
      <c r="A1459" s="36">
        <v>41348</v>
      </c>
      <c r="B1459" s="122">
        <v>1.7048611111111112E-2</v>
      </c>
      <c r="C1459" s="26" t="s">
        <v>1248</v>
      </c>
    </row>
    <row r="1460" spans="1:3" x14ac:dyDescent="0.25">
      <c r="A1460" s="36">
        <v>41348</v>
      </c>
      <c r="B1460" s="122">
        <v>1.7048611111111112E-2</v>
      </c>
      <c r="C1460" s="26" t="s">
        <v>1249</v>
      </c>
    </row>
    <row r="1461" spans="1:3" x14ac:dyDescent="0.25">
      <c r="A1461" s="36">
        <v>41348</v>
      </c>
      <c r="B1461" s="122">
        <v>1.7048611111111112E-2</v>
      </c>
      <c r="C1461" s="26" t="s">
        <v>1232</v>
      </c>
    </row>
    <row r="1462" spans="1:3" x14ac:dyDescent="0.25">
      <c r="A1462" s="36">
        <v>41348</v>
      </c>
      <c r="B1462" s="122">
        <v>1.7048611111111112E-2</v>
      </c>
      <c r="C1462" s="26" t="s">
        <v>1241</v>
      </c>
    </row>
    <row r="1463" spans="1:3" x14ac:dyDescent="0.25">
      <c r="A1463" s="36">
        <v>41348</v>
      </c>
      <c r="B1463" s="122">
        <v>1.7048611111111112E-2</v>
      </c>
      <c r="C1463" s="26" t="s">
        <v>1250</v>
      </c>
    </row>
    <row r="1464" spans="1:3" x14ac:dyDescent="0.25">
      <c r="A1464" s="36">
        <v>41348</v>
      </c>
      <c r="B1464" s="122">
        <v>1.7048611111111112E-2</v>
      </c>
      <c r="C1464" s="26" t="s">
        <v>1250</v>
      </c>
    </row>
    <row r="1465" spans="1:3" x14ac:dyDescent="0.25">
      <c r="A1465" s="36">
        <v>41348</v>
      </c>
      <c r="B1465" s="122">
        <v>1.7048611111111112E-2</v>
      </c>
      <c r="C1465" s="26" t="s">
        <v>1232</v>
      </c>
    </row>
    <row r="1466" spans="1:3" x14ac:dyDescent="0.25">
      <c r="A1466" s="36">
        <v>41348</v>
      </c>
      <c r="B1466" s="122">
        <v>1.7048611111111112E-2</v>
      </c>
      <c r="C1466" s="26" t="s">
        <v>1251</v>
      </c>
    </row>
    <row r="1467" spans="1:3" x14ac:dyDescent="0.25">
      <c r="A1467" s="36">
        <v>41348</v>
      </c>
      <c r="B1467" s="122">
        <v>1.7048611111111112E-2</v>
      </c>
      <c r="C1467" s="26" t="s">
        <v>1251</v>
      </c>
    </row>
    <row r="1468" spans="1:3" x14ac:dyDescent="0.25">
      <c r="A1468" s="36">
        <v>41348</v>
      </c>
      <c r="B1468" s="122">
        <v>1.7048611111111112E-2</v>
      </c>
      <c r="C1468" s="26" t="s">
        <v>1252</v>
      </c>
    </row>
    <row r="1469" spans="1:3" x14ac:dyDescent="0.25">
      <c r="A1469" s="36">
        <v>41348</v>
      </c>
      <c r="B1469" s="122">
        <v>1.7048611111111112E-2</v>
      </c>
      <c r="C1469" s="26" t="s">
        <v>1253</v>
      </c>
    </row>
    <row r="1470" spans="1:3" x14ac:dyDescent="0.25">
      <c r="A1470" s="36">
        <v>41348</v>
      </c>
      <c r="B1470" s="122">
        <v>1.7048611111111112E-2</v>
      </c>
      <c r="C1470" s="26" t="s">
        <v>1254</v>
      </c>
    </row>
    <row r="1471" spans="1:3" x14ac:dyDescent="0.25">
      <c r="A1471" s="36">
        <v>41348</v>
      </c>
      <c r="B1471" s="122">
        <v>1.7048611111111112E-2</v>
      </c>
      <c r="C1471" s="26" t="s">
        <v>1255</v>
      </c>
    </row>
    <row r="1472" spans="1:3" x14ac:dyDescent="0.25">
      <c r="A1472" s="36">
        <v>41348</v>
      </c>
      <c r="B1472" s="122">
        <v>1.7048611111111112E-2</v>
      </c>
      <c r="C1472" s="26" t="s">
        <v>1256</v>
      </c>
    </row>
    <row r="1473" spans="1:3" x14ac:dyDescent="0.25">
      <c r="A1473" s="36">
        <v>41348</v>
      </c>
      <c r="B1473" s="122">
        <v>1.7048611111111112E-2</v>
      </c>
      <c r="C1473" s="26" t="s">
        <v>1257</v>
      </c>
    </row>
    <row r="1474" spans="1:3" x14ac:dyDescent="0.25">
      <c r="A1474" s="36">
        <v>41348</v>
      </c>
      <c r="B1474" s="122">
        <v>1.7048611111111112E-2</v>
      </c>
      <c r="C1474" s="26" t="s">
        <v>1258</v>
      </c>
    </row>
    <row r="1475" spans="1:3" x14ac:dyDescent="0.25">
      <c r="A1475" s="36">
        <v>41348</v>
      </c>
      <c r="B1475" s="122">
        <v>1.7048611111111112E-2</v>
      </c>
      <c r="C1475" s="26" t="s">
        <v>1259</v>
      </c>
    </row>
    <row r="1476" spans="1:3" x14ac:dyDescent="0.25">
      <c r="A1476" s="36">
        <v>41348</v>
      </c>
      <c r="B1476" s="122">
        <v>1.7048611111111112E-2</v>
      </c>
      <c r="C1476" s="26" t="s">
        <v>1260</v>
      </c>
    </row>
    <row r="1477" spans="1:3" x14ac:dyDescent="0.25">
      <c r="A1477" s="36">
        <v>41348</v>
      </c>
      <c r="B1477" s="122">
        <v>1.7048611111111112E-2</v>
      </c>
      <c r="C1477" s="26" t="s">
        <v>1261</v>
      </c>
    </row>
    <row r="1478" spans="1:3" x14ac:dyDescent="0.25">
      <c r="A1478" s="36">
        <v>41348</v>
      </c>
      <c r="B1478" s="122">
        <v>1.7048611111111112E-2</v>
      </c>
      <c r="C1478" s="26" t="s">
        <v>1262</v>
      </c>
    </row>
    <row r="1479" spans="1:3" x14ac:dyDescent="0.25">
      <c r="A1479" s="36">
        <v>41348</v>
      </c>
      <c r="B1479" s="122">
        <v>1.7048611111111112E-2</v>
      </c>
      <c r="C1479" s="26" t="s">
        <v>1263</v>
      </c>
    </row>
    <row r="1480" spans="1:3" x14ac:dyDescent="0.25">
      <c r="A1480" s="36">
        <v>41348</v>
      </c>
      <c r="B1480" s="122">
        <v>1.7048611111111112E-2</v>
      </c>
      <c r="C1480" s="26" t="s">
        <v>1263</v>
      </c>
    </row>
    <row r="1481" spans="1:3" x14ac:dyDescent="0.25">
      <c r="A1481" s="36">
        <v>41348</v>
      </c>
      <c r="B1481" s="122">
        <v>1.7048611111111112E-2</v>
      </c>
      <c r="C1481" s="26" t="s">
        <v>1263</v>
      </c>
    </row>
    <row r="1482" spans="1:3" x14ac:dyDescent="0.25">
      <c r="A1482" s="36">
        <v>41348</v>
      </c>
      <c r="B1482" s="122">
        <v>1.7048611111111112E-2</v>
      </c>
      <c r="C1482" s="26" t="s">
        <v>1264</v>
      </c>
    </row>
    <row r="1483" spans="1:3" x14ac:dyDescent="0.25">
      <c r="A1483" s="36">
        <v>41348</v>
      </c>
      <c r="B1483" s="122">
        <v>1.7048611111111112E-2</v>
      </c>
      <c r="C1483" s="26" t="s">
        <v>1151</v>
      </c>
    </row>
    <row r="1484" spans="1:3" x14ac:dyDescent="0.25">
      <c r="A1484" s="36">
        <v>41348</v>
      </c>
      <c r="B1484" s="122">
        <v>1.7048611111111112E-2</v>
      </c>
      <c r="C1484" s="26" t="s">
        <v>1248</v>
      </c>
    </row>
    <row r="1485" spans="1:3" x14ac:dyDescent="0.25">
      <c r="A1485" s="36">
        <v>41348</v>
      </c>
      <c r="B1485" s="122">
        <v>1.7048611111111112E-2</v>
      </c>
      <c r="C1485" s="26" t="s">
        <v>1265</v>
      </c>
    </row>
    <row r="1486" spans="1:3" x14ac:dyDescent="0.25">
      <c r="A1486" s="36">
        <v>41348</v>
      </c>
      <c r="B1486" s="122">
        <v>1.7048611111111112E-2</v>
      </c>
      <c r="C1486" s="26" t="s">
        <v>1232</v>
      </c>
    </row>
    <row r="1487" spans="1:3" x14ac:dyDescent="0.25">
      <c r="A1487" s="36">
        <v>41348</v>
      </c>
      <c r="B1487" s="122">
        <v>1.7048611111111112E-2</v>
      </c>
      <c r="C1487" s="26" t="s">
        <v>1266</v>
      </c>
    </row>
    <row r="1488" spans="1:3" x14ac:dyDescent="0.25">
      <c r="A1488" s="36">
        <v>41348</v>
      </c>
      <c r="B1488" s="122">
        <v>1.7048611111111112E-2</v>
      </c>
      <c r="C1488" s="26" t="s">
        <v>1267</v>
      </c>
    </row>
    <row r="1489" spans="1:3" x14ac:dyDescent="0.25">
      <c r="A1489" s="36">
        <v>41348</v>
      </c>
      <c r="B1489" s="122">
        <v>1.7048611111111112E-2</v>
      </c>
      <c r="C1489" s="26" t="s">
        <v>1184</v>
      </c>
    </row>
    <row r="1490" spans="1:3" x14ac:dyDescent="0.25">
      <c r="A1490" s="36">
        <v>41348</v>
      </c>
      <c r="B1490" s="122">
        <v>1.7048611111111112E-2</v>
      </c>
      <c r="C1490" s="26" t="s">
        <v>1184</v>
      </c>
    </row>
    <row r="1491" spans="1:3" x14ac:dyDescent="0.25">
      <c r="A1491" s="36">
        <v>41348</v>
      </c>
      <c r="B1491" s="122">
        <v>1.7048611111111112E-2</v>
      </c>
      <c r="C1491" s="26" t="s">
        <v>1184</v>
      </c>
    </row>
    <row r="1492" spans="1:3" x14ac:dyDescent="0.25">
      <c r="A1492" s="36">
        <v>41348</v>
      </c>
      <c r="B1492" s="122">
        <v>1.7048611111111112E-2</v>
      </c>
      <c r="C1492" s="26" t="s">
        <v>1232</v>
      </c>
    </row>
    <row r="1493" spans="1:3" x14ac:dyDescent="0.25">
      <c r="A1493" s="36">
        <v>41348</v>
      </c>
      <c r="B1493" s="122">
        <v>1.7048611111111112E-2</v>
      </c>
      <c r="C1493" s="26" t="s">
        <v>1268</v>
      </c>
    </row>
    <row r="1494" spans="1:3" x14ac:dyDescent="0.25">
      <c r="A1494" s="36">
        <v>41348</v>
      </c>
      <c r="B1494" s="122">
        <v>1.7048611111111112E-2</v>
      </c>
      <c r="C1494" s="26" t="s">
        <v>1269</v>
      </c>
    </row>
    <row r="1495" spans="1:3" x14ac:dyDescent="0.25">
      <c r="A1495" s="36">
        <v>41348</v>
      </c>
      <c r="B1495" s="122">
        <v>1.7048611111111112E-2</v>
      </c>
      <c r="C1495" s="26" t="s">
        <v>1269</v>
      </c>
    </row>
    <row r="1496" spans="1:3" x14ac:dyDescent="0.25">
      <c r="A1496" s="36">
        <v>41348</v>
      </c>
      <c r="B1496" s="122">
        <v>1.7048611111111112E-2</v>
      </c>
      <c r="C1496" s="26" t="s">
        <v>1270</v>
      </c>
    </row>
    <row r="1497" spans="1:3" x14ac:dyDescent="0.25">
      <c r="A1497" s="36">
        <v>41348</v>
      </c>
      <c r="B1497" s="122">
        <v>1.7048611111111112E-2</v>
      </c>
      <c r="C1497" s="26" t="s">
        <v>1270</v>
      </c>
    </row>
    <row r="1498" spans="1:3" x14ac:dyDescent="0.25">
      <c r="A1498" s="36">
        <v>41348</v>
      </c>
      <c r="B1498" s="122">
        <v>1.7048611111111112E-2</v>
      </c>
      <c r="C1498" s="26" t="s">
        <v>1271</v>
      </c>
    </row>
    <row r="1499" spans="1:3" x14ac:dyDescent="0.25">
      <c r="A1499" s="36">
        <v>41348</v>
      </c>
      <c r="B1499" s="122">
        <v>1.7048611111111112E-2</v>
      </c>
      <c r="C1499" s="26" t="s">
        <v>1272</v>
      </c>
    </row>
    <row r="1500" spans="1:3" x14ac:dyDescent="0.25">
      <c r="A1500" s="36">
        <v>41348</v>
      </c>
      <c r="B1500" s="122">
        <v>1.7048611111111112E-2</v>
      </c>
      <c r="C1500" s="26" t="s">
        <v>1273</v>
      </c>
    </row>
    <row r="1501" spans="1:3" x14ac:dyDescent="0.25">
      <c r="A1501" s="36">
        <v>41348</v>
      </c>
      <c r="B1501" s="122">
        <v>1.7048611111111112E-2</v>
      </c>
      <c r="C1501" s="26" t="s">
        <v>1274</v>
      </c>
    </row>
    <row r="1502" spans="1:3" x14ac:dyDescent="0.25">
      <c r="A1502" s="36">
        <v>41348</v>
      </c>
      <c r="B1502" s="122">
        <v>1.7048611111111112E-2</v>
      </c>
      <c r="C1502" s="26" t="s">
        <v>1274</v>
      </c>
    </row>
    <row r="1503" spans="1:3" x14ac:dyDescent="0.25">
      <c r="A1503" s="36">
        <v>41348</v>
      </c>
      <c r="B1503" s="122">
        <v>1.7048611111111112E-2</v>
      </c>
      <c r="C1503" s="26" t="s">
        <v>1274</v>
      </c>
    </row>
    <row r="1504" spans="1:3" x14ac:dyDescent="0.25">
      <c r="A1504" s="36">
        <v>41348</v>
      </c>
      <c r="B1504" s="122">
        <v>1.7048611111111112E-2</v>
      </c>
      <c r="C1504" s="26" t="s">
        <v>1274</v>
      </c>
    </row>
    <row r="1505" spans="1:3" x14ac:dyDescent="0.25">
      <c r="A1505" s="36">
        <v>41348</v>
      </c>
      <c r="B1505" s="122">
        <v>1.7048611111111112E-2</v>
      </c>
      <c r="C1505" s="26" t="s">
        <v>1274</v>
      </c>
    </row>
    <row r="1506" spans="1:3" x14ac:dyDescent="0.25">
      <c r="A1506" s="36">
        <v>41348</v>
      </c>
      <c r="B1506" s="122">
        <v>1.7048611111111112E-2</v>
      </c>
      <c r="C1506" s="26" t="s">
        <v>1274</v>
      </c>
    </row>
    <row r="1507" spans="1:3" x14ac:dyDescent="0.25">
      <c r="A1507" s="36">
        <v>41348</v>
      </c>
      <c r="B1507" s="122">
        <v>1.7048611111111112E-2</v>
      </c>
      <c r="C1507" s="26" t="s">
        <v>1274</v>
      </c>
    </row>
    <row r="1508" spans="1:3" x14ac:dyDescent="0.25">
      <c r="A1508" s="36">
        <v>41348</v>
      </c>
      <c r="B1508" s="122">
        <v>1.7048611111111112E-2</v>
      </c>
      <c r="C1508" s="26" t="s">
        <v>1275</v>
      </c>
    </row>
    <row r="1509" spans="1:3" x14ac:dyDescent="0.25">
      <c r="A1509" s="36">
        <v>41348</v>
      </c>
      <c r="B1509" s="122">
        <v>1.7060185185185185E-2</v>
      </c>
      <c r="C1509" s="26" t="s">
        <v>1354</v>
      </c>
    </row>
    <row r="1510" spans="1:3" x14ac:dyDescent="0.25">
      <c r="A1510" s="36">
        <v>41348</v>
      </c>
      <c r="B1510" s="122">
        <v>1.7939814814814815E-2</v>
      </c>
      <c r="C1510" s="26" t="s">
        <v>1364</v>
      </c>
    </row>
    <row r="1511" spans="1:3" ht="30" x14ac:dyDescent="0.25">
      <c r="A1511" s="36">
        <v>41348</v>
      </c>
      <c r="B1511" s="122">
        <v>1.8020833333333333E-2</v>
      </c>
      <c r="C1511" s="789" t="s">
        <v>1365</v>
      </c>
    </row>
    <row r="1512" spans="1:3" ht="45" x14ac:dyDescent="0.25">
      <c r="A1512" s="36">
        <v>41348</v>
      </c>
      <c r="B1512" s="122">
        <v>1.8113425925925925E-2</v>
      </c>
      <c r="C1512" s="789" t="s">
        <v>1366</v>
      </c>
    </row>
    <row r="1513" spans="1:3" x14ac:dyDescent="0.25">
      <c r="A1513" s="36">
        <v>41348</v>
      </c>
      <c r="B1513" s="122">
        <v>1.832175925925926E-2</v>
      </c>
      <c r="C1513" s="26" t="s">
        <v>1106</v>
      </c>
    </row>
    <row r="1514" spans="1:3" x14ac:dyDescent="0.25">
      <c r="A1514" s="36">
        <v>41348</v>
      </c>
      <c r="B1514" s="122">
        <v>1.832175925925926E-2</v>
      </c>
      <c r="C1514" s="26" t="s">
        <v>1100</v>
      </c>
    </row>
    <row r="1515" spans="1:3" x14ac:dyDescent="0.25">
      <c r="A1515" s="36">
        <v>41348</v>
      </c>
      <c r="B1515" s="122">
        <v>1.832175925925926E-2</v>
      </c>
      <c r="C1515" s="26" t="s">
        <v>1101</v>
      </c>
    </row>
    <row r="1516" spans="1:3" x14ac:dyDescent="0.25">
      <c r="A1516" s="36">
        <v>41348</v>
      </c>
      <c r="B1516" s="122">
        <v>1.832175925925926E-2</v>
      </c>
      <c r="C1516" s="26" t="s">
        <v>1102</v>
      </c>
    </row>
    <row r="1517" spans="1:3" x14ac:dyDescent="0.25">
      <c r="A1517" s="36">
        <v>41348</v>
      </c>
      <c r="B1517" s="122">
        <v>1.832175925925926E-2</v>
      </c>
      <c r="C1517" s="26" t="s">
        <v>1103</v>
      </c>
    </row>
    <row r="1518" spans="1:3" x14ac:dyDescent="0.25">
      <c r="A1518" s="36">
        <v>41348</v>
      </c>
      <c r="B1518" s="122">
        <v>1.832175925925926E-2</v>
      </c>
      <c r="C1518" s="26" t="s">
        <v>1104</v>
      </c>
    </row>
    <row r="1519" spans="1:3" x14ac:dyDescent="0.25">
      <c r="A1519" s="36">
        <v>41348</v>
      </c>
      <c r="B1519" s="122">
        <v>1.832175925925926E-2</v>
      </c>
      <c r="C1519" s="26" t="s">
        <v>1105</v>
      </c>
    </row>
    <row r="1520" spans="1:3" x14ac:dyDescent="0.25">
      <c r="A1520" s="36">
        <v>41348</v>
      </c>
      <c r="B1520" s="122">
        <v>1.832175925925926E-2</v>
      </c>
      <c r="C1520" s="26" t="s">
        <v>1106</v>
      </c>
    </row>
    <row r="1521" spans="1:3" x14ac:dyDescent="0.25">
      <c r="A1521" s="36">
        <v>41348</v>
      </c>
      <c r="B1521" s="122">
        <v>1.832175925925926E-2</v>
      </c>
      <c r="C1521" s="26" t="s">
        <v>1107</v>
      </c>
    </row>
    <row r="1522" spans="1:3" x14ac:dyDescent="0.25">
      <c r="A1522" s="36">
        <v>41348</v>
      </c>
      <c r="B1522" s="122">
        <v>1.832175925925926E-2</v>
      </c>
      <c r="C1522" s="26" t="s">
        <v>1108</v>
      </c>
    </row>
    <row r="1523" spans="1:3" x14ac:dyDescent="0.25">
      <c r="A1523" s="36">
        <v>41348</v>
      </c>
      <c r="B1523" s="122">
        <v>1.832175925925926E-2</v>
      </c>
      <c r="C1523" s="26" t="s">
        <v>1109</v>
      </c>
    </row>
    <row r="1524" spans="1:3" x14ac:dyDescent="0.25">
      <c r="A1524" s="36">
        <v>41348</v>
      </c>
      <c r="B1524" s="122">
        <v>1.832175925925926E-2</v>
      </c>
      <c r="C1524" s="26" t="s">
        <v>1110</v>
      </c>
    </row>
    <row r="1525" spans="1:3" x14ac:dyDescent="0.25">
      <c r="A1525" s="36">
        <v>41348</v>
      </c>
      <c r="B1525" s="122">
        <v>1.832175925925926E-2</v>
      </c>
      <c r="C1525" s="26" t="s">
        <v>1111</v>
      </c>
    </row>
    <row r="1526" spans="1:3" x14ac:dyDescent="0.25">
      <c r="A1526" s="36">
        <v>41348</v>
      </c>
      <c r="B1526" s="122">
        <v>1.832175925925926E-2</v>
      </c>
      <c r="C1526" s="26" t="s">
        <v>1112</v>
      </c>
    </row>
    <row r="1527" spans="1:3" x14ac:dyDescent="0.25">
      <c r="A1527" s="36">
        <v>41348</v>
      </c>
      <c r="B1527" s="122">
        <v>1.832175925925926E-2</v>
      </c>
      <c r="C1527" s="26" t="s">
        <v>1113</v>
      </c>
    </row>
    <row r="1528" spans="1:3" x14ac:dyDescent="0.25">
      <c r="A1528" s="36">
        <v>41348</v>
      </c>
      <c r="B1528" s="122">
        <v>1.832175925925926E-2</v>
      </c>
      <c r="C1528" s="26" t="s">
        <v>1304</v>
      </c>
    </row>
    <row r="1529" spans="1:3" x14ac:dyDescent="0.25">
      <c r="A1529" s="36">
        <v>41348</v>
      </c>
      <c r="B1529" s="122">
        <v>1.832175925925926E-2</v>
      </c>
      <c r="C1529" s="26" t="s">
        <v>1114</v>
      </c>
    </row>
    <row r="1530" spans="1:3" x14ac:dyDescent="0.25">
      <c r="A1530" s="36">
        <v>41348</v>
      </c>
      <c r="B1530" s="122">
        <v>1.832175925925926E-2</v>
      </c>
      <c r="C1530" s="26" t="s">
        <v>1115</v>
      </c>
    </row>
    <row r="1531" spans="1:3" x14ac:dyDescent="0.25">
      <c r="A1531" s="36">
        <v>41348</v>
      </c>
      <c r="B1531" s="122">
        <v>1.832175925925926E-2</v>
      </c>
      <c r="C1531" s="26" t="s">
        <v>1116</v>
      </c>
    </row>
    <row r="1532" spans="1:3" x14ac:dyDescent="0.25">
      <c r="A1532" s="36">
        <v>41348</v>
      </c>
      <c r="B1532" s="122">
        <v>1.832175925925926E-2</v>
      </c>
      <c r="C1532" s="26" t="s">
        <v>1117</v>
      </c>
    </row>
    <row r="1533" spans="1:3" x14ac:dyDescent="0.25">
      <c r="A1533" s="36">
        <v>41348</v>
      </c>
      <c r="B1533" s="122">
        <v>1.832175925925926E-2</v>
      </c>
      <c r="C1533" s="26" t="s">
        <v>1118</v>
      </c>
    </row>
    <row r="1534" spans="1:3" x14ac:dyDescent="0.25">
      <c r="A1534" s="36">
        <v>41348</v>
      </c>
      <c r="B1534" s="122">
        <v>1.832175925925926E-2</v>
      </c>
      <c r="C1534" s="26" t="s">
        <v>1119</v>
      </c>
    </row>
    <row r="1535" spans="1:3" x14ac:dyDescent="0.25">
      <c r="A1535" s="36">
        <v>41348</v>
      </c>
      <c r="B1535" s="122">
        <v>1.832175925925926E-2</v>
      </c>
      <c r="C1535" s="26" t="s">
        <v>1120</v>
      </c>
    </row>
    <row r="1536" spans="1:3" x14ac:dyDescent="0.25">
      <c r="A1536" s="36">
        <v>41348</v>
      </c>
      <c r="B1536" s="122">
        <v>1.832175925925926E-2</v>
      </c>
      <c r="C1536" s="26" t="s">
        <v>1121</v>
      </c>
    </row>
    <row r="1537" spans="1:3" x14ac:dyDescent="0.25">
      <c r="A1537" s="36">
        <v>41348</v>
      </c>
      <c r="B1537" s="122">
        <v>1.832175925925926E-2</v>
      </c>
      <c r="C1537" s="26" t="s">
        <v>1121</v>
      </c>
    </row>
    <row r="1538" spans="1:3" x14ac:dyDescent="0.25">
      <c r="A1538" s="36">
        <v>41348</v>
      </c>
      <c r="B1538" s="122">
        <v>1.832175925925926E-2</v>
      </c>
      <c r="C1538" s="26" t="s">
        <v>1105</v>
      </c>
    </row>
    <row r="1539" spans="1:3" x14ac:dyDescent="0.25">
      <c r="A1539" s="36">
        <v>41348</v>
      </c>
      <c r="B1539" s="122">
        <v>1.832175925925926E-2</v>
      </c>
      <c r="C1539" s="26" t="s">
        <v>1122</v>
      </c>
    </row>
    <row r="1540" spans="1:3" x14ac:dyDescent="0.25">
      <c r="A1540" s="36">
        <v>41348</v>
      </c>
      <c r="B1540" s="122">
        <v>1.832175925925926E-2</v>
      </c>
      <c r="C1540" s="26" t="s">
        <v>1123</v>
      </c>
    </row>
    <row r="1541" spans="1:3" x14ac:dyDescent="0.25">
      <c r="A1541" s="36">
        <v>41348</v>
      </c>
      <c r="B1541" s="122">
        <v>1.832175925925926E-2</v>
      </c>
      <c r="C1541" s="26" t="s">
        <v>1124</v>
      </c>
    </row>
    <row r="1542" spans="1:3" x14ac:dyDescent="0.25">
      <c r="A1542" s="36">
        <v>41348</v>
      </c>
      <c r="B1542" s="122">
        <v>1.832175925925926E-2</v>
      </c>
      <c r="C1542" s="26" t="s">
        <v>1125</v>
      </c>
    </row>
    <row r="1543" spans="1:3" x14ac:dyDescent="0.25">
      <c r="A1543" s="36">
        <v>41348</v>
      </c>
      <c r="B1543" s="122">
        <v>1.832175925925926E-2</v>
      </c>
      <c r="C1543" s="26" t="s">
        <v>1126</v>
      </c>
    </row>
    <row r="1544" spans="1:3" x14ac:dyDescent="0.25">
      <c r="A1544" s="36">
        <v>41348</v>
      </c>
      <c r="B1544" s="122">
        <v>1.832175925925926E-2</v>
      </c>
      <c r="C1544" s="26" t="s">
        <v>1127</v>
      </c>
    </row>
    <row r="1545" spans="1:3" x14ac:dyDescent="0.25">
      <c r="A1545" s="36">
        <v>41348</v>
      </c>
      <c r="B1545" s="122">
        <v>1.832175925925926E-2</v>
      </c>
      <c r="C1545" s="26" t="s">
        <v>1128</v>
      </c>
    </row>
    <row r="1546" spans="1:3" x14ac:dyDescent="0.25">
      <c r="A1546" s="36">
        <v>41348</v>
      </c>
      <c r="B1546" s="122">
        <v>1.832175925925926E-2</v>
      </c>
      <c r="C1546" s="26" t="s">
        <v>1129</v>
      </c>
    </row>
    <row r="1547" spans="1:3" x14ac:dyDescent="0.25">
      <c r="A1547" s="36">
        <v>41348</v>
      </c>
      <c r="B1547" s="122">
        <v>1.832175925925926E-2</v>
      </c>
      <c r="C1547" s="26" t="s">
        <v>1131</v>
      </c>
    </row>
    <row r="1548" spans="1:3" x14ac:dyDescent="0.25">
      <c r="A1548" s="36">
        <v>41348</v>
      </c>
      <c r="B1548" s="122">
        <v>1.832175925925926E-2</v>
      </c>
      <c r="C1548" s="26" t="s">
        <v>1132</v>
      </c>
    </row>
    <row r="1549" spans="1:3" x14ac:dyDescent="0.25">
      <c r="A1549" s="36">
        <v>41348</v>
      </c>
      <c r="B1549" s="122">
        <v>1.832175925925926E-2</v>
      </c>
      <c r="C1549" s="26" t="s">
        <v>1133</v>
      </c>
    </row>
    <row r="1550" spans="1:3" x14ac:dyDescent="0.25">
      <c r="A1550" s="36">
        <v>41348</v>
      </c>
      <c r="B1550" s="122">
        <v>1.832175925925926E-2</v>
      </c>
      <c r="C1550" s="26" t="s">
        <v>1133</v>
      </c>
    </row>
    <row r="1551" spans="1:3" x14ac:dyDescent="0.25">
      <c r="A1551" s="36">
        <v>41348</v>
      </c>
      <c r="B1551" s="122">
        <v>1.832175925925926E-2</v>
      </c>
      <c r="C1551" s="26" t="s">
        <v>1134</v>
      </c>
    </row>
    <row r="1552" spans="1:3" x14ac:dyDescent="0.25">
      <c r="A1552" s="36">
        <v>41348</v>
      </c>
      <c r="B1552" s="122">
        <v>1.832175925925926E-2</v>
      </c>
      <c r="C1552" s="26" t="s">
        <v>1135</v>
      </c>
    </row>
    <row r="1553" spans="1:3" x14ac:dyDescent="0.25">
      <c r="A1553" s="36">
        <v>41348</v>
      </c>
      <c r="B1553" s="122">
        <v>1.832175925925926E-2</v>
      </c>
      <c r="C1553" s="26" t="s">
        <v>1136</v>
      </c>
    </row>
    <row r="1554" spans="1:3" x14ac:dyDescent="0.25">
      <c r="A1554" s="36">
        <v>41348</v>
      </c>
      <c r="B1554" s="122">
        <v>1.832175925925926E-2</v>
      </c>
      <c r="C1554" s="26" t="s">
        <v>1118</v>
      </c>
    </row>
    <row r="1555" spans="1:3" x14ac:dyDescent="0.25">
      <c r="A1555" s="36">
        <v>41348</v>
      </c>
      <c r="B1555" s="122">
        <v>1.832175925925926E-2</v>
      </c>
      <c r="C1555" s="26" t="s">
        <v>1118</v>
      </c>
    </row>
    <row r="1556" spans="1:3" x14ac:dyDescent="0.25">
      <c r="A1556" s="36">
        <v>41348</v>
      </c>
      <c r="B1556" s="122">
        <v>1.832175925925926E-2</v>
      </c>
      <c r="C1556" s="26" t="s">
        <v>1137</v>
      </c>
    </row>
    <row r="1557" spans="1:3" x14ac:dyDescent="0.25">
      <c r="A1557" s="36">
        <v>41348</v>
      </c>
      <c r="B1557" s="122">
        <v>1.832175925925926E-2</v>
      </c>
      <c r="C1557" s="26" t="s">
        <v>1100</v>
      </c>
    </row>
    <row r="1558" spans="1:3" x14ac:dyDescent="0.25">
      <c r="A1558" s="36">
        <v>41348</v>
      </c>
      <c r="B1558" s="122">
        <v>1.832175925925926E-2</v>
      </c>
      <c r="C1558" s="26" t="s">
        <v>1138</v>
      </c>
    </row>
    <row r="1559" spans="1:3" x14ac:dyDescent="0.25">
      <c r="A1559" s="36">
        <v>41348</v>
      </c>
      <c r="B1559" s="122">
        <v>1.832175925925926E-2</v>
      </c>
      <c r="C1559" s="26" t="s">
        <v>1139</v>
      </c>
    </row>
    <row r="1560" spans="1:3" x14ac:dyDescent="0.25">
      <c r="A1560" s="36">
        <v>41348</v>
      </c>
      <c r="B1560" s="122">
        <v>1.832175925925926E-2</v>
      </c>
      <c r="C1560" s="26" t="s">
        <v>1140</v>
      </c>
    </row>
    <row r="1561" spans="1:3" x14ac:dyDescent="0.25">
      <c r="A1561" s="36">
        <v>41348</v>
      </c>
      <c r="B1561" s="122">
        <v>1.832175925925926E-2</v>
      </c>
      <c r="C1561" s="26" t="s">
        <v>1141</v>
      </c>
    </row>
    <row r="1562" spans="1:3" x14ac:dyDescent="0.25">
      <c r="A1562" s="36">
        <v>41348</v>
      </c>
      <c r="B1562" s="122">
        <v>1.832175925925926E-2</v>
      </c>
      <c r="C1562" s="26" t="s">
        <v>1142</v>
      </c>
    </row>
    <row r="1563" spans="1:3" x14ac:dyDescent="0.25">
      <c r="A1563" s="36">
        <v>41348</v>
      </c>
      <c r="B1563" s="122">
        <v>1.832175925925926E-2</v>
      </c>
      <c r="C1563" s="26" t="s">
        <v>1143</v>
      </c>
    </row>
    <row r="1564" spans="1:3" x14ac:dyDescent="0.25">
      <c r="A1564" s="36">
        <v>41348</v>
      </c>
      <c r="B1564" s="122">
        <v>1.832175925925926E-2</v>
      </c>
      <c r="C1564" s="26" t="s">
        <v>1144</v>
      </c>
    </row>
    <row r="1565" spans="1:3" x14ac:dyDescent="0.25">
      <c r="A1565" s="36">
        <v>41348</v>
      </c>
      <c r="B1565" s="122">
        <v>1.832175925925926E-2</v>
      </c>
      <c r="C1565" s="26" t="s">
        <v>1145</v>
      </c>
    </row>
    <row r="1566" spans="1:3" x14ac:dyDescent="0.25">
      <c r="A1566" s="36">
        <v>41348</v>
      </c>
      <c r="B1566" s="122">
        <v>1.832175925925926E-2</v>
      </c>
      <c r="C1566" s="26" t="s">
        <v>1146</v>
      </c>
    </row>
    <row r="1567" spans="1:3" x14ac:dyDescent="0.25">
      <c r="A1567" s="36">
        <v>41348</v>
      </c>
      <c r="B1567" s="122">
        <v>1.832175925925926E-2</v>
      </c>
      <c r="C1567" s="26" t="s">
        <v>1147</v>
      </c>
    </row>
    <row r="1568" spans="1:3" x14ac:dyDescent="0.25">
      <c r="A1568" s="36">
        <v>41348</v>
      </c>
      <c r="B1568" s="122">
        <v>1.832175925925926E-2</v>
      </c>
      <c r="C1568" s="26" t="s">
        <v>1148</v>
      </c>
    </row>
    <row r="1569" spans="1:3" x14ac:dyDescent="0.25">
      <c r="A1569" s="36">
        <v>41348</v>
      </c>
      <c r="B1569" s="122">
        <v>1.832175925925926E-2</v>
      </c>
      <c r="C1569" s="26" t="s">
        <v>1149</v>
      </c>
    </row>
    <row r="1570" spans="1:3" x14ac:dyDescent="0.25">
      <c r="A1570" s="36">
        <v>41348</v>
      </c>
      <c r="B1570" s="122">
        <v>1.832175925925926E-2</v>
      </c>
      <c r="C1570" s="26" t="s">
        <v>1150</v>
      </c>
    </row>
    <row r="1571" spans="1:3" x14ac:dyDescent="0.25">
      <c r="A1571" s="36">
        <v>41348</v>
      </c>
      <c r="B1571" s="122">
        <v>1.832175925925926E-2</v>
      </c>
      <c r="C1571" s="26" t="s">
        <v>1151</v>
      </c>
    </row>
    <row r="1572" spans="1:3" x14ac:dyDescent="0.25">
      <c r="A1572" s="36">
        <v>41348</v>
      </c>
      <c r="B1572" s="122">
        <v>1.832175925925926E-2</v>
      </c>
      <c r="C1572" s="26" t="s">
        <v>1152</v>
      </c>
    </row>
    <row r="1573" spans="1:3" x14ac:dyDescent="0.25">
      <c r="A1573" s="36">
        <v>41348</v>
      </c>
      <c r="B1573" s="122">
        <v>1.832175925925926E-2</v>
      </c>
      <c r="C1573" s="26" t="s">
        <v>1117</v>
      </c>
    </row>
    <row r="1574" spans="1:3" x14ac:dyDescent="0.25">
      <c r="A1574" s="36">
        <v>41348</v>
      </c>
      <c r="B1574" s="122">
        <v>1.832175925925926E-2</v>
      </c>
      <c r="C1574" s="26" t="s">
        <v>1153</v>
      </c>
    </row>
    <row r="1575" spans="1:3" x14ac:dyDescent="0.25">
      <c r="A1575" s="36">
        <v>41348</v>
      </c>
      <c r="B1575" s="122">
        <v>1.832175925925926E-2</v>
      </c>
      <c r="C1575" s="26" t="s">
        <v>1154</v>
      </c>
    </row>
    <row r="1576" spans="1:3" x14ac:dyDescent="0.25">
      <c r="A1576" s="36">
        <v>41348</v>
      </c>
      <c r="B1576" s="122">
        <v>1.832175925925926E-2</v>
      </c>
      <c r="C1576" s="26" t="s">
        <v>1155</v>
      </c>
    </row>
    <row r="1577" spans="1:3" x14ac:dyDescent="0.25">
      <c r="A1577" s="36">
        <v>41348</v>
      </c>
      <c r="B1577" s="122">
        <v>1.832175925925926E-2</v>
      </c>
      <c r="C1577" s="26" t="s">
        <v>1156</v>
      </c>
    </row>
    <row r="1578" spans="1:3" x14ac:dyDescent="0.25">
      <c r="A1578" s="36">
        <v>41348</v>
      </c>
      <c r="B1578" s="122">
        <v>1.832175925925926E-2</v>
      </c>
      <c r="C1578" s="26" t="s">
        <v>1157</v>
      </c>
    </row>
    <row r="1579" spans="1:3" x14ac:dyDescent="0.25">
      <c r="A1579" s="36">
        <v>41348</v>
      </c>
      <c r="B1579" s="122">
        <v>1.832175925925926E-2</v>
      </c>
      <c r="C1579" s="26" t="s">
        <v>1158</v>
      </c>
    </row>
    <row r="1580" spans="1:3" x14ac:dyDescent="0.25">
      <c r="A1580" s="36">
        <v>41348</v>
      </c>
      <c r="B1580" s="122">
        <v>1.832175925925926E-2</v>
      </c>
      <c r="C1580" s="26" t="s">
        <v>1159</v>
      </c>
    </row>
    <row r="1581" spans="1:3" x14ac:dyDescent="0.25">
      <c r="A1581" s="36">
        <v>41348</v>
      </c>
      <c r="B1581" s="122">
        <v>1.832175925925926E-2</v>
      </c>
      <c r="C1581" s="26" t="s">
        <v>1159</v>
      </c>
    </row>
    <row r="1582" spans="1:3" x14ac:dyDescent="0.25">
      <c r="A1582" s="36">
        <v>41348</v>
      </c>
      <c r="B1582" s="122">
        <v>1.832175925925926E-2</v>
      </c>
      <c r="C1582" s="26" t="s">
        <v>1160</v>
      </c>
    </row>
    <row r="1583" spans="1:3" x14ac:dyDescent="0.25">
      <c r="A1583" s="36">
        <v>41348</v>
      </c>
      <c r="B1583" s="122">
        <v>1.832175925925926E-2</v>
      </c>
      <c r="C1583" s="26" t="s">
        <v>1161</v>
      </c>
    </row>
    <row r="1584" spans="1:3" x14ac:dyDescent="0.25">
      <c r="A1584" s="36">
        <v>41348</v>
      </c>
      <c r="B1584" s="122">
        <v>1.832175925925926E-2</v>
      </c>
      <c r="C1584" s="26" t="s">
        <v>1162</v>
      </c>
    </row>
    <row r="1585" spans="1:3" x14ac:dyDescent="0.25">
      <c r="A1585" s="36">
        <v>41348</v>
      </c>
      <c r="B1585" s="122">
        <v>1.832175925925926E-2</v>
      </c>
      <c r="C1585" s="26" t="s">
        <v>1163</v>
      </c>
    </row>
    <row r="1586" spans="1:3" x14ac:dyDescent="0.25">
      <c r="A1586" s="36">
        <v>41348</v>
      </c>
      <c r="B1586" s="122">
        <v>1.832175925925926E-2</v>
      </c>
      <c r="C1586" s="26" t="s">
        <v>1133</v>
      </c>
    </row>
    <row r="1587" spans="1:3" x14ac:dyDescent="0.25">
      <c r="A1587" s="36">
        <v>41348</v>
      </c>
      <c r="B1587" s="122">
        <v>1.832175925925926E-2</v>
      </c>
      <c r="C1587" s="26" t="s">
        <v>1164</v>
      </c>
    </row>
    <row r="1588" spans="1:3" x14ac:dyDescent="0.25">
      <c r="A1588" s="36">
        <v>41348</v>
      </c>
      <c r="B1588" s="122">
        <v>1.832175925925926E-2</v>
      </c>
      <c r="C1588" s="26" t="s">
        <v>1165</v>
      </c>
    </row>
    <row r="1589" spans="1:3" x14ac:dyDescent="0.25">
      <c r="A1589" s="36">
        <v>41348</v>
      </c>
      <c r="B1589" s="122">
        <v>1.832175925925926E-2</v>
      </c>
      <c r="C1589" s="26" t="s">
        <v>1166</v>
      </c>
    </row>
    <row r="1590" spans="1:3" x14ac:dyDescent="0.25">
      <c r="A1590" s="36">
        <v>41348</v>
      </c>
      <c r="B1590" s="122">
        <v>1.832175925925926E-2</v>
      </c>
      <c r="C1590" s="26" t="s">
        <v>1167</v>
      </c>
    </row>
    <row r="1591" spans="1:3" x14ac:dyDescent="0.25">
      <c r="A1591" s="36">
        <v>41348</v>
      </c>
      <c r="B1591" s="122">
        <v>1.832175925925926E-2</v>
      </c>
      <c r="C1591" s="26" t="s">
        <v>1109</v>
      </c>
    </row>
    <row r="1592" spans="1:3" x14ac:dyDescent="0.25">
      <c r="A1592" s="36">
        <v>41348</v>
      </c>
      <c r="B1592" s="122">
        <v>1.832175925925926E-2</v>
      </c>
      <c r="C1592" s="26" t="s">
        <v>1168</v>
      </c>
    </row>
    <row r="1593" spans="1:3" x14ac:dyDescent="0.25">
      <c r="A1593" s="36">
        <v>41348</v>
      </c>
      <c r="B1593" s="122">
        <v>1.832175925925926E-2</v>
      </c>
      <c r="C1593" s="26" t="s">
        <v>1169</v>
      </c>
    </row>
    <row r="1594" spans="1:3" x14ac:dyDescent="0.25">
      <c r="A1594" s="36">
        <v>41348</v>
      </c>
      <c r="B1594" s="122">
        <v>1.832175925925926E-2</v>
      </c>
      <c r="C1594" s="26" t="s">
        <v>1170</v>
      </c>
    </row>
    <row r="1595" spans="1:3" x14ac:dyDescent="0.25">
      <c r="A1595" s="36">
        <v>41348</v>
      </c>
      <c r="B1595" s="122">
        <v>1.832175925925926E-2</v>
      </c>
      <c r="C1595" s="26" t="s">
        <v>1133</v>
      </c>
    </row>
    <row r="1596" spans="1:3" x14ac:dyDescent="0.25">
      <c r="A1596" s="36">
        <v>41348</v>
      </c>
      <c r="B1596" s="122">
        <v>1.832175925925926E-2</v>
      </c>
      <c r="C1596" s="26" t="s">
        <v>1171</v>
      </c>
    </row>
    <row r="1597" spans="1:3" x14ac:dyDescent="0.25">
      <c r="A1597" s="36">
        <v>41348</v>
      </c>
      <c r="B1597" s="122">
        <v>1.832175925925926E-2</v>
      </c>
      <c r="C1597" s="26" t="s">
        <v>1172</v>
      </c>
    </row>
    <row r="1598" spans="1:3" x14ac:dyDescent="0.25">
      <c r="A1598" s="36">
        <v>41348</v>
      </c>
      <c r="B1598" s="122">
        <v>1.832175925925926E-2</v>
      </c>
      <c r="C1598" s="26" t="s">
        <v>1173</v>
      </c>
    </row>
    <row r="1599" spans="1:3" x14ac:dyDescent="0.25">
      <c r="A1599" s="36">
        <v>41348</v>
      </c>
      <c r="B1599" s="122">
        <v>1.832175925925926E-2</v>
      </c>
      <c r="C1599" s="26" t="s">
        <v>1174</v>
      </c>
    </row>
    <row r="1600" spans="1:3" x14ac:dyDescent="0.25">
      <c r="A1600" s="36">
        <v>41348</v>
      </c>
      <c r="B1600" s="122">
        <v>1.832175925925926E-2</v>
      </c>
      <c r="C1600" s="26" t="s">
        <v>1175</v>
      </c>
    </row>
    <row r="1601" spans="1:3" x14ac:dyDescent="0.25">
      <c r="A1601" s="36">
        <v>41348</v>
      </c>
      <c r="B1601" s="122">
        <v>1.832175925925926E-2</v>
      </c>
      <c r="C1601" s="26" t="s">
        <v>1176</v>
      </c>
    </row>
    <row r="1602" spans="1:3" x14ac:dyDescent="0.25">
      <c r="A1602" s="36">
        <v>41348</v>
      </c>
      <c r="B1602" s="122">
        <v>1.832175925925926E-2</v>
      </c>
      <c r="C1602" s="26" t="s">
        <v>1177</v>
      </c>
    </row>
    <row r="1603" spans="1:3" x14ac:dyDescent="0.25">
      <c r="A1603" s="36">
        <v>41348</v>
      </c>
      <c r="B1603" s="122">
        <v>1.832175925925926E-2</v>
      </c>
      <c r="C1603" s="26" t="s">
        <v>1178</v>
      </c>
    </row>
    <row r="1604" spans="1:3" x14ac:dyDescent="0.25">
      <c r="A1604" s="36">
        <v>41348</v>
      </c>
      <c r="B1604" s="122">
        <v>1.832175925925926E-2</v>
      </c>
      <c r="C1604" s="26" t="s">
        <v>1298</v>
      </c>
    </row>
    <row r="1605" spans="1:3" x14ac:dyDescent="0.25">
      <c r="A1605" s="36">
        <v>41348</v>
      </c>
      <c r="B1605" s="122">
        <v>1.832175925925926E-2</v>
      </c>
      <c r="C1605" s="26" t="s">
        <v>1179</v>
      </c>
    </row>
    <row r="1606" spans="1:3" x14ac:dyDescent="0.25">
      <c r="A1606" s="36">
        <v>41348</v>
      </c>
      <c r="B1606" s="122">
        <v>1.832175925925926E-2</v>
      </c>
      <c r="C1606" s="26" t="s">
        <v>1180</v>
      </c>
    </row>
    <row r="1607" spans="1:3" x14ac:dyDescent="0.25">
      <c r="A1607" s="36">
        <v>41348</v>
      </c>
      <c r="B1607" s="122">
        <v>1.832175925925926E-2</v>
      </c>
      <c r="C1607" s="26" t="s">
        <v>1181</v>
      </c>
    </row>
    <row r="1608" spans="1:3" x14ac:dyDescent="0.25">
      <c r="A1608" s="36">
        <v>41348</v>
      </c>
      <c r="B1608" s="122">
        <v>1.832175925925926E-2</v>
      </c>
      <c r="C1608" s="26" t="s">
        <v>1182</v>
      </c>
    </row>
    <row r="1609" spans="1:3" x14ac:dyDescent="0.25">
      <c r="A1609" s="36">
        <v>41348</v>
      </c>
      <c r="B1609" s="122">
        <v>1.832175925925926E-2</v>
      </c>
      <c r="C1609" s="26" t="s">
        <v>1183</v>
      </c>
    </row>
    <row r="1610" spans="1:3" x14ac:dyDescent="0.25">
      <c r="A1610" s="36">
        <v>41348</v>
      </c>
      <c r="B1610" s="122">
        <v>1.8333333333333333E-2</v>
      </c>
      <c r="C1610" s="26" t="s">
        <v>1184</v>
      </c>
    </row>
    <row r="1611" spans="1:3" x14ac:dyDescent="0.25">
      <c r="A1611" s="36">
        <v>41348</v>
      </c>
      <c r="B1611" s="122">
        <v>1.8333333333333333E-2</v>
      </c>
      <c r="C1611" s="26" t="s">
        <v>1185</v>
      </c>
    </row>
    <row r="1612" spans="1:3" x14ac:dyDescent="0.25">
      <c r="A1612" s="36">
        <v>41348</v>
      </c>
      <c r="B1612" s="122">
        <v>1.8333333333333333E-2</v>
      </c>
      <c r="C1612" s="26" t="s">
        <v>1186</v>
      </c>
    </row>
    <row r="1613" spans="1:3" x14ac:dyDescent="0.25">
      <c r="A1613" s="36">
        <v>41348</v>
      </c>
      <c r="B1613" s="122">
        <v>1.8333333333333333E-2</v>
      </c>
      <c r="C1613" s="26" t="s">
        <v>1187</v>
      </c>
    </row>
    <row r="1614" spans="1:3" x14ac:dyDescent="0.25">
      <c r="A1614" s="36">
        <v>41348</v>
      </c>
      <c r="B1614" s="122">
        <v>1.8333333333333333E-2</v>
      </c>
      <c r="C1614" s="26" t="s">
        <v>1188</v>
      </c>
    </row>
    <row r="1615" spans="1:3" x14ac:dyDescent="0.25">
      <c r="A1615" s="36">
        <v>41348</v>
      </c>
      <c r="B1615" s="122">
        <v>1.8333333333333333E-2</v>
      </c>
      <c r="C1615" s="26" t="s">
        <v>1189</v>
      </c>
    </row>
    <row r="1616" spans="1:3" x14ac:dyDescent="0.25">
      <c r="A1616" s="36">
        <v>41348</v>
      </c>
      <c r="B1616" s="122">
        <v>1.8333333333333333E-2</v>
      </c>
      <c r="C1616" s="26" t="s">
        <v>1190</v>
      </c>
    </row>
    <row r="1617" spans="1:3" x14ac:dyDescent="0.25">
      <c r="A1617" s="36">
        <v>41348</v>
      </c>
      <c r="B1617" s="122">
        <v>1.8333333333333333E-2</v>
      </c>
      <c r="C1617" s="26" t="s">
        <v>1191</v>
      </c>
    </row>
    <row r="1618" spans="1:3" x14ac:dyDescent="0.25">
      <c r="A1618" s="36">
        <v>41348</v>
      </c>
      <c r="B1618" s="122">
        <v>1.8333333333333333E-2</v>
      </c>
      <c r="C1618" s="26" t="s">
        <v>1192</v>
      </c>
    </row>
    <row r="1619" spans="1:3" x14ac:dyDescent="0.25">
      <c r="A1619" s="36">
        <v>41348</v>
      </c>
      <c r="B1619" s="122">
        <v>1.8333333333333333E-2</v>
      </c>
      <c r="C1619" s="26" t="s">
        <v>1193</v>
      </c>
    </row>
    <row r="1620" spans="1:3" x14ac:dyDescent="0.25">
      <c r="A1620" s="36">
        <v>41348</v>
      </c>
      <c r="B1620" s="122">
        <v>1.8333333333333333E-2</v>
      </c>
      <c r="C1620" s="26" t="s">
        <v>1151</v>
      </c>
    </row>
    <row r="1621" spans="1:3" x14ac:dyDescent="0.25">
      <c r="A1621" s="36">
        <v>41348</v>
      </c>
      <c r="B1621" s="122">
        <v>1.8333333333333333E-2</v>
      </c>
      <c r="C1621" s="26" t="s">
        <v>1194</v>
      </c>
    </row>
    <row r="1622" spans="1:3" x14ac:dyDescent="0.25">
      <c r="A1622" s="36">
        <v>41348</v>
      </c>
      <c r="B1622" s="122">
        <v>1.8333333333333333E-2</v>
      </c>
      <c r="C1622" s="26" t="s">
        <v>1195</v>
      </c>
    </row>
    <row r="1623" spans="1:3" x14ac:dyDescent="0.25">
      <c r="A1623" s="36">
        <v>41348</v>
      </c>
      <c r="B1623" s="122">
        <v>1.8333333333333333E-2</v>
      </c>
      <c r="C1623" s="26" t="s">
        <v>1196</v>
      </c>
    </row>
    <row r="1624" spans="1:3" x14ac:dyDescent="0.25">
      <c r="A1624" s="36">
        <v>41348</v>
      </c>
      <c r="B1624" s="122">
        <v>1.8333333333333333E-2</v>
      </c>
      <c r="C1624" s="26" t="s">
        <v>1197</v>
      </c>
    </row>
    <row r="1625" spans="1:3" x14ac:dyDescent="0.25">
      <c r="A1625" s="36">
        <v>41348</v>
      </c>
      <c r="B1625" s="122">
        <v>1.8333333333333333E-2</v>
      </c>
      <c r="C1625" s="26" t="s">
        <v>1198</v>
      </c>
    </row>
    <row r="1626" spans="1:3" x14ac:dyDescent="0.25">
      <c r="A1626" s="36">
        <v>41348</v>
      </c>
      <c r="B1626" s="122">
        <v>1.8333333333333333E-2</v>
      </c>
      <c r="C1626" s="26" t="s">
        <v>1198</v>
      </c>
    </row>
    <row r="1627" spans="1:3" x14ac:dyDescent="0.25">
      <c r="A1627" s="36">
        <v>41348</v>
      </c>
      <c r="B1627" s="122">
        <v>1.8333333333333333E-2</v>
      </c>
      <c r="C1627" s="26" t="s">
        <v>1125</v>
      </c>
    </row>
    <row r="1628" spans="1:3" x14ac:dyDescent="0.25">
      <c r="A1628" s="36">
        <v>41348</v>
      </c>
      <c r="B1628" s="122">
        <v>1.8333333333333333E-2</v>
      </c>
      <c r="C1628" s="26" t="s">
        <v>1199</v>
      </c>
    </row>
    <row r="1629" spans="1:3" x14ac:dyDescent="0.25">
      <c r="A1629" s="36">
        <v>41348</v>
      </c>
      <c r="B1629" s="122">
        <v>1.8333333333333333E-2</v>
      </c>
      <c r="C1629" s="26" t="s">
        <v>1200</v>
      </c>
    </row>
    <row r="1630" spans="1:3" x14ac:dyDescent="0.25">
      <c r="A1630" s="36">
        <v>41348</v>
      </c>
      <c r="B1630" s="122">
        <v>1.8333333333333333E-2</v>
      </c>
      <c r="C1630" s="26" t="s">
        <v>1201</v>
      </c>
    </row>
    <row r="1631" spans="1:3" x14ac:dyDescent="0.25">
      <c r="A1631" s="36">
        <v>41348</v>
      </c>
      <c r="B1631" s="122">
        <v>1.8333333333333333E-2</v>
      </c>
      <c r="C1631" s="26" t="s">
        <v>1202</v>
      </c>
    </row>
    <row r="1632" spans="1:3" x14ac:dyDescent="0.25">
      <c r="A1632" s="36">
        <v>41348</v>
      </c>
      <c r="B1632" s="122">
        <v>1.8333333333333333E-2</v>
      </c>
      <c r="C1632" s="26" t="s">
        <v>1203</v>
      </c>
    </row>
    <row r="1633" spans="1:3" x14ac:dyDescent="0.25">
      <c r="A1633" s="36">
        <v>41348</v>
      </c>
      <c r="B1633" s="122">
        <v>1.8333333333333333E-2</v>
      </c>
      <c r="C1633" s="26" t="s">
        <v>1204</v>
      </c>
    </row>
    <row r="1634" spans="1:3" x14ac:dyDescent="0.25">
      <c r="A1634" s="36">
        <v>41348</v>
      </c>
      <c r="B1634" s="122">
        <v>1.8333333333333333E-2</v>
      </c>
      <c r="C1634" s="26" t="s">
        <v>1204</v>
      </c>
    </row>
    <row r="1635" spans="1:3" x14ac:dyDescent="0.25">
      <c r="A1635" s="36">
        <v>41348</v>
      </c>
      <c r="B1635" s="122">
        <v>1.8333333333333333E-2</v>
      </c>
      <c r="C1635" s="26" t="s">
        <v>1204</v>
      </c>
    </row>
    <row r="1636" spans="1:3" x14ac:dyDescent="0.25">
      <c r="A1636" s="36">
        <v>41348</v>
      </c>
      <c r="B1636" s="122">
        <v>1.8333333333333333E-2</v>
      </c>
      <c r="C1636" s="26" t="s">
        <v>1205</v>
      </c>
    </row>
    <row r="1637" spans="1:3" x14ac:dyDescent="0.25">
      <c r="A1637" s="36">
        <v>41348</v>
      </c>
      <c r="B1637" s="122">
        <v>1.8333333333333333E-2</v>
      </c>
      <c r="C1637" s="26" t="s">
        <v>1146</v>
      </c>
    </row>
    <row r="1638" spans="1:3" x14ac:dyDescent="0.25">
      <c r="A1638" s="36">
        <v>41348</v>
      </c>
      <c r="B1638" s="122">
        <v>1.8333333333333333E-2</v>
      </c>
      <c r="C1638" s="26" t="s">
        <v>1206</v>
      </c>
    </row>
    <row r="1639" spans="1:3" x14ac:dyDescent="0.25">
      <c r="A1639" s="36">
        <v>41348</v>
      </c>
      <c r="B1639" s="122">
        <v>1.8333333333333333E-2</v>
      </c>
      <c r="C1639" s="26" t="s">
        <v>1207</v>
      </c>
    </row>
    <row r="1640" spans="1:3" x14ac:dyDescent="0.25">
      <c r="A1640" s="36">
        <v>41348</v>
      </c>
      <c r="B1640" s="122">
        <v>1.8333333333333333E-2</v>
      </c>
      <c r="C1640" s="26" t="s">
        <v>1208</v>
      </c>
    </row>
    <row r="1641" spans="1:3" x14ac:dyDescent="0.25">
      <c r="A1641" s="36">
        <v>41348</v>
      </c>
      <c r="B1641" s="122">
        <v>1.8333333333333333E-2</v>
      </c>
      <c r="C1641" s="26" t="s">
        <v>1209</v>
      </c>
    </row>
    <row r="1642" spans="1:3" x14ac:dyDescent="0.25">
      <c r="A1642" s="36">
        <v>41348</v>
      </c>
      <c r="B1642" s="122">
        <v>1.8333333333333333E-2</v>
      </c>
      <c r="C1642" s="26" t="s">
        <v>1205</v>
      </c>
    </row>
    <row r="1643" spans="1:3" x14ac:dyDescent="0.25">
      <c r="A1643" s="36">
        <v>41348</v>
      </c>
      <c r="B1643" s="122">
        <v>1.8333333333333333E-2</v>
      </c>
      <c r="C1643" s="26" t="s">
        <v>1210</v>
      </c>
    </row>
    <row r="1644" spans="1:3" x14ac:dyDescent="0.25">
      <c r="A1644" s="36">
        <v>41348</v>
      </c>
      <c r="B1644" s="122">
        <v>1.8333333333333333E-2</v>
      </c>
      <c r="C1644" s="26" t="s">
        <v>1211</v>
      </c>
    </row>
    <row r="1645" spans="1:3" x14ac:dyDescent="0.25">
      <c r="A1645" s="36">
        <v>41348</v>
      </c>
      <c r="B1645" s="122">
        <v>1.8333333333333333E-2</v>
      </c>
      <c r="C1645" s="26" t="s">
        <v>1212</v>
      </c>
    </row>
    <row r="1646" spans="1:3" x14ac:dyDescent="0.25">
      <c r="A1646" s="36">
        <v>41348</v>
      </c>
      <c r="B1646" s="122">
        <v>1.8333333333333333E-2</v>
      </c>
      <c r="C1646" s="26" t="s">
        <v>1213</v>
      </c>
    </row>
    <row r="1647" spans="1:3" x14ac:dyDescent="0.25">
      <c r="A1647" s="36">
        <v>41348</v>
      </c>
      <c r="B1647" s="122">
        <v>1.8333333333333333E-2</v>
      </c>
      <c r="C1647" s="26" t="s">
        <v>1214</v>
      </c>
    </row>
    <row r="1648" spans="1:3" x14ac:dyDescent="0.25">
      <c r="A1648" s="36">
        <v>41348</v>
      </c>
      <c r="B1648" s="122">
        <v>1.8333333333333333E-2</v>
      </c>
      <c r="C1648" s="26" t="s">
        <v>1179</v>
      </c>
    </row>
    <row r="1649" spans="1:3" x14ac:dyDescent="0.25">
      <c r="A1649" s="36">
        <v>41348</v>
      </c>
      <c r="B1649" s="122">
        <v>1.8333333333333333E-2</v>
      </c>
      <c r="C1649" s="26" t="s">
        <v>1151</v>
      </c>
    </row>
    <row r="1650" spans="1:3" x14ac:dyDescent="0.25">
      <c r="A1650" s="36">
        <v>41348</v>
      </c>
      <c r="B1650" s="122">
        <v>1.8333333333333333E-2</v>
      </c>
      <c r="C1650" s="26" t="s">
        <v>1215</v>
      </c>
    </row>
    <row r="1651" spans="1:3" x14ac:dyDescent="0.25">
      <c r="A1651" s="36">
        <v>41348</v>
      </c>
      <c r="B1651" s="122">
        <v>1.8333333333333333E-2</v>
      </c>
      <c r="C1651" s="26" t="s">
        <v>1216</v>
      </c>
    </row>
    <row r="1652" spans="1:3" x14ac:dyDescent="0.25">
      <c r="A1652" s="36">
        <v>41348</v>
      </c>
      <c r="B1652" s="122">
        <v>1.8333333333333333E-2</v>
      </c>
      <c r="C1652" s="26" t="s">
        <v>1217</v>
      </c>
    </row>
    <row r="1653" spans="1:3" x14ac:dyDescent="0.25">
      <c r="A1653" s="36">
        <v>41348</v>
      </c>
      <c r="B1653" s="122">
        <v>1.8333333333333333E-2</v>
      </c>
      <c r="C1653" s="26" t="s">
        <v>1218</v>
      </c>
    </row>
    <row r="1654" spans="1:3" x14ac:dyDescent="0.25">
      <c r="A1654" s="36">
        <v>41348</v>
      </c>
      <c r="B1654" s="122">
        <v>1.8333333333333333E-2</v>
      </c>
      <c r="C1654" s="26" t="s">
        <v>1219</v>
      </c>
    </row>
    <row r="1655" spans="1:3" x14ac:dyDescent="0.25">
      <c r="A1655" s="36">
        <v>41348</v>
      </c>
      <c r="B1655" s="122">
        <v>1.8333333333333333E-2</v>
      </c>
      <c r="C1655" s="26" t="s">
        <v>1191</v>
      </c>
    </row>
    <row r="1656" spans="1:3" x14ac:dyDescent="0.25">
      <c r="A1656" s="36">
        <v>41348</v>
      </c>
      <c r="B1656" s="122">
        <v>1.8333333333333333E-2</v>
      </c>
      <c r="C1656" s="26" t="s">
        <v>1220</v>
      </c>
    </row>
    <row r="1657" spans="1:3" x14ac:dyDescent="0.25">
      <c r="A1657" s="36">
        <v>41348</v>
      </c>
      <c r="B1657" s="122">
        <v>1.8333333333333333E-2</v>
      </c>
      <c r="C1657" s="26" t="s">
        <v>1221</v>
      </c>
    </row>
    <row r="1658" spans="1:3" x14ac:dyDescent="0.25">
      <c r="A1658" s="36">
        <v>41348</v>
      </c>
      <c r="B1658" s="122">
        <v>1.8333333333333333E-2</v>
      </c>
      <c r="C1658" s="26" t="s">
        <v>1222</v>
      </c>
    </row>
    <row r="1659" spans="1:3" x14ac:dyDescent="0.25">
      <c r="A1659" s="36">
        <v>41348</v>
      </c>
      <c r="B1659" s="122">
        <v>1.8333333333333333E-2</v>
      </c>
      <c r="C1659" s="26" t="s">
        <v>1223</v>
      </c>
    </row>
    <row r="1660" spans="1:3" x14ac:dyDescent="0.25">
      <c r="A1660" s="36">
        <v>41348</v>
      </c>
      <c r="B1660" s="122">
        <v>1.8333333333333333E-2</v>
      </c>
      <c r="C1660" s="26" t="s">
        <v>1223</v>
      </c>
    </row>
    <row r="1661" spans="1:3" x14ac:dyDescent="0.25">
      <c r="A1661" s="36">
        <v>41348</v>
      </c>
      <c r="B1661" s="122">
        <v>1.8333333333333333E-2</v>
      </c>
      <c r="C1661" s="26" t="s">
        <v>1224</v>
      </c>
    </row>
    <row r="1662" spans="1:3" x14ac:dyDescent="0.25">
      <c r="A1662" s="36">
        <v>41348</v>
      </c>
      <c r="B1662" s="122">
        <v>1.8333333333333333E-2</v>
      </c>
      <c r="C1662" s="26" t="s">
        <v>1225</v>
      </c>
    </row>
    <row r="1663" spans="1:3" x14ac:dyDescent="0.25">
      <c r="A1663" s="36">
        <v>41348</v>
      </c>
      <c r="B1663" s="122">
        <v>1.8333333333333333E-2</v>
      </c>
      <c r="C1663" s="26" t="s">
        <v>1225</v>
      </c>
    </row>
    <row r="1664" spans="1:3" x14ac:dyDescent="0.25">
      <c r="A1664" s="36">
        <v>41348</v>
      </c>
      <c r="B1664" s="122">
        <v>1.8333333333333333E-2</v>
      </c>
      <c r="C1664" s="26" t="s">
        <v>1190</v>
      </c>
    </row>
    <row r="1665" spans="1:3" x14ac:dyDescent="0.25">
      <c r="A1665" s="36">
        <v>41348</v>
      </c>
      <c r="B1665" s="122">
        <v>1.8333333333333333E-2</v>
      </c>
      <c r="C1665" s="26" t="s">
        <v>1226</v>
      </c>
    </row>
    <row r="1666" spans="1:3" x14ac:dyDescent="0.25">
      <c r="A1666" s="36">
        <v>41348</v>
      </c>
      <c r="B1666" s="122">
        <v>1.8333333333333333E-2</v>
      </c>
      <c r="C1666" s="26" t="s">
        <v>1227</v>
      </c>
    </row>
    <row r="1667" spans="1:3" x14ac:dyDescent="0.25">
      <c r="A1667" s="36">
        <v>41348</v>
      </c>
      <c r="B1667" s="122">
        <v>1.8333333333333333E-2</v>
      </c>
      <c r="C1667" s="26" t="s">
        <v>1228</v>
      </c>
    </row>
    <row r="1668" spans="1:3" x14ac:dyDescent="0.25">
      <c r="A1668" s="36">
        <v>41348</v>
      </c>
      <c r="B1668" s="122">
        <v>1.8333333333333333E-2</v>
      </c>
      <c r="C1668" s="26" t="s">
        <v>1228</v>
      </c>
    </row>
    <row r="1669" spans="1:3" x14ac:dyDescent="0.25">
      <c r="A1669" s="36">
        <v>41348</v>
      </c>
      <c r="B1669" s="122">
        <v>1.8333333333333333E-2</v>
      </c>
      <c r="C1669" s="26" t="s">
        <v>1229</v>
      </c>
    </row>
    <row r="1670" spans="1:3" x14ac:dyDescent="0.25">
      <c r="A1670" s="36">
        <v>41348</v>
      </c>
      <c r="B1670" s="122">
        <v>1.8333333333333333E-2</v>
      </c>
      <c r="C1670" s="26" t="s">
        <v>1230</v>
      </c>
    </row>
    <row r="1671" spans="1:3" x14ac:dyDescent="0.25">
      <c r="A1671" s="36">
        <v>41348</v>
      </c>
      <c r="B1671" s="122">
        <v>1.8333333333333333E-2</v>
      </c>
      <c r="C1671" s="26" t="s">
        <v>1230</v>
      </c>
    </row>
    <row r="1672" spans="1:3" x14ac:dyDescent="0.25">
      <c r="A1672" s="36">
        <v>41348</v>
      </c>
      <c r="B1672" s="122">
        <v>1.8333333333333333E-2</v>
      </c>
      <c r="C1672" s="26" t="s">
        <v>1179</v>
      </c>
    </row>
    <row r="1673" spans="1:3" x14ac:dyDescent="0.25">
      <c r="A1673" s="36">
        <v>41348</v>
      </c>
      <c r="B1673" s="122">
        <v>1.8333333333333333E-2</v>
      </c>
      <c r="C1673" s="26" t="s">
        <v>1151</v>
      </c>
    </row>
    <row r="1674" spans="1:3" x14ac:dyDescent="0.25">
      <c r="A1674" s="36">
        <v>41348</v>
      </c>
      <c r="B1674" s="122">
        <v>1.8333333333333333E-2</v>
      </c>
      <c r="C1674" s="26" t="s">
        <v>1231</v>
      </c>
    </row>
    <row r="1675" spans="1:3" x14ac:dyDescent="0.25">
      <c r="A1675" s="36">
        <v>41348</v>
      </c>
      <c r="B1675" s="122">
        <v>1.8333333333333333E-2</v>
      </c>
      <c r="C1675" s="26" t="s">
        <v>1232</v>
      </c>
    </row>
    <row r="1676" spans="1:3" x14ac:dyDescent="0.25">
      <c r="A1676" s="36">
        <v>41348</v>
      </c>
      <c r="B1676" s="122">
        <v>1.8333333333333333E-2</v>
      </c>
      <c r="C1676" s="26" t="s">
        <v>1233</v>
      </c>
    </row>
    <row r="1677" spans="1:3" x14ac:dyDescent="0.25">
      <c r="A1677" s="36">
        <v>41348</v>
      </c>
      <c r="B1677" s="122">
        <v>1.8333333333333333E-2</v>
      </c>
      <c r="C1677" s="26" t="s">
        <v>1191</v>
      </c>
    </row>
    <row r="1678" spans="1:3" x14ac:dyDescent="0.25">
      <c r="A1678" s="36">
        <v>41348</v>
      </c>
      <c r="B1678" s="122">
        <v>1.8333333333333333E-2</v>
      </c>
      <c r="C1678" s="26" t="s">
        <v>1234</v>
      </c>
    </row>
    <row r="1679" spans="1:3" x14ac:dyDescent="0.25">
      <c r="A1679" s="36">
        <v>41348</v>
      </c>
      <c r="B1679" s="122">
        <v>1.8333333333333333E-2</v>
      </c>
      <c r="C1679" s="26" t="s">
        <v>1235</v>
      </c>
    </row>
    <row r="1680" spans="1:3" x14ac:dyDescent="0.25">
      <c r="A1680" s="36">
        <v>41348</v>
      </c>
      <c r="B1680" s="122">
        <v>1.8333333333333333E-2</v>
      </c>
      <c r="C1680" s="26" t="s">
        <v>1236</v>
      </c>
    </row>
    <row r="1681" spans="1:3" x14ac:dyDescent="0.25">
      <c r="A1681" s="36">
        <v>41348</v>
      </c>
      <c r="B1681" s="122">
        <v>1.8333333333333333E-2</v>
      </c>
      <c r="C1681" s="26" t="s">
        <v>1237</v>
      </c>
    </row>
    <row r="1682" spans="1:3" x14ac:dyDescent="0.25">
      <c r="A1682" s="36">
        <v>41348</v>
      </c>
      <c r="B1682" s="122">
        <v>1.8333333333333333E-2</v>
      </c>
      <c r="C1682" s="26" t="s">
        <v>1213</v>
      </c>
    </row>
    <row r="1683" spans="1:3" x14ac:dyDescent="0.25">
      <c r="A1683" s="36">
        <v>41348</v>
      </c>
      <c r="B1683" s="122">
        <v>1.8333333333333333E-2</v>
      </c>
      <c r="C1683" s="26" t="s">
        <v>1232</v>
      </c>
    </row>
    <row r="1684" spans="1:3" x14ac:dyDescent="0.25">
      <c r="A1684" s="36">
        <v>41348</v>
      </c>
      <c r="B1684" s="122">
        <v>1.8333333333333333E-2</v>
      </c>
      <c r="C1684" s="26" t="s">
        <v>1238</v>
      </c>
    </row>
    <row r="1685" spans="1:3" x14ac:dyDescent="0.25">
      <c r="A1685" s="36">
        <v>41348</v>
      </c>
      <c r="B1685" s="122">
        <v>1.8333333333333333E-2</v>
      </c>
      <c r="C1685" s="26" t="s">
        <v>1239</v>
      </c>
    </row>
    <row r="1686" spans="1:3" x14ac:dyDescent="0.25">
      <c r="A1686" s="36">
        <v>41348</v>
      </c>
      <c r="B1686" s="122">
        <v>1.8333333333333333E-2</v>
      </c>
      <c r="C1686" s="26" t="s">
        <v>1151</v>
      </c>
    </row>
    <row r="1687" spans="1:3" x14ac:dyDescent="0.25">
      <c r="A1687" s="36">
        <v>41348</v>
      </c>
      <c r="B1687" s="122">
        <v>1.8333333333333333E-2</v>
      </c>
      <c r="C1687" s="26" t="s">
        <v>1240</v>
      </c>
    </row>
    <row r="1688" spans="1:3" x14ac:dyDescent="0.25">
      <c r="A1688" s="36">
        <v>41348</v>
      </c>
      <c r="B1688" s="122">
        <v>1.8333333333333333E-2</v>
      </c>
      <c r="C1688" s="26" t="s">
        <v>1240</v>
      </c>
    </row>
    <row r="1689" spans="1:3" x14ac:dyDescent="0.25">
      <c r="A1689" s="36">
        <v>41348</v>
      </c>
      <c r="B1689" s="122">
        <v>1.8333333333333333E-2</v>
      </c>
      <c r="C1689" s="26" t="s">
        <v>1240</v>
      </c>
    </row>
    <row r="1690" spans="1:3" x14ac:dyDescent="0.25">
      <c r="A1690" s="36">
        <v>41348</v>
      </c>
      <c r="B1690" s="122">
        <v>1.8333333333333333E-2</v>
      </c>
      <c r="C1690" s="26" t="s">
        <v>1241</v>
      </c>
    </row>
    <row r="1691" spans="1:3" x14ac:dyDescent="0.25">
      <c r="A1691" s="36">
        <v>41348</v>
      </c>
      <c r="B1691" s="122">
        <v>1.8333333333333333E-2</v>
      </c>
      <c r="C1691" s="26" t="s">
        <v>1242</v>
      </c>
    </row>
    <row r="1692" spans="1:3" x14ac:dyDescent="0.25">
      <c r="A1692" s="36">
        <v>41348</v>
      </c>
      <c r="B1692" s="122">
        <v>1.8333333333333333E-2</v>
      </c>
      <c r="C1692" s="26" t="s">
        <v>1243</v>
      </c>
    </row>
    <row r="1693" spans="1:3" x14ac:dyDescent="0.25">
      <c r="A1693" s="36">
        <v>41348</v>
      </c>
      <c r="B1693" s="122">
        <v>1.8333333333333333E-2</v>
      </c>
      <c r="C1693" s="26" t="s">
        <v>1244</v>
      </c>
    </row>
    <row r="1694" spans="1:3" x14ac:dyDescent="0.25">
      <c r="A1694" s="36">
        <v>41348</v>
      </c>
      <c r="B1694" s="122">
        <v>1.8333333333333333E-2</v>
      </c>
      <c r="C1694" s="26" t="s">
        <v>1245</v>
      </c>
    </row>
    <row r="1695" spans="1:3" x14ac:dyDescent="0.25">
      <c r="A1695" s="36">
        <v>41348</v>
      </c>
      <c r="B1695" s="122">
        <v>1.8333333333333333E-2</v>
      </c>
      <c r="C1695" s="26" t="s">
        <v>1246</v>
      </c>
    </row>
    <row r="1696" spans="1:3" x14ac:dyDescent="0.25">
      <c r="A1696" s="36">
        <v>41348</v>
      </c>
      <c r="B1696" s="122">
        <v>1.8333333333333333E-2</v>
      </c>
      <c r="C1696" s="26" t="s">
        <v>1247</v>
      </c>
    </row>
    <row r="1697" spans="1:3" x14ac:dyDescent="0.25">
      <c r="A1697" s="36">
        <v>41348</v>
      </c>
      <c r="B1697" s="122">
        <v>1.8333333333333333E-2</v>
      </c>
      <c r="C1697" s="26" t="s">
        <v>1232</v>
      </c>
    </row>
    <row r="1698" spans="1:3" x14ac:dyDescent="0.25">
      <c r="A1698" s="36">
        <v>41348</v>
      </c>
      <c r="B1698" s="122">
        <v>1.8333333333333333E-2</v>
      </c>
      <c r="C1698" s="26" t="s">
        <v>1248</v>
      </c>
    </row>
    <row r="1699" spans="1:3" x14ac:dyDescent="0.25">
      <c r="A1699" s="36">
        <v>41348</v>
      </c>
      <c r="B1699" s="122">
        <v>1.8333333333333333E-2</v>
      </c>
      <c r="C1699" s="26" t="s">
        <v>1249</v>
      </c>
    </row>
    <row r="1700" spans="1:3" x14ac:dyDescent="0.25">
      <c r="A1700" s="36">
        <v>41348</v>
      </c>
      <c r="B1700" s="122">
        <v>1.8333333333333333E-2</v>
      </c>
      <c r="C1700" s="26" t="s">
        <v>1232</v>
      </c>
    </row>
    <row r="1701" spans="1:3" x14ac:dyDescent="0.25">
      <c r="A1701" s="36">
        <v>41348</v>
      </c>
      <c r="B1701" s="122">
        <v>1.8333333333333333E-2</v>
      </c>
      <c r="C1701" s="26" t="s">
        <v>1241</v>
      </c>
    </row>
    <row r="1702" spans="1:3" x14ac:dyDescent="0.25">
      <c r="A1702" s="36">
        <v>41348</v>
      </c>
      <c r="B1702" s="122">
        <v>1.8333333333333333E-2</v>
      </c>
      <c r="C1702" s="26" t="s">
        <v>1250</v>
      </c>
    </row>
    <row r="1703" spans="1:3" x14ac:dyDescent="0.25">
      <c r="A1703" s="36">
        <v>41348</v>
      </c>
      <c r="B1703" s="122">
        <v>1.8333333333333333E-2</v>
      </c>
      <c r="C1703" s="26" t="s">
        <v>1250</v>
      </c>
    </row>
    <row r="1704" spans="1:3" x14ac:dyDescent="0.25">
      <c r="A1704" s="36">
        <v>41348</v>
      </c>
      <c r="B1704" s="122">
        <v>1.8333333333333333E-2</v>
      </c>
      <c r="C1704" s="26" t="s">
        <v>1232</v>
      </c>
    </row>
    <row r="1705" spans="1:3" x14ac:dyDescent="0.25">
      <c r="A1705" s="36">
        <v>41348</v>
      </c>
      <c r="B1705" s="122">
        <v>1.8333333333333333E-2</v>
      </c>
      <c r="C1705" s="26" t="s">
        <v>1251</v>
      </c>
    </row>
    <row r="1706" spans="1:3" x14ac:dyDescent="0.25">
      <c r="A1706" s="36">
        <v>41348</v>
      </c>
      <c r="B1706" s="122">
        <v>1.8333333333333333E-2</v>
      </c>
      <c r="C1706" s="26" t="s">
        <v>1251</v>
      </c>
    </row>
    <row r="1707" spans="1:3" x14ac:dyDescent="0.25">
      <c r="A1707" s="36">
        <v>41348</v>
      </c>
      <c r="B1707" s="122">
        <v>1.8333333333333333E-2</v>
      </c>
      <c r="C1707" s="26" t="s">
        <v>1252</v>
      </c>
    </row>
    <row r="1708" spans="1:3" x14ac:dyDescent="0.25">
      <c r="A1708" s="36">
        <v>41348</v>
      </c>
      <c r="B1708" s="122">
        <v>1.8333333333333333E-2</v>
      </c>
      <c r="C1708" s="26" t="s">
        <v>1253</v>
      </c>
    </row>
    <row r="1709" spans="1:3" x14ac:dyDescent="0.25">
      <c r="A1709" s="36">
        <v>41348</v>
      </c>
      <c r="B1709" s="122">
        <v>1.8333333333333333E-2</v>
      </c>
      <c r="C1709" s="26" t="s">
        <v>1254</v>
      </c>
    </row>
    <row r="1710" spans="1:3" x14ac:dyDescent="0.25">
      <c r="A1710" s="36">
        <v>41348</v>
      </c>
      <c r="B1710" s="122">
        <v>1.8333333333333333E-2</v>
      </c>
      <c r="C1710" s="26" t="s">
        <v>1255</v>
      </c>
    </row>
    <row r="1711" spans="1:3" x14ac:dyDescent="0.25">
      <c r="A1711" s="36">
        <v>41348</v>
      </c>
      <c r="B1711" s="122">
        <v>1.8333333333333333E-2</v>
      </c>
      <c r="C1711" s="26" t="s">
        <v>1256</v>
      </c>
    </row>
    <row r="1712" spans="1:3" x14ac:dyDescent="0.25">
      <c r="A1712" s="36">
        <v>41348</v>
      </c>
      <c r="B1712" s="122">
        <v>1.8333333333333333E-2</v>
      </c>
      <c r="C1712" s="26" t="s">
        <v>1257</v>
      </c>
    </row>
    <row r="1713" spans="1:3" x14ac:dyDescent="0.25">
      <c r="A1713" s="36">
        <v>41348</v>
      </c>
      <c r="B1713" s="122">
        <v>1.8333333333333333E-2</v>
      </c>
      <c r="C1713" s="26" t="s">
        <v>1258</v>
      </c>
    </row>
    <row r="1714" spans="1:3" x14ac:dyDescent="0.25">
      <c r="A1714" s="36">
        <v>41348</v>
      </c>
      <c r="B1714" s="122">
        <v>1.8333333333333333E-2</v>
      </c>
      <c r="C1714" s="26" t="s">
        <v>1259</v>
      </c>
    </row>
    <row r="1715" spans="1:3" x14ac:dyDescent="0.25">
      <c r="A1715" s="36">
        <v>41348</v>
      </c>
      <c r="B1715" s="122">
        <v>1.8333333333333333E-2</v>
      </c>
      <c r="C1715" s="26" t="s">
        <v>1260</v>
      </c>
    </row>
    <row r="1716" spans="1:3" x14ac:dyDescent="0.25">
      <c r="A1716" s="36">
        <v>41348</v>
      </c>
      <c r="B1716" s="122">
        <v>1.8333333333333333E-2</v>
      </c>
      <c r="C1716" s="26" t="s">
        <v>1261</v>
      </c>
    </row>
    <row r="1717" spans="1:3" x14ac:dyDescent="0.25">
      <c r="A1717" s="36">
        <v>41348</v>
      </c>
      <c r="B1717" s="122">
        <v>1.8333333333333333E-2</v>
      </c>
      <c r="C1717" s="26" t="s">
        <v>1262</v>
      </c>
    </row>
    <row r="1718" spans="1:3" x14ac:dyDescent="0.25">
      <c r="A1718" s="36">
        <v>41348</v>
      </c>
      <c r="B1718" s="122">
        <v>1.8333333333333333E-2</v>
      </c>
      <c r="C1718" s="26" t="s">
        <v>1263</v>
      </c>
    </row>
    <row r="1719" spans="1:3" x14ac:dyDescent="0.25">
      <c r="A1719" s="36">
        <v>41348</v>
      </c>
      <c r="B1719" s="122">
        <v>1.8333333333333333E-2</v>
      </c>
      <c r="C1719" s="26" t="s">
        <v>1263</v>
      </c>
    </row>
    <row r="1720" spans="1:3" x14ac:dyDescent="0.25">
      <c r="A1720" s="36">
        <v>41348</v>
      </c>
      <c r="B1720" s="122">
        <v>1.8333333333333333E-2</v>
      </c>
      <c r="C1720" s="26" t="s">
        <v>1263</v>
      </c>
    </row>
    <row r="1721" spans="1:3" x14ac:dyDescent="0.25">
      <c r="A1721" s="36">
        <v>41348</v>
      </c>
      <c r="B1721" s="122">
        <v>1.8333333333333333E-2</v>
      </c>
      <c r="C1721" s="26" t="s">
        <v>1264</v>
      </c>
    </row>
    <row r="1722" spans="1:3" x14ac:dyDescent="0.25">
      <c r="A1722" s="36">
        <v>41348</v>
      </c>
      <c r="B1722" s="122">
        <v>1.8333333333333333E-2</v>
      </c>
      <c r="C1722" s="26" t="s">
        <v>1151</v>
      </c>
    </row>
    <row r="1723" spans="1:3" x14ac:dyDescent="0.25">
      <c r="A1723" s="36">
        <v>41348</v>
      </c>
      <c r="B1723" s="122">
        <v>1.8333333333333333E-2</v>
      </c>
      <c r="C1723" s="26" t="s">
        <v>1248</v>
      </c>
    </row>
    <row r="1724" spans="1:3" x14ac:dyDescent="0.25">
      <c r="A1724" s="36">
        <v>41348</v>
      </c>
      <c r="B1724" s="122">
        <v>1.8333333333333333E-2</v>
      </c>
      <c r="C1724" s="26" t="s">
        <v>1265</v>
      </c>
    </row>
    <row r="1725" spans="1:3" x14ac:dyDescent="0.25">
      <c r="A1725" s="36">
        <v>41348</v>
      </c>
      <c r="B1725" s="122">
        <v>1.8333333333333333E-2</v>
      </c>
      <c r="C1725" s="26" t="s">
        <v>1232</v>
      </c>
    </row>
    <row r="1726" spans="1:3" x14ac:dyDescent="0.25">
      <c r="A1726" s="36">
        <v>41348</v>
      </c>
      <c r="B1726" s="122">
        <v>1.8333333333333333E-2</v>
      </c>
      <c r="C1726" s="26" t="s">
        <v>1266</v>
      </c>
    </row>
    <row r="1727" spans="1:3" x14ac:dyDescent="0.25">
      <c r="A1727" s="36">
        <v>41348</v>
      </c>
      <c r="B1727" s="122">
        <v>1.8333333333333333E-2</v>
      </c>
      <c r="C1727" s="26" t="s">
        <v>1267</v>
      </c>
    </row>
    <row r="1728" spans="1:3" x14ac:dyDescent="0.25">
      <c r="A1728" s="36">
        <v>41348</v>
      </c>
      <c r="B1728" s="122">
        <v>1.8333333333333333E-2</v>
      </c>
      <c r="C1728" s="26" t="s">
        <v>1184</v>
      </c>
    </row>
    <row r="1729" spans="1:3" x14ac:dyDescent="0.25">
      <c r="A1729" s="36">
        <v>41348</v>
      </c>
      <c r="B1729" s="122">
        <v>1.8333333333333333E-2</v>
      </c>
      <c r="C1729" s="26" t="s">
        <v>1184</v>
      </c>
    </row>
    <row r="1730" spans="1:3" x14ac:dyDescent="0.25">
      <c r="A1730" s="36">
        <v>41348</v>
      </c>
      <c r="B1730" s="122">
        <v>1.8333333333333333E-2</v>
      </c>
      <c r="C1730" s="26" t="s">
        <v>1184</v>
      </c>
    </row>
    <row r="1731" spans="1:3" x14ac:dyDescent="0.25">
      <c r="A1731" s="36">
        <v>41348</v>
      </c>
      <c r="B1731" s="122">
        <v>1.8333333333333333E-2</v>
      </c>
      <c r="C1731" s="26" t="s">
        <v>1232</v>
      </c>
    </row>
    <row r="1732" spans="1:3" x14ac:dyDescent="0.25">
      <c r="A1732" s="36">
        <v>41348</v>
      </c>
      <c r="B1732" s="122">
        <v>1.8333333333333333E-2</v>
      </c>
      <c r="C1732" s="26" t="s">
        <v>1268</v>
      </c>
    </row>
    <row r="1733" spans="1:3" x14ac:dyDescent="0.25">
      <c r="A1733" s="36">
        <v>41348</v>
      </c>
      <c r="B1733" s="122">
        <v>1.8333333333333333E-2</v>
      </c>
      <c r="C1733" s="26" t="s">
        <v>1269</v>
      </c>
    </row>
    <row r="1734" spans="1:3" x14ac:dyDescent="0.25">
      <c r="A1734" s="36">
        <v>41348</v>
      </c>
      <c r="B1734" s="122">
        <v>1.8333333333333333E-2</v>
      </c>
      <c r="C1734" s="26" t="s">
        <v>1269</v>
      </c>
    </row>
    <row r="1735" spans="1:3" x14ac:dyDescent="0.25">
      <c r="A1735" s="36">
        <v>41348</v>
      </c>
      <c r="B1735" s="122">
        <v>1.8333333333333333E-2</v>
      </c>
      <c r="C1735" s="26" t="s">
        <v>1270</v>
      </c>
    </row>
    <row r="1736" spans="1:3" x14ac:dyDescent="0.25">
      <c r="A1736" s="36">
        <v>41348</v>
      </c>
      <c r="B1736" s="122">
        <v>1.8333333333333333E-2</v>
      </c>
      <c r="C1736" s="26" t="s">
        <v>1270</v>
      </c>
    </row>
    <row r="1737" spans="1:3" x14ac:dyDescent="0.25">
      <c r="A1737" s="36">
        <v>41348</v>
      </c>
      <c r="B1737" s="122">
        <v>1.8333333333333333E-2</v>
      </c>
      <c r="C1737" s="26" t="s">
        <v>1271</v>
      </c>
    </row>
    <row r="1738" spans="1:3" x14ac:dyDescent="0.25">
      <c r="A1738" s="36">
        <v>41348</v>
      </c>
      <c r="B1738" s="122">
        <v>1.8333333333333333E-2</v>
      </c>
      <c r="C1738" s="26" t="s">
        <v>1272</v>
      </c>
    </row>
    <row r="1739" spans="1:3" x14ac:dyDescent="0.25">
      <c r="A1739" s="36">
        <v>41348</v>
      </c>
      <c r="B1739" s="122">
        <v>1.8333333333333333E-2</v>
      </c>
      <c r="C1739" s="26" t="s">
        <v>1273</v>
      </c>
    </row>
    <row r="1740" spans="1:3" x14ac:dyDescent="0.25">
      <c r="A1740" s="36">
        <v>41348</v>
      </c>
      <c r="B1740" s="122">
        <v>1.8333333333333333E-2</v>
      </c>
      <c r="C1740" s="26" t="s">
        <v>1274</v>
      </c>
    </row>
    <row r="1741" spans="1:3" x14ac:dyDescent="0.25">
      <c r="A1741" s="36">
        <v>41348</v>
      </c>
      <c r="B1741" s="122">
        <v>1.8333333333333333E-2</v>
      </c>
      <c r="C1741" s="26" t="s">
        <v>1274</v>
      </c>
    </row>
    <row r="1742" spans="1:3" x14ac:dyDescent="0.25">
      <c r="A1742" s="36">
        <v>41348</v>
      </c>
      <c r="B1742" s="122">
        <v>1.8333333333333333E-2</v>
      </c>
      <c r="C1742" s="26" t="s">
        <v>1274</v>
      </c>
    </row>
    <row r="1743" spans="1:3" x14ac:dyDescent="0.25">
      <c r="A1743" s="36">
        <v>41348</v>
      </c>
      <c r="B1743" s="122">
        <v>1.8333333333333333E-2</v>
      </c>
      <c r="C1743" s="26" t="s">
        <v>1274</v>
      </c>
    </row>
    <row r="1744" spans="1:3" x14ac:dyDescent="0.25">
      <c r="A1744" s="36">
        <v>41348</v>
      </c>
      <c r="B1744" s="122">
        <v>1.8333333333333333E-2</v>
      </c>
      <c r="C1744" s="26" t="s">
        <v>1274</v>
      </c>
    </row>
    <row r="1745" spans="1:3" x14ac:dyDescent="0.25">
      <c r="A1745" s="36">
        <v>41348</v>
      </c>
      <c r="B1745" s="122">
        <v>1.8333333333333333E-2</v>
      </c>
      <c r="C1745" s="26" t="s">
        <v>1274</v>
      </c>
    </row>
    <row r="1746" spans="1:3" x14ac:dyDescent="0.25">
      <c r="A1746" s="36">
        <v>41348</v>
      </c>
      <c r="B1746" s="122">
        <v>1.8333333333333333E-2</v>
      </c>
      <c r="C1746" s="26" t="s">
        <v>1274</v>
      </c>
    </row>
    <row r="1747" spans="1:3" x14ac:dyDescent="0.25">
      <c r="A1747" s="36">
        <v>41348</v>
      </c>
      <c r="B1747" s="122">
        <v>1.8333333333333333E-2</v>
      </c>
      <c r="C1747" s="26" t="s">
        <v>1275</v>
      </c>
    </row>
    <row r="1748" spans="1:3" x14ac:dyDescent="0.25">
      <c r="A1748" s="36">
        <v>41348</v>
      </c>
      <c r="B1748" s="122">
        <v>1.834490740740741E-2</v>
      </c>
      <c r="C1748" s="26" t="s">
        <v>1367</v>
      </c>
    </row>
    <row r="1749" spans="1:3" x14ac:dyDescent="0.25">
      <c r="A1749" s="36">
        <v>41348</v>
      </c>
      <c r="B1749" s="122">
        <v>3.3043981481481487E-2</v>
      </c>
      <c r="C1749" s="26" t="s">
        <v>1368</v>
      </c>
    </row>
    <row r="1750" spans="1:3" ht="30" x14ac:dyDescent="0.25">
      <c r="A1750" s="36">
        <v>41348</v>
      </c>
      <c r="B1750" s="122">
        <v>3.3449074074074069E-2</v>
      </c>
      <c r="C1750" s="789" t="s">
        <v>1369</v>
      </c>
    </row>
    <row r="1751" spans="1:3" ht="45" x14ac:dyDescent="0.25">
      <c r="A1751" s="36">
        <v>41348</v>
      </c>
      <c r="B1751" s="122">
        <v>3.4571759259259253E-2</v>
      </c>
      <c r="C1751" s="789" t="s">
        <v>1370</v>
      </c>
    </row>
    <row r="1752" spans="1:3" x14ac:dyDescent="0.25">
      <c r="A1752" s="36">
        <v>41348</v>
      </c>
      <c r="B1752" s="122">
        <v>3.5358796296296298E-2</v>
      </c>
      <c r="C1752" s="26" t="s">
        <v>1364</v>
      </c>
    </row>
    <row r="1753" spans="1:3" ht="30" x14ac:dyDescent="0.25">
      <c r="A1753" s="36">
        <v>41348</v>
      </c>
      <c r="B1753" s="122">
        <v>3.5451388888888886E-2</v>
      </c>
      <c r="C1753" s="789" t="s">
        <v>1371</v>
      </c>
    </row>
    <row r="1754" spans="1:3" ht="45" x14ac:dyDescent="0.25">
      <c r="A1754" s="36">
        <v>41348</v>
      </c>
      <c r="B1754" s="122">
        <v>3.5532407407407408E-2</v>
      </c>
      <c r="C1754" s="789" t="s">
        <v>1372</v>
      </c>
    </row>
    <row r="1755" spans="1:3" x14ac:dyDescent="0.25">
      <c r="A1755" s="36">
        <v>41348</v>
      </c>
      <c r="B1755" s="122">
        <v>6.1076388888888888E-2</v>
      </c>
      <c r="C1755" s="26" t="s">
        <v>1373</v>
      </c>
    </row>
    <row r="1756" spans="1:3" ht="30" x14ac:dyDescent="0.25">
      <c r="A1756" s="36">
        <v>41348</v>
      </c>
      <c r="B1756" s="122">
        <v>6.1458333333333337E-2</v>
      </c>
      <c r="C1756" s="789" t="s">
        <v>1374</v>
      </c>
    </row>
    <row r="1757" spans="1:3" ht="45" x14ac:dyDescent="0.25">
      <c r="A1757" s="36">
        <v>41348</v>
      </c>
      <c r="B1757" s="122">
        <v>6.2916666666666662E-2</v>
      </c>
      <c r="C1757" s="789" t="s">
        <v>1375</v>
      </c>
    </row>
    <row r="1758" spans="1:3" x14ac:dyDescent="0.25">
      <c r="A1758" s="36">
        <v>41348</v>
      </c>
      <c r="B1758" s="122">
        <v>7.1365740740740743E-2</v>
      </c>
      <c r="C1758" s="26" t="s">
        <v>1376</v>
      </c>
    </row>
    <row r="1759" spans="1:3" ht="30" x14ac:dyDescent="0.25">
      <c r="A1759" s="36">
        <v>41348</v>
      </c>
      <c r="B1759" s="122">
        <v>7.1736111111111112E-2</v>
      </c>
      <c r="C1759" s="789" t="s">
        <v>1377</v>
      </c>
    </row>
    <row r="1760" spans="1:3" ht="45" x14ac:dyDescent="0.25">
      <c r="A1760" s="36">
        <v>41348</v>
      </c>
      <c r="B1760" s="122">
        <v>7.3229166666666665E-2</v>
      </c>
      <c r="C1760" s="789" t="s">
        <v>1378</v>
      </c>
    </row>
    <row r="1761" spans="1:3" x14ac:dyDescent="0.25">
      <c r="A1761" s="36">
        <v>41348</v>
      </c>
      <c r="B1761" s="122">
        <v>7.4375000000000011E-2</v>
      </c>
      <c r="C1761" s="26" t="s">
        <v>1364</v>
      </c>
    </row>
    <row r="1762" spans="1:3" ht="30" x14ac:dyDescent="0.25">
      <c r="A1762" s="36">
        <v>41348</v>
      </c>
      <c r="B1762" s="122">
        <v>7.4456018518518519E-2</v>
      </c>
      <c r="C1762" s="789" t="s">
        <v>1379</v>
      </c>
    </row>
    <row r="1763" spans="1:3" ht="45" x14ac:dyDescent="0.25">
      <c r="A1763" s="36">
        <v>41348</v>
      </c>
      <c r="B1763" s="122">
        <v>7.4548611111111107E-2</v>
      </c>
      <c r="C1763" s="789" t="s">
        <v>1380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3"/>
  <sheetViews>
    <sheetView zoomScale="85" zoomScaleNormal="85" workbookViewId="0">
      <pane xSplit="1" ySplit="5" topLeftCell="B99" activePane="bottomRight" state="frozen"/>
      <selection pane="topRight" activeCell="B1" sqref="B1"/>
      <selection pane="bottomLeft" activeCell="A6" sqref="A6"/>
      <selection pane="bottomRight" activeCell="D48" sqref="D48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41311</v>
      </c>
    </row>
    <row r="2" spans="1:38" s="315" customFormat="1" ht="19.5" x14ac:dyDescent="0.3">
      <c r="C2" s="316" t="s">
        <v>694</v>
      </c>
    </row>
    <row r="3" spans="1:38" s="315" customFormat="1" x14ac:dyDescent="0.25"/>
    <row r="4" spans="1:38" s="315" customFormat="1" ht="15.75" thickBot="1" x14ac:dyDescent="0.3">
      <c r="A4" s="315" t="s">
        <v>773</v>
      </c>
    </row>
    <row r="5" spans="1:38" s="315" customFormat="1" ht="23.25" thickBot="1" x14ac:dyDescent="0.3">
      <c r="A5" s="254" t="s">
        <v>780</v>
      </c>
      <c r="B5" s="317" t="s">
        <v>695</v>
      </c>
      <c r="C5" s="318" t="s">
        <v>568</v>
      </c>
      <c r="D5" s="318" t="s">
        <v>696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697</v>
      </c>
      <c r="L5" s="323" t="s">
        <v>698</v>
      </c>
      <c r="M5" s="323" t="s">
        <v>699</v>
      </c>
      <c r="N5" s="324" t="s">
        <v>700</v>
      </c>
      <c r="O5" s="324" t="s">
        <v>701</v>
      </c>
      <c r="P5" s="324" t="s">
        <v>702</v>
      </c>
      <c r="Q5" s="324" t="s">
        <v>703</v>
      </c>
      <c r="R5" s="324" t="s">
        <v>704</v>
      </c>
      <c r="S5" s="323" t="s">
        <v>0</v>
      </c>
      <c r="T5" s="322" t="s">
        <v>2</v>
      </c>
      <c r="U5" s="322" t="s">
        <v>705</v>
      </c>
      <c r="V5" s="322" t="s">
        <v>706</v>
      </c>
      <c r="W5" s="322" t="s">
        <v>1</v>
      </c>
      <c r="X5" s="322" t="s">
        <v>707</v>
      </c>
      <c r="Y5" s="322" t="s">
        <v>708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6" t="s">
        <v>57</v>
      </c>
      <c r="AE5" s="723" t="s">
        <v>993</v>
      </c>
      <c r="AF5" s="722" t="s">
        <v>354</v>
      </c>
      <c r="AG5" s="745" t="s">
        <v>1043</v>
      </c>
      <c r="AH5" s="745" t="s">
        <v>1044</v>
      </c>
      <c r="AI5" s="745" t="s">
        <v>1040</v>
      </c>
      <c r="AJ5" s="745" t="s">
        <v>952</v>
      </c>
      <c r="AK5" s="722" t="s">
        <v>117</v>
      </c>
      <c r="AL5" s="722" t="s">
        <v>206</v>
      </c>
    </row>
    <row r="6" spans="1:38" s="315" customFormat="1" x14ac:dyDescent="0.25">
      <c r="A6" s="255" t="s">
        <v>781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7" t="s">
        <v>862</v>
      </c>
      <c r="AF6" s="697" t="s">
        <v>862</v>
      </c>
      <c r="AG6" s="697" t="s">
        <v>862</v>
      </c>
      <c r="AH6" s="697" t="s">
        <v>862</v>
      </c>
      <c r="AI6" s="697" t="s">
        <v>862</v>
      </c>
      <c r="AJ6" s="697" t="s">
        <v>862</v>
      </c>
      <c r="AK6" s="697" t="s">
        <v>862</v>
      </c>
      <c r="AL6" s="697" t="s">
        <v>862</v>
      </c>
    </row>
    <row r="7" spans="1:38" s="315" customFormat="1" x14ac:dyDescent="0.25">
      <c r="A7" s="254" t="s">
        <v>782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1007</v>
      </c>
      <c r="AL7" s="328" t="s">
        <v>1007</v>
      </c>
    </row>
    <row r="8" spans="1:38" s="315" customFormat="1" x14ac:dyDescent="0.25">
      <c r="A8" s="254" t="s">
        <v>783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2" customFormat="1" ht="38.25" x14ac:dyDescent="0.25">
      <c r="A9" s="254" t="s">
        <v>784</v>
      </c>
      <c r="B9" s="349"/>
      <c r="C9" s="349"/>
      <c r="D9" s="349"/>
      <c r="E9" s="349"/>
      <c r="G9" s="349"/>
      <c r="H9" s="349"/>
      <c r="K9" s="349"/>
      <c r="L9" s="733"/>
      <c r="M9" s="733"/>
      <c r="N9" s="733"/>
      <c r="O9" s="733"/>
      <c r="P9" s="733"/>
      <c r="Q9" s="733"/>
      <c r="R9" s="733"/>
      <c r="S9" s="733"/>
      <c r="T9" s="733"/>
      <c r="U9" s="734"/>
      <c r="V9" s="733"/>
      <c r="W9" s="733"/>
      <c r="X9" s="733"/>
      <c r="Y9" s="733"/>
      <c r="Z9" s="733"/>
      <c r="AA9" s="733"/>
      <c r="AE9" s="349" t="s">
        <v>994</v>
      </c>
      <c r="AF9" s="735" t="s">
        <v>909</v>
      </c>
      <c r="AG9" s="746" t="s">
        <v>1046</v>
      </c>
      <c r="AH9" s="746" t="s">
        <v>1048</v>
      </c>
      <c r="AI9" s="746" t="s">
        <v>1049</v>
      </c>
      <c r="AJ9" s="746" t="s">
        <v>1050</v>
      </c>
      <c r="AK9" s="736"/>
      <c r="AL9" s="736" t="s">
        <v>1033</v>
      </c>
    </row>
    <row r="10" spans="1:38" s="315" customFormat="1" x14ac:dyDescent="0.25">
      <c r="A10" s="254" t="s">
        <v>785</v>
      </c>
      <c r="B10" s="472" t="s">
        <v>776</v>
      </c>
      <c r="C10" s="472"/>
      <c r="D10" s="472" t="s">
        <v>811</v>
      </c>
      <c r="E10" s="472" t="s">
        <v>812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1029</v>
      </c>
      <c r="AL10" s="472" t="s">
        <v>1029</v>
      </c>
    </row>
    <row r="11" spans="1:38" s="315" customFormat="1" x14ac:dyDescent="0.25">
      <c r="Z11" s="330"/>
    </row>
    <row r="12" spans="1:38" s="315" customFormat="1" x14ac:dyDescent="0.25">
      <c r="A12" s="315" t="s">
        <v>1082</v>
      </c>
      <c r="Z12" s="330"/>
    </row>
    <row r="13" spans="1:38" s="315" customFormat="1" ht="15.75" thickBot="1" x14ac:dyDescent="0.3">
      <c r="B13" s="315" t="s">
        <v>709</v>
      </c>
      <c r="C13" s="315" t="s">
        <v>710</v>
      </c>
      <c r="D13" s="315" t="s">
        <v>710</v>
      </c>
      <c r="E13" s="315" t="s">
        <v>710</v>
      </c>
      <c r="F13" s="315" t="s">
        <v>710</v>
      </c>
      <c r="H13" s="315" t="s">
        <v>710</v>
      </c>
      <c r="I13" s="315" t="s">
        <v>710</v>
      </c>
      <c r="J13" s="315" t="s">
        <v>710</v>
      </c>
      <c r="K13" s="315" t="s">
        <v>710</v>
      </c>
      <c r="R13" s="331" t="s">
        <v>709</v>
      </c>
    </row>
    <row r="14" spans="1:38" s="777" customFormat="1" ht="15.75" thickBot="1" x14ac:dyDescent="0.3">
      <c r="F14" s="778"/>
      <c r="G14" s="779"/>
      <c r="H14" s="778"/>
      <c r="I14" s="334" t="s">
        <v>711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80"/>
      <c r="V14" s="781" t="s">
        <v>1077</v>
      </c>
      <c r="W14" s="776"/>
      <c r="X14" s="776"/>
      <c r="Y14" s="782">
        <f>1 - COUNTIF(A$3:A12,"")/COUNTA(A$3:A12)</f>
        <v>0.75</v>
      </c>
      <c r="Z14" s="781" t="s">
        <v>1081</v>
      </c>
      <c r="AA14" s="332">
        <f>R14-SUMIF(B$1:B12,"1",R$1:R12)</f>
        <v>0</v>
      </c>
      <c r="AB14" s="783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774</v>
      </c>
    </row>
    <row r="17" spans="1:27" s="315" customFormat="1" ht="15.75" thickBot="1" x14ac:dyDescent="0.3">
      <c r="B17" s="315" t="s">
        <v>964</v>
      </c>
    </row>
    <row r="18" spans="1:27" s="349" customFormat="1" ht="60.75" thickBot="1" x14ac:dyDescent="0.3">
      <c r="A18" s="254" t="s">
        <v>780</v>
      </c>
      <c r="B18" s="338" t="s">
        <v>712</v>
      </c>
      <c r="C18" s="339" t="s">
        <v>713</v>
      </c>
      <c r="D18" s="339" t="s">
        <v>714</v>
      </c>
      <c r="E18" s="340" t="s">
        <v>715</v>
      </c>
      <c r="F18" s="341" t="s">
        <v>716</v>
      </c>
      <c r="G18" s="342" t="s">
        <v>717</v>
      </c>
      <c r="H18" s="343" t="s">
        <v>718</v>
      </c>
      <c r="I18" s="344"/>
      <c r="J18" s="345"/>
      <c r="K18" s="346" t="s">
        <v>594</v>
      </c>
      <c r="L18" s="346"/>
      <c r="M18" s="347" t="s">
        <v>595</v>
      </c>
      <c r="N18" s="345" t="s">
        <v>705</v>
      </c>
      <c r="O18" s="345" t="s">
        <v>1</v>
      </c>
      <c r="P18" s="345" t="s">
        <v>58</v>
      </c>
      <c r="Q18" s="345" t="s">
        <v>719</v>
      </c>
      <c r="R18" s="345" t="s">
        <v>720</v>
      </c>
      <c r="S18" s="345" t="s">
        <v>721</v>
      </c>
      <c r="T18" s="346" t="s">
        <v>722</v>
      </c>
      <c r="U18" s="348" t="s">
        <v>723</v>
      </c>
      <c r="V18" s="348" t="s">
        <v>724</v>
      </c>
      <c r="W18" s="348" t="s">
        <v>725</v>
      </c>
      <c r="X18" s="345" t="s">
        <v>726</v>
      </c>
      <c r="Y18" s="345" t="s">
        <v>727</v>
      </c>
      <c r="Z18" s="345" t="s">
        <v>57</v>
      </c>
      <c r="AA18" s="345" t="s">
        <v>728</v>
      </c>
    </row>
    <row r="19" spans="1:27" s="315" customFormat="1" ht="18" customHeight="1" x14ac:dyDescent="0.25">
      <c r="A19" s="255" t="s">
        <v>781</v>
      </c>
      <c r="B19" s="350" t="s">
        <v>70</v>
      </c>
      <c r="C19" s="351" t="s">
        <v>739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2"/>
      <c r="I19" s="661" t="str">
        <f>IF(S19="",TRIM(K19),TRIM(MID(S19,9,55))&amp;"/"&amp;TRIM(K19))</f>
        <v>2009-1-065</v>
      </c>
      <c r="J19" s="356"/>
      <c r="K19" s="357" t="s">
        <v>729</v>
      </c>
      <c r="L19" s="357"/>
      <c r="M19" s="358">
        <v>40058</v>
      </c>
      <c r="N19" s="356" t="s">
        <v>11</v>
      </c>
      <c r="O19" s="356" t="s">
        <v>80</v>
      </c>
      <c r="P19" s="356" t="s">
        <v>730</v>
      </c>
      <c r="Q19" s="356"/>
      <c r="R19" s="356" t="s">
        <v>731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732</v>
      </c>
      <c r="AA19" s="356" t="s">
        <v>733</v>
      </c>
    </row>
    <row r="20" spans="1:27" s="315" customFormat="1" x14ac:dyDescent="0.25">
      <c r="A20" s="254" t="s">
        <v>782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783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784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785</v>
      </c>
      <c r="B23" s="328" t="s">
        <v>776</v>
      </c>
      <c r="C23" s="328" t="s">
        <v>788</v>
      </c>
      <c r="D23" s="315" t="s">
        <v>786</v>
      </c>
      <c r="E23" s="328"/>
      <c r="F23" s="329"/>
      <c r="G23" s="328"/>
      <c r="H23" s="328" t="s">
        <v>787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775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734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711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735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736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737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738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739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740</v>
      </c>
    </row>
    <row r="35" spans="1:26" s="315" customFormat="1" ht="17.25" x14ac:dyDescent="0.4">
      <c r="A35" s="254" t="s">
        <v>780</v>
      </c>
      <c r="B35" s="402" t="s">
        <v>695</v>
      </c>
      <c r="C35" s="403"/>
    </row>
    <row r="36" spans="1:26" s="315" customFormat="1" ht="17.25" x14ac:dyDescent="0.4">
      <c r="A36" s="255" t="s">
        <v>781</v>
      </c>
      <c r="B36" s="404"/>
      <c r="C36" s="403"/>
    </row>
    <row r="37" spans="1:26" s="315" customFormat="1" x14ac:dyDescent="0.25">
      <c r="A37" s="254" t="s">
        <v>782</v>
      </c>
      <c r="B37" s="328">
        <v>0.5</v>
      </c>
      <c r="C37" s="328"/>
    </row>
    <row r="38" spans="1:26" s="315" customFormat="1" x14ac:dyDescent="0.25">
      <c r="A38" s="254" t="s">
        <v>783</v>
      </c>
      <c r="B38" s="328">
        <v>3</v>
      </c>
      <c r="C38" s="328"/>
    </row>
    <row r="39" spans="1:26" s="315" customFormat="1" x14ac:dyDescent="0.25">
      <c r="A39" s="254" t="s">
        <v>784</v>
      </c>
      <c r="B39" s="328"/>
      <c r="C39" s="328"/>
    </row>
    <row r="40" spans="1:26" s="315" customFormat="1" x14ac:dyDescent="0.25">
      <c r="A40" s="254" t="s">
        <v>785</v>
      </c>
      <c r="B40" s="328" t="s">
        <v>776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756</v>
      </c>
    </row>
    <row r="44" spans="1:26" s="408" customFormat="1" x14ac:dyDescent="0.25"/>
    <row r="45" spans="1:26" s="408" customFormat="1" ht="15.75" thickBot="1" x14ac:dyDescent="0.3">
      <c r="A45" s="408" t="s">
        <v>757</v>
      </c>
    </row>
    <row r="46" spans="1:26" s="408" customFormat="1" ht="17.25" x14ac:dyDescent="0.4">
      <c r="A46" s="805" t="s">
        <v>561</v>
      </c>
      <c r="B46" s="254" t="s">
        <v>780</v>
      </c>
      <c r="C46" s="403" t="s">
        <v>758</v>
      </c>
      <c r="D46" s="410" t="s">
        <v>759</v>
      </c>
      <c r="G46" s="408" t="s">
        <v>760</v>
      </c>
    </row>
    <row r="47" spans="1:26" s="408" customFormat="1" x14ac:dyDescent="0.25">
      <c r="A47" s="806"/>
      <c r="B47" s="255" t="s">
        <v>781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761</v>
      </c>
    </row>
    <row r="48" spans="1:26" s="408" customFormat="1" x14ac:dyDescent="0.25">
      <c r="A48" s="806"/>
      <c r="B48" s="254" t="s">
        <v>782</v>
      </c>
      <c r="C48" s="413">
        <v>8</v>
      </c>
      <c r="D48" s="413">
        <v>1</v>
      </c>
      <c r="G48" s="408" t="s">
        <v>762</v>
      </c>
    </row>
    <row r="49" spans="1:7" s="408" customFormat="1" x14ac:dyDescent="0.25">
      <c r="A49" s="806"/>
      <c r="B49" s="254" t="s">
        <v>783</v>
      </c>
      <c r="C49" s="413">
        <v>2</v>
      </c>
      <c r="D49" s="413"/>
    </row>
    <row r="50" spans="1:7" s="408" customFormat="1" x14ac:dyDescent="0.25">
      <c r="A50" s="806"/>
      <c r="B50" s="254" t="s">
        <v>784</v>
      </c>
      <c r="C50" s="413"/>
      <c r="D50" s="413"/>
    </row>
    <row r="51" spans="1:7" s="408" customFormat="1" ht="15.75" thickBot="1" x14ac:dyDescent="0.3">
      <c r="A51" s="807"/>
      <c r="B51" s="254" t="s">
        <v>785</v>
      </c>
      <c r="C51" s="413" t="s">
        <v>1075</v>
      </c>
      <c r="D51" s="413"/>
      <c r="G51" s="315" t="s">
        <v>1076</v>
      </c>
    </row>
    <row r="52" spans="1:7" s="408" customFormat="1" x14ac:dyDescent="0.25"/>
    <row r="53" spans="1:7" s="408" customFormat="1" ht="15.75" thickBot="1" x14ac:dyDescent="0.3">
      <c r="A53" s="408" t="s">
        <v>763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764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611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765</v>
      </c>
    </row>
    <row r="58" spans="1:7" s="408" customFormat="1" ht="15.75" thickBot="1" x14ac:dyDescent="0.3">
      <c r="B58" s="408" t="s">
        <v>966</v>
      </c>
    </row>
    <row r="59" spans="1:7" s="408" customFormat="1" ht="17.25" x14ac:dyDescent="0.4">
      <c r="A59" s="805" t="s">
        <v>566</v>
      </c>
      <c r="B59" s="254" t="s">
        <v>780</v>
      </c>
      <c r="C59" s="403" t="s">
        <v>758</v>
      </c>
      <c r="D59" s="403" t="s">
        <v>766</v>
      </c>
      <c r="G59" s="408" t="s">
        <v>760</v>
      </c>
    </row>
    <row r="60" spans="1:7" s="408" customFormat="1" x14ac:dyDescent="0.25">
      <c r="A60" s="806"/>
      <c r="B60" s="255" t="s">
        <v>781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767</v>
      </c>
    </row>
    <row r="61" spans="1:7" s="408" customFormat="1" x14ac:dyDescent="0.25">
      <c r="A61" s="806"/>
      <c r="B61" s="254" t="s">
        <v>782</v>
      </c>
      <c r="C61" s="408">
        <v>10</v>
      </c>
      <c r="D61" s="413">
        <v>1</v>
      </c>
      <c r="F61" s="664" t="str">
        <f>"/=""Не состоялся"":"&amp;F62</f>
        <v>/="Не состоялся":/="Договор расторгнут"</v>
      </c>
      <c r="G61" s="408" t="s">
        <v>768</v>
      </c>
    </row>
    <row r="62" spans="1:7" s="315" customFormat="1" x14ac:dyDescent="0.25">
      <c r="A62" s="806"/>
      <c r="B62" s="254" t="s">
        <v>783</v>
      </c>
      <c r="C62" s="328">
        <v>2</v>
      </c>
      <c r="D62" s="328"/>
      <c r="F62" s="663" t="s">
        <v>968</v>
      </c>
    </row>
    <row r="63" spans="1:7" s="315" customFormat="1" x14ac:dyDescent="0.25">
      <c r="A63" s="806"/>
      <c r="B63" s="254" t="s">
        <v>784</v>
      </c>
      <c r="C63" s="328"/>
      <c r="D63" s="328"/>
    </row>
    <row r="64" spans="1:7" s="315" customFormat="1" ht="15.75" thickBot="1" x14ac:dyDescent="0.3">
      <c r="A64" s="807"/>
      <c r="B64" s="254" t="s">
        <v>785</v>
      </c>
      <c r="C64" s="328" t="s">
        <v>965</v>
      </c>
      <c r="D64" s="328"/>
      <c r="F64" s="413" t="str">
        <f>"10/="""":"&amp;F61</f>
        <v>10/="":/="Не состоялся":/="Договор расторгнут"</v>
      </c>
      <c r="G64" s="315" t="s">
        <v>969</v>
      </c>
    </row>
    <row r="65" spans="1:35" s="408" customFormat="1" x14ac:dyDescent="0.25">
      <c r="E65" s="315"/>
      <c r="H65" s="315"/>
    </row>
    <row r="66" spans="1:35" s="408" customFormat="1" x14ac:dyDescent="0.25">
      <c r="A66" s="408" t="s">
        <v>769</v>
      </c>
      <c r="E66" s="315"/>
      <c r="H66" s="315"/>
    </row>
    <row r="67" spans="1:35" s="408" customFormat="1" ht="15.75" thickBot="1" x14ac:dyDescent="0.3">
      <c r="B67" s="408" t="s">
        <v>967</v>
      </c>
    </row>
    <row r="68" spans="1:35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5" s="408" customFormat="1" x14ac:dyDescent="0.25">
      <c r="B69" s="406"/>
    </row>
    <row r="70" spans="1:35" s="408" customFormat="1" x14ac:dyDescent="0.25">
      <c r="A70" s="408" t="s">
        <v>741</v>
      </c>
    </row>
    <row r="71" spans="1:35" s="408" customFormat="1" x14ac:dyDescent="0.25">
      <c r="A71" s="421" t="s">
        <v>742</v>
      </c>
      <c r="B71" s="421" t="s">
        <v>743</v>
      </c>
      <c r="C71" s="421" t="s">
        <v>744</v>
      </c>
      <c r="D71" s="421" t="s">
        <v>745</v>
      </c>
      <c r="E71" s="421" t="s">
        <v>746</v>
      </c>
      <c r="F71" s="421" t="s">
        <v>747</v>
      </c>
      <c r="G71" s="421" t="s">
        <v>748</v>
      </c>
      <c r="H71" s="421" t="s">
        <v>749</v>
      </c>
      <c r="I71" s="421" t="s">
        <v>750</v>
      </c>
    </row>
    <row r="72" spans="1:35" s="408" customFormat="1" x14ac:dyDescent="0.25">
      <c r="A72" s="408" t="s">
        <v>751</v>
      </c>
      <c r="B72" s="408" t="s">
        <v>752</v>
      </c>
      <c r="D72" s="413" t="s">
        <v>568</v>
      </c>
      <c r="E72" s="413">
        <v>1</v>
      </c>
      <c r="F72" s="408" t="s">
        <v>753</v>
      </c>
      <c r="G72" s="408" t="s">
        <v>754</v>
      </c>
      <c r="H72" s="408" t="s">
        <v>561</v>
      </c>
      <c r="I72" s="408" t="s">
        <v>755</v>
      </c>
    </row>
    <row r="73" spans="1:35" s="423" customFormat="1" ht="7.5" customHeight="1" x14ac:dyDescent="0.25">
      <c r="D73" s="424"/>
      <c r="E73" s="424"/>
    </row>
    <row r="74" spans="1:35" s="408" customFormat="1" ht="19.5" x14ac:dyDescent="0.3">
      <c r="A74" s="315"/>
      <c r="C74" s="409" t="s">
        <v>836</v>
      </c>
      <c r="I74" s="408">
        <f>G80</f>
        <v>6</v>
      </c>
    </row>
    <row r="75" spans="1:35" s="315" customFormat="1" x14ac:dyDescent="0.25"/>
    <row r="76" spans="1:35" s="315" customFormat="1" x14ac:dyDescent="0.25">
      <c r="A76" s="315" t="s">
        <v>877</v>
      </c>
    </row>
    <row r="77" spans="1:35" s="315" customFormat="1" ht="25.5" x14ac:dyDescent="0.25">
      <c r="A77" s="254" t="s">
        <v>780</v>
      </c>
      <c r="B77" s="562" t="s">
        <v>837</v>
      </c>
      <c r="C77" s="564" t="s">
        <v>359</v>
      </c>
      <c r="D77" s="565" t="s">
        <v>838</v>
      </c>
      <c r="E77" s="541" t="s">
        <v>839</v>
      </c>
      <c r="F77" s="541" t="s">
        <v>58</v>
      </c>
      <c r="G77" s="541" t="s">
        <v>790</v>
      </c>
      <c r="H77" s="541" t="s">
        <v>814</v>
      </c>
      <c r="I77" s="541" t="s">
        <v>880</v>
      </c>
      <c r="K77" s="538" t="s">
        <v>845</v>
      </c>
      <c r="L77" s="539" t="s">
        <v>840</v>
      </c>
      <c r="M77" s="540"/>
      <c r="N77" s="528" t="s">
        <v>686</v>
      </c>
      <c r="O77" s="528" t="s">
        <v>687</v>
      </c>
      <c r="P77" s="528" t="s">
        <v>65</v>
      </c>
      <c r="Q77" s="528" t="s">
        <v>1</v>
      </c>
      <c r="R77" s="529" t="s">
        <v>688</v>
      </c>
      <c r="S77" s="530" t="s">
        <v>841</v>
      </c>
      <c r="T77" s="531" t="s">
        <v>689</v>
      </c>
      <c r="U77" s="528" t="s">
        <v>690</v>
      </c>
      <c r="V77" s="532" t="s">
        <v>683</v>
      </c>
      <c r="W77" s="533" t="s">
        <v>683</v>
      </c>
      <c r="X77" s="533" t="s">
        <v>683</v>
      </c>
      <c r="Y77" s="533" t="s">
        <v>683</v>
      </c>
      <c r="Z77" s="528" t="s">
        <v>683</v>
      </c>
      <c r="AA77" s="528" t="s">
        <v>842</v>
      </c>
      <c r="AB77" s="528" t="s">
        <v>683</v>
      </c>
      <c r="AC77" s="528" t="s">
        <v>683</v>
      </c>
      <c r="AD77" s="534" t="s">
        <v>843</v>
      </c>
      <c r="AE77" s="535" t="s">
        <v>683</v>
      </c>
      <c r="AF77" s="528" t="s">
        <v>683</v>
      </c>
      <c r="AG77" s="528" t="s">
        <v>683</v>
      </c>
      <c r="AH77" s="536" t="s">
        <v>844</v>
      </c>
      <c r="AI77" s="537"/>
    </row>
    <row r="78" spans="1:35" s="315" customFormat="1" x14ac:dyDescent="0.25">
      <c r="A78" s="255" t="s">
        <v>781</v>
      </c>
      <c r="B78" s="563"/>
      <c r="C78" s="326"/>
      <c r="D78" s="566">
        <f>R78</f>
        <v>0</v>
      </c>
      <c r="E78" s="497"/>
      <c r="F78" s="329"/>
      <c r="G78" s="559"/>
    </row>
    <row r="79" spans="1:35" s="315" customFormat="1" x14ac:dyDescent="0.25">
      <c r="A79" s="254" t="s">
        <v>782</v>
      </c>
      <c r="B79" s="328">
        <v>8</v>
      </c>
      <c r="C79" s="328">
        <v>13</v>
      </c>
      <c r="D79" s="328">
        <v>7</v>
      </c>
      <c r="E79" s="328">
        <v>11</v>
      </c>
      <c r="F79" s="329">
        <v>20</v>
      </c>
      <c r="G79" s="330">
        <v>5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>
        <v>13</v>
      </c>
      <c r="P79" s="330">
        <v>16</v>
      </c>
      <c r="Q79" s="330">
        <v>10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</row>
    <row r="80" spans="1:35" s="315" customFormat="1" x14ac:dyDescent="0.25">
      <c r="A80" s="254" t="s">
        <v>783</v>
      </c>
      <c r="B80" s="328">
        <v>6</v>
      </c>
      <c r="C80" s="328">
        <v>6</v>
      </c>
      <c r="D80" s="328"/>
      <c r="E80" s="328">
        <v>6</v>
      </c>
      <c r="F80" s="315">
        <v>6</v>
      </c>
      <c r="G80" s="328">
        <v>6</v>
      </c>
      <c r="H80" s="315">
        <v>6</v>
      </c>
      <c r="I80" s="328">
        <v>6</v>
      </c>
      <c r="J80" s="329">
        <v>-1</v>
      </c>
      <c r="K80" s="328"/>
      <c r="N80" s="328"/>
      <c r="O80" s="330"/>
      <c r="P80" s="330"/>
      <c r="Q80" s="330"/>
      <c r="R80" s="330"/>
      <c r="S80" s="330"/>
      <c r="T80" s="330"/>
      <c r="U80" s="330"/>
      <c r="V80" s="330"/>
      <c r="W80" s="330"/>
      <c r="X80" s="361"/>
      <c r="Y80" s="330"/>
      <c r="Z80" s="330"/>
      <c r="AA80" s="330"/>
      <c r="AB80" s="330"/>
      <c r="AC80" s="330"/>
      <c r="AD80" s="330"/>
    </row>
    <row r="81" spans="1:36" s="315" customFormat="1" ht="44.25" customHeight="1" x14ac:dyDescent="0.25">
      <c r="A81" s="254" t="s">
        <v>784</v>
      </c>
      <c r="B81" s="560" t="s">
        <v>878</v>
      </c>
      <c r="C81" s="560" t="s">
        <v>879</v>
      </c>
      <c r="D81" s="328"/>
      <c r="E81" s="560" t="s">
        <v>864</v>
      </c>
      <c r="F81" s="560" t="s">
        <v>863</v>
      </c>
      <c r="G81" s="561"/>
      <c r="H81" s="561" t="s">
        <v>869</v>
      </c>
      <c r="I81" s="561" t="s">
        <v>881</v>
      </c>
      <c r="J81" s="328"/>
      <c r="K81" s="328"/>
      <c r="N81" s="558" t="s">
        <v>867</v>
      </c>
      <c r="O81" s="330"/>
      <c r="P81" s="330"/>
      <c r="Q81" s="330"/>
      <c r="R81" s="330"/>
      <c r="S81" s="330"/>
      <c r="T81" s="330"/>
      <c r="U81" s="330"/>
      <c r="V81" s="330"/>
      <c r="W81" s="330"/>
      <c r="X81" s="361"/>
      <c r="Y81" s="330"/>
      <c r="Z81" s="330"/>
      <c r="AA81" s="330"/>
      <c r="AB81" s="330"/>
      <c r="AC81" s="330"/>
      <c r="AD81" s="330"/>
    </row>
    <row r="82" spans="1:36" s="315" customFormat="1" x14ac:dyDescent="0.25">
      <c r="A82" s="254" t="s">
        <v>785</v>
      </c>
      <c r="B82" s="472"/>
      <c r="C82" s="472"/>
      <c r="D82" s="472"/>
      <c r="E82" s="472"/>
      <c r="F82" s="329"/>
      <c r="G82" s="328"/>
      <c r="H82" s="328"/>
      <c r="I82" s="328"/>
      <c r="J82" s="328"/>
      <c r="K82" s="328"/>
      <c r="N82" s="328"/>
      <c r="O82" s="330"/>
      <c r="P82" s="330"/>
      <c r="Q82" s="330"/>
      <c r="R82" s="330"/>
      <c r="S82" s="330"/>
      <c r="T82" s="330"/>
      <c r="U82" s="330"/>
      <c r="V82" s="330"/>
      <c r="W82" s="330"/>
      <c r="X82" s="361"/>
      <c r="Y82" s="330"/>
      <c r="Z82" s="330"/>
      <c r="AA82" s="330"/>
      <c r="AB82" s="330"/>
      <c r="AC82" s="330"/>
      <c r="AD82" s="330"/>
    </row>
    <row r="83" spans="1:36" s="315" customFormat="1" x14ac:dyDescent="0.25">
      <c r="N83" s="315" t="s">
        <v>868</v>
      </c>
    </row>
    <row r="84" spans="1:36" s="315" customFormat="1" ht="15.75" thickBot="1" x14ac:dyDescent="0.3">
      <c r="A84" s="315" t="s">
        <v>861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3" t="s">
        <v>597</v>
      </c>
      <c r="B85" s="580" t="s">
        <v>895</v>
      </c>
      <c r="C85" s="541" t="s">
        <v>66</v>
      </c>
      <c r="D85" s="541" t="s">
        <v>790</v>
      </c>
      <c r="E85" s="541" t="s">
        <v>369</v>
      </c>
      <c r="F85" s="553" t="s">
        <v>1</v>
      </c>
      <c r="G85" s="553" t="s">
        <v>865</v>
      </c>
      <c r="H85" s="557" t="s">
        <v>814</v>
      </c>
      <c r="I85" s="557" t="s">
        <v>149</v>
      </c>
      <c r="J85" s="557" t="s">
        <v>62</v>
      </c>
      <c r="K85" s="557"/>
      <c r="L85" s="557"/>
      <c r="M85" s="541" t="s">
        <v>846</v>
      </c>
      <c r="N85" s="542" t="s">
        <v>188</v>
      </c>
      <c r="O85" s="541" t="s">
        <v>847</v>
      </c>
      <c r="P85" s="541" t="s">
        <v>848</v>
      </c>
      <c r="Q85" s="544" t="s">
        <v>852</v>
      </c>
      <c r="R85" s="544" t="s">
        <v>681</v>
      </c>
      <c r="S85" s="543" t="s">
        <v>682</v>
      </c>
      <c r="T85" s="544" t="s">
        <v>685</v>
      </c>
      <c r="U85" s="545" t="s">
        <v>683</v>
      </c>
      <c r="V85" s="545" t="s">
        <v>684</v>
      </c>
      <c r="W85" s="545" t="s">
        <v>849</v>
      </c>
      <c r="X85" s="545" t="s">
        <v>850</v>
      </c>
      <c r="Y85" s="545" t="s">
        <v>851</v>
      </c>
    </row>
    <row r="86" spans="1:36" s="315" customFormat="1" x14ac:dyDescent="0.25">
      <c r="A86" s="694"/>
      <c r="B86" s="255" t="s">
        <v>781</v>
      </c>
      <c r="D86" s="554"/>
      <c r="M86" s="329"/>
      <c r="N86" s="326"/>
      <c r="O86" s="497"/>
      <c r="P86" s="497"/>
      <c r="Q86" s="328" t="s">
        <v>862</v>
      </c>
      <c r="R86" s="328" t="s">
        <v>862</v>
      </c>
      <c r="S86" s="328" t="s">
        <v>862</v>
      </c>
      <c r="T86" s="328" t="s">
        <v>862</v>
      </c>
      <c r="U86" s="328" t="s">
        <v>862</v>
      </c>
      <c r="V86" s="328" t="s">
        <v>862</v>
      </c>
      <c r="W86" s="328" t="s">
        <v>862</v>
      </c>
      <c r="X86" s="328" t="s">
        <v>862</v>
      </c>
      <c r="Y86" s="328" t="s">
        <v>862</v>
      </c>
    </row>
    <row r="87" spans="1:36" s="315" customFormat="1" x14ac:dyDescent="0.25">
      <c r="A87" s="694"/>
      <c r="B87" s="254" t="s">
        <v>782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4"/>
      <c r="B88" s="254" t="s">
        <v>783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4"/>
      <c r="B89" s="254" t="s">
        <v>784</v>
      </c>
      <c r="C89" s="328" t="s">
        <v>984</v>
      </c>
      <c r="D89" s="714" t="s">
        <v>1001</v>
      </c>
      <c r="E89" s="555" t="s">
        <v>863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4"/>
      <c r="B90" s="254" t="s">
        <v>785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5" t="s">
        <v>863</v>
      </c>
      <c r="E93" s="555" t="s">
        <v>864</v>
      </c>
      <c r="F93" s="328" t="s">
        <v>984</v>
      </c>
      <c r="K93" s="556" t="s">
        <v>866</v>
      </c>
      <c r="L93" s="556" t="s">
        <v>869</v>
      </c>
      <c r="M93" s="556"/>
      <c r="N93" s="556"/>
      <c r="O93" s="556"/>
      <c r="P93" s="556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770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5" customFormat="1" ht="7.5" customHeight="1" x14ac:dyDescent="0.25">
      <c r="D101" s="626"/>
      <c r="E101" s="626"/>
    </row>
    <row r="102" spans="1:27" s="315" customFormat="1" ht="19.5" x14ac:dyDescent="0.3">
      <c r="C102" s="316" t="s">
        <v>933</v>
      </c>
    </row>
    <row r="104" spans="1:27" ht="15.75" thickBot="1" x14ac:dyDescent="0.3">
      <c r="A104" s="30" t="s">
        <v>1079</v>
      </c>
    </row>
    <row r="105" spans="1:27" ht="15.75" thickBot="1" x14ac:dyDescent="0.3">
      <c r="A105" s="254" t="s">
        <v>672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810</v>
      </c>
    </row>
    <row r="106" spans="1:27" s="1" customFormat="1" x14ac:dyDescent="0.25">
      <c r="A106" s="255" t="s">
        <v>588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673</v>
      </c>
      <c r="B107" s="145" t="s">
        <v>1003</v>
      </c>
      <c r="C107" s="145" t="s">
        <v>1078</v>
      </c>
      <c r="D107" s="145" t="s">
        <v>1003</v>
      </c>
      <c r="E107" s="145" t="s">
        <v>113</v>
      </c>
      <c r="F107" s="145" t="s">
        <v>1007</v>
      </c>
      <c r="G107" s="145" t="s">
        <v>1003</v>
      </c>
      <c r="H107" s="145" t="s">
        <v>1006</v>
      </c>
      <c r="I107" s="145" t="s">
        <v>1006</v>
      </c>
      <c r="J107" s="145"/>
      <c r="K107" s="145"/>
      <c r="L107" s="145"/>
      <c r="M107" s="145"/>
    </row>
    <row r="108" spans="1:27" x14ac:dyDescent="0.25">
      <c r="A108" s="254" t="s">
        <v>674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806</v>
      </c>
      <c r="G108" s="460" t="s">
        <v>115</v>
      </c>
      <c r="H108" s="573" t="s">
        <v>884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675</v>
      </c>
      <c r="E109" t="s">
        <v>794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793</v>
      </c>
      <c r="E110" s="252"/>
      <c r="G110" s="252" t="s">
        <v>807</v>
      </c>
      <c r="H110" s="572" t="s">
        <v>883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1080</v>
      </c>
    </row>
    <row r="113" spans="1:23" ht="15.75" thickBot="1" x14ac:dyDescent="0.3">
      <c r="A113" s="254" t="s">
        <v>672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810</v>
      </c>
    </row>
    <row r="114" spans="1:23" s="1" customFormat="1" x14ac:dyDescent="0.25">
      <c r="A114" s="255" t="s">
        <v>588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673</v>
      </c>
      <c r="B115" s="145" t="s">
        <v>1003</v>
      </c>
      <c r="C115" s="145" t="s">
        <v>1078</v>
      </c>
      <c r="D115" s="145" t="s">
        <v>1003</v>
      </c>
      <c r="E115" s="145" t="s">
        <v>113</v>
      </c>
      <c r="F115" s="145" t="s">
        <v>1007</v>
      </c>
      <c r="G115" s="145" t="s">
        <v>1003</v>
      </c>
      <c r="H115" s="145" t="s">
        <v>1006</v>
      </c>
      <c r="I115" s="145" t="s">
        <v>1006</v>
      </c>
      <c r="J115" s="145"/>
      <c r="K115" s="145"/>
      <c r="L115" s="145"/>
      <c r="M115" s="145"/>
    </row>
    <row r="116" spans="1:23" x14ac:dyDescent="0.25">
      <c r="A116" s="254" t="s">
        <v>674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806</v>
      </c>
      <c r="G116" s="460" t="s">
        <v>115</v>
      </c>
      <c r="H116" s="773" t="s">
        <v>834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675</v>
      </c>
      <c r="B117" t="s">
        <v>1072</v>
      </c>
      <c r="E117" t="s">
        <v>794</v>
      </c>
      <c r="H117" s="774" t="s">
        <v>1073</v>
      </c>
      <c r="I117" s="92"/>
      <c r="M117" s="92"/>
      <c r="N117" s="92"/>
      <c r="O117" s="453"/>
      <c r="P117" s="92"/>
    </row>
    <row r="118" spans="1:23" x14ac:dyDescent="0.25">
      <c r="A118" s="254" t="s">
        <v>793</v>
      </c>
      <c r="E118" s="252"/>
      <c r="G118" s="252" t="s">
        <v>807</v>
      </c>
      <c r="H118" s="775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1011</v>
      </c>
    </row>
    <row r="121" spans="1:23" s="256" customFormat="1" ht="15.75" thickBot="1" x14ac:dyDescent="0.3">
      <c r="A121" s="254" t="s">
        <v>672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588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673</v>
      </c>
      <c r="B123" s="145" t="s">
        <v>1003</v>
      </c>
      <c r="C123" s="145" t="s">
        <v>1003</v>
      </c>
      <c r="D123" s="145" t="s">
        <v>1004</v>
      </c>
      <c r="E123" s="145" t="s">
        <v>1005</v>
      </c>
      <c r="F123" s="145" t="s">
        <v>1004</v>
      </c>
      <c r="G123" s="145" t="s">
        <v>1005</v>
      </c>
      <c r="H123" s="145" t="s">
        <v>1003</v>
      </c>
      <c r="I123" s="145" t="s">
        <v>1005</v>
      </c>
      <c r="J123" s="145" t="s">
        <v>1004</v>
      </c>
      <c r="K123" s="145" t="s">
        <v>1003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1004</v>
      </c>
      <c r="U123" s="145" t="s">
        <v>92</v>
      </c>
      <c r="V123" s="145" t="s">
        <v>92</v>
      </c>
    </row>
    <row r="124" spans="1:23" x14ac:dyDescent="0.25">
      <c r="A124" s="254" t="s">
        <v>674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671</v>
      </c>
      <c r="O124" s="145" t="s">
        <v>671</v>
      </c>
      <c r="P124" s="145" t="s">
        <v>671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675</v>
      </c>
      <c r="E125" s="252" t="s">
        <v>791</v>
      </c>
      <c r="G125" s="252" t="s">
        <v>792</v>
      </c>
      <c r="I125" s="92"/>
      <c r="K125" s="252" t="s">
        <v>159</v>
      </c>
      <c r="M125" s="92" t="s">
        <v>794</v>
      </c>
      <c r="N125" s="92"/>
      <c r="O125" s="453" t="s">
        <v>795</v>
      </c>
      <c r="P125" s="92" t="s">
        <v>800</v>
      </c>
    </row>
    <row r="126" spans="1:23" x14ac:dyDescent="0.25">
      <c r="A126" s="254" t="s">
        <v>793</v>
      </c>
      <c r="E126" s="252"/>
      <c r="G126" s="252"/>
      <c r="I126" s="328"/>
      <c r="K126" s="454" t="s">
        <v>807</v>
      </c>
      <c r="N126" s="253"/>
      <c r="R126" s="454" t="s">
        <v>798</v>
      </c>
      <c r="S126" s="454" t="s">
        <v>799</v>
      </c>
      <c r="T126" s="454" t="s">
        <v>1010</v>
      </c>
      <c r="U126" s="454" t="s">
        <v>796</v>
      </c>
      <c r="V126" s="454" t="s">
        <v>797</v>
      </c>
    </row>
    <row r="128" spans="1:23" ht="15.75" thickBot="1" x14ac:dyDescent="0.3">
      <c r="A128" s="30" t="s">
        <v>938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3" t="s">
        <v>927</v>
      </c>
      <c r="B129" s="254" t="s">
        <v>672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4"/>
      <c r="B130" s="255" t="s">
        <v>588</v>
      </c>
      <c r="C130" s="496" t="s">
        <v>939</v>
      </c>
      <c r="D130" s="7" t="s">
        <v>941</v>
      </c>
      <c r="E130" s="596" t="s">
        <v>942</v>
      </c>
      <c r="F130" s="9"/>
      <c r="G130" s="646">
        <v>2298687.7200000002</v>
      </c>
      <c r="H130" s="10"/>
      <c r="I130" s="654" t="s">
        <v>141</v>
      </c>
      <c r="J130" s="717" t="s">
        <v>959</v>
      </c>
      <c r="K130" s="654"/>
      <c r="L130" s="654"/>
      <c r="M130" s="655"/>
      <c r="N130" s="656"/>
      <c r="O130"/>
      <c r="P130" s="8" t="s">
        <v>141</v>
      </c>
      <c r="Q130" s="647"/>
      <c r="R130" s="8" t="s">
        <v>944</v>
      </c>
      <c r="S130" s="8" t="s">
        <v>141</v>
      </c>
      <c r="T130" s="6" t="s">
        <v>9</v>
      </c>
      <c r="U130" s="12" t="s">
        <v>947</v>
      </c>
      <c r="V130"/>
      <c r="W130"/>
      <c r="X130"/>
      <c r="Y130"/>
    </row>
    <row r="131" spans="1:25" x14ac:dyDescent="0.25">
      <c r="A131" s="694"/>
      <c r="B131" s="254" t="s">
        <v>673</v>
      </c>
      <c r="C131" s="145" t="s">
        <v>110</v>
      </c>
      <c r="D131" s="145" t="s">
        <v>940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90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4"/>
      <c r="B132" s="254" t="s">
        <v>674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888</v>
      </c>
      <c r="H132" s="145" t="s">
        <v>671</v>
      </c>
      <c r="I132" s="590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806</v>
      </c>
      <c r="U132" s="145" t="s">
        <v>41</v>
      </c>
    </row>
    <row r="133" spans="1:25" x14ac:dyDescent="0.25">
      <c r="A133" s="694"/>
      <c r="B133" s="254" t="s">
        <v>675</v>
      </c>
      <c r="D133" s="252" t="s">
        <v>1030</v>
      </c>
      <c r="F133" s="252" t="s">
        <v>950</v>
      </c>
      <c r="G133" s="716" t="s">
        <v>1013</v>
      </c>
      <c r="H133" s="252" t="s">
        <v>795</v>
      </c>
      <c r="I133" s="648" t="s">
        <v>1014</v>
      </c>
      <c r="K133" s="591"/>
      <c r="L133" s="648"/>
      <c r="M133" s="648"/>
      <c r="N133" s="649"/>
      <c r="P133" s="252" t="s">
        <v>953</v>
      </c>
      <c r="Q133" s="648" t="s">
        <v>943</v>
      </c>
      <c r="R133" s="591"/>
      <c r="S133" s="648" t="s">
        <v>945</v>
      </c>
      <c r="T133" s="648" t="s">
        <v>946</v>
      </c>
      <c r="U133" s="649"/>
    </row>
    <row r="134" spans="1:25" x14ac:dyDescent="0.25">
      <c r="A134" s="694"/>
      <c r="B134" s="254" t="s">
        <v>793</v>
      </c>
      <c r="C134" t="s">
        <v>1027</v>
      </c>
      <c r="D134" t="s">
        <v>949</v>
      </c>
      <c r="F134" s="252"/>
      <c r="H134" s="252"/>
      <c r="J134" s="567"/>
      <c r="L134" s="454"/>
      <c r="Q134" s="328"/>
      <c r="S134" s="454"/>
      <c r="U134" t="s">
        <v>948</v>
      </c>
    </row>
    <row r="136" spans="1:25" ht="15.75" thickBot="1" x14ac:dyDescent="0.3">
      <c r="A136" s="30" t="s">
        <v>1035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3" t="s">
        <v>561</v>
      </c>
      <c r="B137" s="254" t="s">
        <v>672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7" t="s">
        <v>351</v>
      </c>
    </row>
    <row r="138" spans="1:25" s="1" customFormat="1" x14ac:dyDescent="0.25">
      <c r="A138" s="694"/>
      <c r="B138" s="255" t="s">
        <v>588</v>
      </c>
      <c r="C138" s="496" t="s">
        <v>939</v>
      </c>
      <c r="D138" s="7" t="s">
        <v>941</v>
      </c>
      <c r="E138" s="596" t="s">
        <v>942</v>
      </c>
      <c r="F138" s="9"/>
      <c r="G138" s="646">
        <v>2298687.7200000002</v>
      </c>
      <c r="H138" s="10"/>
      <c r="I138" s="741" t="s">
        <v>106</v>
      </c>
      <c r="J138" s="717" t="s">
        <v>959</v>
      </c>
      <c r="K138" s="752" t="s">
        <v>1057</v>
      </c>
      <c r="L138" s="752" t="s">
        <v>137</v>
      </c>
      <c r="M138" s="750" t="s">
        <v>7</v>
      </c>
      <c r="N138" s="656"/>
      <c r="O138"/>
      <c r="P138"/>
      <c r="Q138" s="747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4"/>
      <c r="B139" s="254" t="s">
        <v>673</v>
      </c>
      <c r="C139" s="145" t="s">
        <v>110</v>
      </c>
      <c r="D139" s="145" t="s">
        <v>940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834</v>
      </c>
      <c r="J139" s="269"/>
      <c r="K139" s="145"/>
      <c r="L139" s="145"/>
      <c r="M139" s="145" t="s">
        <v>128</v>
      </c>
      <c r="N139" s="145"/>
      <c r="Q139" s="747" t="s">
        <v>952</v>
      </c>
    </row>
    <row r="140" spans="1:25" x14ac:dyDescent="0.25">
      <c r="A140" s="694"/>
      <c r="B140" s="254" t="s">
        <v>674</v>
      </c>
      <c r="C140" s="145" t="s">
        <v>70</v>
      </c>
      <c r="D140" s="145" t="s">
        <v>1059</v>
      </c>
      <c r="E140" s="269" t="s">
        <v>112</v>
      </c>
      <c r="F140" s="269" t="s">
        <v>888</v>
      </c>
      <c r="G140" s="145" t="s">
        <v>892</v>
      </c>
      <c r="H140" s="145" t="s">
        <v>893</v>
      </c>
      <c r="I140" s="145" t="s">
        <v>1038</v>
      </c>
      <c r="J140" s="269" t="s">
        <v>70</v>
      </c>
      <c r="K140" s="145" t="s">
        <v>1038</v>
      </c>
      <c r="L140" s="145" t="s">
        <v>1038</v>
      </c>
      <c r="M140" s="145" t="s">
        <v>888</v>
      </c>
      <c r="N140" s="145"/>
      <c r="Q140" s="747" t="s">
        <v>203</v>
      </c>
    </row>
    <row r="141" spans="1:25" ht="75" x14ac:dyDescent="0.25">
      <c r="A141" s="694"/>
      <c r="B141" s="254" t="s">
        <v>675</v>
      </c>
      <c r="C141" s="269" t="s">
        <v>1032</v>
      </c>
      <c r="D141" s="269" t="s">
        <v>1034</v>
      </c>
      <c r="E141" s="252"/>
      <c r="F141" s="740" t="s">
        <v>950</v>
      </c>
      <c r="G141" s="269" t="s">
        <v>1032</v>
      </c>
      <c r="H141" s="269" t="s">
        <v>795</v>
      </c>
      <c r="I141" s="748" t="s">
        <v>1052</v>
      </c>
      <c r="J141" s="754" t="s">
        <v>1060</v>
      </c>
      <c r="K141" s="749" t="s">
        <v>1056</v>
      </c>
      <c r="L141" s="748"/>
      <c r="M141" s="751" t="s">
        <v>1055</v>
      </c>
      <c r="N141" s="649"/>
      <c r="Q141" s="747" t="s">
        <v>955</v>
      </c>
    </row>
    <row r="142" spans="1:25" x14ac:dyDescent="0.25">
      <c r="A142" s="694"/>
      <c r="B142" s="254" t="s">
        <v>793</v>
      </c>
      <c r="E142" s="92"/>
      <c r="F142" s="252"/>
      <c r="H142" s="252"/>
      <c r="I142" s="252"/>
      <c r="J142" s="567"/>
      <c r="L142" s="454"/>
      <c r="M142" s="588"/>
    </row>
    <row r="143" spans="1:25" x14ac:dyDescent="0.25">
      <c r="I143" s="2"/>
    </row>
    <row r="144" spans="1:25" ht="15.75" thickBot="1" x14ac:dyDescent="0.3">
      <c r="A144" s="658" t="s">
        <v>961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3" t="s">
        <v>975</v>
      </c>
      <c r="B150" s="684"/>
      <c r="C150" s="684"/>
      <c r="D150" s="684"/>
      <c r="E150" s="684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553</v>
      </c>
      <c r="R151" s="118" t="s">
        <v>552</v>
      </c>
      <c r="S151" s="118" t="s">
        <v>554</v>
      </c>
      <c r="T151" s="118" t="s">
        <v>555</v>
      </c>
      <c r="U151" s="118" t="s">
        <v>556</v>
      </c>
      <c r="V151" s="120" t="s">
        <v>547</v>
      </c>
    </row>
    <row r="153" spans="1:22" ht="15.75" thickBot="1" x14ac:dyDescent="0.3">
      <c r="A153" s="30" t="s">
        <v>560</v>
      </c>
    </row>
    <row r="154" spans="1:22" ht="15.75" thickBot="1" x14ac:dyDescent="0.3">
      <c r="A154" s="118" t="s">
        <v>136</v>
      </c>
      <c r="B154" s="118" t="s">
        <v>369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553</v>
      </c>
      <c r="K154" s="118" t="s">
        <v>552</v>
      </c>
      <c r="L154" s="118" t="s">
        <v>554</v>
      </c>
      <c r="M154" s="118" t="s">
        <v>555</v>
      </c>
      <c r="N154" s="118" t="s">
        <v>556</v>
      </c>
    </row>
    <row r="156" spans="1:22" ht="15.75" thickBot="1" x14ac:dyDescent="0.3">
      <c r="A156" s="30" t="s">
        <v>558</v>
      </c>
    </row>
    <row r="157" spans="1:22" ht="15.75" thickBot="1" x14ac:dyDescent="0.3">
      <c r="A157" s="4" t="s">
        <v>345</v>
      </c>
      <c r="B157" s="4" t="s">
        <v>369</v>
      </c>
      <c r="C157" s="118" t="s">
        <v>559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357</v>
      </c>
      <c r="B160" s="26"/>
    </row>
    <row r="161" spans="1:47" ht="15.75" thickBot="1" x14ac:dyDescent="0.3">
      <c r="A161" s="4" t="s">
        <v>345</v>
      </c>
      <c r="B161" s="4" t="s">
        <v>167</v>
      </c>
      <c r="C161" s="59"/>
    </row>
    <row r="163" spans="1:47" ht="15.75" thickBot="1" x14ac:dyDescent="0.3">
      <c r="A163" s="65" t="s">
        <v>538</v>
      </c>
      <c r="B163" s="26"/>
    </row>
    <row r="164" spans="1:47" ht="15.75" thickBot="1" x14ac:dyDescent="0.3">
      <c r="A164" s="3" t="s">
        <v>512</v>
      </c>
      <c r="B164" s="3" t="s">
        <v>124</v>
      </c>
      <c r="C164" s="3" t="s">
        <v>496</v>
      </c>
    </row>
    <row r="166" spans="1:47" ht="15.75" thickBot="1" x14ac:dyDescent="0.3">
      <c r="A166" s="65" t="s">
        <v>544</v>
      </c>
      <c r="B166" s="119"/>
    </row>
    <row r="167" spans="1:47" ht="15.75" thickBot="1" x14ac:dyDescent="0.3">
      <c r="A167" s="117" t="s">
        <v>367</v>
      </c>
      <c r="B167" s="117" t="s">
        <v>188</v>
      </c>
      <c r="C167" s="117" t="s">
        <v>543</v>
      </c>
    </row>
    <row r="169" spans="1:47" ht="15.75" thickBot="1" x14ac:dyDescent="0.3">
      <c r="A169" s="65" t="s">
        <v>548</v>
      </c>
      <c r="B169" s="119"/>
    </row>
    <row r="170" spans="1:47" ht="29.25" customHeight="1" thickBot="1" x14ac:dyDescent="0.3">
      <c r="A170" s="117" t="s">
        <v>557</v>
      </c>
      <c r="B170" s="121" t="s">
        <v>356</v>
      </c>
      <c r="C170" s="121" t="s">
        <v>359</v>
      </c>
      <c r="D170" s="121" t="s">
        <v>549</v>
      </c>
      <c r="E170" s="121" t="s">
        <v>358</v>
      </c>
      <c r="F170" s="121" t="s">
        <v>1</v>
      </c>
      <c r="G170" s="121" t="s">
        <v>58</v>
      </c>
      <c r="H170" s="121" t="s">
        <v>367</v>
      </c>
      <c r="I170" s="121" t="s">
        <v>551</v>
      </c>
      <c r="J170" s="121" t="s">
        <v>550</v>
      </c>
    </row>
    <row r="171" spans="1:47" s="119" customFormat="1" x14ac:dyDescent="0.25">
      <c r="A171" s="119" t="s">
        <v>115</v>
      </c>
      <c r="B171" s="119" t="s">
        <v>112</v>
      </c>
      <c r="C171" s="119" t="s">
        <v>129</v>
      </c>
      <c r="D171" s="119" t="s">
        <v>129</v>
      </c>
      <c r="E171" s="119" t="s">
        <v>115</v>
      </c>
      <c r="F171" s="119" t="s">
        <v>242</v>
      </c>
      <c r="G171" s="119" t="s">
        <v>71</v>
      </c>
      <c r="H171" s="119" t="s">
        <v>132</v>
      </c>
      <c r="I171" s="119" t="s">
        <v>115</v>
      </c>
      <c r="J171" s="119" t="s">
        <v>115</v>
      </c>
    </row>
    <row r="173" spans="1:47" ht="15.75" thickBot="1" x14ac:dyDescent="0.3">
      <c r="A173" s="65" t="s">
        <v>520</v>
      </c>
    </row>
    <row r="174" spans="1:47" ht="71.25" thickBot="1" x14ac:dyDescent="0.3">
      <c r="A174" s="96" t="s">
        <v>516</v>
      </c>
      <c r="B174" s="97" t="s">
        <v>517</v>
      </c>
      <c r="C174" s="98">
        <v>40057</v>
      </c>
      <c r="D174" s="98">
        <v>40087</v>
      </c>
      <c r="E174" s="98">
        <v>40118</v>
      </c>
      <c r="F174" s="98">
        <v>40148</v>
      </c>
      <c r="G174" s="99" t="s">
        <v>114</v>
      </c>
      <c r="H174" s="98">
        <v>40179</v>
      </c>
      <c r="I174" s="98">
        <v>40210</v>
      </c>
      <c r="J174" s="98">
        <v>40238</v>
      </c>
      <c r="K174" s="98">
        <v>40269</v>
      </c>
      <c r="L174" s="98">
        <v>40299</v>
      </c>
      <c r="M174" s="98">
        <v>40330</v>
      </c>
      <c r="N174" s="98">
        <v>40360</v>
      </c>
      <c r="O174" s="98">
        <v>40391</v>
      </c>
      <c r="P174" s="98">
        <v>40422</v>
      </c>
      <c r="Q174" s="98">
        <v>40452</v>
      </c>
      <c r="R174" s="98">
        <v>40483</v>
      </c>
      <c r="S174" s="98">
        <v>40513</v>
      </c>
      <c r="T174" s="99" t="s">
        <v>135</v>
      </c>
      <c r="U174" s="98">
        <v>40544</v>
      </c>
      <c r="V174" s="98">
        <v>40575</v>
      </c>
      <c r="W174" s="98">
        <v>40603</v>
      </c>
      <c r="X174" s="98">
        <v>40634</v>
      </c>
      <c r="Y174" s="98">
        <v>40664</v>
      </c>
      <c r="Z174" s="98">
        <v>40695</v>
      </c>
      <c r="AA174" s="98">
        <v>40725</v>
      </c>
      <c r="AB174" s="98">
        <v>40756</v>
      </c>
      <c r="AC174" s="98">
        <v>40787</v>
      </c>
      <c r="AD174" s="98">
        <v>40817</v>
      </c>
      <c r="AE174" s="98">
        <v>40848</v>
      </c>
      <c r="AF174" s="98">
        <v>40878</v>
      </c>
      <c r="AG174" s="99" t="s">
        <v>108</v>
      </c>
      <c r="AH174" s="98">
        <v>40909</v>
      </c>
      <c r="AI174" s="98">
        <v>40940</v>
      </c>
      <c r="AJ174" s="98">
        <v>40969</v>
      </c>
      <c r="AK174" s="98">
        <v>41000</v>
      </c>
      <c r="AL174" s="98">
        <v>41030</v>
      </c>
      <c r="AM174" s="98">
        <v>41061</v>
      </c>
      <c r="AN174" s="98">
        <v>41091</v>
      </c>
      <c r="AO174" s="98">
        <v>41122</v>
      </c>
      <c r="AP174" s="98">
        <v>41153</v>
      </c>
      <c r="AQ174" s="98">
        <v>41183</v>
      </c>
      <c r="AR174" s="98">
        <v>41214</v>
      </c>
      <c r="AS174" s="98">
        <v>41244</v>
      </c>
      <c r="AT174" s="99" t="s">
        <v>109</v>
      </c>
      <c r="AU174" s="100" t="s">
        <v>519</v>
      </c>
    </row>
    <row r="175" spans="1:47" x14ac:dyDescent="0.25">
      <c r="A175" s="101" t="s">
        <v>489</v>
      </c>
      <c r="B175" s="93" t="s">
        <v>488</v>
      </c>
      <c r="C175" s="104"/>
      <c r="D175" s="104"/>
      <c r="E175" s="104"/>
      <c r="F175" s="105"/>
      <c r="G175" s="110">
        <f t="shared" ref="G175:G207" si="0">SUM(C175:F175)</f>
        <v>0</v>
      </c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10">
        <f t="shared" ref="T175:T207" si="1">SUM(H175:S175)</f>
        <v>0</v>
      </c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10">
        <f t="shared" ref="AG175:AG207" si="2">SUM(U175:AF175)</f>
        <v>0</v>
      </c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10">
        <f t="shared" ref="AT175:AT207" si="3">SUM(AH175:AS175)</f>
        <v>0</v>
      </c>
      <c r="AU175" s="111">
        <f t="shared" ref="AU175:AU207" si="4">G175+T175+AG175+AT175</f>
        <v>0</v>
      </c>
    </row>
    <row r="176" spans="1:47" x14ac:dyDescent="0.25">
      <c r="A176" s="101" t="s">
        <v>489</v>
      </c>
      <c r="B176" s="93" t="s">
        <v>457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455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2" t="s">
        <v>489</v>
      </c>
      <c r="B178" s="93" t="s">
        <v>378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466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374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503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489</v>
      </c>
      <c r="B184" s="93" t="s">
        <v>504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489</v>
      </c>
      <c r="B185" s="93" t="s">
        <v>484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489</v>
      </c>
      <c r="B186" s="93" t="s">
        <v>506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513</v>
      </c>
      <c r="B187" s="93" t="s">
        <v>485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513</v>
      </c>
      <c r="B188" s="93" t="s">
        <v>486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2" t="s">
        <v>490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2" t="s">
        <v>490</v>
      </c>
      <c r="B190" s="93" t="s">
        <v>460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2" t="s">
        <v>490</v>
      </c>
      <c r="B191" s="93" t="s">
        <v>505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490</v>
      </c>
      <c r="B192" s="93" t="s">
        <v>458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514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510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490</v>
      </c>
      <c r="B195" s="93" t="s">
        <v>509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490</v>
      </c>
      <c r="B196" s="93" t="s">
        <v>373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490</v>
      </c>
      <c r="B197" s="93" t="s">
        <v>507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508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459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494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491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493</v>
      </c>
      <c r="B202" s="93" t="s">
        <v>492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493</v>
      </c>
      <c r="B203" s="93" t="s">
        <v>511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493</v>
      </c>
      <c r="B204" s="93" t="s">
        <v>495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42</v>
      </c>
      <c r="B205" s="93" t="s">
        <v>42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375</v>
      </c>
      <c r="B206" s="93" t="s">
        <v>375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ht="15.75" thickBot="1" x14ac:dyDescent="0.3">
      <c r="A207" s="103" t="s">
        <v>515</v>
      </c>
      <c r="B207" s="94" t="s">
        <v>515</v>
      </c>
      <c r="C207" s="108"/>
      <c r="D207" s="108"/>
      <c r="E207" s="108"/>
      <c r="F207" s="109"/>
      <c r="G207" s="113">
        <f t="shared" si="0"/>
        <v>0</v>
      </c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13">
        <f t="shared" si="1"/>
        <v>0</v>
      </c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13">
        <f t="shared" si="2"/>
        <v>0</v>
      </c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13">
        <f t="shared" si="3"/>
        <v>0</v>
      </c>
      <c r="AU207" s="114">
        <f t="shared" si="4"/>
        <v>0</v>
      </c>
    </row>
    <row r="208" spans="1:47" ht="15.75" thickBot="1" x14ac:dyDescent="0.3">
      <c r="A208" s="92"/>
      <c r="B208" s="95" t="s">
        <v>518</v>
      </c>
      <c r="C208" s="32">
        <f t="shared" ref="C208:AU208" si="5">SUM(C175:C207)</f>
        <v>0</v>
      </c>
      <c r="D208" s="32">
        <f t="shared" si="5"/>
        <v>0</v>
      </c>
      <c r="E208" s="32">
        <f t="shared" si="5"/>
        <v>0</v>
      </c>
      <c r="F208" s="32">
        <f t="shared" si="5"/>
        <v>0</v>
      </c>
      <c r="G208" s="116">
        <f t="shared" si="5"/>
        <v>0</v>
      </c>
      <c r="H208" s="32">
        <f t="shared" si="5"/>
        <v>0</v>
      </c>
      <c r="I208" s="32">
        <f t="shared" si="5"/>
        <v>0</v>
      </c>
      <c r="J208" s="32">
        <f t="shared" si="5"/>
        <v>0</v>
      </c>
      <c r="K208" s="32">
        <f t="shared" si="5"/>
        <v>0</v>
      </c>
      <c r="L208" s="32">
        <f t="shared" si="5"/>
        <v>0</v>
      </c>
      <c r="M208" s="32">
        <f t="shared" si="5"/>
        <v>0</v>
      </c>
      <c r="N208" s="32">
        <f t="shared" si="5"/>
        <v>0</v>
      </c>
      <c r="O208" s="32">
        <f t="shared" si="5"/>
        <v>0</v>
      </c>
      <c r="P208" s="32">
        <f t="shared" si="5"/>
        <v>0</v>
      </c>
      <c r="Q208" s="32">
        <f t="shared" si="5"/>
        <v>0</v>
      </c>
      <c r="R208" s="32">
        <f t="shared" si="5"/>
        <v>0</v>
      </c>
      <c r="S208" s="32">
        <f t="shared" si="5"/>
        <v>0</v>
      </c>
      <c r="T208" s="116">
        <f t="shared" si="5"/>
        <v>0</v>
      </c>
      <c r="U208" s="32">
        <f t="shared" si="5"/>
        <v>0</v>
      </c>
      <c r="V208" s="32">
        <f t="shared" si="5"/>
        <v>0</v>
      </c>
      <c r="W208" s="32">
        <f t="shared" si="5"/>
        <v>0</v>
      </c>
      <c r="X208" s="32">
        <f t="shared" si="5"/>
        <v>0</v>
      </c>
      <c r="Y208" s="32">
        <f t="shared" si="5"/>
        <v>0</v>
      </c>
      <c r="Z208" s="32">
        <f t="shared" si="5"/>
        <v>0</v>
      </c>
      <c r="AA208" s="32">
        <f t="shared" si="5"/>
        <v>0</v>
      </c>
      <c r="AB208" s="32">
        <f t="shared" si="5"/>
        <v>0</v>
      </c>
      <c r="AC208" s="32">
        <f t="shared" si="5"/>
        <v>0</v>
      </c>
      <c r="AD208" s="32">
        <f t="shared" si="5"/>
        <v>0</v>
      </c>
      <c r="AE208" s="32">
        <f t="shared" si="5"/>
        <v>0</v>
      </c>
      <c r="AF208" s="32">
        <f t="shared" si="5"/>
        <v>0</v>
      </c>
      <c r="AG208" s="116">
        <f t="shared" si="5"/>
        <v>0</v>
      </c>
      <c r="AH208" s="32">
        <f t="shared" si="5"/>
        <v>0</v>
      </c>
      <c r="AI208" s="32">
        <f t="shared" si="5"/>
        <v>0</v>
      </c>
      <c r="AJ208" s="32">
        <f t="shared" si="5"/>
        <v>0</v>
      </c>
      <c r="AK208" s="32">
        <f t="shared" si="5"/>
        <v>0</v>
      </c>
      <c r="AL208" s="32">
        <f t="shared" si="5"/>
        <v>0</v>
      </c>
      <c r="AM208" s="32">
        <f t="shared" si="5"/>
        <v>0</v>
      </c>
      <c r="AN208" s="32">
        <f t="shared" si="5"/>
        <v>0</v>
      </c>
      <c r="AO208" s="32">
        <f t="shared" si="5"/>
        <v>0</v>
      </c>
      <c r="AP208" s="32">
        <f t="shared" si="5"/>
        <v>0</v>
      </c>
      <c r="AQ208" s="32">
        <f t="shared" si="5"/>
        <v>0</v>
      </c>
      <c r="AR208" s="32">
        <f t="shared" si="5"/>
        <v>0</v>
      </c>
      <c r="AS208" s="32">
        <f t="shared" si="5"/>
        <v>0</v>
      </c>
      <c r="AT208" s="116">
        <f t="shared" si="5"/>
        <v>0</v>
      </c>
      <c r="AU208" s="115">
        <f t="shared" si="5"/>
        <v>0</v>
      </c>
    </row>
    <row r="1147" spans="1:23" ht="15.75" thickBot="1" x14ac:dyDescent="0.3">
      <c r="A1147" s="362"/>
      <c r="B1147" s="363"/>
      <c r="C1147" s="364"/>
      <c r="D1147" s="364"/>
      <c r="E1147" s="365"/>
      <c r="F1147" s="366"/>
      <c r="G1147" s="367"/>
      <c r="H1147" s="367"/>
      <c r="I1147" s="368"/>
      <c r="J1147" s="369"/>
      <c r="K1147" s="369"/>
      <c r="L1147" s="370"/>
      <c r="M1147" s="368"/>
      <c r="N1147" s="371"/>
      <c r="O1147" s="371"/>
      <c r="P1147" s="372"/>
      <c r="Q1147" s="372"/>
      <c r="R1147" s="372"/>
      <c r="S1147" s="373"/>
      <c r="T1147" s="374"/>
      <c r="U1147" s="374"/>
      <c r="V1147" s="374"/>
      <c r="W1147" s="372"/>
    </row>
    <row r="1148" spans="1:23" x14ac:dyDescent="0.25">
      <c r="A1148" s="362"/>
      <c r="B1148" s="377" t="s">
        <v>734</v>
      </c>
      <c r="C1148" s="427">
        <f>COUNTIF(B$1:B1145,B1148)</f>
        <v>1</v>
      </c>
      <c r="D1148" s="435">
        <f>C1148/C1153</f>
        <v>0.2</v>
      </c>
      <c r="E1148" s="378"/>
      <c r="F1148" s="366"/>
      <c r="G1148" s="367"/>
      <c r="H1148" s="367"/>
      <c r="I1148" s="379"/>
      <c r="J1148" s="428">
        <f>SUMIF(B$3:B1145,B1148,T$3:T1152)</f>
        <v>48</v>
      </c>
      <c r="K1148" s="439"/>
      <c r="L1148" s="440">
        <f>J1148/J1153</f>
        <v>1</v>
      </c>
      <c r="M1148" s="371"/>
      <c r="N1148" s="371"/>
      <c r="O1148" s="371"/>
      <c r="P1148" s="372"/>
      <c r="Q1148" s="372"/>
      <c r="R1148" s="372"/>
      <c r="S1148" s="373" t="s">
        <v>711</v>
      </c>
      <c r="T1148" s="381">
        <v>1261915799.52244</v>
      </c>
      <c r="U1148" s="381" t="e">
        <f>SUM(#REF!)</f>
        <v>#REF!</v>
      </c>
      <c r="V1148" s="381" t="e">
        <f>SUM(#REF!)</f>
        <v>#REF!</v>
      </c>
      <c r="W1148" s="372" t="s">
        <v>735</v>
      </c>
    </row>
    <row r="1149" spans="1:23" x14ac:dyDescent="0.25">
      <c r="A1149" s="362"/>
      <c r="B1149" s="382" t="s">
        <v>736</v>
      </c>
      <c r="C1149" s="429">
        <f>COUNTIF(B$1:B1145,B1149)</f>
        <v>1</v>
      </c>
      <c r="D1149" s="436">
        <f>C1149/C1153</f>
        <v>0.2</v>
      </c>
      <c r="E1149" s="378"/>
      <c r="F1149" s="366"/>
      <c r="G1149" s="367"/>
      <c r="H1149" s="367"/>
      <c r="I1149" s="379"/>
      <c r="J1149" s="430">
        <f>SUMIF(B$3:B1148,B1149,T$3:T1153)</f>
        <v>0</v>
      </c>
      <c r="K1149" s="441"/>
      <c r="L1149" s="442">
        <f>J1149/J1153</f>
        <v>0</v>
      </c>
      <c r="M1149" s="371"/>
      <c r="N1149" s="371"/>
      <c r="O1149" s="371"/>
      <c r="P1149" s="376"/>
      <c r="Q1149" s="376"/>
      <c r="R1149" s="376"/>
      <c r="S1149" s="383"/>
      <c r="T1149" s="384"/>
      <c r="U1149" s="384"/>
      <c r="V1149" s="384"/>
      <c r="W1149" s="376"/>
    </row>
    <row r="1150" spans="1:23" x14ac:dyDescent="0.25">
      <c r="A1150" s="362"/>
      <c r="B1150" s="386" t="s">
        <v>737</v>
      </c>
      <c r="C1150" s="431">
        <f>COUNTIF(B$1:B1145,B1150)</f>
        <v>1</v>
      </c>
      <c r="D1150" s="437">
        <f>C1150/C1153</f>
        <v>0.2</v>
      </c>
      <c r="E1150" s="378"/>
      <c r="F1150" s="366"/>
      <c r="G1150" s="367"/>
      <c r="H1150" s="367"/>
      <c r="I1150" s="379"/>
      <c r="J1150" s="432">
        <f>SUMIF(B$3:B1149,B1150,T$3:T1153)</f>
        <v>0</v>
      </c>
      <c r="K1150" s="443"/>
      <c r="L1150" s="444">
        <f>J1150/J1153</f>
        <v>0</v>
      </c>
      <c r="M1150" s="368"/>
      <c r="N1150" s="371"/>
      <c r="O1150" s="371"/>
      <c r="P1150" s="376"/>
      <c r="Q1150" s="376"/>
      <c r="R1150" s="376"/>
      <c r="S1150" s="383"/>
      <c r="T1150" s="384"/>
      <c r="U1150" s="384"/>
      <c r="V1150" s="384"/>
      <c r="W1150" s="376"/>
    </row>
    <row r="1151" spans="1:23" ht="15.75" thickBot="1" x14ac:dyDescent="0.3">
      <c r="A1151" s="362"/>
      <c r="B1151" s="387" t="s">
        <v>738</v>
      </c>
      <c r="C1151" s="433">
        <f>COUNTIF(B$1:B1148,B1151)</f>
        <v>1</v>
      </c>
      <c r="D1151" s="438">
        <f>C1151/C1153</f>
        <v>0.2</v>
      </c>
      <c r="E1151" s="378"/>
      <c r="F1151" s="366"/>
      <c r="G1151" s="367"/>
      <c r="H1151" s="367"/>
      <c r="I1151" s="379"/>
      <c r="J1151" s="434">
        <f>SUMIF(B$3:B1150,B1151,T$3:T1153)</f>
        <v>0</v>
      </c>
      <c r="K1151" s="445"/>
      <c r="L1151" s="446">
        <f>J1151/J1153</f>
        <v>0</v>
      </c>
      <c r="M1151" s="368"/>
      <c r="N1151" s="371"/>
      <c r="O1151" s="371"/>
      <c r="P1151" s="376"/>
      <c r="Q1151" s="376"/>
      <c r="R1151" s="376"/>
      <c r="S1151" s="383"/>
      <c r="T1151" s="384"/>
      <c r="U1151" s="384"/>
      <c r="V1151" s="384"/>
      <c r="W1151" s="376"/>
    </row>
    <row r="1152" spans="1:23" ht="16.5" thickTop="1" thickBot="1" x14ac:dyDescent="0.3">
      <c r="A1152" s="388"/>
      <c r="B1152" s="389" t="s">
        <v>739</v>
      </c>
      <c r="C1152" s="390">
        <f>COUNTIF(B$1:B1145,B1152)</f>
        <v>1</v>
      </c>
      <c r="D1152" s="391">
        <f>C1152/C1153</f>
        <v>0.2</v>
      </c>
      <c r="E1152" s="392"/>
      <c r="F1152" s="393"/>
      <c r="G1152" s="394"/>
      <c r="H1152" s="394"/>
      <c r="I1152" s="395"/>
      <c r="J1152" s="447">
        <f>SUMIF(B$3:B1151,B1152,T$3:T1153)</f>
        <v>0</v>
      </c>
      <c r="K1152" s="448"/>
      <c r="L1152" s="449">
        <f>J1152/J1153</f>
        <v>0</v>
      </c>
      <c r="M1152" s="396"/>
      <c r="N1152" s="396"/>
      <c r="O1152" s="396"/>
      <c r="P1152" s="376"/>
      <c r="Q1152" s="376"/>
      <c r="R1152" s="376"/>
      <c r="S1152" s="383"/>
      <c r="T1152" s="384"/>
      <c r="U1152" s="384"/>
      <c r="V1152" s="384"/>
      <c r="W1152" s="376"/>
    </row>
    <row r="1153" spans="1:23" x14ac:dyDescent="0.25">
      <c r="A1153" s="362"/>
      <c r="B1153" s="397"/>
      <c r="C1153" s="398">
        <f>SUM(C1148:C1152)</f>
        <v>5</v>
      </c>
      <c r="D1153" s="364"/>
      <c r="E1153" s="378"/>
      <c r="F1153" s="366"/>
      <c r="G1153" s="367"/>
      <c r="H1153" s="367"/>
      <c r="I1153" s="379"/>
      <c r="J1153" s="399">
        <f>SUM(J1148:J1152)</f>
        <v>48</v>
      </c>
      <c r="K1153" s="380"/>
      <c r="L1153" s="400"/>
      <c r="M1153" s="368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2"/>
    </row>
    <row r="2" spans="1:34" s="315" customFormat="1" ht="19.5" x14ac:dyDescent="0.3">
      <c r="C2" s="316" t="s">
        <v>789</v>
      </c>
      <c r="K2" s="592"/>
    </row>
    <row r="4" spans="1:34" ht="15.75" thickBot="1" x14ac:dyDescent="0.3">
      <c r="A4" s="30" t="s">
        <v>995</v>
      </c>
    </row>
    <row r="5" spans="1:34" s="1" customFormat="1" ht="15.75" thickBot="1" x14ac:dyDescent="0.3">
      <c r="A5"/>
      <c r="B5" s="478" t="s">
        <v>896</v>
      </c>
      <c r="C5" s="690">
        <f>MATCH("NewOpp",E5:N5,0)+4</f>
        <v>12</v>
      </c>
      <c r="D5" s="690">
        <f>MATCH("STOP",E5:N5,0)+4</f>
        <v>14</v>
      </c>
      <c r="K5" s="518"/>
      <c r="L5" s="479" t="s">
        <v>813</v>
      </c>
      <c r="M5" s="480" t="s">
        <v>815</v>
      </c>
      <c r="N5" s="574" t="s">
        <v>887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1">
        <v>0</v>
      </c>
      <c r="B7" s="487" t="s">
        <v>590</v>
      </c>
      <c r="C7" s="485" t="s">
        <v>590</v>
      </c>
      <c r="D7" s="486" t="s">
        <v>590</v>
      </c>
      <c r="E7" s="568">
        <v>0</v>
      </c>
      <c r="F7" s="568">
        <v>0</v>
      </c>
      <c r="G7" s="568">
        <v>0</v>
      </c>
      <c r="H7" s="568">
        <v>0</v>
      </c>
      <c r="I7" s="568">
        <v>0</v>
      </c>
      <c r="J7" s="568">
        <v>0</v>
      </c>
      <c r="K7" s="568">
        <v>17</v>
      </c>
      <c r="L7" s="569" t="s">
        <v>888</v>
      </c>
      <c r="M7" s="569" t="s">
        <v>130</v>
      </c>
      <c r="N7" s="569" t="s">
        <v>130</v>
      </c>
      <c r="O7" s="569" t="s">
        <v>127</v>
      </c>
      <c r="P7" s="569" t="s">
        <v>888</v>
      </c>
      <c r="Q7" s="569" t="s">
        <v>131</v>
      </c>
      <c r="R7" s="569" t="s">
        <v>113</v>
      </c>
      <c r="S7" s="569" t="s">
        <v>71</v>
      </c>
      <c r="T7" s="569" t="s">
        <v>113</v>
      </c>
      <c r="U7" s="569" t="s">
        <v>113</v>
      </c>
      <c r="V7" s="569" t="s">
        <v>113</v>
      </c>
      <c r="W7" s="569" t="s">
        <v>110</v>
      </c>
      <c r="X7" s="569" t="s">
        <v>91</v>
      </c>
      <c r="Y7" s="569" t="s">
        <v>110</v>
      </c>
      <c r="Z7" s="568">
        <v>0</v>
      </c>
      <c r="AA7" s="453"/>
      <c r="AB7" s="92"/>
    </row>
    <row r="8" spans="1:34" x14ac:dyDescent="0.25">
      <c r="A8" s="516"/>
      <c r="B8" s="487" t="s">
        <v>674</v>
      </c>
      <c r="C8" s="485"/>
      <c r="D8" s="486"/>
      <c r="E8" s="567"/>
      <c r="F8" s="567"/>
      <c r="G8" s="567"/>
      <c r="H8" s="567"/>
      <c r="I8" s="567"/>
      <c r="J8" s="567"/>
      <c r="K8" s="567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675</v>
      </c>
      <c r="C9" s="485"/>
      <c r="D9" s="486"/>
      <c r="E9" s="567"/>
      <c r="F9" s="567"/>
      <c r="G9" s="567"/>
      <c r="H9" s="567"/>
      <c r="I9" s="567"/>
      <c r="J9" s="567"/>
      <c r="K9" s="567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793</v>
      </c>
      <c r="C10" s="485"/>
      <c r="D10" s="486"/>
      <c r="E10" s="567"/>
      <c r="F10" s="567"/>
      <c r="G10" s="567"/>
      <c r="H10" s="567"/>
      <c r="I10" s="567"/>
      <c r="J10" s="567"/>
      <c r="K10" s="567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05" t="s">
        <v>561</v>
      </c>
      <c r="B11" s="579" t="s">
        <v>894</v>
      </c>
      <c r="C11" s="482" t="s">
        <v>816</v>
      </c>
      <c r="D11" s="483"/>
      <c r="E11" s="317" t="s">
        <v>695</v>
      </c>
      <c r="F11" s="589" t="s">
        <v>65</v>
      </c>
      <c r="G11" s="589" t="s">
        <v>916</v>
      </c>
      <c r="H11" s="582" t="s">
        <v>62</v>
      </c>
      <c r="I11" s="582"/>
      <c r="J11" s="318" t="s">
        <v>921</v>
      </c>
      <c r="K11" s="607" t="s">
        <v>354</v>
      </c>
      <c r="L11" s="610" t="s">
        <v>915</v>
      </c>
      <c r="M11" s="601" t="s">
        <v>68</v>
      </c>
      <c r="N11" s="601" t="s">
        <v>67</v>
      </c>
      <c r="O11" s="602" t="s">
        <v>66</v>
      </c>
      <c r="P11" s="601" t="s">
        <v>818</v>
      </c>
      <c r="Q11" s="604" t="s">
        <v>0</v>
      </c>
      <c r="R11" s="812" t="s">
        <v>2</v>
      </c>
      <c r="S11" s="813"/>
      <c r="T11" s="603" t="s">
        <v>1</v>
      </c>
      <c r="U11" s="602" t="s">
        <v>62</v>
      </c>
      <c r="V11" s="603" t="s">
        <v>64</v>
      </c>
      <c r="W11" s="605" t="s">
        <v>61</v>
      </c>
      <c r="X11" s="606" t="s">
        <v>63</v>
      </c>
      <c r="Y11" s="603" t="s">
        <v>57</v>
      </c>
      <c r="Z11"/>
    </row>
    <row r="12" spans="1:34" s="5" customFormat="1" ht="15.75" thickBot="1" x14ac:dyDescent="0.3">
      <c r="A12" s="806"/>
      <c r="B12" s="484" t="s">
        <v>122</v>
      </c>
      <c r="C12" s="485" t="s">
        <v>816</v>
      </c>
      <c r="D12" s="570"/>
      <c r="E12" s="496"/>
      <c r="F12" s="608"/>
      <c r="G12"/>
      <c r="H12"/>
      <c r="I12"/>
      <c r="J12" s="474"/>
      <c r="K12" s="600"/>
      <c r="L12" s="609">
        <f>HYPERLINK("https://eu1.salesforce.com/"&amp;E12,F12)</f>
        <v>0</v>
      </c>
      <c r="M12" s="596"/>
      <c r="N12" s="596"/>
      <c r="O12" s="597"/>
      <c r="P12" s="666">
        <v>1234567.8899999999</v>
      </c>
      <c r="Q12" s="666">
        <v>1234567.8899999999</v>
      </c>
      <c r="R12" s="814"/>
      <c r="S12" s="815"/>
      <c r="T12" s="598"/>
      <c r="U12" s="609">
        <f>HYPERLINK("https://eu1.salesforce.com/"&amp;G12,H12)</f>
        <v>0</v>
      </c>
      <c r="V12" s="599"/>
      <c r="W12" s="599"/>
      <c r="X12" s="599"/>
      <c r="Y12" s="599"/>
    </row>
    <row r="13" spans="1:34" x14ac:dyDescent="0.25">
      <c r="A13" s="806"/>
      <c r="B13" s="487" t="s">
        <v>673</v>
      </c>
      <c r="C13" s="485"/>
      <c r="D13" s="486"/>
      <c r="E13" s="567">
        <v>0.5</v>
      </c>
      <c r="F13" s="567"/>
      <c r="J13" s="567">
        <v>0.5</v>
      </c>
      <c r="K13" s="567">
        <v>17</v>
      </c>
      <c r="L13" s="269" t="s">
        <v>888</v>
      </c>
      <c r="M13" s="269" t="s">
        <v>130</v>
      </c>
      <c r="N13" s="269" t="s">
        <v>113</v>
      </c>
      <c r="O13" s="269" t="s">
        <v>111</v>
      </c>
      <c r="P13" s="269" t="s">
        <v>970</v>
      </c>
      <c r="Q13" s="269" t="s">
        <v>970</v>
      </c>
      <c r="R13" s="269" t="s">
        <v>889</v>
      </c>
      <c r="S13" s="269"/>
      <c r="T13" s="269" t="s">
        <v>113</v>
      </c>
      <c r="U13" s="269" t="s">
        <v>128</v>
      </c>
      <c r="V13" s="269" t="s">
        <v>128</v>
      </c>
      <c r="W13" s="269" t="s">
        <v>970</v>
      </c>
      <c r="X13" s="269" t="s">
        <v>91</v>
      </c>
      <c r="Y13" s="269" t="s">
        <v>110</v>
      </c>
      <c r="AA13" s="453"/>
      <c r="AB13" s="92"/>
    </row>
    <row r="14" spans="1:34" x14ac:dyDescent="0.25">
      <c r="A14" s="806"/>
      <c r="B14" s="487" t="s">
        <v>674</v>
      </c>
      <c r="C14" s="485"/>
      <c r="D14" s="486"/>
      <c r="E14" s="567">
        <v>1</v>
      </c>
      <c r="F14" s="567">
        <v>9</v>
      </c>
      <c r="G14" s="567">
        <v>25</v>
      </c>
      <c r="H14" s="474">
        <v>25</v>
      </c>
      <c r="I14" s="474"/>
      <c r="J14" s="567" t="s">
        <v>920</v>
      </c>
      <c r="K14" s="567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806</v>
      </c>
      <c r="S14" s="269"/>
      <c r="T14" s="269" t="s">
        <v>888</v>
      </c>
      <c r="U14" s="269"/>
      <c r="V14" s="269" t="s">
        <v>890</v>
      </c>
      <c r="W14" s="269" t="s">
        <v>892</v>
      </c>
      <c r="X14" s="269" t="s">
        <v>893</v>
      </c>
      <c r="Y14" s="269" t="s">
        <v>891</v>
      </c>
      <c r="AD14" s="454"/>
      <c r="AE14" s="454"/>
      <c r="AF14" s="454"/>
      <c r="AG14" s="454"/>
      <c r="AH14" s="454"/>
    </row>
    <row r="15" spans="1:34" x14ac:dyDescent="0.25">
      <c r="A15" s="806"/>
      <c r="B15" s="487" t="s">
        <v>675</v>
      </c>
      <c r="C15" s="485"/>
      <c r="D15" s="486"/>
      <c r="E15" s="567"/>
      <c r="F15" s="567"/>
      <c r="G15" s="567" t="s">
        <v>917</v>
      </c>
      <c r="H15" t="s">
        <v>919</v>
      </c>
      <c r="J15" s="567"/>
      <c r="K15" s="583" t="s">
        <v>909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07"/>
      <c r="B16" s="488" t="s">
        <v>793</v>
      </c>
      <c r="C16" s="491"/>
      <c r="D16" s="492"/>
      <c r="E16" s="576"/>
      <c r="F16" s="576"/>
      <c r="G16" s="576" t="s">
        <v>918</v>
      </c>
      <c r="J16" s="576" t="s">
        <v>922</v>
      </c>
      <c r="K16" s="57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05" t="s">
        <v>136</v>
      </c>
      <c r="B17" s="580" t="s">
        <v>895</v>
      </c>
      <c r="C17" s="482" t="s">
        <v>816</v>
      </c>
      <c r="D17" s="483"/>
      <c r="E17" s="503" t="s">
        <v>696</v>
      </c>
      <c r="F17" s="503"/>
      <c r="G17" s="503"/>
      <c r="H17" s="504" t="s">
        <v>828</v>
      </c>
      <c r="I17" s="504"/>
      <c r="J17" s="505" t="s">
        <v>598</v>
      </c>
      <c r="K17" s="594"/>
      <c r="L17" s="611" t="s">
        <v>827</v>
      </c>
      <c r="M17" s="612" t="s">
        <v>821</v>
      </c>
      <c r="N17" s="613" t="s">
        <v>826</v>
      </c>
      <c r="O17" s="613" t="s">
        <v>822</v>
      </c>
      <c r="P17" s="614" t="s">
        <v>823</v>
      </c>
      <c r="Q17" s="614" t="s">
        <v>824</v>
      </c>
      <c r="R17" s="816" t="s">
        <v>825</v>
      </c>
      <c r="S17" s="817"/>
      <c r="T17" s="611" t="s">
        <v>905</v>
      </c>
      <c r="W17" s="611" t="s">
        <v>907</v>
      </c>
      <c r="X17" s="506"/>
    </row>
    <row r="18" spans="1:37" s="5" customFormat="1" ht="15.75" thickBot="1" x14ac:dyDescent="0.3">
      <c r="A18" s="806"/>
      <c r="B18" s="484" t="s">
        <v>122</v>
      </c>
      <c r="C18" s="485" t="s">
        <v>923</v>
      </c>
      <c r="D18" s="615">
        <f>E12</f>
        <v>0</v>
      </c>
      <c r="H18" s="616"/>
      <c r="I18" s="616"/>
      <c r="J18" s="617"/>
      <c r="K18" s="593"/>
      <c r="L18" s="618"/>
      <c r="M18" s="620"/>
      <c r="N18" s="619"/>
      <c r="O18" s="619"/>
      <c r="P18" s="619"/>
      <c r="Q18" s="620"/>
      <c r="R18" s="818"/>
      <c r="S18" s="819"/>
      <c r="T18" s="621"/>
      <c r="W18" s="668"/>
      <c r="X18" s="506"/>
    </row>
    <row r="19" spans="1:37" x14ac:dyDescent="0.25">
      <c r="A19" s="806"/>
      <c r="B19" s="487" t="s">
        <v>673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7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970</v>
      </c>
      <c r="X19" s="474"/>
    </row>
    <row r="20" spans="1:37" x14ac:dyDescent="0.25">
      <c r="A20" s="806"/>
      <c r="B20" s="487" t="s">
        <v>674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06"/>
      <c r="B21" s="487" t="s">
        <v>675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07"/>
      <c r="B22" s="488" t="s">
        <v>793</v>
      </c>
      <c r="C22" s="489"/>
      <c r="D22" s="490"/>
      <c r="E22" s="578" t="s">
        <v>897</v>
      </c>
      <c r="F22" s="578"/>
      <c r="G22"/>
      <c r="H22"/>
      <c r="I22"/>
      <c r="J22" s="2"/>
      <c r="K22" s="576"/>
      <c r="L22" s="578" t="s">
        <v>898</v>
      </c>
      <c r="M22" s="578" t="s">
        <v>899</v>
      </c>
      <c r="N22" s="578" t="s">
        <v>900</v>
      </c>
      <c r="O22" s="578" t="s">
        <v>901</v>
      </c>
      <c r="P22" s="578" t="s">
        <v>902</v>
      </c>
      <c r="Q22" s="578" t="s">
        <v>903</v>
      </c>
      <c r="R22" s="578" t="s">
        <v>904</v>
      </c>
      <c r="S22" s="493"/>
      <c r="T22" s="578" t="s">
        <v>906</v>
      </c>
      <c r="U22" s="578"/>
      <c r="X22" s="578" t="s">
        <v>908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5" t="s">
        <v>573</v>
      </c>
      <c r="B23" s="581" t="s">
        <v>910</v>
      </c>
      <c r="C23" s="482" t="s">
        <v>816</v>
      </c>
      <c r="D23" s="483"/>
      <c r="E23" s="318" t="s">
        <v>157</v>
      </c>
      <c r="F23" s="318" t="s">
        <v>911</v>
      </c>
      <c r="G23" s="318" t="s">
        <v>814</v>
      </c>
      <c r="H23" s="686" t="s">
        <v>980</v>
      </c>
      <c r="I23" s="686" t="s">
        <v>916</v>
      </c>
      <c r="J23" s="500" t="s">
        <v>598</v>
      </c>
      <c r="K23" s="595"/>
      <c r="L23" s="808" t="s">
        <v>814</v>
      </c>
      <c r="M23" s="809"/>
      <c r="N23" s="659" t="s">
        <v>819</v>
      </c>
      <c r="O23" s="495" t="s">
        <v>971</v>
      </c>
      <c r="P23" s="495" t="s">
        <v>817</v>
      </c>
      <c r="Q23" s="495" t="s">
        <v>820</v>
      </c>
      <c r="R23" s="495" t="s">
        <v>913</v>
      </c>
      <c r="S23" s="495" t="s">
        <v>912</v>
      </c>
      <c r="T23" s="495" t="s">
        <v>1</v>
      </c>
      <c r="U23" s="495" t="s">
        <v>62</v>
      </c>
      <c r="V23" s="495" t="s">
        <v>686</v>
      </c>
      <c r="W23" s="495" t="s">
        <v>597</v>
      </c>
      <c r="X23" s="495" t="s">
        <v>829</v>
      </c>
      <c r="Y23" s="495" t="s">
        <v>367</v>
      </c>
      <c r="Z23" s="145"/>
      <c r="AA23" s="145"/>
      <c r="AB23" s="145"/>
    </row>
    <row r="24" spans="1:37" ht="15.75" thickBot="1" x14ac:dyDescent="0.3">
      <c r="A24" s="806"/>
      <c r="B24" s="484" t="s">
        <v>122</v>
      </c>
      <c r="C24" s="622" t="str">
        <f>IF(LEN(J12)=0,"",J12)</f>
        <v/>
      </c>
      <c r="D24" s="586">
        <v>1</v>
      </c>
      <c r="F24" s="498"/>
      <c r="G24" s="328"/>
      <c r="H24" s="501"/>
      <c r="I24" s="501"/>
      <c r="J24" s="499"/>
      <c r="K24" s="624" t="s">
        <v>926</v>
      </c>
      <c r="L24" s="810">
        <f>HYPERLINK("https://eu1.salesforce.com/"&amp;F24,G24)</f>
        <v>0</v>
      </c>
      <c r="M24" s="811"/>
      <c r="N24" s="1"/>
      <c r="O24" s="1"/>
      <c r="P24" s="667"/>
      <c r="Q24" s="1"/>
      <c r="R24" s="1"/>
      <c r="S24" s="1"/>
      <c r="T24" s="692"/>
      <c r="U24" s="691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6"/>
      <c r="B25" s="487" t="s">
        <v>673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7"/>
      <c r="L25" s="587" t="s">
        <v>888</v>
      </c>
      <c r="M25" s="587"/>
      <c r="N25" s="587" t="s">
        <v>113</v>
      </c>
      <c r="O25" s="587"/>
      <c r="P25" s="269" t="s">
        <v>1018</v>
      </c>
      <c r="Q25" s="269" t="s">
        <v>1019</v>
      </c>
      <c r="R25" s="587"/>
      <c r="S25" s="587"/>
      <c r="T25" s="587" t="s">
        <v>113</v>
      </c>
      <c r="U25" s="587" t="s">
        <v>113</v>
      </c>
      <c r="V25" s="587" t="s">
        <v>113</v>
      </c>
      <c r="W25" s="587" t="s">
        <v>128</v>
      </c>
      <c r="X25" s="587" t="s">
        <v>128</v>
      </c>
      <c r="Y25" s="587" t="s">
        <v>128</v>
      </c>
      <c r="AB25" s="92"/>
      <c r="AD25" s="453"/>
      <c r="AE25" s="92"/>
    </row>
    <row r="26" spans="1:37" ht="15.75" thickBot="1" x14ac:dyDescent="0.3">
      <c r="A26" s="806"/>
      <c r="B26" s="487" t="s">
        <v>674</v>
      </c>
      <c r="C26" s="485" t="s">
        <v>70</v>
      </c>
      <c r="D26" s="584" t="s">
        <v>128</v>
      </c>
      <c r="E26" s="577" t="s">
        <v>924</v>
      </c>
      <c r="F26" s="474" t="s">
        <v>70</v>
      </c>
      <c r="G26" s="474">
        <v>3</v>
      </c>
      <c r="H26" s="493" t="s">
        <v>982</v>
      </c>
      <c r="I26" s="493" t="s">
        <v>982</v>
      </c>
      <c r="J26" s="493"/>
      <c r="K26" s="701"/>
      <c r="L26" s="474"/>
      <c r="M26" s="474"/>
      <c r="N26" s="493" t="s">
        <v>834</v>
      </c>
      <c r="O26" s="493">
        <v>26</v>
      </c>
      <c r="P26" s="493" t="s">
        <v>131</v>
      </c>
      <c r="Q26" s="474" t="s">
        <v>129</v>
      </c>
      <c r="R26" s="474" t="s">
        <v>914</v>
      </c>
      <c r="S26" s="587" t="s">
        <v>111</v>
      </c>
      <c r="T26" s="493" t="s">
        <v>113</v>
      </c>
      <c r="U26" s="493"/>
      <c r="V26" s="590"/>
      <c r="W26" s="590"/>
      <c r="X26" s="590"/>
      <c r="Y26" s="590"/>
      <c r="AG26" s="454"/>
      <c r="AH26" s="454"/>
      <c r="AI26" s="454"/>
      <c r="AJ26" s="454"/>
      <c r="AK26" s="454"/>
    </row>
    <row r="27" spans="1:37" ht="45" x14ac:dyDescent="0.25">
      <c r="A27" s="806"/>
      <c r="B27" s="487" t="s">
        <v>675</v>
      </c>
      <c r="C27" s="485"/>
      <c r="D27" s="486"/>
      <c r="E27" s="585" t="s">
        <v>985</v>
      </c>
      <c r="K27" s="623" t="s">
        <v>986</v>
      </c>
      <c r="L27" s="623" t="s">
        <v>925</v>
      </c>
      <c r="M27" s="588"/>
      <c r="N27" s="588"/>
      <c r="O27" s="588"/>
      <c r="T27" s="588"/>
      <c r="U27" s="623" t="s">
        <v>925</v>
      </c>
      <c r="AG27" s="454"/>
      <c r="AH27" s="454"/>
      <c r="AI27" s="454"/>
      <c r="AJ27" s="454"/>
      <c r="AK27" s="454"/>
    </row>
    <row r="28" spans="1:37" ht="15.75" thickBot="1" x14ac:dyDescent="0.3">
      <c r="A28" s="807"/>
      <c r="B28" s="488" t="s">
        <v>793</v>
      </c>
      <c r="C28" s="491"/>
      <c r="D28" s="490"/>
      <c r="E28" s="119"/>
      <c r="H28" s="576" t="s">
        <v>979</v>
      </c>
      <c r="I28" s="576" t="s">
        <v>983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972</v>
      </c>
    </row>
    <row r="31" spans="1:37" s="1" customFormat="1" ht="15.75" thickBot="1" x14ac:dyDescent="0.3">
      <c r="A31"/>
      <c r="B31" s="478" t="s">
        <v>896</v>
      </c>
      <c r="C31" s="521" t="s">
        <v>133</v>
      </c>
      <c r="D31" s="521" t="s">
        <v>131</v>
      </c>
      <c r="K31" s="518"/>
      <c r="L31" s="479" t="s">
        <v>928</v>
      </c>
      <c r="M31" s="480" t="s">
        <v>815</v>
      </c>
      <c r="N31" s="574" t="s">
        <v>887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1">
        <v>0</v>
      </c>
      <c r="B33" s="487" t="s">
        <v>590</v>
      </c>
      <c r="C33" s="485" t="s">
        <v>590</v>
      </c>
      <c r="D33" s="486" t="s">
        <v>590</v>
      </c>
      <c r="E33" s="568">
        <v>0</v>
      </c>
      <c r="F33" s="568">
        <v>0</v>
      </c>
      <c r="G33" s="568">
        <v>0</v>
      </c>
      <c r="H33" s="568">
        <v>0</v>
      </c>
      <c r="I33" s="568"/>
      <c r="J33" s="568">
        <v>0</v>
      </c>
      <c r="K33" s="568">
        <v>17</v>
      </c>
      <c r="L33" s="569" t="s">
        <v>888</v>
      </c>
      <c r="M33" s="569" t="s">
        <v>130</v>
      </c>
      <c r="N33" s="569" t="s">
        <v>130</v>
      </c>
      <c r="O33" s="569" t="s">
        <v>127</v>
      </c>
      <c r="P33" s="569" t="s">
        <v>888</v>
      </c>
      <c r="Q33" s="569" t="s">
        <v>131</v>
      </c>
      <c r="R33" s="569" t="s">
        <v>113</v>
      </c>
      <c r="S33" s="569" t="s">
        <v>71</v>
      </c>
      <c r="T33" s="569" t="s">
        <v>113</v>
      </c>
      <c r="U33" s="569" t="s">
        <v>113</v>
      </c>
      <c r="V33" s="569" t="s">
        <v>113</v>
      </c>
      <c r="W33" s="569" t="s">
        <v>110</v>
      </c>
      <c r="X33" s="569" t="s">
        <v>91</v>
      </c>
      <c r="Y33" s="569" t="s">
        <v>110</v>
      </c>
      <c r="AA33" s="453"/>
      <c r="AB33" s="92"/>
    </row>
    <row r="34" spans="1:35" x14ac:dyDescent="0.25">
      <c r="A34" s="516"/>
      <c r="B34" s="487" t="s">
        <v>674</v>
      </c>
      <c r="C34" s="485"/>
      <c r="D34" s="486"/>
      <c r="E34" s="567"/>
      <c r="F34" s="567"/>
      <c r="G34" s="567"/>
      <c r="H34" s="567"/>
      <c r="I34" s="567"/>
      <c r="J34" s="567"/>
      <c r="K34" s="567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675</v>
      </c>
      <c r="C35" s="485"/>
      <c r="D35" s="486"/>
      <c r="E35" s="567"/>
      <c r="F35" s="567"/>
      <c r="G35" s="567"/>
      <c r="H35" s="567"/>
      <c r="I35" s="567"/>
      <c r="J35" s="567"/>
      <c r="K35" s="567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793</v>
      </c>
      <c r="C36" s="485"/>
      <c r="D36" s="486"/>
      <c r="E36" s="567"/>
      <c r="F36" s="567"/>
      <c r="G36" s="567"/>
      <c r="H36" s="567"/>
      <c r="I36" s="567"/>
      <c r="J36" s="567"/>
      <c r="K36" s="567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05" t="s">
        <v>561</v>
      </c>
      <c r="B37" s="579" t="s">
        <v>894</v>
      </c>
      <c r="C37" s="482" t="s">
        <v>816</v>
      </c>
      <c r="D37" s="483"/>
      <c r="E37" s="317" t="s">
        <v>695</v>
      </c>
      <c r="F37" s="589" t="s">
        <v>65</v>
      </c>
      <c r="G37" s="589" t="s">
        <v>916</v>
      </c>
      <c r="H37" s="582" t="s">
        <v>62</v>
      </c>
      <c r="I37" s="582"/>
      <c r="J37" s="318" t="s">
        <v>921</v>
      </c>
      <c r="K37" s="607" t="s">
        <v>354</v>
      </c>
      <c r="L37" s="610" t="s">
        <v>915</v>
      </c>
      <c r="M37" s="601" t="s">
        <v>68</v>
      </c>
      <c r="N37" s="601" t="s">
        <v>67</v>
      </c>
      <c r="O37" s="602" t="s">
        <v>66</v>
      </c>
      <c r="P37" s="601" t="s">
        <v>818</v>
      </c>
      <c r="Q37" s="604" t="s">
        <v>0</v>
      </c>
      <c r="R37" s="812" t="s">
        <v>2</v>
      </c>
      <c r="S37" s="813"/>
      <c r="T37" s="603" t="s">
        <v>1</v>
      </c>
      <c r="U37" s="602" t="s">
        <v>62</v>
      </c>
      <c r="V37" s="603" t="s">
        <v>64</v>
      </c>
      <c r="W37" s="605" t="s">
        <v>61</v>
      </c>
      <c r="X37" s="606" t="s">
        <v>63</v>
      </c>
      <c r="Y37" s="603" t="s">
        <v>57</v>
      </c>
      <c r="Z37"/>
    </row>
    <row r="38" spans="1:35" s="5" customFormat="1" ht="15.75" thickBot="1" x14ac:dyDescent="0.3">
      <c r="A38" s="806"/>
      <c r="B38" s="484" t="s">
        <v>122</v>
      </c>
      <c r="C38" s="485" t="s">
        <v>816</v>
      </c>
      <c r="D38" s="570"/>
      <c r="E38" s="496"/>
      <c r="F38" s="608"/>
      <c r="G38"/>
      <c r="H38"/>
      <c r="I38"/>
      <c r="J38" s="474"/>
      <c r="K38" s="600"/>
      <c r="L38" s="609">
        <f>HYPERLINK("https://eu1.salesforce.com/"&amp;E38,F38)</f>
        <v>0</v>
      </c>
      <c r="M38" s="596"/>
      <c r="N38" s="596"/>
      <c r="O38" s="597"/>
      <c r="P38" s="666">
        <v>1234567.8899999999</v>
      </c>
      <c r="Q38" s="666">
        <v>1234567.8899999999</v>
      </c>
      <c r="R38" s="814"/>
      <c r="S38" s="815"/>
      <c r="T38" s="598"/>
      <c r="U38" s="609">
        <f>HYPERLINK("https://eu1.salesforce.com/"&amp;G38,H38)</f>
        <v>0</v>
      </c>
      <c r="V38" s="599"/>
      <c r="W38" s="599"/>
      <c r="X38" s="599"/>
      <c r="Y38" s="599"/>
    </row>
    <row r="39" spans="1:35" x14ac:dyDescent="0.25">
      <c r="A39" s="806"/>
      <c r="B39" s="487" t="s">
        <v>673</v>
      </c>
      <c r="C39" s="485"/>
      <c r="D39" s="486"/>
      <c r="E39" s="567">
        <v>0.5</v>
      </c>
      <c r="F39" s="567"/>
      <c r="J39" s="567">
        <v>0.5</v>
      </c>
      <c r="K39" s="567">
        <v>17</v>
      </c>
      <c r="L39" s="269" t="s">
        <v>888</v>
      </c>
      <c r="M39" s="269" t="s">
        <v>130</v>
      </c>
      <c r="N39" s="269" t="s">
        <v>113</v>
      </c>
      <c r="O39" s="269" t="s">
        <v>111</v>
      </c>
      <c r="P39" s="269" t="s">
        <v>970</v>
      </c>
      <c r="Q39" s="269" t="s">
        <v>970</v>
      </c>
      <c r="R39" s="269" t="s">
        <v>889</v>
      </c>
      <c r="S39" s="269"/>
      <c r="T39" s="269" t="s">
        <v>113</v>
      </c>
      <c r="U39" s="269" t="s">
        <v>128</v>
      </c>
      <c r="V39" s="269" t="s">
        <v>128</v>
      </c>
      <c r="W39" s="269" t="s">
        <v>970</v>
      </c>
      <c r="X39" s="269" t="s">
        <v>91</v>
      </c>
      <c r="Y39" s="269" t="s">
        <v>110</v>
      </c>
      <c r="AA39" s="453"/>
      <c r="AB39" s="92"/>
    </row>
    <row r="40" spans="1:35" x14ac:dyDescent="0.25">
      <c r="A40" s="806"/>
      <c r="B40" s="487" t="s">
        <v>674</v>
      </c>
      <c r="C40" s="485"/>
      <c r="D40" s="486"/>
      <c r="E40" s="567">
        <v>1</v>
      </c>
      <c r="F40" s="567">
        <v>9</v>
      </c>
      <c r="G40" s="567">
        <v>25</v>
      </c>
      <c r="H40" s="474">
        <v>25</v>
      </c>
      <c r="I40" s="474"/>
      <c r="J40" s="567" t="s">
        <v>920</v>
      </c>
      <c r="K40" s="567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806</v>
      </c>
      <c r="S40" s="269"/>
      <c r="T40" s="269" t="s">
        <v>888</v>
      </c>
      <c r="U40" s="269"/>
      <c r="V40" s="269" t="s">
        <v>890</v>
      </c>
      <c r="W40" s="269" t="s">
        <v>892</v>
      </c>
      <c r="X40" s="269" t="s">
        <v>893</v>
      </c>
      <c r="Y40" s="269" t="s">
        <v>891</v>
      </c>
      <c r="AD40" s="454"/>
      <c r="AE40" s="454"/>
      <c r="AF40" s="454"/>
      <c r="AG40" s="454"/>
      <c r="AH40" s="454"/>
    </row>
    <row r="41" spans="1:35" x14ac:dyDescent="0.25">
      <c r="A41" s="806"/>
      <c r="B41" s="487" t="s">
        <v>675</v>
      </c>
      <c r="C41" s="485"/>
      <c r="D41" s="486"/>
      <c r="E41" s="567"/>
      <c r="F41" s="567"/>
      <c r="G41" s="567" t="s">
        <v>917</v>
      </c>
      <c r="H41" t="s">
        <v>919</v>
      </c>
      <c r="J41" s="567"/>
      <c r="K41" s="583" t="s">
        <v>909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07"/>
      <c r="B42" s="488" t="s">
        <v>793</v>
      </c>
      <c r="C42" s="491"/>
      <c r="D42" s="492"/>
      <c r="E42" s="576"/>
      <c r="F42" s="576"/>
      <c r="G42" s="576" t="s">
        <v>918</v>
      </c>
      <c r="J42" s="576" t="s">
        <v>922</v>
      </c>
      <c r="K42" s="57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05" t="s">
        <v>136</v>
      </c>
      <c r="B43" s="580" t="s">
        <v>895</v>
      </c>
      <c r="C43" s="482" t="s">
        <v>816</v>
      </c>
      <c r="D43" s="483"/>
      <c r="E43" s="503" t="s">
        <v>696</v>
      </c>
      <c r="F43" s="503"/>
      <c r="G43" s="503"/>
      <c r="H43" s="504" t="s">
        <v>828</v>
      </c>
      <c r="I43" s="504"/>
      <c r="J43" s="505" t="s">
        <v>598</v>
      </c>
      <c r="K43" s="594"/>
      <c r="L43" s="665" t="s">
        <v>827</v>
      </c>
      <c r="M43" s="612" t="s">
        <v>821</v>
      </c>
      <c r="N43" s="613" t="s">
        <v>826</v>
      </c>
      <c r="O43" s="613" t="s">
        <v>822</v>
      </c>
      <c r="P43" s="614" t="s">
        <v>823</v>
      </c>
      <c r="Q43" s="614" t="s">
        <v>824</v>
      </c>
      <c r="R43" s="816" t="s">
        <v>825</v>
      </c>
      <c r="S43" s="817"/>
      <c r="T43" s="665" t="s">
        <v>905</v>
      </c>
      <c r="W43" s="665" t="s">
        <v>907</v>
      </c>
      <c r="X43" s="506"/>
    </row>
    <row r="44" spans="1:35" s="5" customFormat="1" ht="15.75" thickBot="1" x14ac:dyDescent="0.3">
      <c r="A44" s="806"/>
      <c r="B44" s="484" t="s">
        <v>122</v>
      </c>
      <c r="C44" s="485" t="s">
        <v>923</v>
      </c>
      <c r="D44" s="615">
        <f>E38</f>
        <v>0</v>
      </c>
      <c r="H44" s="616"/>
      <c r="I44" s="616"/>
      <c r="J44" s="617"/>
      <c r="K44" s="593"/>
      <c r="L44" s="618"/>
      <c r="M44" s="620"/>
      <c r="N44" s="619"/>
      <c r="O44" s="619"/>
      <c r="P44" s="619"/>
      <c r="Q44" s="620"/>
      <c r="R44" s="818"/>
      <c r="S44" s="819"/>
      <c r="T44" s="621"/>
      <c r="W44" s="668"/>
      <c r="X44" s="506"/>
    </row>
    <row r="45" spans="1:35" x14ac:dyDescent="0.25">
      <c r="A45" s="806"/>
      <c r="B45" s="487" t="s">
        <v>673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7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970</v>
      </c>
      <c r="X45" s="474"/>
    </row>
    <row r="46" spans="1:35" x14ac:dyDescent="0.25">
      <c r="A46" s="806"/>
      <c r="B46" s="487" t="s">
        <v>674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06"/>
      <c r="B47" s="487" t="s">
        <v>675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07"/>
      <c r="B48" s="488" t="s">
        <v>793</v>
      </c>
      <c r="C48" s="489"/>
      <c r="D48" s="490"/>
      <c r="E48" s="578" t="s">
        <v>897</v>
      </c>
      <c r="F48" s="578"/>
      <c r="G48"/>
      <c r="H48"/>
      <c r="I48"/>
      <c r="J48" s="2"/>
      <c r="K48" s="576"/>
      <c r="L48" s="578" t="s">
        <v>898</v>
      </c>
      <c r="M48" s="578" t="s">
        <v>899</v>
      </c>
      <c r="N48" s="578" t="s">
        <v>900</v>
      </c>
      <c r="O48" s="578" t="s">
        <v>901</v>
      </c>
      <c r="P48" s="578" t="s">
        <v>902</v>
      </c>
      <c r="Q48" s="578" t="s">
        <v>903</v>
      </c>
      <c r="R48" s="578" t="s">
        <v>904</v>
      </c>
      <c r="S48" s="493"/>
      <c r="T48" s="578" t="s">
        <v>906</v>
      </c>
      <c r="W48" s="578" t="s">
        <v>908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5" t="s">
        <v>573</v>
      </c>
      <c r="B49" s="581" t="s">
        <v>910</v>
      </c>
      <c r="C49" s="482" t="s">
        <v>816</v>
      </c>
      <c r="D49" s="483"/>
      <c r="E49" s="318" t="s">
        <v>157</v>
      </c>
      <c r="F49" s="318" t="s">
        <v>911</v>
      </c>
      <c r="G49" s="318" t="s">
        <v>814</v>
      </c>
      <c r="H49" s="502" t="s">
        <v>62</v>
      </c>
      <c r="I49" s="502"/>
      <c r="J49" s="500" t="s">
        <v>598</v>
      </c>
      <c r="K49" s="595"/>
      <c r="L49" s="808" t="s">
        <v>814</v>
      </c>
      <c r="M49" s="809"/>
      <c r="N49" s="659" t="s">
        <v>819</v>
      </c>
      <c r="O49" s="495" t="s">
        <v>971</v>
      </c>
      <c r="P49" s="495" t="s">
        <v>817</v>
      </c>
      <c r="Q49" s="495" t="s">
        <v>820</v>
      </c>
      <c r="R49" s="495" t="s">
        <v>913</v>
      </c>
      <c r="S49" s="495" t="s">
        <v>912</v>
      </c>
      <c r="T49" s="495" t="s">
        <v>1</v>
      </c>
      <c r="U49" s="495" t="s">
        <v>686</v>
      </c>
      <c r="V49" s="495" t="s">
        <v>597</v>
      </c>
      <c r="W49" s="495" t="s">
        <v>829</v>
      </c>
      <c r="X49" s="495" t="s">
        <v>367</v>
      </c>
      <c r="Y49" s="145"/>
      <c r="Z49" s="145"/>
      <c r="AA49" s="145"/>
    </row>
    <row r="50" spans="1:36" ht="15.75" thickBot="1" x14ac:dyDescent="0.3">
      <c r="A50" s="806"/>
      <c r="B50" s="484" t="s">
        <v>122</v>
      </c>
      <c r="C50" s="622" t="str">
        <f>IF(LEN(J38)=0,"",J38)</f>
        <v/>
      </c>
      <c r="D50" s="586">
        <v>1</v>
      </c>
      <c r="F50" s="498"/>
      <c r="G50" s="328"/>
      <c r="H50" s="501"/>
      <c r="I50" s="501"/>
      <c r="J50" s="499"/>
      <c r="K50" s="624" t="s">
        <v>926</v>
      </c>
      <c r="L50" s="810">
        <f>HYPERLINK("https://eu1.salesforce.com/"&amp;F50,G50)</f>
        <v>0</v>
      </c>
      <c r="M50" s="811"/>
      <c r="N50" s="1"/>
      <c r="O50" s="1"/>
      <c r="P50" s="667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6"/>
      <c r="B51" s="487" t="s">
        <v>673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7"/>
      <c r="L51" s="587" t="s">
        <v>888</v>
      </c>
      <c r="M51" s="587"/>
      <c r="N51" s="587" t="s">
        <v>113</v>
      </c>
      <c r="O51" s="587"/>
      <c r="P51" s="269" t="s">
        <v>1018</v>
      </c>
      <c r="Q51" s="269" t="s">
        <v>1019</v>
      </c>
      <c r="R51" s="587"/>
      <c r="S51" s="587"/>
      <c r="T51" s="587" t="s">
        <v>113</v>
      </c>
      <c r="U51" s="587" t="s">
        <v>113</v>
      </c>
      <c r="V51" s="587" t="s">
        <v>128</v>
      </c>
      <c r="W51" s="587" t="s">
        <v>128</v>
      </c>
      <c r="X51" s="587" t="s">
        <v>128</v>
      </c>
      <c r="AA51" s="92"/>
      <c r="AC51" s="453"/>
      <c r="AD51" s="92"/>
    </row>
    <row r="52" spans="1:36" x14ac:dyDescent="0.25">
      <c r="A52" s="806"/>
      <c r="B52" s="487" t="s">
        <v>674</v>
      </c>
      <c r="C52" s="485" t="s">
        <v>70</v>
      </c>
      <c r="D52" s="584" t="s">
        <v>128</v>
      </c>
      <c r="E52" s="577" t="s">
        <v>924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834</v>
      </c>
      <c r="O52" s="493">
        <v>26</v>
      </c>
      <c r="P52" s="493" t="s">
        <v>131</v>
      </c>
      <c r="Q52" s="474" t="s">
        <v>129</v>
      </c>
      <c r="R52" s="474" t="s">
        <v>914</v>
      </c>
      <c r="S52" s="587" t="s">
        <v>111</v>
      </c>
      <c r="T52" s="493" t="s">
        <v>113</v>
      </c>
      <c r="U52" s="590"/>
      <c r="V52" s="590"/>
      <c r="W52" s="590"/>
      <c r="X52" s="590"/>
      <c r="Y52" s="591"/>
      <c r="AF52" s="454"/>
      <c r="AG52" s="454"/>
      <c r="AH52" s="454"/>
      <c r="AI52" s="454"/>
      <c r="AJ52" s="454"/>
    </row>
    <row r="53" spans="1:36" ht="45" x14ac:dyDescent="0.25">
      <c r="A53" s="806"/>
      <c r="B53" s="487" t="s">
        <v>675</v>
      </c>
      <c r="C53" s="485"/>
      <c r="D53" s="486"/>
      <c r="E53" s="585" t="s">
        <v>977</v>
      </c>
      <c r="K53" s="623" t="s">
        <v>925</v>
      </c>
      <c r="L53" s="623" t="s">
        <v>925</v>
      </c>
      <c r="M53" s="588"/>
      <c r="N53" s="588"/>
      <c r="O53" s="588"/>
      <c r="T53" s="588"/>
      <c r="AF53" s="454"/>
      <c r="AG53" s="454"/>
      <c r="AH53" s="454"/>
      <c r="AI53" s="454"/>
      <c r="AJ53" s="454"/>
    </row>
    <row r="54" spans="1:36" ht="15.75" thickBot="1" x14ac:dyDescent="0.3">
      <c r="A54" s="807"/>
      <c r="B54" s="488" t="s">
        <v>793</v>
      </c>
      <c r="C54" s="491"/>
      <c r="D54" s="490"/>
      <c r="E54" s="119"/>
      <c r="H54" s="576"/>
      <c r="I54" s="576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2013-03-14T21:48:39Z</dcterms:modified>
</cp:coreProperties>
</file>