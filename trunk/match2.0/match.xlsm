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45" windowWidth="27000" windowHeight="6420" tabRatio="864" activeTab="3"/>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WP_Prototype!$A$5:$V$28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K12" i="2049" l="1"/>
  <c r="D18" i="2049" l="1"/>
  <c r="K75" i="1989" l="1"/>
  <c r="I68" i="763" l="1"/>
  <c r="N84" i="1989" l="1"/>
  <c r="M84" i="1989"/>
  <c r="L84" i="1989"/>
  <c r="C84"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4"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<sst xmlns="http://schemas.openxmlformats.org/spreadsheetml/2006/main" count="1882" uniqueCount="954">
  <si>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</si>
  <si>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</si>
  <si>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</si>
  <si>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</si>
  <si>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</si>
  <si>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</si>
  <si>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</si>
  <si>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</si>
  <si>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</si>
  <si>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</si>
  <si>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</si>
  <si>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</si>
  <si>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</si>
  <si>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</si>
  <si>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</si>
  <si>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</si>
  <si>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</si>
  <si>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</si>
  <si>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</si>
  <si>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</si>
  <si>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</si>
  <si>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</si>
  <si>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</si>
  <si>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</si>
  <si>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</si>
  <si>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</si>
  <si>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</si>
  <si>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</si>
  <si>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</si>
  <si>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</si>
  <si>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</si>
  <si>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</si>
  <si>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</si>
  <si>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</si>
  <si>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</si>
  <si>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</si>
  <si>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</si>
  <si>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</si>
  <si>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</si>
  <si>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</si>
  <si>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</si>
  <si>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</si>
  <si>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</si>
  <si>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</si>
  <si>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</si>
  <si>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</si>
  <si>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</si>
  <si>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</si>
  <si>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</si>
  <si>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</si>
  <si>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</si>
  <si>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</si>
  <si>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</si>
  <si>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</si>
  <si>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</si>
  <si>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</si>
  <si>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</si>
  <si>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</si>
  <si>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</si>
  <si>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</si>
  <si>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</si>
  <si>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</si>
  <si>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</si>
  <si>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</si>
  <si>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</si>
  <si>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</si>
  <si>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</si>
  <si>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</si>
  <si>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</si>
  <si>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</si>
  <si>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</si>
  <si>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</si>
  <si>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</si>
  <si>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</si>
  <si>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</si>
  <si>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</si>
  <si>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</si>
  <si>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</si>
  <si>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</si>
  <si>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</si>
  <si>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</si>
  <si>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</si>
  <si>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</si>
  <si>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</si>
  <si>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</si>
  <si>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</si>
  <si>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</si>
  <si>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</si>
  <si>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</si>
  <si>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</si>
  <si>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</si>
  <si>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</si>
  <si>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</si>
  <si>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</si>
  <si>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</si>
  <si>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</si>
  <si>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</si>
  <si>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</si>
  <si>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</si>
  <si>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</si>
  <si>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</si>
  <si>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</si>
  <si>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</si>
  <si>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</si>
  <si>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</si>
  <si>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</si>
  <si>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</si>
  <si>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</si>
  <si>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</si>
  <si>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</si>
  <si>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</si>
  <si>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</si>
  <si>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</si>
  <si>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</si>
  <si>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</si>
  <si>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</si>
  <si>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</si>
  <si>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</si>
  <si>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</si>
  <si>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</si>
  <si>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</si>
  <si>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</si>
  <si>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</si>
  <si>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</si>
  <si>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</si>
  <si>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</si>
  <si>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</si>
  <si>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</si>
  <si>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</si>
  <si>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</si>
  <si>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</si>
  <si>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</si>
  <si>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</si>
  <si>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</si>
  <si>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</si>
  <si>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</si>
  <si>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</si>
  <si>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</si>
  <si>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</si>
  <si>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</si>
  <si>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</si>
  <si>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</si>
  <si>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</si>
  <si>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</si>
  <si>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</si>
  <si>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</si>
  <si>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</si>
  <si>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</si>
  <si>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</si>
  <si>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</si>
  <si>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</si>
  <si>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</si>
  <si>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</si>
  <si>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</si>
  <si>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</si>
  <si>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</si>
  <si>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</si>
  <si>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</si>
  <si>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</si>
  <si>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</si>
  <si>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</si>
  <si>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</si>
  <si>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</si>
  <si>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</si>
  <si>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</si>
  <si>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</si>
  <si>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</si>
  <si>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</si>
  <si>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</si>
  <si>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</si>
  <si>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</si>
  <si>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</si>
  <si>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</si>
  <si>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</si>
  <si>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</si>
  <si>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</si>
  <si>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</si>
  <si>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</si>
  <si>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</si>
  <si>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</si>
  <si>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</si>
  <si>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</si>
  <si>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</si>
  <si>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</si>
  <si>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</si>
  <si>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</si>
  <si>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</si>
  <si>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</si>
  <si>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</si>
  <si>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</si>
  <si>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</si>
  <si>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</si>
  <si>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</si>
  <si>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</si>
  <si>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</si>
  <si>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</si>
  <si>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</si>
  <si>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</si>
  <si>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</si>
  <si>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</si>
  <si>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</si>
  <si>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</si>
  <si>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</si>
  <si>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</si>
  <si>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</si>
  <si>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</si>
  <si>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</si>
  <si>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</si>
  <si>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</si>
  <si>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</si>
  <si>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</si>
  <si>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</si>
  <si>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</si>
  <si>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</si>
  <si>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</si>
  <si>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</si>
  <si>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</si>
  <si>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</si>
  <si>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</si>
  <si>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</si>
  <si>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</si>
  <si>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</si>
  <si>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</si>
  <si>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</si>
  <si>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</si>
  <si>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</si>
  <si>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</si>
  <si>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</si>
  <si>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</si>
  <si>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</si>
  <si>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</si>
  <si>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</si>
  <si>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</si>
  <si>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</si>
  <si>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</si>
  <si>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</si>
  <si>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</si>
  <si>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</si>
  <si>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</si>
  <si>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</si>
  <si>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</si>
  <si>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</si>
  <si>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</si>
  <si>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</si>
  <si>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</si>
  <si>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</si>
  <si>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</si>
  <si>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</si>
  <si>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</si>
  <si>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</si>
  <si>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</si>
  <si>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</si>
  <si>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</si>
  <si>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</si>
  <si>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</si>
  <si>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</si>
  <si>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</si>
  <si>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</si>
  <si>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</si>
  <si>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</si>
  <si>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</si>
  <si>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</si>
  <si>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</si>
  <si>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</si>
  <si>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</si>
  <si>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</si>
  <si>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</si>
  <si>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</si>
  <si>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</si>
  <si>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</si>
  <si>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</si>
  <si>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</si>
  <si>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</si>
  <si>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</si>
  <si>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</si>
  <si>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</si>
  <si>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</si>
  <si>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</si>
  <si>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</si>
  <si>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</si>
  <si>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</si>
  <si>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</si>
  <si>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</si>
  <si>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</si>
  <si>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</si>
  <si>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</si>
  <si>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</si>
  <si>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</si>
  <si>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</si>
  <si>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</si>
  <si>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</si>
  <si>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</si>
  <si>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</si>
  <si>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</si>
  <si>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</si>
  <si>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</si>
  <si>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</si>
  <si>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</si>
  <si>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</si>
  <si>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</si>
  <si>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</si>
  <si>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</si>
  <si>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</si>
  <si>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</si>
  <si>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</si>
  <si>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</si>
  <si>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</si>
  <si>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</si>
  <si>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</si>
  <si>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</si>
  <si>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</si>
  <si>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</si>
  <si>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</si>
  <si>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</si>
  <si>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</si>
  <si>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</si>
  <si>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</si>
  <si>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</si>
  <si>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</si>
  <si>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</si>
  <si>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</si>
  <si>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</si>
  <si>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</si>
  <si>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</si>
  <si>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</si>
  <si>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</si>
  <si>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</si>
  <si>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</si>
  <si>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</si>
  <si>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</si>
  <si>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</si>
  <si>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</si>
  <si>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</si>
  <si>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</si>
  <si>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</si>
  <si>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</si>
  <si>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</si>
  <si>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</si>
  <si>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</si>
  <si>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</si>
  <si>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</si>
  <si>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</si>
  <si>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</si>
  <si>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</si>
  <si>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</si>
  <si>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</si>
  <si>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</si>
  <si>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</si>
  <si>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</si>
  <si>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</si>
  <si>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</si>
  <si>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</si>
  <si>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</si>
  <si>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</si>
  <si>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</si>
  <si>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</si>
  <si>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</si>
  <si>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</si>
  <si>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</si>
  <si>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</si>
  <si>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</si>
  <si>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</si>
  <si>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</si>
  <si>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</si>
  <si>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</si>
  <si>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</si>
  <si>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</si>
  <si>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</si>
  <si>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</si>
  <si>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</si>
  <si>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</si>
  <si>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</si>
  <si>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</si>
  <si>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</si>
  <si>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</si>
  <si>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</si>
  <si>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</si>
  <si>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</si>
  <si>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</si>
  <si>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</si>
  <si>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</si>
  <si>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</si>
  <si>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</si>
  <si>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</si>
  <si>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</si>
  <si>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</si>
  <si>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</si>
  <si>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</si>
  <si>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</si>
  <si>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</si>
  <si>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</si>
  <si>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</si>
  <si>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</si>
  <si>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</si>
  <si>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</si>
  <si>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</si>
  <si>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</si>
  <si>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</si>
  <si>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</si>
  <si>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</si>
  <si>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</si>
  <si>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</si>
  <si>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</si>
  <si>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</si>
  <si>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</si>
  <si>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</si>
  <si>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</si>
  <si>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</si>
  <si>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</si>
  <si>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</si>
  <si>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</si>
  <si>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</si>
  <si>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</si>
  <si>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</si>
  <si>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</si>
  <si>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</si>
  <si>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</si>
  <si>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</si>
  <si>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</si>
  <si>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</si>
  <si>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</si>
  <si>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</si>
  <si>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</si>
  <si>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</si>
  <si>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</si>
  <si>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</si>
  <si>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</si>
  <si>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</si>
  <si>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</si>
  <si>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</si>
  <si>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</si>
  <si>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</si>
  <si>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</si>
  <si>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</si>
  <si>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</si>
  <si>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</si>
  <si>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</si>
  <si>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</si>
  <si>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</si>
  <si>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</si>
  <si>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</si>
  <si>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</si>
  <si>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</si>
  <si>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</si>
  <si>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</si>
  <si>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</si>
  <si>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</si>
  <si>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</si>
  <si>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</si>
  <si>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</si>
  <si>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</si>
  <si>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</si>
  <si>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</si>
  <si>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</si>
  <si>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</si>
  <si>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</si>
  <si>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</si>
  <si>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</si>
  <si>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</si>
  <si>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</si>
  <si>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</si>
  <si>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</si>
  <si>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</si>
  <si>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</si>
  <si>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</si>
  <si>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</si>
  <si>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</si>
  <si>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</si>
  <si>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</si>
  <si>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</si>
  <si>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</si>
  <si>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</si>
  <si>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</si>
  <si>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</si>
  <si>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</si>
  <si>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</si>
  <si>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</si>
  <si>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</si>
  <si>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</si>
  <si>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</si>
  <si>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</si>
  <si>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</si>
  <si>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</si>
  <si>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</si>
  <si>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</si>
  <si>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</si>
  <si>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</si>
  <si>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</si>
  <si>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</si>
  <si>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</si>
  <si>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</si>
  <si>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</si>
  <si>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</si>
  <si>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</si>
  <si>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</si>
  <si>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</si>
  <si>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</si>
  <si>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</si>
  <si>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</si>
  <si>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</si>
  <si>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</si>
  <si>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</si>
  <si>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</si>
  <si>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</si>
  <si>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</si>
  <si>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</si>
  <si>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</si>
  <si>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</si>
  <si>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</si>
  <si>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</si>
  <si>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</si>
  <si>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</si>
  <si>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</si>
  <si>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</si>
  <si>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</si>
  <si>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</si>
  <si>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</si>
  <si>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</si>
  <si>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</si>
  <si>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</si>
  <si>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</si>
  <si>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</si>
  <si>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</si>
  <si>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</si>
  <si>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</si>
  <si>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</si>
  <si>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</si>
  <si>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</si>
  <si>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</si>
  <si>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</si>
  <si>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</si>
  <si>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</si>
  <si>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</si>
  <si>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</si>
  <si>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</si>
  <si>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</si>
  <si>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</si>
  <si>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</si>
  <si>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</si>
  <si>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</si>
  <si>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</si>
  <si>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</si>
  <si>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</si>
  <si>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</si>
  <si>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</si>
  <si>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</si>
  <si>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</si>
  <si>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</si>
  <si>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</si>
  <si>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</si>
  <si>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</si>
  <si>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</si>
  <si>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</si>
  <si>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</si>
  <si>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</si>
  <si>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</si>
  <si>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</si>
  <si>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</si>
  <si>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</si>
  <si>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</si>
  <si>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</si>
  <si>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</si>
  <si>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</si>
  <si>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</si>
  <si>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</si>
  <si>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</si>
  <si>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</si>
  <si>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</si>
  <si>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</si>
  <si>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</si>
  <si>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</si>
  <si>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</si>
  <si>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</si>
  <si>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</si>
  <si>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</si>
  <si>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</si>
  <si>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</si>
  <si>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</si>
  <si>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</si>
  <si>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</si>
  <si>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</si>
  <si>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</si>
  <si>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</si>
  <si>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</si>
  <si>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</si>
  <si>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</si>
  <si>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</si>
  <si>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</si>
  <si>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</si>
  <si>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</si>
  <si>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</si>
  <si>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</si>
  <si>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</si>
  <si>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</si>
  <si>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</si>
  <si>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</si>
  <si>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</si>
  <si>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</si>
  <si>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</si>
  <si>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</si>
  <si>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</si>
  <si>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</si>
  <si>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</si>
  <si>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</si>
  <si>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</si>
  <si>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</si>
  <si>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</si>
  <si>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</si>
  <si>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</si>
  <si>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</si>
  <si>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</si>
  <si>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</si>
  <si>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</si>
  <si>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</si>
  <si>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</si>
  <si>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</si>
  <si>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</si>
  <si>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</si>
  <si>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</si>
  <si>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</si>
  <si>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</si>
  <si>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</si>
  <si>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</si>
  <si>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</si>
  <si>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</si>
  <si>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</si>
  <si>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</si>
  <si>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</si>
  <si>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</si>
  <si>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</si>
  <si>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</si>
  <si>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</si>
  <si>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</si>
  <si>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</si>
  <si>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</si>
  <si>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</si>
  <si>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</si>
  <si>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</si>
  <si>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</si>
  <si>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</si>
  <si>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</si>
  <si>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</si>
  <si>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</si>
  <si>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</si>
  <si>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</si>
  <si>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</si>
  <si>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</si>
  <si>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</si>
  <si>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</si>
  <si>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</si>
  <si>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</si>
  <si>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</si>
  <si>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</si>
  <si>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</si>
  <si>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</si>
  <si>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</si>
  <si>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</si>
  <si>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</si>
  <si>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</si>
  <si>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</si>
  <si>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</si>
  <si>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</si>
  <si>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</si>
  <si>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</si>
  <si>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</si>
  <si>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</si>
  <si>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</si>
  <si>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</si>
  <si>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</si>
  <si>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</si>
  <si>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</si>
  <si>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</si>
  <si>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</si>
  <si>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</si>
  <si>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</si>
  <si>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</si>
  <si>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</si>
  <si>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</si>
  <si>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</si>
  <si>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</si>
  <si>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</si>
  <si>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</si>
  <si>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</si>
  <si>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</si>
  <si>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</si>
  <si>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</si>
  <si>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</si>
  <si>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</si>
  <si>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</si>
  <si>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</si>
  <si>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</si>
  <si>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</si>
  <si>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</si>
  <si>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</si>
  <si>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</si>
  <si>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</si>
  <si>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</si>
  <si>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</si>
  <si>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</si>
  <si>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</si>
  <si>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</si>
  <si>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</si>
  <si>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</si>
  <si>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</si>
  <si>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</si>
  <si>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</si>
  <si>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</si>
  <si>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</si>
  <si>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</si>
  <si>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</si>
  <si>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</si>
  <si>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</si>
  <si>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</si>
  <si>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</si>
  <si>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</si>
  <si>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</si>
  <si>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</si>
  <si>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</si>
  <si>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</si>
  <si>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</si>
  <si>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</si>
  <si>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</si>
  <si>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</si>
  <si>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</si>
  <si>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</si>
  <si>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</si>
  <si>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</si>
  <si>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</si>
  <si>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</si>
  <si>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</si>
  <si>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</si>
  <si>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</si>
  <si>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</si>
  <si>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</si>
  <si>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</si>
  <si>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</si>
  <si>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</si>
  <si>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</si>
  <si>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</si>
  <si>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</si>
  <si>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</si>
  <si>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</si>
  <si>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</si>
  <si>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</si>
  <si>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</si>
  <si>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</si>
  <si>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</si>
  <si>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</si>
  <si>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</si>
  <si>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</si>
  <si>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</si>
  <si>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</si>
  <si>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</si>
  <si>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</si>
  <si>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</si>
  <si>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</si>
  <si>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</si>
  <si>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</si>
  <si>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</si>
  <si>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</si>
  <si>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</si>
  <si>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</si>
  <si>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</si>
  <si>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</si>
  <si>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</si>
  <si>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</si>
  <si>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</si>
  <si>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</si>
  <si>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</si>
  <si>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</si>
  <si>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</si>
  <si>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</si>
  <si>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</si>
  <si>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</si>
  <si>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</si>
  <si>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</si>
  <si>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</si>
  <si>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</si>
  <si>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</si>
  <si>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</si>
  <si>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</si>
  <si>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</si>
  <si>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</si>
  <si>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</si>
  <si>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</si>
  <si>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</si>
  <si>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</si>
  <si>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</si>
  <si>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</si>
  <si>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</si>
  <si>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</si>
  <si>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</si>
  <si>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</si>
  <si>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</si>
  <si>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</si>
  <si>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</si>
  <si>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</si>
  <si>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</si>
  <si>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</si>
  <si>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</si>
  <si>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</si>
  <si>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</si>
  <si>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</si>
  <si>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</si>
  <si>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</si>
  <si>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</si>
  <si>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</si>
  <si>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</si>
  <si>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</si>
  <si>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</si>
  <si>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</si>
  <si>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</si>
  <si>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</si>
  <si>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</si>
  <si>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</si>
  <si>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</si>
  <si>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</si>
  <si>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</si>
  <si>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</si>
  <si>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</si>
  <si>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</si>
  <si>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</si>
  <si>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</si>
  <si>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</si>
  <si>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</si>
  <si>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</si>
  <si>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</si>
  <si>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</si>
  <si>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</si>
  <si>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</si>
  <si>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</si>
  <si>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</si>
  <si>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</si>
  <si>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</si>
  <si>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</si>
  <si>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</si>
  <si>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</si>
  <si>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</si>
  <si>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</si>
  <si>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</si>
  <si>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</si>
  <si>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</si>
  <si>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</si>
  <si>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</si>
  <si>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</si>
  <si>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</si>
  <si>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</si>
  <si>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</si>
  <si>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</si>
  <si>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</si>
  <si>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</si>
  <si>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</si>
  <si>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</si>
  <si>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</si>
  <si>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</si>
  <si>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</si>
  <si>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</si>
  <si>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</si>
  <si>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</si>
  <si>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</si>
  <si>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</si>
  <si>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</si>
  <si>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</si>
  <si>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</si>
  <si>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</si>
  <si>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</si>
  <si>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</si>
  <si>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</si>
  <si>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</si>
  <si>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</si>
  <si>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</si>
  <si>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</si>
  <si>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</si>
  <si>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</si>
  <si>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</si>
  <si>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</si>
  <si>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</si>
  <si>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</si>
  <si>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</si>
  <si>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</si>
  <si>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</si>
  <si>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</si>
  <si>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</si>
  <si>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</si>
  <si>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</si>
  <si>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</si>
  <si>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</si>
  <si>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</si>
  <si>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</si>
  <si>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</si>
  <si>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</si>
  <si>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</si>
  <si>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</si>
  <si>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</si>
  <si>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</si>
  <si>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</si>
  <si>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</si>
  <si>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</si>
  <si>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</si>
  <si>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</si>
  <si>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</si>
  <si>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</si>
  <si>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</si>
  <si>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</si>
  <si>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</si>
  <si>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</si>
  <si>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</si>
  <si>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</si>
  <si>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</si>
  <si>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</si>
  <si>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</si>
  <si>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</si>
  <si>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</si>
  <si>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</si>
  <si>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</si>
  <si>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</si>
  <si>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SFopp/1:2</t>
  </si>
  <si>
    <t>ExtPar</t>
  </si>
  <si>
    <t>4, 12</t>
  </si>
  <si>
    <t>2, 10</t>
  </si>
  <si>
    <t>STOP</t>
  </si>
  <si>
    <t>22</t>
  </si>
  <si>
    <t>40</t>
  </si>
  <si>
    <t>26</t>
  </si>
  <si>
    <t>29</t>
  </si>
  <si>
    <t>27</t>
  </si>
  <si>
    <t>28</t>
  </si>
  <si>
    <t>iLine</t>
  </si>
  <si>
    <t>Шаблон</t>
  </si>
  <si>
    <t>Кнопки</t>
  </si>
  <si>
    <t>SFacc/3:2</t>
  </si>
  <si>
    <t>SFacc/3:9</t>
  </si>
  <si>
    <t>SFacc/3:12</t>
  </si>
  <si>
    <t>SFacc/3:6</t>
  </si>
  <si>
    <t>SFacc/3:5</t>
  </si>
  <si>
    <t>SFacc/3:4</t>
  </si>
  <si>
    <t>SFacc/3:7</t>
  </si>
  <si>
    <t>SFacc/3:10</t>
  </si>
  <si>
    <t>Ответственный за организацию</t>
  </si>
  <si>
    <t>SFacc/3:11</t>
  </si>
  <si>
    <t>Оборот за год</t>
  </si>
  <si>
    <t>SFacc/3:19</t>
  </si>
  <si>
    <t>GoodType</t>
  </si>
  <si>
    <t>Select</t>
  </si>
  <si>
    <t>IdOpp</t>
  </si>
  <si>
    <t>Тема&amp;вид деятельности</t>
  </si>
  <si>
    <t>АСЕ</t>
  </si>
  <si>
    <t>21</t>
  </si>
  <si>
    <t>SFD/18:2/0</t>
  </si>
  <si>
    <t>3/CopyToVal</t>
  </si>
  <si>
    <t>//Button</t>
  </si>
  <si>
    <t>Организация 1С</t>
  </si>
  <si>
    <t>OppFilter/ 19,6,10,16,13,20,21</t>
  </si>
  <si>
    <t>Занести</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</si>
</sst>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4"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sz val="11"/>
      <color theme="0"/>
      <name val="Calibri"/>
      <family val="2"/>
      <charset val="204"/>
    </font>
    <font>
      <b/>
      <sz val="11"/>
      <color theme="0"/>
      <name val="Calibri"/>
      <family val="2"/>
      <charset val="204"/>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rgb="FF0080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8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06">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164" fontId="1" fillId="11" borderId="0" xfId="732" applyNumberFormat="1" applyFont="1" applyFill="1" applyAlignment="1">
      <alignment horizontal="center"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167" fontId="0" fillId="8" borderId="31" xfId="0" applyNumberFormat="1" applyFill="1" applyBorder="1" applyAlignment="1">
      <alignment horizontal="center"/>
    </xf>
    <xf numFmtId="167" fontId="0" fillId="8" borderId="47" xfId="0" applyNumberFormat="1" applyFill="1" applyBorder="1"/>
    <xf numFmtId="49" fontId="1" fillId="42" borderId="85" xfId="27" applyNumberFormat="1" applyFont="1" applyFill="1" applyBorder="1" applyAlignment="1">
      <alignment horizontal="center"/>
    </xf>
    <xf numFmtId="49" fontId="314" fillId="57" borderId="0" xfId="0" applyNumberFormat="1" applyFont="1" applyFill="1" applyAlignment="1">
      <alignment horizontal="center"/>
    </xf>
    <xf numFmtId="49" fontId="0" fillId="8" borderId="0" xfId="0" applyNumberFormat="1" applyFill="1" applyAlignment="1">
      <alignment horizontal="center"/>
    </xf>
    <xf numFmtId="169" fontId="0" fillId="8" borderId="0" xfId="0" applyFill="1"/>
    <xf numFmtId="49" fontId="0" fillId="58" borderId="41" xfId="0" applyNumberFormat="1" applyFill="1" applyBorder="1" applyAlignment="1">
      <alignment horizontal="left" vertical="center" wrapText="1"/>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9" borderId="0" xfId="63" applyFill="1" applyAlignment="1">
      <alignment horizontal="center" vertical="center"/>
    </xf>
    <xf numFmtId="169" fontId="314" fillId="59" borderId="0" xfId="63" applyFont="1" applyFill="1" applyAlignment="1">
      <alignment horizontal="center" vertical="center"/>
    </xf>
    <xf numFmtId="4" fontId="260" fillId="59" borderId="80" xfId="765" applyNumberFormat="1" applyFont="1" applyFill="1" applyBorder="1" applyAlignment="1">
      <alignment vertical="center"/>
    </xf>
    <xf numFmtId="169" fontId="249" fillId="59" borderId="0" xfId="63" applyFill="1" applyAlignment="1">
      <alignment vertical="center"/>
    </xf>
    <xf numFmtId="49" fontId="0" fillId="59"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60"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32" fillId="61" borderId="1" xfId="731" applyFont="1" applyFill="1" applyBorder="1" applyAlignment="1">
      <alignment horizontal="center"/>
    </xf>
    <xf numFmtId="0" fontId="326" fillId="59"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333" fillId="61" borderId="1" xfId="731" applyFon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9" borderId="81" xfId="63" applyFill="1" applyBorder="1" applyAlignment="1">
      <alignment vertical="center" wrapText="1"/>
    </xf>
    <xf numFmtId="169" fontId="0" fillId="59"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G1" sqref="G1:G1048576"/>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41202.096597222226</v>
      </c>
      <c r="C1" s="125" t="s">
        <v>596</v>
      </c>
      <c r="J1" s="463" t="s">
        <v>824</v>
      </c>
      <c r="K1" s="167"/>
      <c r="L1" s="57"/>
      <c r="M1" s="57"/>
      <c r="N1" s="57"/>
      <c r="O1" s="679" t="s">
        <v>605</v>
      </c>
      <c r="P1" s="679" t="s">
        <v>859</v>
      </c>
      <c r="Q1" s="679"/>
      <c r="R1" s="679"/>
      <c r="S1" s="679"/>
    </row>
    <row r="2" spans="1:23" ht="20.25" customHeight="1" x14ac:dyDescent="0.25">
      <c r="O2" s="680"/>
      <c r="P2" s="680"/>
      <c r="Q2" s="680"/>
      <c r="R2" s="680"/>
      <c r="S2" s="680"/>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48"/>
      <c r="H7" s="169"/>
      <c r="I7" s="169"/>
      <c r="J7" s="169" t="s">
        <v>625</v>
      </c>
      <c r="K7" s="172" t="s">
        <v>600</v>
      </c>
      <c r="L7" s="153">
        <v>6</v>
      </c>
      <c r="M7" s="153">
        <v>1</v>
      </c>
      <c r="N7" s="168"/>
    </row>
    <row r="8" spans="1:23" s="136" customFormat="1" x14ac:dyDescent="0.25">
      <c r="A8" s="249">
        <v>41202.096597222226</v>
      </c>
      <c r="B8" s="136" t="s">
        <v>574</v>
      </c>
      <c r="C8" s="141">
        <v>4800</v>
      </c>
      <c r="D8" s="141">
        <v>5</v>
      </c>
      <c r="E8" s="141">
        <v>2</v>
      </c>
      <c r="F8" t="s">
        <v>695</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41201.071111111109</v>
      </c>
      <c r="B10" t="s">
        <v>579</v>
      </c>
      <c r="C10" s="145">
        <v>1061</v>
      </c>
      <c r="D10" s="139">
        <v>8</v>
      </c>
      <c r="E10" s="139">
        <v>2</v>
      </c>
      <c r="F10" t="s">
        <v>695</v>
      </c>
      <c r="G10" s="150" t="s">
        <v>112</v>
      </c>
      <c r="H10" t="s">
        <v>697</v>
      </c>
      <c r="I10" s="163" t="s">
        <v>579</v>
      </c>
      <c r="J10" s="128" t="s">
        <v>607</v>
      </c>
      <c r="K10" s="129" t="s">
        <v>600</v>
      </c>
      <c r="L10" s="153">
        <v>1</v>
      </c>
      <c r="M10" s="153" t="s">
        <v>919</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918</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41200.964930555558</v>
      </c>
      <c r="B14" s="136" t="s">
        <v>581</v>
      </c>
      <c r="C14" s="141">
        <v>3694</v>
      </c>
      <c r="D14" s="141">
        <v>2</v>
      </c>
      <c r="E14" s="141">
        <v>6</v>
      </c>
      <c r="F14" s="136" t="s">
        <v>630</v>
      </c>
      <c r="G14" s="141" t="s">
        <v>91</v>
      </c>
      <c r="H14" s="136" t="str">
        <f t="shared" ref="H14:H21" si="0">H$6</f>
        <v>SFDC.xlsx</v>
      </c>
      <c r="I14" s="165" t="s">
        <v>581</v>
      </c>
      <c r="J14" s="137" t="s">
        <v>583</v>
      </c>
      <c r="K14" s="144" t="s">
        <v>600</v>
      </c>
      <c r="L14" s="142">
        <v>2</v>
      </c>
      <c r="M14" s="142" t="s">
        <v>674</v>
      </c>
      <c r="N14" s="270">
        <v>41200.963888888888</v>
      </c>
      <c r="O14" s="146"/>
      <c r="P14" s="146"/>
      <c r="Q14" s="146"/>
      <c r="T14" s="136" t="str">
        <f>Process!F26</f>
        <v>LOAD_SF</v>
      </c>
    </row>
    <row r="15" spans="1:23" ht="15.75" customHeight="1" x14ac:dyDescent="0.25">
      <c r="A15" s="248">
        <v>41200.96597222222</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41200.965277777781</v>
      </c>
      <c r="O15" s="138"/>
      <c r="Q15" s="138"/>
      <c r="T15" s="149" t="str">
        <f>Process!F32</f>
        <v>LOAD_SFD</v>
      </c>
    </row>
    <row r="16" spans="1:23" ht="15.75" x14ac:dyDescent="0.3">
      <c r="A16" s="248">
        <v>41200.967141203706</v>
      </c>
      <c r="B16" t="s">
        <v>586</v>
      </c>
      <c r="C16" s="145">
        <v>2823</v>
      </c>
      <c r="D16" s="139" t="s">
        <v>603</v>
      </c>
      <c r="E16" s="139">
        <v>6</v>
      </c>
      <c r="F16" t="s">
        <v>617</v>
      </c>
      <c r="G16" s="150" t="s">
        <v>91</v>
      </c>
      <c r="H16" t="str">
        <f t="shared" si="0"/>
        <v>SFDC.xlsx</v>
      </c>
      <c r="I16" s="166" t="s">
        <v>586</v>
      </c>
      <c r="J16" s="130" t="s">
        <v>587</v>
      </c>
      <c r="K16" s="129" t="s">
        <v>600</v>
      </c>
      <c r="L16" s="140">
        <v>2</v>
      </c>
      <c r="M16" s="140">
        <v>1</v>
      </c>
      <c r="N16" s="124">
        <v>41200.966666666667</v>
      </c>
      <c r="O16" s="138"/>
      <c r="Q16" s="138"/>
    </row>
    <row r="17" spans="1:20" ht="15.75" x14ac:dyDescent="0.3">
      <c r="A17" s="626">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41197.954270833332</v>
      </c>
      <c r="B18" t="s">
        <v>589</v>
      </c>
      <c r="C18" s="145">
        <v>7459</v>
      </c>
      <c r="D18" s="139" t="s">
        <v>603</v>
      </c>
      <c r="E18" s="139">
        <v>6</v>
      </c>
      <c r="F18" t="s">
        <v>617</v>
      </c>
      <c r="G18" s="150" t="s">
        <v>113</v>
      </c>
      <c r="H18" t="str">
        <f t="shared" si="0"/>
        <v>SFDC.xlsx</v>
      </c>
      <c r="I18" s="166" t="s">
        <v>589</v>
      </c>
      <c r="J18" s="131" t="s">
        <v>588</v>
      </c>
      <c r="K18" s="129" t="s">
        <v>600</v>
      </c>
      <c r="L18" s="140">
        <v>2</v>
      </c>
      <c r="M18" s="140">
        <v>1</v>
      </c>
      <c r="N18" s="124">
        <v>41197.952777777777</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26">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626">
        <v>41185.969351851854</v>
      </c>
      <c r="B21" t="s">
        <v>594</v>
      </c>
      <c r="C21" s="145">
        <v>362</v>
      </c>
      <c r="D21" s="139" t="s">
        <v>603</v>
      </c>
      <c r="E21" s="139">
        <v>6</v>
      </c>
      <c r="F21" t="s">
        <v>617</v>
      </c>
      <c r="G21" s="150" t="s">
        <v>113</v>
      </c>
      <c r="H21" t="str">
        <f t="shared" si="0"/>
        <v>SFDC.xlsx</v>
      </c>
      <c r="I21" s="573" t="s">
        <v>594</v>
      </c>
      <c r="J21" s="134" t="s">
        <v>595</v>
      </c>
      <c r="K21" s="296" t="s">
        <v>600</v>
      </c>
      <c r="L21" s="140">
        <v>2</v>
      </c>
      <c r="M21" s="140">
        <v>1</v>
      </c>
      <c r="N21" s="162">
        <v>41185.96875</v>
      </c>
      <c r="O21" s="572"/>
      <c r="P21" s="298"/>
      <c r="Q21" s="572"/>
      <c r="R21" s="298"/>
      <c r="S21" s="298"/>
    </row>
    <row r="22" spans="1:20" s="136" customFormat="1" x14ac:dyDescent="0.25">
      <c r="A22" s="637">
        <v>41185.98810185185</v>
      </c>
      <c r="B22" s="136" t="s">
        <v>611</v>
      </c>
      <c r="C22" s="157">
        <v>8579</v>
      </c>
      <c r="D22" s="157" t="s">
        <v>130</v>
      </c>
      <c r="E22" s="157" t="s">
        <v>603</v>
      </c>
      <c r="F22" s="136" t="s">
        <v>799</v>
      </c>
      <c r="G22" s="543">
        <v>10</v>
      </c>
      <c r="H22" s="136" t="s">
        <v>698</v>
      </c>
      <c r="I22" s="279" t="str">
        <f>B22</f>
        <v>Склад</v>
      </c>
      <c r="J22" s="137" t="s">
        <v>65</v>
      </c>
      <c r="K22" s="152" t="s">
        <v>623</v>
      </c>
      <c r="L22" s="142" t="s">
        <v>674</v>
      </c>
      <c r="M22" s="142" t="s">
        <v>895</v>
      </c>
      <c r="N22" s="135">
        <v>41184.082175925927</v>
      </c>
      <c r="O22" s="154" t="s">
        <v>317</v>
      </c>
      <c r="P22" s="160"/>
      <c r="Q22" s="571" t="s">
        <v>884</v>
      </c>
      <c r="R22" s="278"/>
      <c r="S22" s="160"/>
      <c r="T22" s="136" t="s">
        <v>658</v>
      </c>
    </row>
    <row r="23" spans="1:20" s="149" customFormat="1" x14ac:dyDescent="0.25">
      <c r="A23" s="275"/>
      <c r="C23" s="276"/>
      <c r="D23" s="276"/>
      <c r="E23" s="276"/>
      <c r="I23" s="160"/>
      <c r="J23" s="151" t="s">
        <v>699</v>
      </c>
      <c r="K23" s="152" t="s">
        <v>600</v>
      </c>
      <c r="L23" s="153" t="s">
        <v>674</v>
      </c>
      <c r="M23" s="153" t="s">
        <v>896</v>
      </c>
      <c r="N23" s="148"/>
      <c r="O23" s="154" t="s">
        <v>317</v>
      </c>
      <c r="Q23" s="154"/>
      <c r="R23" s="278"/>
    </row>
    <row r="24" spans="1:20" s="149" customFormat="1" x14ac:dyDescent="0.25">
      <c r="A24" s="275"/>
      <c r="C24" s="276"/>
      <c r="D24" s="276"/>
      <c r="E24" s="276"/>
      <c r="I24" s="160"/>
      <c r="J24" s="151" t="s">
        <v>700</v>
      </c>
      <c r="K24" s="152" t="s">
        <v>600</v>
      </c>
      <c r="L24" s="153" t="s">
        <v>674</v>
      </c>
      <c r="M24" s="153" t="s">
        <v>891</v>
      </c>
      <c r="N24" s="148"/>
      <c r="O24" s="154" t="s">
        <v>317</v>
      </c>
      <c r="Q24" s="154"/>
      <c r="R24" s="278"/>
    </row>
    <row r="25" spans="1:20" s="149" customFormat="1" x14ac:dyDescent="0.25">
      <c r="A25" s="275"/>
      <c r="C25" s="276"/>
      <c r="D25" s="276"/>
      <c r="E25" s="276"/>
      <c r="I25" s="160"/>
      <c r="J25" s="151" t="s">
        <v>701</v>
      </c>
      <c r="K25" s="152" t="s">
        <v>600</v>
      </c>
      <c r="L25" s="153" t="s">
        <v>674</v>
      </c>
      <c r="M25" s="153" t="s">
        <v>892</v>
      </c>
      <c r="N25" s="148"/>
      <c r="O25" s="154" t="s">
        <v>317</v>
      </c>
      <c r="Q25" s="154"/>
      <c r="R25" s="278"/>
    </row>
    <row r="26" spans="1:20" s="149" customFormat="1" x14ac:dyDescent="0.25">
      <c r="A26" s="275"/>
      <c r="C26" s="276"/>
      <c r="D26" s="276"/>
      <c r="E26" s="276"/>
      <c r="I26" s="160"/>
      <c r="J26" s="151" t="s">
        <v>702</v>
      </c>
      <c r="K26" s="152" t="s">
        <v>600</v>
      </c>
      <c r="L26" s="153" t="s">
        <v>674</v>
      </c>
      <c r="M26" s="153" t="s">
        <v>893</v>
      </c>
      <c r="N26" s="148"/>
      <c r="O26" s="154" t="s">
        <v>317</v>
      </c>
      <c r="Q26" s="154"/>
      <c r="R26" s="278"/>
    </row>
    <row r="27" spans="1:20" s="281" customFormat="1" x14ac:dyDescent="0.25">
      <c r="A27" s="280"/>
      <c r="C27" s="282"/>
      <c r="D27" s="282"/>
      <c r="E27" s="282"/>
      <c r="I27" s="160"/>
      <c r="J27" s="283" t="s">
        <v>703</v>
      </c>
      <c r="K27" s="284" t="s">
        <v>600</v>
      </c>
      <c r="L27" s="285" t="s">
        <v>674</v>
      </c>
      <c r="M27" s="285" t="s">
        <v>894</v>
      </c>
      <c r="N27" s="286"/>
      <c r="O27" s="287"/>
      <c r="Q27" s="287"/>
      <c r="R27" s="288"/>
    </row>
    <row r="28" spans="1:20" s="289" customFormat="1" x14ac:dyDescent="0.25">
      <c r="A28" s="638">
        <v>41186.075243055559</v>
      </c>
      <c r="B28" s="289" t="s">
        <v>615</v>
      </c>
      <c r="C28" s="290">
        <v>1221</v>
      </c>
      <c r="D28" s="544">
        <v>8</v>
      </c>
      <c r="E28" s="544">
        <v>19</v>
      </c>
      <c r="F28" s="289" t="s">
        <v>799</v>
      </c>
      <c r="G28" s="544">
        <v>10</v>
      </c>
      <c r="H28" s="289" t="s">
        <v>698</v>
      </c>
      <c r="I28" s="277" t="str">
        <f>B28</f>
        <v>Заказы</v>
      </c>
      <c r="J28" s="291" t="s">
        <v>704</v>
      </c>
      <c r="K28" s="292" t="s">
        <v>600</v>
      </c>
      <c r="L28" s="293" t="s">
        <v>674</v>
      </c>
      <c r="M28" s="293" t="s">
        <v>900</v>
      </c>
      <c r="N28" s="294">
        <v>41186.066840277781</v>
      </c>
      <c r="O28" s="289" t="s">
        <v>317</v>
      </c>
      <c r="P28" s="545">
        <v>2</v>
      </c>
      <c r="Q28" s="570" t="s">
        <v>883</v>
      </c>
      <c r="R28" s="149"/>
      <c r="S28" s="149"/>
      <c r="T28" s="289" t="s">
        <v>659</v>
      </c>
    </row>
    <row r="29" spans="1:20" s="149" customFormat="1" x14ac:dyDescent="0.25">
      <c r="A29" s="295"/>
      <c r="C29" s="276"/>
      <c r="J29" s="151" t="s">
        <v>705</v>
      </c>
      <c r="K29" s="152" t="s">
        <v>600</v>
      </c>
      <c r="L29" s="153" t="s">
        <v>674</v>
      </c>
      <c r="M29" s="153" t="s">
        <v>901</v>
      </c>
      <c r="N29" s="148"/>
      <c r="O29" s="149" t="s">
        <v>317</v>
      </c>
      <c r="P29" s="546">
        <v>2</v>
      </c>
    </row>
    <row r="30" spans="1:20" x14ac:dyDescent="0.25">
      <c r="A30" s="263"/>
      <c r="C30" s="269"/>
      <c r="H30" s="149"/>
      <c r="I30" s="149"/>
      <c r="J30" s="151" t="s">
        <v>65</v>
      </c>
      <c r="K30" s="152" t="s">
        <v>600</v>
      </c>
      <c r="L30" s="153" t="s">
        <v>674</v>
      </c>
      <c r="M30" s="153" t="s">
        <v>902</v>
      </c>
      <c r="N30" s="148"/>
      <c r="O30" t="s">
        <v>317</v>
      </c>
      <c r="P30" s="546">
        <v>2</v>
      </c>
    </row>
    <row r="31" spans="1:20" x14ac:dyDescent="0.25">
      <c r="A31" s="263"/>
      <c r="C31" s="269"/>
      <c r="H31" s="149"/>
      <c r="I31" s="149"/>
      <c r="J31" s="151" t="s">
        <v>1</v>
      </c>
      <c r="K31" s="152" t="s">
        <v>600</v>
      </c>
      <c r="L31" s="153" t="s">
        <v>674</v>
      </c>
      <c r="M31" s="153" t="s">
        <v>903</v>
      </c>
      <c r="N31" s="148"/>
      <c r="O31" t="s">
        <v>317</v>
      </c>
      <c r="P31" s="546">
        <v>2</v>
      </c>
    </row>
    <row r="32" spans="1:20" x14ac:dyDescent="0.25">
      <c r="A32" s="263"/>
      <c r="C32" s="269"/>
      <c r="H32" s="149"/>
      <c r="I32" s="149"/>
      <c r="J32" s="151" t="s">
        <v>706</v>
      </c>
      <c r="K32" s="152" t="s">
        <v>600</v>
      </c>
      <c r="L32" s="153" t="s">
        <v>674</v>
      </c>
      <c r="M32" s="153" t="s">
        <v>904</v>
      </c>
      <c r="N32" s="148"/>
      <c r="O32" t="s">
        <v>317</v>
      </c>
      <c r="P32" s="546">
        <v>2</v>
      </c>
    </row>
    <row r="33" spans="1:20" x14ac:dyDescent="0.25">
      <c r="A33" s="263"/>
      <c r="C33" s="269"/>
      <c r="H33" s="149"/>
      <c r="I33" s="149"/>
      <c r="J33" s="151" t="s">
        <v>707</v>
      </c>
      <c r="K33" s="152" t="s">
        <v>600</v>
      </c>
      <c r="L33" s="153" t="s">
        <v>674</v>
      </c>
      <c r="M33" s="153" t="s">
        <v>905</v>
      </c>
      <c r="N33" s="148"/>
      <c r="O33" t="s">
        <v>317</v>
      </c>
      <c r="P33" s="546">
        <v>2</v>
      </c>
    </row>
    <row r="34" spans="1:20" x14ac:dyDescent="0.25">
      <c r="A34" s="263"/>
      <c r="C34" s="269"/>
      <c r="H34" s="149"/>
      <c r="I34" s="149"/>
      <c r="J34" s="151" t="s">
        <v>708</v>
      </c>
      <c r="K34" s="296" t="s">
        <v>600</v>
      </c>
      <c r="L34" s="153" t="s">
        <v>674</v>
      </c>
      <c r="M34" s="153" t="s">
        <v>906</v>
      </c>
      <c r="N34" s="148"/>
      <c r="P34" s="547">
        <v>2</v>
      </c>
    </row>
    <row r="35" spans="1:20" s="136" customFormat="1" x14ac:dyDescent="0.25">
      <c r="A35" s="249"/>
      <c r="B35" s="136" t="s">
        <v>612</v>
      </c>
      <c r="C35" s="157" t="s">
        <v>614</v>
      </c>
      <c r="D35" s="157" t="s">
        <v>126</v>
      </c>
      <c r="E35" s="157"/>
      <c r="F35" s="462"/>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8" customFormat="1" x14ac:dyDescent="0.25">
      <c r="A38" s="297"/>
      <c r="C38" s="299"/>
      <c r="J38" s="300" t="s">
        <v>372</v>
      </c>
      <c r="K38" s="296" t="s">
        <v>600</v>
      </c>
      <c r="L38" s="301">
        <v>3</v>
      </c>
      <c r="M38" s="301">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zoomScale="70" zoomScaleNormal="70" workbookViewId="0">
      <pane ySplit="1" topLeftCell="A63" activePane="bottomLeft" state="frozen"/>
      <selection pane="bottomLeft"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41202.096597222226</v>
      </c>
      <c r="C1" s="125" t="s">
        <v>627</v>
      </c>
      <c r="D1" s="125"/>
      <c r="G1" s="464" t="s">
        <v>854</v>
      </c>
      <c r="H1" s="464"/>
      <c r="I1" s="464" t="s">
        <v>912</v>
      </c>
    </row>
    <row r="2" spans="1:21" ht="15" customHeight="1" thickBot="1" x14ac:dyDescent="0.35">
      <c r="B2" s="125"/>
    </row>
    <row r="3" spans="1:21" ht="15.75" customHeight="1" x14ac:dyDescent="0.25">
      <c r="E3" s="681" t="s">
        <v>631</v>
      </c>
      <c r="F3" s="683" t="s">
        <v>632</v>
      </c>
      <c r="G3" s="684"/>
      <c r="H3" s="684"/>
      <c r="I3" s="684"/>
      <c r="J3" s="685"/>
      <c r="K3" s="683" t="s">
        <v>633</v>
      </c>
      <c r="L3" s="684"/>
      <c r="M3" s="684"/>
      <c r="N3" s="684"/>
      <c r="O3" s="685"/>
    </row>
    <row r="4" spans="1:21" s="123" customFormat="1" ht="15.75" thickBot="1" x14ac:dyDescent="0.3">
      <c r="B4" s="158" t="s">
        <v>628</v>
      </c>
      <c r="C4" s="123" t="s">
        <v>629</v>
      </c>
      <c r="E4" s="682"/>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89"/>
      <c r="B6" s="490" t="s">
        <v>637</v>
      </c>
      <c r="C6" s="489"/>
      <c r="E6" s="190"/>
      <c r="F6" s="189" t="s">
        <v>652</v>
      </c>
      <c r="G6" s="174"/>
      <c r="H6" s="174"/>
      <c r="I6" s="174"/>
      <c r="J6" s="175"/>
      <c r="K6" s="188" t="s">
        <v>574</v>
      </c>
      <c r="L6" s="174"/>
      <c r="M6" s="174"/>
      <c r="N6" s="174"/>
      <c r="O6" s="175"/>
      <c r="T6" s="123"/>
      <c r="U6" s="123"/>
    </row>
    <row r="7" spans="1:21" s="173" customFormat="1" outlineLevel="1" x14ac:dyDescent="0.25">
      <c r="A7" s="264">
        <v>41194.02611111111</v>
      </c>
      <c r="B7" s="265" t="s">
        <v>619</v>
      </c>
      <c r="C7" s="303" t="s">
        <v>617</v>
      </c>
      <c r="D7" s="196"/>
      <c r="E7" s="197" t="s">
        <v>70</v>
      </c>
      <c r="F7" s="432" t="s">
        <v>790</v>
      </c>
      <c r="G7" s="433" t="s">
        <v>791</v>
      </c>
      <c r="H7" s="198"/>
      <c r="I7" s="198"/>
      <c r="J7" s="199"/>
      <c r="K7" s="200" t="str">
        <f>K6</f>
        <v>Платежи</v>
      </c>
      <c r="L7" s="201"/>
      <c r="M7" s="198"/>
      <c r="N7" s="201"/>
      <c r="O7" s="199"/>
      <c r="T7" s="123"/>
      <c r="U7" s="123"/>
    </row>
    <row r="8" spans="1:21" s="173" customFormat="1" outlineLevel="1" x14ac:dyDescent="0.25">
      <c r="A8" s="264">
        <v>41200.965254629627</v>
      </c>
      <c r="B8" s="265" t="s">
        <v>799</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outlineLevel="1" x14ac:dyDescent="0.25">
      <c r="A9" s="264">
        <v>41194.026284722226</v>
      </c>
      <c r="B9" s="265" t="s">
        <v>630</v>
      </c>
      <c r="C9" s="468"/>
      <c r="D9" s="196"/>
      <c r="E9" s="197" t="s">
        <v>70</v>
      </c>
      <c r="F9" s="200" t="str">
        <f>K6</f>
        <v>Платежи</v>
      </c>
      <c r="G9" s="221" t="s">
        <v>112</v>
      </c>
      <c r="H9" s="198"/>
      <c r="I9" s="198"/>
      <c r="J9" s="199"/>
      <c r="K9" s="200" t="str">
        <f>K6</f>
        <v>Платежи</v>
      </c>
      <c r="L9" s="201"/>
      <c r="M9" s="198"/>
      <c r="N9" s="201"/>
      <c r="O9" s="199"/>
    </row>
    <row r="10" spans="1:21" s="174" customFormat="1" outlineLevel="1" x14ac:dyDescent="0.25">
      <c r="A10" s="580">
        <v>41200.965451388889</v>
      </c>
      <c r="B10" s="465" t="s">
        <v>642</v>
      </c>
      <c r="C10" s="491" t="str">
        <f>B8</f>
        <v>Adapt</v>
      </c>
      <c r="D10" s="5"/>
      <c r="E10" s="203" t="s">
        <v>70</v>
      </c>
      <c r="F10" s="214"/>
      <c r="G10" s="198"/>
      <c r="H10" s="198"/>
      <c r="I10" s="198"/>
      <c r="J10" s="199"/>
      <c r="K10" s="200" t="str">
        <f>K6</f>
        <v>Платежи</v>
      </c>
      <c r="L10" s="201"/>
      <c r="M10" s="198"/>
      <c r="N10" s="201"/>
      <c r="O10" s="199"/>
    </row>
    <row r="11" spans="1:21" outlineLevel="1" x14ac:dyDescent="0.25">
      <c r="A11" s="264">
        <v>41200.965509259258</v>
      </c>
      <c r="B11" s="265" t="s">
        <v>669</v>
      </c>
      <c r="C11" s="491" t="str">
        <f>B10</f>
        <v>PaymentPaint</v>
      </c>
      <c r="D11" s="5"/>
      <c r="E11" s="218" t="s">
        <v>70</v>
      </c>
      <c r="F11" s="200"/>
      <c r="G11" s="201"/>
      <c r="H11" s="215"/>
      <c r="I11" s="215"/>
      <c r="J11" s="216"/>
      <c r="K11" s="200" t="str">
        <f>K6</f>
        <v>Платежи</v>
      </c>
      <c r="L11" s="201"/>
      <c r="M11" s="201"/>
      <c r="N11" s="201"/>
      <c r="O11" s="216"/>
    </row>
    <row r="12" spans="1:21" s="187" customFormat="1" outlineLevel="1" x14ac:dyDescent="0.25">
      <c r="A12" s="466"/>
      <c r="B12" s="467" t="s">
        <v>638</v>
      </c>
      <c r="C12" s="237"/>
      <c r="D12" s="205"/>
      <c r="E12" s="206"/>
      <c r="F12" s="207"/>
      <c r="G12" s="208"/>
      <c r="H12" s="208"/>
      <c r="I12" s="208"/>
      <c r="J12" s="209"/>
      <c r="K12" s="210"/>
      <c r="L12" s="211"/>
      <c r="M12" s="208"/>
      <c r="N12" s="211"/>
      <c r="O12" s="209"/>
    </row>
    <row r="13" spans="1:21" s="173" customFormat="1" x14ac:dyDescent="0.25">
      <c r="A13" s="475"/>
      <c r="B13" s="476" t="s">
        <v>637</v>
      </c>
      <c r="C13" s="477"/>
      <c r="D13" s="478"/>
      <c r="E13" s="479" t="s">
        <v>201</v>
      </c>
      <c r="F13" s="480" t="s">
        <v>653</v>
      </c>
      <c r="G13" s="478"/>
      <c r="H13" s="478"/>
      <c r="I13" s="478"/>
      <c r="J13" s="481"/>
      <c r="K13" s="482" t="str">
        <f>TOCmatch!B10</f>
        <v>Договоры</v>
      </c>
      <c r="L13" s="483"/>
      <c r="M13" s="478"/>
      <c r="N13" s="483"/>
      <c r="O13" s="481"/>
    </row>
    <row r="14" spans="1:21" s="149" customFormat="1" outlineLevel="1" x14ac:dyDescent="0.25">
      <c r="A14" s="264">
        <v>41194.028043981481</v>
      </c>
      <c r="B14" s="265" t="s">
        <v>619</v>
      </c>
      <c r="C14" s="303" t="s">
        <v>617</v>
      </c>
      <c r="D14" s="196"/>
      <c r="E14" s="197" t="s">
        <v>70</v>
      </c>
      <c r="F14" s="432" t="s">
        <v>797</v>
      </c>
      <c r="G14" s="433" t="s">
        <v>798</v>
      </c>
      <c r="H14" s="198"/>
      <c r="I14" s="198"/>
      <c r="J14" s="216"/>
      <c r="K14" s="200" t="str">
        <f>TOCmatch!B10</f>
        <v>Договоры</v>
      </c>
      <c r="L14" s="215"/>
      <c r="M14" s="215"/>
      <c r="N14" s="215"/>
      <c r="O14" s="216"/>
    </row>
    <row r="15" spans="1:21" s="173" customFormat="1" outlineLevel="1" x14ac:dyDescent="0.25">
      <c r="A15" s="264">
        <v>41200.966273148151</v>
      </c>
      <c r="B15" s="265" t="s">
        <v>799</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outlineLevel="1" x14ac:dyDescent="0.25">
      <c r="A16" s="580">
        <v>41200.966284722221</v>
      </c>
      <c r="B16" s="265" t="s">
        <v>630</v>
      </c>
      <c r="C16" s="303" t="str">
        <f>B15</f>
        <v>Adapt</v>
      </c>
      <c r="D16" s="196"/>
      <c r="E16" s="197" t="s">
        <v>70</v>
      </c>
      <c r="F16" s="272" t="s">
        <v>579</v>
      </c>
      <c r="G16" s="221" t="s">
        <v>132</v>
      </c>
      <c r="H16" s="215"/>
      <c r="I16" s="215"/>
      <c r="J16" s="216"/>
      <c r="K16" s="200" t="str">
        <f>TOCmatch!B10</f>
        <v>Договоры</v>
      </c>
      <c r="L16" s="215"/>
      <c r="M16" s="215"/>
      <c r="N16" s="215"/>
      <c r="O16" s="216"/>
    </row>
    <row r="17" spans="1:19" s="149" customFormat="1" outlineLevel="1" x14ac:dyDescent="0.25">
      <c r="A17" s="580">
        <v>41200.966284722221</v>
      </c>
      <c r="B17" s="465" t="s">
        <v>634</v>
      </c>
      <c r="C17" s="581" t="s">
        <v>799</v>
      </c>
      <c r="D17" s="5"/>
      <c r="E17" s="219" t="s">
        <v>70</v>
      </c>
      <c r="F17" s="273"/>
      <c r="G17" s="215"/>
      <c r="H17" s="215"/>
      <c r="I17" s="215"/>
      <c r="J17" s="216"/>
      <c r="K17" s="200" t="str">
        <f>TOCmatch!B10</f>
        <v>Договоры</v>
      </c>
      <c r="L17" s="302" t="str">
        <f>TOCmatch!B15</f>
        <v>SFD</v>
      </c>
      <c r="N17" s="215"/>
      <c r="O17" s="216"/>
    </row>
    <row r="18" spans="1:19" outlineLevel="1" x14ac:dyDescent="0.25">
      <c r="A18" s="264">
        <v>41200.966284722221</v>
      </c>
      <c r="B18" s="265" t="s">
        <v>669</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outlineLevel="1" x14ac:dyDescent="0.25">
      <c r="A19" s="466"/>
      <c r="B19" s="467" t="s">
        <v>638</v>
      </c>
      <c r="C19" s="237"/>
      <c r="D19" s="205"/>
      <c r="E19" s="206"/>
      <c r="F19" s="207"/>
      <c r="G19" s="208"/>
      <c r="H19" s="208"/>
      <c r="I19" s="208"/>
      <c r="J19" s="209"/>
      <c r="K19" s="210"/>
      <c r="L19" s="211"/>
      <c r="M19" s="208"/>
      <c r="N19" s="211"/>
      <c r="O19" s="209"/>
    </row>
    <row r="20" spans="1:19" s="173" customFormat="1" x14ac:dyDescent="0.25">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outlineLevel="1" x14ac:dyDescent="0.25">
      <c r="A21" s="264">
        <v>41188.617326388892</v>
      </c>
      <c r="B21" s="265" t="s">
        <v>668</v>
      </c>
      <c r="C21" s="303" t="s">
        <v>617</v>
      </c>
      <c r="D21" s="5"/>
      <c r="E21" s="197" t="s">
        <v>70</v>
      </c>
      <c r="F21" s="272"/>
      <c r="G21" s="221"/>
      <c r="H21" s="198"/>
      <c r="I21" s="198"/>
      <c r="J21" s="199"/>
      <c r="K21" s="200" t="str">
        <f>K20</f>
        <v>Список клиентов 1C</v>
      </c>
      <c r="L21" s="201"/>
      <c r="M21" s="198"/>
      <c r="N21" s="201"/>
      <c r="O21" s="199"/>
    </row>
    <row r="22" spans="1:19" s="149" customFormat="1" outlineLevel="1" x14ac:dyDescent="0.25">
      <c r="A22" s="264">
        <v>41188.617349537039</v>
      </c>
      <c r="B22" s="265" t="s">
        <v>619</v>
      </c>
      <c r="C22" s="316"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outlineLevel="1" x14ac:dyDescent="0.25">
      <c r="A23" s="264">
        <v>41188.617349537039</v>
      </c>
      <c r="B23" s="265" t="s">
        <v>644</v>
      </c>
      <c r="C23" s="303"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outlineLevel="1" x14ac:dyDescent="0.25">
      <c r="A24" s="264">
        <v>41194.035451388889</v>
      </c>
      <c r="B24" s="265" t="s">
        <v>669</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outlineLevel="1" thickBot="1" x14ac:dyDescent="0.3">
      <c r="A25" s="628"/>
      <c r="B25" s="629" t="s">
        <v>638</v>
      </c>
      <c r="C25" s="568"/>
      <c r="D25" s="240"/>
      <c r="E25" s="241"/>
      <c r="F25" s="242"/>
      <c r="G25" s="243"/>
      <c r="H25" s="243"/>
      <c r="I25" s="243"/>
      <c r="J25" s="244"/>
      <c r="K25" s="245"/>
      <c r="L25" s="246"/>
      <c r="M25" s="243"/>
      <c r="N25" s="246"/>
      <c r="O25" s="244"/>
    </row>
    <row r="26" spans="1:19" s="173" customFormat="1" ht="15.75" thickTop="1" x14ac:dyDescent="0.25">
      <c r="A26" s="607"/>
      <c r="B26" s="608" t="s">
        <v>637</v>
      </c>
      <c r="C26" s="609"/>
      <c r="D26" s="310"/>
      <c r="E26" s="311" t="s">
        <v>201</v>
      </c>
      <c r="F26" s="312" t="s">
        <v>655</v>
      </c>
      <c r="G26" s="310"/>
      <c r="H26" s="310"/>
      <c r="I26" s="310"/>
      <c r="J26" s="313"/>
      <c r="K26" s="314" t="s">
        <v>581</v>
      </c>
      <c r="L26" s="315"/>
      <c r="M26" s="310"/>
      <c r="N26" s="315"/>
      <c r="O26" s="313"/>
    </row>
    <row r="27" spans="1:19" outlineLevel="1" x14ac:dyDescent="0.25">
      <c r="A27" s="264">
        <v>41200.964872685188</v>
      </c>
      <c r="B27" s="265" t="s">
        <v>619</v>
      </c>
      <c r="C27" s="303" t="s">
        <v>617</v>
      </c>
      <c r="D27" s="196"/>
      <c r="E27" s="197" t="s">
        <v>70</v>
      </c>
      <c r="F27" s="200" t="s">
        <v>635</v>
      </c>
      <c r="G27" s="201" t="s">
        <v>636</v>
      </c>
      <c r="H27" s="215"/>
      <c r="I27" s="215"/>
      <c r="J27" s="222"/>
      <c r="K27" s="223" t="s">
        <v>581</v>
      </c>
      <c r="L27" s="215"/>
      <c r="M27" s="215"/>
      <c r="N27" s="215"/>
      <c r="O27" s="222"/>
      <c r="S27" s="173"/>
    </row>
    <row r="28" spans="1:19" ht="45" outlineLevel="1" x14ac:dyDescent="0.25">
      <c r="A28" s="264">
        <v>41200.964918981481</v>
      </c>
      <c r="B28" s="265" t="s">
        <v>639</v>
      </c>
      <c r="C28" s="303" t="s">
        <v>663</v>
      </c>
      <c r="D28" s="215"/>
      <c r="E28" s="218" t="s">
        <v>70</v>
      </c>
      <c r="F28" s="214"/>
      <c r="G28" s="201"/>
      <c r="H28" s="215"/>
      <c r="I28" s="215"/>
      <c r="J28" s="222"/>
      <c r="K28" s="223" t="s">
        <v>581</v>
      </c>
      <c r="L28" s="215" t="str">
        <f>TOCmatch!B8</f>
        <v>Платежи</v>
      </c>
      <c r="M28" s="215"/>
      <c r="N28" s="215"/>
      <c r="O28" s="222"/>
      <c r="S28" s="173"/>
    </row>
    <row r="29" spans="1:19" outlineLevel="1" x14ac:dyDescent="0.25">
      <c r="A29" s="264">
        <v>41200.964930555558</v>
      </c>
      <c r="B29" s="265" t="s">
        <v>630</v>
      </c>
      <c r="C29" s="303"/>
      <c r="D29" s="196"/>
      <c r="E29" s="197" t="s">
        <v>70</v>
      </c>
      <c r="F29" s="220" t="str">
        <f>K29</f>
        <v>SF</v>
      </c>
      <c r="G29" s="221" t="s">
        <v>91</v>
      </c>
      <c r="H29" s="215"/>
      <c r="I29" s="215"/>
      <c r="J29" s="216"/>
      <c r="K29" s="200" t="s">
        <v>581</v>
      </c>
      <c r="L29" s="215"/>
      <c r="M29" s="215"/>
      <c r="N29" s="215"/>
      <c r="O29" s="216"/>
      <c r="S29" s="173"/>
    </row>
    <row r="30" spans="1:19" outlineLevel="1" x14ac:dyDescent="0.25">
      <c r="A30" s="264">
        <v>41200.965509259258</v>
      </c>
      <c r="B30" s="465" t="s">
        <v>677</v>
      </c>
      <c r="C30" s="303" t="s">
        <v>639</v>
      </c>
      <c r="D30" s="5"/>
      <c r="E30" s="218" t="s">
        <v>70</v>
      </c>
      <c r="F30" s="200" t="str">
        <f>F6</f>
        <v>LOAD_1C_P</v>
      </c>
      <c r="G30" s="201"/>
      <c r="H30" s="215"/>
      <c r="I30" s="215"/>
      <c r="J30" s="222"/>
      <c r="K30" s="223" t="s">
        <v>574</v>
      </c>
      <c r="L30" s="215"/>
      <c r="M30" s="215"/>
      <c r="N30" s="215"/>
      <c r="O30" s="222"/>
      <c r="S30" s="173"/>
    </row>
    <row r="31" spans="1:19" s="187" customFormat="1" outlineLevel="1" x14ac:dyDescent="0.25">
      <c r="A31" s="466"/>
      <c r="B31" s="467" t="s">
        <v>638</v>
      </c>
      <c r="C31" s="237"/>
      <c r="D31" s="205"/>
      <c r="E31" s="206" t="s">
        <v>201</v>
      </c>
      <c r="F31" s="207"/>
      <c r="G31" s="208"/>
      <c r="H31" s="208"/>
      <c r="I31" s="208"/>
      <c r="J31" s="209"/>
      <c r="K31" s="210" t="s">
        <v>581</v>
      </c>
      <c r="L31" s="211"/>
      <c r="M31" s="208"/>
      <c r="N31" s="211"/>
      <c r="O31" s="209"/>
    </row>
    <row r="32" spans="1:19" s="173" customFormat="1" x14ac:dyDescent="0.25">
      <c r="A32" s="610"/>
      <c r="B32" s="611" t="s">
        <v>637</v>
      </c>
      <c r="C32" s="612"/>
      <c r="D32" s="304"/>
      <c r="E32" s="305" t="s">
        <v>201</v>
      </c>
      <c r="F32" s="306" t="s">
        <v>656</v>
      </c>
      <c r="G32" s="304"/>
      <c r="H32" s="304"/>
      <c r="I32" s="304"/>
      <c r="J32" s="307"/>
      <c r="K32" s="308" t="s">
        <v>584</v>
      </c>
      <c r="L32" s="309"/>
      <c r="M32" s="304"/>
      <c r="N32" s="309"/>
      <c r="O32" s="307"/>
    </row>
    <row r="33" spans="1:21" outlineLevel="1" x14ac:dyDescent="0.25">
      <c r="A33" s="264">
        <v>41200.965925925928</v>
      </c>
      <c r="B33" s="265" t="s">
        <v>619</v>
      </c>
      <c r="C33" s="303" t="s">
        <v>617</v>
      </c>
      <c r="D33" s="196"/>
      <c r="E33" s="197" t="s">
        <v>70</v>
      </c>
      <c r="F33" s="200" t="s">
        <v>664</v>
      </c>
      <c r="G33" s="201" t="s">
        <v>665</v>
      </c>
      <c r="H33" s="215"/>
      <c r="I33" s="215"/>
      <c r="J33" s="222"/>
      <c r="K33" s="223" t="s">
        <v>584</v>
      </c>
      <c r="L33" s="215"/>
      <c r="M33" s="215"/>
      <c r="N33" s="215"/>
      <c r="O33" s="222"/>
      <c r="S33" s="173"/>
    </row>
    <row r="34" spans="1:21" ht="45" outlineLevel="1" x14ac:dyDescent="0.25">
      <c r="A34" s="264">
        <v>41200.965960648151</v>
      </c>
      <c r="B34" s="265" t="s">
        <v>667</v>
      </c>
      <c r="C34" s="303" t="s">
        <v>666</v>
      </c>
      <c r="D34" s="215"/>
      <c r="E34" s="218" t="s">
        <v>70</v>
      </c>
      <c r="F34" s="214" t="s">
        <v>584</v>
      </c>
      <c r="G34" s="201" t="s">
        <v>579</v>
      </c>
      <c r="H34" s="221" t="s">
        <v>94</v>
      </c>
      <c r="I34" s="221" t="s">
        <v>128</v>
      </c>
      <c r="J34" s="222"/>
      <c r="K34" s="5" t="str">
        <f>TOCmatch!B10</f>
        <v>Договоры</v>
      </c>
      <c r="L34" s="302" t="str">
        <f>TOCmatch!B15</f>
        <v>SFD</v>
      </c>
      <c r="M34" s="215"/>
      <c r="N34" s="215"/>
      <c r="O34" s="222"/>
      <c r="S34" s="173"/>
    </row>
    <row r="35" spans="1:21" outlineLevel="1" x14ac:dyDescent="0.25">
      <c r="A35" s="264">
        <v>41200.96597222222</v>
      </c>
      <c r="B35" s="265" t="s">
        <v>630</v>
      </c>
      <c r="C35" s="303"/>
      <c r="D35" s="196"/>
      <c r="E35" s="197" t="s">
        <v>70</v>
      </c>
      <c r="F35" s="220" t="str">
        <f>K35</f>
        <v>SFD</v>
      </c>
      <c r="G35" s="221" t="s">
        <v>128</v>
      </c>
      <c r="H35" s="215"/>
      <c r="I35" s="215"/>
      <c r="J35" s="216"/>
      <c r="K35" s="223" t="s">
        <v>584</v>
      </c>
      <c r="L35" s="215"/>
      <c r="M35" s="215"/>
      <c r="N35" s="215"/>
      <c r="O35" s="216"/>
    </row>
    <row r="36" spans="1:21" outlineLevel="1" x14ac:dyDescent="0.25">
      <c r="A36" s="264">
        <v>41200.966284722221</v>
      </c>
      <c r="B36" s="465" t="s">
        <v>677</v>
      </c>
      <c r="C36" s="581" t="s">
        <v>667</v>
      </c>
      <c r="D36" s="5"/>
      <c r="E36" s="218" t="s">
        <v>70</v>
      </c>
      <c r="F36" s="200" t="str">
        <f>F13</f>
        <v>LOAD_1C_DOG</v>
      </c>
      <c r="G36" s="201"/>
      <c r="H36" s="215"/>
      <c r="I36" s="215"/>
      <c r="J36" s="222"/>
      <c r="K36" s="223" t="s">
        <v>579</v>
      </c>
      <c r="L36" s="215"/>
      <c r="M36" s="215"/>
      <c r="N36" s="215"/>
      <c r="O36" s="222"/>
    </row>
    <row r="37" spans="1:21" s="187" customFormat="1" outlineLevel="1" x14ac:dyDescent="0.25">
      <c r="A37" s="466"/>
      <c r="B37" s="467" t="s">
        <v>638</v>
      </c>
      <c r="C37" s="237"/>
      <c r="D37" s="205"/>
      <c r="E37" s="206" t="s">
        <v>201</v>
      </c>
      <c r="F37" s="207"/>
      <c r="G37" s="208"/>
      <c r="H37" s="208"/>
      <c r="I37" s="208"/>
      <c r="J37" s="209"/>
      <c r="K37" s="210"/>
      <c r="L37" s="211"/>
      <c r="M37" s="208"/>
      <c r="N37" s="211"/>
      <c r="O37" s="209"/>
    </row>
    <row r="38" spans="1:21" s="173" customFormat="1" x14ac:dyDescent="0.25">
      <c r="A38" s="475"/>
      <c r="B38" s="476" t="s">
        <v>637</v>
      </c>
      <c r="C38" s="477"/>
      <c r="D38" s="478"/>
      <c r="E38" s="479" t="s">
        <v>201</v>
      </c>
      <c r="F38" s="480" t="s">
        <v>657</v>
      </c>
      <c r="G38" s="478"/>
      <c r="H38" s="478"/>
      <c r="I38" s="478"/>
      <c r="J38" s="481"/>
      <c r="K38" s="482" t="str">
        <f>TOCmatch!B17</f>
        <v>SFacc</v>
      </c>
      <c r="L38" s="483"/>
      <c r="M38" s="478"/>
      <c r="N38" s="483"/>
      <c r="O38" s="481"/>
    </row>
    <row r="39" spans="1:21" outlineLevel="1" x14ac:dyDescent="0.25">
      <c r="A39" s="264">
        <v>41194.035381944443</v>
      </c>
      <c r="B39" s="265" t="s">
        <v>677</v>
      </c>
      <c r="C39" s="303"/>
      <c r="D39" s="5"/>
      <c r="E39" s="218" t="s">
        <v>70</v>
      </c>
      <c r="F39" s="200" t="str">
        <f>F6</f>
        <v>LOAD_1C_P</v>
      </c>
      <c r="G39" s="201"/>
      <c r="H39" s="215"/>
      <c r="I39" s="215"/>
      <c r="J39" s="216"/>
      <c r="K39" s="200" t="str">
        <f>K38</f>
        <v>SFacc</v>
      </c>
      <c r="L39" s="201"/>
      <c r="M39" s="201"/>
      <c r="N39" s="215"/>
      <c r="O39" s="216"/>
    </row>
    <row r="40" spans="1:21" outlineLevel="1" x14ac:dyDescent="0.25">
      <c r="A40" s="264">
        <v>41194.035439814812</v>
      </c>
      <c r="B40" s="265" t="s">
        <v>677</v>
      </c>
      <c r="C40" s="303"/>
      <c r="D40" s="5"/>
      <c r="E40" s="218" t="s">
        <v>70</v>
      </c>
      <c r="F40" s="200" t="str">
        <f>F13</f>
        <v>LOAD_1C_DOG</v>
      </c>
      <c r="G40" s="201"/>
      <c r="H40" s="215"/>
      <c r="I40" s="215"/>
      <c r="J40" s="216"/>
      <c r="K40" s="200" t="str">
        <f>K38</f>
        <v>SFacc</v>
      </c>
      <c r="L40" s="201"/>
      <c r="M40" s="201"/>
      <c r="N40" s="215"/>
      <c r="O40" s="216"/>
    </row>
    <row r="41" spans="1:21" outlineLevel="1" x14ac:dyDescent="0.25">
      <c r="A41" s="264">
        <v>41194.035451388889</v>
      </c>
      <c r="B41" s="265" t="s">
        <v>677</v>
      </c>
      <c r="C41" s="303"/>
      <c r="D41" s="5"/>
      <c r="E41" s="218" t="s">
        <v>70</v>
      </c>
      <c r="F41" s="200" t="str">
        <f>F20</f>
        <v>LOAD_1C_ACC</v>
      </c>
      <c r="G41" s="201"/>
      <c r="H41" s="215"/>
      <c r="I41" s="215"/>
      <c r="J41" s="216"/>
      <c r="K41" s="200" t="str">
        <f>K38</f>
        <v>SFacc</v>
      </c>
      <c r="L41" s="201"/>
      <c r="M41" s="201"/>
      <c r="N41" s="215"/>
      <c r="O41" s="216"/>
    </row>
    <row r="42" spans="1:21" s="247" customFormat="1" ht="15.75" outlineLevel="1" thickBot="1" x14ac:dyDescent="0.3">
      <c r="A42" s="628"/>
      <c r="B42" s="629" t="s">
        <v>638</v>
      </c>
      <c r="C42" s="568"/>
      <c r="D42" s="240"/>
      <c r="E42" s="241"/>
      <c r="F42" s="242"/>
      <c r="G42" s="243"/>
      <c r="H42" s="243"/>
      <c r="I42" s="243"/>
      <c r="J42" s="244"/>
      <c r="K42" s="245"/>
      <c r="L42" s="246"/>
      <c r="M42" s="243"/>
      <c r="N42" s="246"/>
      <c r="O42" s="244"/>
    </row>
    <row r="43" spans="1:21" s="173" customFormat="1" ht="15.75" thickTop="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outlineLevel="1" x14ac:dyDescent="0.25">
      <c r="A44" s="264">
        <v>41186.068043981482</v>
      </c>
      <c r="B44" s="265" t="s">
        <v>877</v>
      </c>
      <c r="C44" s="303" t="s">
        <v>617</v>
      </c>
      <c r="D44" s="196"/>
      <c r="E44" s="197" t="s">
        <v>70</v>
      </c>
      <c r="F44" s="214" t="s">
        <v>881</v>
      </c>
      <c r="G44" s="221"/>
      <c r="H44" s="198"/>
      <c r="I44" s="198"/>
      <c r="J44" s="199"/>
      <c r="K44" s="200" t="str">
        <f>K43</f>
        <v>Заказы</v>
      </c>
      <c r="L44" s="201"/>
      <c r="M44" s="198"/>
      <c r="N44" s="201"/>
      <c r="O44" s="199"/>
    </row>
    <row r="45" spans="1:21" s="173" customFormat="1" outlineLevel="1" x14ac:dyDescent="0.25">
      <c r="A45" s="264">
        <v>41186.068101851852</v>
      </c>
      <c r="B45" s="265" t="s">
        <v>619</v>
      </c>
      <c r="C45" s="491" t="str">
        <f>B44</f>
        <v>RowDel</v>
      </c>
      <c r="D45" s="196"/>
      <c r="E45" s="197" t="s">
        <v>70</v>
      </c>
      <c r="F45" s="200" t="s">
        <v>882</v>
      </c>
      <c r="G45" s="433"/>
      <c r="H45" s="198"/>
      <c r="I45" s="198"/>
      <c r="J45" s="199"/>
      <c r="K45" s="200" t="str">
        <f>K43</f>
        <v>Заказы</v>
      </c>
      <c r="L45" s="201"/>
      <c r="M45" s="198"/>
      <c r="N45" s="201"/>
      <c r="O45" s="199"/>
      <c r="T45" s="123"/>
      <c r="U45" s="123"/>
    </row>
    <row r="46" spans="1:21" s="173" customFormat="1" outlineLevel="1" x14ac:dyDescent="0.25">
      <c r="A46" s="195">
        <v>41186.06826388889</v>
      </c>
      <c r="B46" s="196" t="s">
        <v>880</v>
      </c>
      <c r="C46" s="606" t="str">
        <f>B45</f>
        <v>InsMyCol</v>
      </c>
      <c r="D46" s="196"/>
      <c r="E46" s="197" t="s">
        <v>201</v>
      </c>
      <c r="F46" s="214" t="s">
        <v>94</v>
      </c>
      <c r="G46" s="221" t="s">
        <v>126</v>
      </c>
      <c r="H46" s="221" t="s">
        <v>130</v>
      </c>
      <c r="I46" s="221" t="s">
        <v>830</v>
      </c>
      <c r="J46" s="567"/>
      <c r="K46" s="200" t="str">
        <f>K43</f>
        <v>Заказы</v>
      </c>
      <c r="L46" s="201" t="str">
        <f>TOCmatch!B8</f>
        <v>Платежи</v>
      </c>
      <c r="M46" s="198"/>
      <c r="O46" s="199"/>
    </row>
    <row r="47" spans="1:21" s="173" customFormat="1" outlineLevel="1" x14ac:dyDescent="0.25">
      <c r="A47" s="217"/>
      <c r="B47" s="196" t="s">
        <v>643</v>
      </c>
      <c r="C47" s="236"/>
      <c r="D47" s="196"/>
      <c r="E47" s="197"/>
      <c r="F47" s="214" t="s">
        <v>70</v>
      </c>
      <c r="G47" s="221"/>
      <c r="H47" s="198"/>
      <c r="I47" s="198"/>
      <c r="J47" s="199"/>
      <c r="K47" s="569"/>
      <c r="L47" s="201"/>
      <c r="M47" s="198"/>
      <c r="N47" s="201"/>
      <c r="O47" s="199"/>
    </row>
    <row r="48" spans="1:21" s="173" customFormat="1" outlineLevel="1" x14ac:dyDescent="0.25">
      <c r="A48" s="195">
        <v>41186.075243055559</v>
      </c>
      <c r="B48" s="196" t="s">
        <v>799</v>
      </c>
      <c r="C48" s="606"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outlineLevel="1" x14ac:dyDescent="0.25">
      <c r="A49" s="204"/>
      <c r="B49" s="205" t="s">
        <v>638</v>
      </c>
      <c r="C49" s="237"/>
      <c r="D49" s="205"/>
      <c r="E49" s="206"/>
      <c r="F49" s="207"/>
      <c r="G49" s="208"/>
      <c r="H49" s="208"/>
      <c r="I49" s="208"/>
      <c r="J49" s="209"/>
      <c r="K49" s="210"/>
      <c r="L49" s="211"/>
      <c r="M49" s="208"/>
      <c r="N49" s="211"/>
      <c r="O49" s="209"/>
    </row>
    <row r="50" spans="1:21" s="173" customFormat="1" x14ac:dyDescent="0.25">
      <c r="B50" s="269" t="s">
        <v>637</v>
      </c>
      <c r="E50" s="190"/>
      <c r="F50" s="189" t="s">
        <v>658</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6"/>
      <c r="D51" s="196"/>
      <c r="E51" s="197"/>
      <c r="F51" s="214" t="s">
        <v>70</v>
      </c>
      <c r="G51" s="221"/>
      <c r="H51" s="198"/>
      <c r="I51" s="198"/>
      <c r="J51" s="199"/>
      <c r="K51" s="569"/>
      <c r="L51" s="201"/>
      <c r="M51" s="198"/>
      <c r="N51" s="201"/>
      <c r="O51" s="199"/>
    </row>
    <row r="52" spans="1:21" s="173" customFormat="1" outlineLevel="1" x14ac:dyDescent="0.25">
      <c r="A52" s="264">
        <v>41184.979722222219</v>
      </c>
      <c r="B52" s="265" t="s">
        <v>877</v>
      </c>
      <c r="C52" s="235" t="s">
        <v>617</v>
      </c>
      <c r="D52" s="196"/>
      <c r="E52" s="197" t="s">
        <v>70</v>
      </c>
      <c r="F52" s="214" t="s">
        <v>878</v>
      </c>
      <c r="G52" s="221"/>
      <c r="H52" s="198"/>
      <c r="I52" s="198"/>
      <c r="J52" s="199"/>
      <c r="K52" s="569" t="str">
        <f>K50</f>
        <v>Склад</v>
      </c>
      <c r="L52" s="201"/>
      <c r="M52" s="198"/>
      <c r="N52" s="201"/>
      <c r="O52" s="199"/>
    </row>
    <row r="53" spans="1:21" s="173" customFormat="1" outlineLevel="1" x14ac:dyDescent="0.25">
      <c r="A53" s="264">
        <v>41184.980092592596</v>
      </c>
      <c r="B53" s="265" t="s">
        <v>619</v>
      </c>
      <c r="C53" s="491" t="str">
        <f>B52</f>
        <v>RowDel</v>
      </c>
      <c r="D53" s="196"/>
      <c r="E53" s="197" t="s">
        <v>70</v>
      </c>
      <c r="F53" s="200" t="s">
        <v>879</v>
      </c>
      <c r="G53" s="221"/>
      <c r="H53" s="198"/>
      <c r="I53" s="198"/>
      <c r="J53" s="199"/>
      <c r="K53" s="200" t="str">
        <f>K50</f>
        <v>Склад</v>
      </c>
      <c r="L53" s="201"/>
      <c r="M53" s="198"/>
      <c r="N53" s="201"/>
      <c r="O53" s="199"/>
      <c r="T53" s="123"/>
      <c r="U53" s="123"/>
    </row>
    <row r="54" spans="1:21" s="149" customFormat="1" outlineLevel="1" x14ac:dyDescent="0.25">
      <c r="A54" s="195">
        <v>41185.987870370373</v>
      </c>
      <c r="B54" s="196" t="s">
        <v>880</v>
      </c>
      <c r="C54" s="606" t="str">
        <f>B53</f>
        <v>InsMyCol</v>
      </c>
      <c r="D54" s="196"/>
      <c r="E54" s="197" t="s">
        <v>201</v>
      </c>
      <c r="F54" s="214" t="s">
        <v>128</v>
      </c>
      <c r="G54" s="221" t="s">
        <v>91</v>
      </c>
      <c r="H54" s="221" t="s">
        <v>110</v>
      </c>
      <c r="I54" s="221" t="s">
        <v>830</v>
      </c>
      <c r="J54" s="567"/>
      <c r="K54" s="569" t="str">
        <f>K50</f>
        <v>Склад</v>
      </c>
      <c r="L54" s="201" t="str">
        <f>TOCmatch!B8</f>
        <v>Платежи</v>
      </c>
      <c r="M54" s="215"/>
      <c r="N54" s="173"/>
      <c r="O54" s="199"/>
    </row>
    <row r="55" spans="1:21" s="173" customFormat="1" outlineLevel="1" x14ac:dyDescent="0.25">
      <c r="A55" s="195">
        <v>41185.98810185185</v>
      </c>
      <c r="B55" s="196" t="s">
        <v>799</v>
      </c>
      <c r="C55" s="606"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thickTop="1" x14ac:dyDescent="0.25">
      <c r="A57" s="484"/>
      <c r="B57" s="485" t="s">
        <v>637</v>
      </c>
      <c r="C57" s="486"/>
      <c r="D57" s="310"/>
      <c r="E57" s="311" t="s">
        <v>201</v>
      </c>
      <c r="F57" s="312" t="s">
        <v>661</v>
      </c>
      <c r="G57" s="310"/>
      <c r="H57" s="310"/>
      <c r="I57" s="310"/>
      <c r="J57" s="313"/>
      <c r="K57" s="487" t="s">
        <v>574</v>
      </c>
      <c r="L57" s="315"/>
      <c r="M57" s="310"/>
      <c r="N57" s="315"/>
      <c r="O57" s="313"/>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4" t="s">
        <v>603</v>
      </c>
      <c r="F62" s="213" t="s">
        <v>825</v>
      </c>
      <c r="G62" s="198"/>
      <c r="H62" s="198"/>
      <c r="I62" s="198"/>
      <c r="J62" s="199"/>
      <c r="K62" s="188" t="str">
        <f>TOCmatch!B8</f>
        <v>Платежи</v>
      </c>
      <c r="L62" s="201"/>
      <c r="M62" s="198"/>
      <c r="N62" s="201"/>
      <c r="O62" s="199"/>
      <c r="P62" s="471"/>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1"/>
    </row>
    <row r="65" spans="1:16" s="173" customFormat="1" x14ac:dyDescent="0.25">
      <c r="A65" s="195">
        <v>41188.073067129626</v>
      </c>
      <c r="B65" s="196" t="s">
        <v>827</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646</v>
      </c>
      <c r="C66" s="474" t="str">
        <f>B65</f>
        <v>NewPaidOpp</v>
      </c>
      <c r="D66" s="196"/>
      <c r="E66" s="197" t="s">
        <v>201</v>
      </c>
      <c r="F66" s="267" t="s">
        <v>826</v>
      </c>
      <c r="G66" s="201" t="s">
        <v>823</v>
      </c>
      <c r="H66" s="215" t="s">
        <v>832</v>
      </c>
      <c r="I66" s="215" t="s">
        <v>833</v>
      </c>
      <c r="J66" s="199"/>
      <c r="K66" s="200"/>
      <c r="L66" s="201"/>
      <c r="M66" s="198"/>
      <c r="N66" s="201"/>
      <c r="O66" s="199"/>
      <c r="P66" s="471"/>
    </row>
    <row r="67" spans="1:16" s="187" customFormat="1" x14ac:dyDescent="0.25">
      <c r="A67" s="204"/>
      <c r="B67" s="205" t="s">
        <v>638</v>
      </c>
      <c r="C67" s="237">
        <v>54</v>
      </c>
      <c r="D67" s="205"/>
      <c r="E67" s="206" t="s">
        <v>201</v>
      </c>
      <c r="F67" s="207"/>
      <c r="G67" s="208"/>
      <c r="H67" s="208"/>
      <c r="I67" s="208"/>
      <c r="J67" s="209"/>
      <c r="K67" s="210"/>
      <c r="L67" s="211"/>
      <c r="M67" s="208"/>
      <c r="N67" s="211"/>
      <c r="O67" s="209"/>
      <c r="P67" s="472"/>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69"/>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0"/>
    </row>
    <row r="70" spans="1:16" s="173" customFormat="1" ht="16.5" thickTop="1" thickBot="1" x14ac:dyDescent="0.3">
      <c r="A70" s="264"/>
      <c r="B70" s="265" t="s">
        <v>637</v>
      </c>
      <c r="C70" s="266"/>
      <c r="D70" s="212"/>
      <c r="E70" s="494" t="s">
        <v>603</v>
      </c>
      <c r="F70" s="493" t="s">
        <v>684</v>
      </c>
      <c r="G70" s="198"/>
      <c r="H70" s="198"/>
      <c r="I70" s="198"/>
      <c r="J70" s="199"/>
      <c r="K70" s="188" t="str">
        <f>K13</f>
        <v>Договоры</v>
      </c>
      <c r="L70" s="201"/>
      <c r="M70" s="198"/>
      <c r="N70" s="201"/>
      <c r="O70" s="199"/>
    </row>
    <row r="71" spans="1:16" s="173" customFormat="1" ht="15.75" thickTop="1" x14ac:dyDescent="0.25">
      <c r="A71" s="264">
        <v>41201.071111111109</v>
      </c>
      <c r="B71" s="265" t="s">
        <v>695</v>
      </c>
      <c r="C71" s="266"/>
      <c r="D71" s="212"/>
      <c r="E71" s="197" t="s">
        <v>70</v>
      </c>
      <c r="F71" s="267" t="s">
        <v>696</v>
      </c>
      <c r="G71" s="198"/>
      <c r="H71" s="198"/>
      <c r="I71" s="198"/>
      <c r="J71" s="199"/>
      <c r="K71" s="188"/>
      <c r="L71" s="201"/>
      <c r="M71" s="198"/>
      <c r="N71" s="201"/>
      <c r="O71" s="199"/>
    </row>
    <row r="72" spans="1:16" s="173" customFormat="1" ht="30" x14ac:dyDescent="0.25">
      <c r="A72" s="195"/>
      <c r="B72" s="196" t="s">
        <v>683</v>
      </c>
      <c r="C72" s="235" t="s">
        <v>811</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c r="B73" s="202" t="s">
        <v>646</v>
      </c>
      <c r="C73" s="474"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27">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str">
        <f>TOCmatch!B10</f>
        <v>Договоры</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26"/>
      <c r="B78" s="202" t="s">
        <v>638</v>
      </c>
      <c r="C78" s="527"/>
      <c r="D78" s="202"/>
      <c r="E78" s="203" t="s">
        <v>201</v>
      </c>
      <c r="F78" s="528"/>
      <c r="G78" s="198"/>
      <c r="H78" s="198"/>
      <c r="I78" s="198"/>
      <c r="J78" s="199"/>
      <c r="K78" s="200"/>
      <c r="L78" s="201"/>
      <c r="M78" s="198"/>
      <c r="N78" s="201"/>
      <c r="O78" s="199"/>
    </row>
    <row r="79" spans="1:16" s="535" customFormat="1" ht="16.5" thickTop="1" thickBot="1" x14ac:dyDescent="0.3">
      <c r="A79" s="614">
        <v>41201.045671296299</v>
      </c>
      <c r="B79" s="615" t="s">
        <v>637</v>
      </c>
      <c r="C79" s="616"/>
      <c r="D79" s="529"/>
      <c r="E79" s="530" t="s">
        <v>603</v>
      </c>
      <c r="F79" s="531" t="s">
        <v>854</v>
      </c>
      <c r="G79" s="529"/>
      <c r="H79" s="529"/>
      <c r="I79" s="529"/>
      <c r="J79" s="532"/>
      <c r="K79" s="533" t="str">
        <f>K6</f>
        <v>Платежи</v>
      </c>
      <c r="L79" s="534"/>
      <c r="M79" s="529"/>
      <c r="N79" s="534"/>
      <c r="O79" s="532"/>
    </row>
    <row r="80" spans="1:16" s="173" customFormat="1" ht="15.75" thickTop="1" x14ac:dyDescent="0.25">
      <c r="A80" s="195"/>
      <c r="B80" s="202" t="s">
        <v>857</v>
      </c>
      <c r="C80" s="236"/>
      <c r="D80" s="196"/>
      <c r="E80" s="457" t="s">
        <v>70</v>
      </c>
      <c r="F80" s="200" t="str">
        <f>F70</f>
        <v>HANDL_NewContract</v>
      </c>
      <c r="G80" s="221"/>
      <c r="H80" s="198"/>
      <c r="I80" s="198"/>
      <c r="J80" s="199"/>
      <c r="K80" s="200"/>
      <c r="L80" s="201"/>
      <c r="M80" s="198"/>
      <c r="N80" s="201"/>
      <c r="O80" s="199"/>
    </row>
    <row r="81" spans="1:15" s="173" customFormat="1" x14ac:dyDescent="0.25">
      <c r="A81" s="264">
        <v>41202.096585648149</v>
      </c>
      <c r="B81" s="265" t="s">
        <v>856</v>
      </c>
      <c r="C81" s="617" t="str">
        <f>B80</f>
        <v>ProcReset</v>
      </c>
      <c r="D81" s="196"/>
      <c r="E81" s="197" t="s">
        <v>70</v>
      </c>
      <c r="F81" s="536">
        <f>C74</f>
        <v>0</v>
      </c>
      <c r="G81" s="221"/>
      <c r="H81" s="198"/>
      <c r="I81" s="198"/>
      <c r="J81" s="199"/>
      <c r="K81" s="200"/>
      <c r="L81" s="201"/>
      <c r="M81" s="198"/>
      <c r="N81" s="201"/>
      <c r="O81" s="199"/>
    </row>
    <row r="82" spans="1:15" s="173" customFormat="1" x14ac:dyDescent="0.25">
      <c r="A82" s="264">
        <v>41202.096597222226</v>
      </c>
      <c r="B82" s="265" t="s">
        <v>695</v>
      </c>
      <c r="C82" s="266"/>
      <c r="D82" s="212"/>
      <c r="E82" s="197" t="s">
        <v>70</v>
      </c>
      <c r="F82" s="267" t="s">
        <v>837</v>
      </c>
      <c r="G82" s="198"/>
      <c r="H82" s="198"/>
      <c r="I82" s="198"/>
      <c r="J82" s="199"/>
      <c r="K82" s="188"/>
      <c r="L82" s="201"/>
      <c r="M82" s="198"/>
      <c r="N82" s="201"/>
      <c r="O82" s="199"/>
    </row>
    <row r="83" spans="1:15" s="173" customFormat="1" x14ac:dyDescent="0.25">
      <c r="A83" s="264">
        <v>41202.096597222226</v>
      </c>
      <c r="B83" s="265" t="s">
        <v>695</v>
      </c>
      <c r="C83" s="266"/>
      <c r="D83" s="212"/>
      <c r="E83" s="197" t="s">
        <v>70</v>
      </c>
      <c r="F83" s="267" t="s">
        <v>826</v>
      </c>
      <c r="G83" s="198"/>
      <c r="H83" s="198"/>
      <c r="I83" s="198"/>
      <c r="J83" s="199"/>
      <c r="K83" s="188"/>
      <c r="L83" s="201"/>
      <c r="M83" s="198"/>
      <c r="N83" s="201"/>
      <c r="O83" s="199"/>
    </row>
    <row r="84" spans="1:15" s="173" customFormat="1" x14ac:dyDescent="0.25">
      <c r="A84" s="264">
        <v>41201.077222222222</v>
      </c>
      <c r="B84" s="265" t="s">
        <v>912</v>
      </c>
      <c r="C84" s="617" t="str">
        <f>B81</f>
        <v>CheckProc0</v>
      </c>
      <c r="D84" s="196"/>
      <c r="E84" s="197"/>
      <c r="F84" s="214" t="s">
        <v>855</v>
      </c>
      <c r="G84" s="221"/>
      <c r="H84" s="198"/>
      <c r="I84" s="198"/>
      <c r="J84" s="199"/>
      <c r="K84" s="200" t="str">
        <f>K79</f>
        <v>Платежи</v>
      </c>
      <c r="L84" s="302" t="str">
        <f>TOCmatch!B17</f>
        <v>SFacc</v>
      </c>
      <c r="M84" s="302" t="str">
        <f>TOCmatch!B16</f>
        <v>SFopp</v>
      </c>
      <c r="N84" s="302" t="str">
        <f>TOCmatch!B15</f>
        <v>SFD</v>
      </c>
      <c r="O84" s="199"/>
    </row>
    <row r="85" spans="1:15" s="603" customFormat="1" x14ac:dyDescent="0.25">
      <c r="A85" s="644"/>
      <c r="B85" s="595"/>
      <c r="C85" s="645"/>
      <c r="D85" s="595"/>
      <c r="E85" s="596"/>
      <c r="F85" s="597"/>
      <c r="G85" s="598"/>
      <c r="H85" s="599"/>
      <c r="I85" s="599"/>
      <c r="J85" s="600"/>
      <c r="K85" s="601"/>
      <c r="L85" s="602"/>
      <c r="M85" s="599"/>
      <c r="N85" s="602"/>
      <c r="O85" s="600"/>
    </row>
    <row r="86" spans="1:15" s="173" customFormat="1" x14ac:dyDescent="0.25">
      <c r="A86" s="264">
        <v>41201.077222222222</v>
      </c>
      <c r="B86" s="465" t="s">
        <v>646</v>
      </c>
      <c r="C86" s="617" t="str">
        <f>B84</f>
        <v>WP_PdOpp</v>
      </c>
      <c r="D86" s="196"/>
      <c r="E86" s="197"/>
      <c r="F86" s="267" t="s">
        <v>837</v>
      </c>
      <c r="G86" s="201" t="s">
        <v>823</v>
      </c>
      <c r="H86" s="215" t="s">
        <v>914</v>
      </c>
      <c r="I86" s="215" t="s">
        <v>915</v>
      </c>
      <c r="J86" s="199"/>
      <c r="K86" s="200"/>
      <c r="L86" s="201"/>
      <c r="M86" s="198"/>
      <c r="N86" s="201"/>
      <c r="O86" s="199"/>
    </row>
    <row r="87" spans="1:15" s="173" customFormat="1" x14ac:dyDescent="0.25">
      <c r="A87" s="264">
        <v>41201.077222222222</v>
      </c>
      <c r="B87" s="465" t="s">
        <v>646</v>
      </c>
      <c r="C87" s="617" t="str">
        <f>B84</f>
        <v>WP_PdOpp</v>
      </c>
      <c r="D87" s="196"/>
      <c r="E87" s="197"/>
      <c r="F87" s="267" t="s">
        <v>826</v>
      </c>
      <c r="G87" s="201" t="s">
        <v>823</v>
      </c>
      <c r="H87" s="215" t="s">
        <v>832</v>
      </c>
      <c r="I87" s="215" t="s">
        <v>833</v>
      </c>
      <c r="J87" s="199"/>
      <c r="K87" s="200"/>
      <c r="L87" s="201"/>
      <c r="M87" s="198"/>
      <c r="N87" s="201"/>
      <c r="O87" s="199"/>
    </row>
    <row r="88" spans="1:15" s="187" customFormat="1" x14ac:dyDescent="0.25">
      <c r="A88" s="466"/>
      <c r="B88" s="467" t="s">
        <v>638</v>
      </c>
      <c r="C88" s="643">
        <v>0</v>
      </c>
      <c r="D88" s="205"/>
      <c r="E88" s="206" t="s">
        <v>201</v>
      </c>
      <c r="F88" s="207"/>
      <c r="G88" s="208"/>
      <c r="H88" s="208"/>
      <c r="I88" s="208"/>
      <c r="J88" s="209"/>
      <c r="K88" s="210"/>
      <c r="L88" s="211"/>
      <c r="M88" s="208"/>
      <c r="N88" s="211"/>
      <c r="O88" s="209"/>
    </row>
    <row r="89" spans="1:15" s="173" customFormat="1" x14ac:dyDescent="0.25">
      <c r="A89" s="264"/>
      <c r="B89" s="265" t="s">
        <v>637</v>
      </c>
      <c r="C89" s="266"/>
      <c r="D89" s="212"/>
      <c r="E89" s="197" t="s">
        <v>201</v>
      </c>
      <c r="F89" s="213" t="s">
        <v>662</v>
      </c>
      <c r="G89" s="198"/>
      <c r="H89" s="198"/>
      <c r="I89" s="198"/>
      <c r="J89" s="199"/>
      <c r="K89" s="188" t="s">
        <v>574</v>
      </c>
      <c r="L89" s="201"/>
      <c r="M89" s="198"/>
      <c r="N89" s="201"/>
      <c r="O89" s="199"/>
    </row>
    <row r="90" spans="1:15" s="173" customFormat="1" x14ac:dyDescent="0.25">
      <c r="A90" s="217"/>
      <c r="B90" s="196" t="s">
        <v>643</v>
      </c>
      <c r="C90" s="236"/>
      <c r="D90" s="196"/>
      <c r="E90" s="197"/>
      <c r="F90" s="214" t="s">
        <v>70</v>
      </c>
      <c r="G90" s="221"/>
      <c r="H90" s="198"/>
      <c r="I90" s="198"/>
      <c r="J90" s="199"/>
      <c r="K90" s="200"/>
      <c r="L90" s="201"/>
      <c r="M90" s="198"/>
      <c r="N90" s="201"/>
      <c r="O90" s="199"/>
    </row>
    <row r="91" spans="1:15" ht="30" x14ac:dyDescent="0.25">
      <c r="A91" s="217"/>
      <c r="B91" s="202" t="s">
        <v>651</v>
      </c>
      <c r="C91" s="235" t="s">
        <v>679</v>
      </c>
      <c r="D91" s="5"/>
      <c r="E91" s="218" t="s">
        <v>201</v>
      </c>
      <c r="F91" s="200"/>
      <c r="G91" s="201"/>
      <c r="H91" s="215"/>
      <c r="I91" s="215"/>
      <c r="J91" s="222"/>
      <c r="K91" s="223" t="s">
        <v>574</v>
      </c>
      <c r="L91" s="215" t="s">
        <v>586</v>
      </c>
      <c r="M91" s="215"/>
      <c r="N91" s="215"/>
      <c r="O91" s="222"/>
    </row>
    <row r="92" spans="1:15" s="187" customFormat="1" x14ac:dyDescent="0.25">
      <c r="A92" s="204"/>
      <c r="B92" s="205" t="s">
        <v>638</v>
      </c>
      <c r="C92" s="237"/>
      <c r="D92" s="205"/>
      <c r="E92" s="206" t="s">
        <v>201</v>
      </c>
      <c r="F92" s="207"/>
      <c r="G92" s="208"/>
      <c r="H92" s="208"/>
      <c r="I92" s="208"/>
      <c r="J92" s="209"/>
      <c r="K92" s="210"/>
      <c r="L92" s="211"/>
      <c r="M92" s="208"/>
      <c r="N92" s="211"/>
      <c r="O92" s="209"/>
    </row>
    <row r="93" spans="1:15" s="136" customFormat="1" x14ac:dyDescent="0.25">
      <c r="A93" s="225"/>
      <c r="B93" s="226" t="s">
        <v>614</v>
      </c>
      <c r="C93" s="227" t="s">
        <v>126</v>
      </c>
      <c r="D93" s="228"/>
      <c r="E93" s="229"/>
      <c r="F93" s="230"/>
      <c r="G93" s="224"/>
      <c r="H93" s="224"/>
      <c r="I93" s="224"/>
      <c r="J93" s="231"/>
      <c r="K93" s="230" t="s">
        <v>613</v>
      </c>
      <c r="L93" s="224"/>
      <c r="M93" s="224"/>
      <c r="N93" s="224"/>
      <c r="O93" s="231"/>
    </row>
    <row r="94" spans="1:15" x14ac:dyDescent="0.25">
      <c r="A94" s="232"/>
      <c r="B94" s="233">
        <v>1043</v>
      </c>
      <c r="C94" s="234"/>
      <c r="D94" s="5"/>
      <c r="E94" s="197"/>
      <c r="F94" s="220"/>
      <c r="G94" s="215"/>
      <c r="H94" s="215"/>
      <c r="I94" s="215"/>
      <c r="J94" s="216"/>
      <c r="K94" s="220" t="s">
        <v>613</v>
      </c>
      <c r="L94" s="215"/>
      <c r="M94" s="215"/>
      <c r="N94" s="215"/>
      <c r="O94" s="216"/>
    </row>
    <row r="95" spans="1:15" s="136" customFormat="1" ht="15.75" thickBot="1" x14ac:dyDescent="0.3">
      <c r="A95" s="135"/>
      <c r="B95" s="156" t="s">
        <v>614</v>
      </c>
      <c r="C95" s="194" t="s">
        <v>126</v>
      </c>
      <c r="D95" s="157"/>
      <c r="E95" s="192"/>
      <c r="F95" s="176"/>
      <c r="G95" s="177"/>
      <c r="H95" s="177"/>
      <c r="I95" s="177"/>
      <c r="J95" s="178"/>
      <c r="K95" s="176" t="s">
        <v>620</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86" t="s">
        <v>359</v>
      </c>
      <c r="I39" s="687"/>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
  <sheetViews>
    <sheetView tabSelected="1" workbookViewId="0">
      <selection activeCell="C11" sqref="C11"/>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zoomScale="80" zoomScaleNormal="80" workbookViewId="0">
      <selection activeCell="B95" sqref="B9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41178</v>
      </c>
    </row>
    <row r="2" spans="1:30" s="317" customFormat="1" ht="19.5" x14ac:dyDescent="0.3">
      <c r="C2" s="318" t="s">
        <v>712</v>
      </c>
    </row>
    <row r="3" spans="1:30" s="317" customFormat="1" x14ac:dyDescent="0.25"/>
    <row r="4" spans="1:30" s="317" customFormat="1" ht="15.75" thickBot="1" x14ac:dyDescent="0.3">
      <c r="A4" s="317" t="s">
        <v>793</v>
      </c>
    </row>
    <row r="5" spans="1:30" s="317" customFormat="1" ht="23.25" thickBot="1" x14ac:dyDescent="0.3">
      <c r="A5" s="254" t="s">
        <v>800</v>
      </c>
      <c r="B5" s="319" t="s">
        <v>713</v>
      </c>
      <c r="C5" s="320" t="s">
        <v>581</v>
      </c>
      <c r="D5" s="320" t="s">
        <v>714</v>
      </c>
      <c r="E5" s="320" t="s">
        <v>592</v>
      </c>
      <c r="F5" s="321"/>
      <c r="G5" s="322" t="s">
        <v>68</v>
      </c>
      <c r="H5" s="323" t="s">
        <v>67</v>
      </c>
      <c r="I5" s="322" t="s">
        <v>66</v>
      </c>
      <c r="J5" s="324" t="s">
        <v>65</v>
      </c>
      <c r="K5" s="325" t="s">
        <v>715</v>
      </c>
      <c r="L5" s="325" t="s">
        <v>716</v>
      </c>
      <c r="M5" s="325" t="s">
        <v>717</v>
      </c>
      <c r="N5" s="326" t="s">
        <v>718</v>
      </c>
      <c r="O5" s="326" t="s">
        <v>719</v>
      </c>
      <c r="P5" s="326" t="s">
        <v>720</v>
      </c>
      <c r="Q5" s="326" t="s">
        <v>721</v>
      </c>
      <c r="R5" s="326" t="s">
        <v>722</v>
      </c>
      <c r="S5" s="325" t="s">
        <v>0</v>
      </c>
      <c r="T5" s="324" t="s">
        <v>2</v>
      </c>
      <c r="U5" s="324" t="s">
        <v>723</v>
      </c>
      <c r="V5" s="324" t="s">
        <v>724</v>
      </c>
      <c r="W5" s="324" t="s">
        <v>1</v>
      </c>
      <c r="X5" s="324" t="s">
        <v>725</v>
      </c>
      <c r="Y5" s="324" t="s">
        <v>726</v>
      </c>
      <c r="Z5" s="322" t="s">
        <v>62</v>
      </c>
      <c r="AA5" s="324" t="s">
        <v>64</v>
      </c>
      <c r="AB5" s="325" t="s">
        <v>61</v>
      </c>
      <c r="AC5" s="324" t="s">
        <v>63</v>
      </c>
      <c r="AD5" s="324" t="s">
        <v>57</v>
      </c>
    </row>
    <row r="6" spans="1:30" s="317" customFormat="1" x14ac:dyDescent="0.25">
      <c r="A6" s="255" t="s">
        <v>801</v>
      </c>
      <c r="B6" s="327" t="s">
        <v>201</v>
      </c>
      <c r="C6" s="328" t="str">
        <f>IF(D6="","",1)</f>
        <v/>
      </c>
      <c r="D6" s="516"/>
      <c r="E6" s="516"/>
      <c r="F6" s="329" t="str">
        <f>TRIM(G6)&amp;TRIM(J6)&amp;ROUND(S6/1000,0)</f>
        <v>0</v>
      </c>
    </row>
    <row r="7" spans="1:30" s="317" customFormat="1" x14ac:dyDescent="0.25">
      <c r="A7" s="254" t="s">
        <v>802</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803</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804</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805</v>
      </c>
      <c r="B10" s="488" t="s">
        <v>796</v>
      </c>
      <c r="C10" s="488"/>
      <c r="D10" s="488" t="s">
        <v>835</v>
      </c>
      <c r="E10" s="488" t="s">
        <v>836</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792</v>
      </c>
    </row>
    <row r="13" spans="1:30" s="317" customFormat="1" ht="15.75" thickBot="1" x14ac:dyDescent="0.3">
      <c r="B13" s="317" t="s">
        <v>727</v>
      </c>
      <c r="C13" s="317" t="s">
        <v>728</v>
      </c>
      <c r="D13" s="317" t="s">
        <v>728</v>
      </c>
      <c r="E13" s="317" t="s">
        <v>728</v>
      </c>
      <c r="F13" s="317" t="s">
        <v>728</v>
      </c>
      <c r="H13" s="317" t="s">
        <v>728</v>
      </c>
      <c r="I13" s="317" t="s">
        <v>728</v>
      </c>
      <c r="J13" s="317" t="s">
        <v>728</v>
      </c>
      <c r="K13" s="317" t="s">
        <v>728</v>
      </c>
      <c r="R13" s="333" t="s">
        <v>727</v>
      </c>
    </row>
    <row r="14" spans="1:30" s="317" customFormat="1" ht="15.75" thickBot="1" x14ac:dyDescent="0.3">
      <c r="A14" s="688">
        <f>1 - COUNTIF(A$3:A12,"")/COUNTA(A$3:A12)</f>
        <v>0.75</v>
      </c>
      <c r="B14" s="689"/>
      <c r="C14" s="689"/>
      <c r="D14" s="690"/>
      <c r="E14" s="334"/>
      <c r="F14" s="335">
        <f>SUMIF(B$1:B7,"",R$1:R7)</f>
        <v>0</v>
      </c>
      <c r="G14" s="336" t="e">
        <f>F14/R14</f>
        <v>#DIV/0!</v>
      </c>
      <c r="H14" s="337" t="e">
        <f>1-G14</f>
        <v>#DIV/0!</v>
      </c>
      <c r="I14" s="338" t="s">
        <v>729</v>
      </c>
      <c r="J14" s="339"/>
      <c r="K14" s="340"/>
      <c r="L14" s="341"/>
      <c r="M14" s="341"/>
      <c r="N14" s="341"/>
      <c r="O14" s="341"/>
      <c r="P14" s="341"/>
      <c r="Q14" s="341"/>
      <c r="R14" s="335">
        <f>SUM(R$3:R12)</f>
        <v>0</v>
      </c>
    </row>
    <row r="15" spans="1:30" s="317" customFormat="1" x14ac:dyDescent="0.25"/>
    <row r="16" spans="1:30" s="317" customFormat="1" ht="15.75" thickBot="1" x14ac:dyDescent="0.3">
      <c r="A16" s="317" t="s">
        <v>794</v>
      </c>
    </row>
    <row r="17" spans="1:27" s="353" customFormat="1" ht="60.75" thickBot="1" x14ac:dyDescent="0.3">
      <c r="A17" s="254" t="s">
        <v>800</v>
      </c>
      <c r="B17" s="342" t="s">
        <v>730</v>
      </c>
      <c r="C17" s="343" t="s">
        <v>731</v>
      </c>
      <c r="D17" s="343" t="s">
        <v>732</v>
      </c>
      <c r="E17" s="344" t="s">
        <v>733</v>
      </c>
      <c r="F17" s="345" t="s">
        <v>734</v>
      </c>
      <c r="G17" s="346" t="s">
        <v>735</v>
      </c>
      <c r="H17" s="347" t="s">
        <v>736</v>
      </c>
      <c r="I17" s="348"/>
      <c r="J17" s="349"/>
      <c r="K17" s="350" t="s">
        <v>607</v>
      </c>
      <c r="L17" s="350"/>
      <c r="M17" s="351" t="s">
        <v>608</v>
      </c>
      <c r="N17" s="349" t="s">
        <v>723</v>
      </c>
      <c r="O17" s="349" t="s">
        <v>1</v>
      </c>
      <c r="P17" s="349" t="s">
        <v>58</v>
      </c>
      <c r="Q17" s="349" t="s">
        <v>737</v>
      </c>
      <c r="R17" s="349" t="s">
        <v>738</v>
      </c>
      <c r="S17" s="349" t="s">
        <v>739</v>
      </c>
      <c r="T17" s="350" t="s">
        <v>740</v>
      </c>
      <c r="U17" s="352" t="s">
        <v>741</v>
      </c>
      <c r="V17" s="352" t="s">
        <v>742</v>
      </c>
      <c r="W17" s="352" t="s">
        <v>743</v>
      </c>
      <c r="X17" s="349" t="s">
        <v>744</v>
      </c>
      <c r="Y17" s="349" t="s">
        <v>745</v>
      </c>
      <c r="Z17" s="349" t="s">
        <v>57</v>
      </c>
      <c r="AA17" s="349" t="s">
        <v>746</v>
      </c>
    </row>
    <row r="18" spans="1:27" s="317" customFormat="1" ht="18" customHeight="1" x14ac:dyDescent="0.25">
      <c r="A18" s="255" t="s">
        <v>801</v>
      </c>
      <c r="B18" s="354" t="s">
        <v>70</v>
      </c>
      <c r="C18" s="355" t="s">
        <v>757</v>
      </c>
      <c r="D18" s="356"/>
      <c r="E18" s="357">
        <v>1</v>
      </c>
      <c r="F18" s="358" t="str">
        <f>IF(AND(U18=W18,W18&gt;0),"1","")</f>
        <v/>
      </c>
      <c r="G18" s="359" t="str">
        <f>IF(U18=V18,"1","")</f>
        <v/>
      </c>
      <c r="H18" s="360"/>
      <c r="I18" s="361" t="str">
        <f>IF(S18="",TRIM(K18),TRIM(MID(S18,9,55))&amp;"/"&amp;TRIM(K18))</f>
        <v>2009-1-065</v>
      </c>
      <c r="J18" s="362"/>
      <c r="K18" s="363" t="s">
        <v>747</v>
      </c>
      <c r="L18" s="363"/>
      <c r="M18" s="364">
        <v>40058</v>
      </c>
      <c r="N18" s="362" t="s">
        <v>11</v>
      </c>
      <c r="O18" s="362" t="s">
        <v>80</v>
      </c>
      <c r="P18" s="362" t="s">
        <v>748</v>
      </c>
      <c r="Q18" s="362"/>
      <c r="R18" s="362" t="s">
        <v>749</v>
      </c>
      <c r="S18" s="362"/>
      <c r="T18" s="363" t="s">
        <v>100</v>
      </c>
      <c r="U18" s="365">
        <v>324000</v>
      </c>
      <c r="V18" s="365">
        <v>0</v>
      </c>
      <c r="W18" s="365">
        <v>0</v>
      </c>
      <c r="X18" s="362" t="s">
        <v>45</v>
      </c>
      <c r="Y18" s="366"/>
      <c r="Z18" s="366" t="s">
        <v>750</v>
      </c>
      <c r="AA18" s="362" t="s">
        <v>751</v>
      </c>
    </row>
    <row r="19" spans="1:27" s="317" customFormat="1" x14ac:dyDescent="0.25">
      <c r="A19" s="254" t="s">
        <v>802</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803</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804</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805</v>
      </c>
      <c r="B22" s="330" t="s">
        <v>796</v>
      </c>
      <c r="C22" s="330" t="s">
        <v>808</v>
      </c>
      <c r="D22" s="317" t="s">
        <v>806</v>
      </c>
      <c r="E22" s="330"/>
      <c r="F22" s="331"/>
      <c r="G22" s="330"/>
      <c r="H22" s="330" t="s">
        <v>807</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795</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752</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729</v>
      </c>
      <c r="T26" s="387">
        <f>SUM(T$1:T25)</f>
        <v>48</v>
      </c>
      <c r="U26" s="387">
        <f>SUM(U$1:U25)</f>
        <v>324012</v>
      </c>
      <c r="V26" s="387">
        <f>SUM(V$1:V25)</f>
        <v>11</v>
      </c>
      <c r="W26" s="378" t="s">
        <v>753</v>
      </c>
      <c r="X26" s="381"/>
      <c r="Y26" s="381"/>
      <c r="Z26" s="378"/>
    </row>
    <row r="27" spans="1:27" s="382" customFormat="1" ht="15" customHeight="1" x14ac:dyDescent="0.25">
      <c r="A27" s="368"/>
      <c r="B27" s="388" t="s">
        <v>754</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755</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756</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757</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758</v>
      </c>
    </row>
    <row r="34" spans="1:9" s="317" customFormat="1" ht="17.25" x14ac:dyDescent="0.4">
      <c r="A34" s="408" t="s">
        <v>713</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759</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760</v>
      </c>
    </row>
    <row r="42" spans="1:9" s="317" customFormat="1" x14ac:dyDescent="0.25">
      <c r="A42" s="415" t="s">
        <v>761</v>
      </c>
      <c r="B42" s="415" t="s">
        <v>762</v>
      </c>
      <c r="C42" s="415" t="s">
        <v>763</v>
      </c>
      <c r="D42" s="415" t="s">
        <v>764</v>
      </c>
      <c r="E42" s="415" t="s">
        <v>765</v>
      </c>
      <c r="F42" s="415" t="s">
        <v>766</v>
      </c>
      <c r="G42" s="415" t="s">
        <v>767</v>
      </c>
      <c r="H42" s="415" t="s">
        <v>768</v>
      </c>
      <c r="I42" s="415" t="s">
        <v>769</v>
      </c>
    </row>
    <row r="43" spans="1:9" s="317" customFormat="1" x14ac:dyDescent="0.25">
      <c r="A43" s="317" t="s">
        <v>770</v>
      </c>
      <c r="B43" s="317" t="s">
        <v>771</v>
      </c>
      <c r="D43" s="330" t="s">
        <v>581</v>
      </c>
      <c r="E43" s="330">
        <v>1</v>
      </c>
      <c r="F43" s="317" t="s">
        <v>772</v>
      </c>
      <c r="G43" s="317" t="s">
        <v>773</v>
      </c>
      <c r="H43" s="317" t="s">
        <v>574</v>
      </c>
      <c r="I43" s="317" t="s">
        <v>774</v>
      </c>
    </row>
    <row r="44" spans="1:9" s="430" customFormat="1" ht="7.5" customHeight="1" x14ac:dyDescent="0.25">
      <c r="D44" s="431"/>
      <c r="E44" s="431"/>
    </row>
    <row r="45" spans="1:9" s="414" customFormat="1" ht="19.5" x14ac:dyDescent="0.3">
      <c r="A45" s="317"/>
      <c r="C45" s="416" t="s">
        <v>775</v>
      </c>
    </row>
    <row r="46" spans="1:9" s="414" customFormat="1" x14ac:dyDescent="0.25"/>
    <row r="47" spans="1:9" s="414" customFormat="1" x14ac:dyDescent="0.25">
      <c r="A47" s="414" t="s">
        <v>776</v>
      </c>
    </row>
    <row r="48" spans="1:9" s="414" customFormat="1" ht="17.25" x14ac:dyDescent="0.4">
      <c r="A48" s="409" t="s">
        <v>777</v>
      </c>
      <c r="B48" s="417" t="s">
        <v>778</v>
      </c>
      <c r="E48" s="414" t="s">
        <v>779</v>
      </c>
    </row>
    <row r="49" spans="1:6" s="414" customFormat="1" x14ac:dyDescent="0.25">
      <c r="A49" s="418">
        <v>4240</v>
      </c>
      <c r="B49" s="419" t="str">
        <f>IF(D49="&lt;&lt;ПУСТО&gt;&gt;",C49&amp;ROUND(F49/1000,0),D49&amp;C49&amp;ROUND(F49/1000,0))</f>
        <v>0</v>
      </c>
      <c r="E49" s="414" t="s">
        <v>780</v>
      </c>
    </row>
    <row r="50" spans="1:6" s="414" customFormat="1" x14ac:dyDescent="0.25">
      <c r="A50" s="420">
        <v>8</v>
      </c>
      <c r="B50" s="420">
        <v>1</v>
      </c>
      <c r="E50" s="414" t="s">
        <v>781</v>
      </c>
    </row>
    <row r="51" spans="1:6" s="414" customFormat="1" x14ac:dyDescent="0.25"/>
    <row r="52" spans="1:6" s="414" customFormat="1" ht="15.75" thickBot="1" x14ac:dyDescent="0.3">
      <c r="A52" s="414" t="s">
        <v>782</v>
      </c>
    </row>
    <row r="53" spans="1:6" s="414" customFormat="1" ht="15.75" x14ac:dyDescent="0.3">
      <c r="A53" s="421">
        <f>(SUMIF(A$45:A49,0,F$45:F49)-F53)/1000000</f>
        <v>0</v>
      </c>
      <c r="B53" s="412"/>
      <c r="C53" s="413"/>
      <c r="E53" s="422" t="s">
        <v>783</v>
      </c>
      <c r="F53" s="423">
        <f>SUMIF(I$45:I50,"Наталья Константиновна Лидер",F$45:F50)</f>
        <v>0</v>
      </c>
    </row>
    <row r="54" spans="1:6" s="414" customFormat="1" ht="16.5" thickBot="1" x14ac:dyDescent="0.35">
      <c r="A54" s="424">
        <f>COUNTIF(A$45:A49,0)-F54</f>
        <v>0</v>
      </c>
      <c r="B54" s="412"/>
      <c r="C54" s="413" t="s">
        <v>625</v>
      </c>
      <c r="E54" s="425"/>
      <c r="F54" s="426">
        <f>COUNTIF(I$45:I55,"Наталья Константиновна Лидер")</f>
        <v>0</v>
      </c>
    </row>
    <row r="55" spans="1:6" s="414" customFormat="1" x14ac:dyDescent="0.25"/>
    <row r="56" spans="1:6" s="414" customFormat="1" x14ac:dyDescent="0.25">
      <c r="A56" s="414" t="s">
        <v>784</v>
      </c>
    </row>
    <row r="57" spans="1:6" s="414" customFormat="1" ht="17.25" x14ac:dyDescent="0.4">
      <c r="A57" s="409" t="s">
        <v>777</v>
      </c>
      <c r="B57" s="409" t="s">
        <v>785</v>
      </c>
      <c r="E57" s="414" t="s">
        <v>779</v>
      </c>
    </row>
    <row r="58" spans="1:6" s="414" customFormat="1" x14ac:dyDescent="0.25">
      <c r="A58" s="410" t="str">
        <f>IFERROR(MATCH(B58,#REF!,0),IF(L59="Не состоялся","-"," "))</f>
        <v xml:space="preserve"> </v>
      </c>
      <c r="B58" s="427" t="str">
        <f>IF(E58="",D58,E58&amp;"/"&amp;D58)</f>
        <v>Match=&lt;номер строки Договора1С&gt;/</v>
      </c>
      <c r="E58" s="414" t="s">
        <v>786</v>
      </c>
    </row>
    <row r="59" spans="1:6" s="414" customFormat="1" x14ac:dyDescent="0.25">
      <c r="A59" s="420">
        <v>10</v>
      </c>
      <c r="B59" s="420">
        <v>1</v>
      </c>
      <c r="E59" s="414" t="s">
        <v>787</v>
      </c>
    </row>
    <row r="60" spans="1:6" s="414" customFormat="1" x14ac:dyDescent="0.25"/>
    <row r="61" spans="1:6" s="414" customFormat="1" ht="15.75" thickBot="1" x14ac:dyDescent="0.3">
      <c r="A61" s="414" t="s">
        <v>788</v>
      </c>
    </row>
    <row r="62" spans="1:6" s="414" customFormat="1" ht="15.75" thickBot="1" x14ac:dyDescent="0.3">
      <c r="A62" s="411">
        <f>COUNTIF(A$46:A56,0)</f>
        <v>2</v>
      </c>
      <c r="B62" s="412"/>
    </row>
    <row r="63" spans="1:6" s="414" customFormat="1" ht="15.75" x14ac:dyDescent="0.3">
      <c r="C63" s="413"/>
    </row>
    <row r="64" spans="1:6" s="414" customFormat="1" x14ac:dyDescent="0.25">
      <c r="A64" s="414" t="s">
        <v>760</v>
      </c>
    </row>
    <row r="65" spans="1:35" s="414" customFormat="1" x14ac:dyDescent="0.25">
      <c r="A65" s="428" t="s">
        <v>761</v>
      </c>
      <c r="B65" s="428" t="s">
        <v>762</v>
      </c>
      <c r="C65" s="428" t="s">
        <v>763</v>
      </c>
      <c r="D65" s="428" t="s">
        <v>764</v>
      </c>
      <c r="E65" s="428" t="s">
        <v>765</v>
      </c>
      <c r="F65" s="428" t="s">
        <v>766</v>
      </c>
      <c r="G65" s="428" t="s">
        <v>767</v>
      </c>
      <c r="H65" s="428" t="s">
        <v>768</v>
      </c>
      <c r="I65" s="428" t="s">
        <v>769</v>
      </c>
    </row>
    <row r="66" spans="1:35" s="414" customFormat="1" x14ac:dyDescent="0.25">
      <c r="A66" s="414" t="s">
        <v>770</v>
      </c>
      <c r="B66" s="414" t="s">
        <v>771</v>
      </c>
      <c r="D66" s="420" t="s">
        <v>581</v>
      </c>
      <c r="E66" s="420">
        <v>1</v>
      </c>
      <c r="F66" s="414" t="s">
        <v>772</v>
      </c>
      <c r="G66" s="414" t="s">
        <v>773</v>
      </c>
      <c r="H66" s="414" t="s">
        <v>574</v>
      </c>
      <c r="I66" s="414" t="s">
        <v>774</v>
      </c>
    </row>
    <row r="67" spans="1:35" s="430" customFormat="1" ht="7.5" customHeight="1" x14ac:dyDescent="0.25">
      <c r="D67" s="431"/>
      <c r="E67" s="431"/>
    </row>
    <row r="68" spans="1:35" s="414" customFormat="1" ht="19.5" x14ac:dyDescent="0.3">
      <c r="A68" s="317"/>
      <c r="C68" s="416" t="s">
        <v>860</v>
      </c>
      <c r="I68" s="414">
        <f>G74</f>
        <v>6</v>
      </c>
    </row>
    <row r="69" spans="1:35" s="317" customFormat="1" x14ac:dyDescent="0.25"/>
    <row r="70" spans="1:35" s="317" customFormat="1" x14ac:dyDescent="0.25">
      <c r="A70" s="317" t="s">
        <v>907</v>
      </c>
    </row>
    <row r="71" spans="1:35" s="317" customFormat="1" ht="25.5" x14ac:dyDescent="0.25">
      <c r="A71" s="254" t="s">
        <v>800</v>
      </c>
      <c r="B71" s="585" t="s">
        <v>861</v>
      </c>
      <c r="C71" s="587" t="s">
        <v>364</v>
      </c>
      <c r="D71" s="588" t="s">
        <v>862</v>
      </c>
      <c r="E71" s="562" t="s">
        <v>863</v>
      </c>
      <c r="F71" s="562" t="s">
        <v>58</v>
      </c>
      <c r="G71" s="562" t="s">
        <v>810</v>
      </c>
      <c r="H71" s="562" t="s">
        <v>838</v>
      </c>
      <c r="I71" s="562" t="s">
        <v>910</v>
      </c>
      <c r="K71" s="559" t="s">
        <v>869</v>
      </c>
      <c r="L71" s="560" t="s">
        <v>864</v>
      </c>
      <c r="M71" s="561"/>
      <c r="N71" s="549" t="s">
        <v>704</v>
      </c>
      <c r="O71" s="549" t="s">
        <v>705</v>
      </c>
      <c r="P71" s="549" t="s">
        <v>65</v>
      </c>
      <c r="Q71" s="549" t="s">
        <v>1</v>
      </c>
      <c r="R71" s="550" t="s">
        <v>706</v>
      </c>
      <c r="S71" s="551" t="s">
        <v>865</v>
      </c>
      <c r="T71" s="552" t="s">
        <v>707</v>
      </c>
      <c r="U71" s="549" t="s">
        <v>708</v>
      </c>
      <c r="V71" s="553" t="s">
        <v>701</v>
      </c>
      <c r="W71" s="554" t="s">
        <v>701</v>
      </c>
      <c r="X71" s="554" t="s">
        <v>701</v>
      </c>
      <c r="Y71" s="554" t="s">
        <v>701</v>
      </c>
      <c r="Z71" s="549" t="s">
        <v>701</v>
      </c>
      <c r="AA71" s="549" t="s">
        <v>866</v>
      </c>
      <c r="AB71" s="549" t="s">
        <v>701</v>
      </c>
      <c r="AC71" s="549" t="s">
        <v>701</v>
      </c>
      <c r="AD71" s="555" t="s">
        <v>867</v>
      </c>
      <c r="AE71" s="556" t="s">
        <v>701</v>
      </c>
      <c r="AF71" s="549" t="s">
        <v>701</v>
      </c>
      <c r="AG71" s="549" t="s">
        <v>701</v>
      </c>
      <c r="AH71" s="557" t="s">
        <v>868</v>
      </c>
      <c r="AI71" s="558"/>
    </row>
    <row r="72" spans="1:35" s="317" customFormat="1" x14ac:dyDescent="0.25">
      <c r="A72" s="255" t="s">
        <v>801</v>
      </c>
      <c r="B72" s="586"/>
      <c r="C72" s="328"/>
      <c r="D72" s="589">
        <f>R72</f>
        <v>0</v>
      </c>
      <c r="E72" s="516"/>
      <c r="F72" s="331"/>
      <c r="G72" s="582"/>
    </row>
    <row r="73" spans="1:35" s="317" customFormat="1" x14ac:dyDescent="0.25">
      <c r="A73" s="254" t="s">
        <v>802</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803</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804</v>
      </c>
      <c r="B75" s="583" t="s">
        <v>908</v>
      </c>
      <c r="C75" s="583" t="s">
        <v>909</v>
      </c>
      <c r="D75" s="330"/>
      <c r="E75" s="583" t="s">
        <v>888</v>
      </c>
      <c r="F75" s="583" t="s">
        <v>887</v>
      </c>
      <c r="G75" s="584"/>
      <c r="H75" s="584" t="s">
        <v>899</v>
      </c>
      <c r="I75" s="584" t="s">
        <v>911</v>
      </c>
      <c r="J75" s="330"/>
      <c r="K75" s="330"/>
      <c r="N75" s="579" t="s">
        <v>897</v>
      </c>
      <c r="O75" s="332"/>
      <c r="P75" s="332"/>
      <c r="Q75" s="332"/>
      <c r="R75" s="332"/>
      <c r="S75" s="332"/>
      <c r="T75" s="332"/>
      <c r="U75" s="332"/>
      <c r="V75" s="332"/>
      <c r="W75" s="332"/>
      <c r="X75" s="367"/>
      <c r="Y75" s="332"/>
      <c r="Z75" s="332"/>
      <c r="AA75" s="332"/>
      <c r="AB75" s="332"/>
      <c r="AC75" s="332"/>
      <c r="AD75" s="332"/>
    </row>
    <row r="76" spans="1:35" s="317" customFormat="1" x14ac:dyDescent="0.25">
      <c r="A76" s="254" t="s">
        <v>805</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898</v>
      </c>
    </row>
    <row r="78" spans="1:35" s="317" customFormat="1" x14ac:dyDescent="0.25">
      <c r="A78" s="317" t="s">
        <v>885</v>
      </c>
      <c r="F78" s="317">
        <v>5</v>
      </c>
      <c r="I78" s="317">
        <v>8</v>
      </c>
      <c r="P78" s="317">
        <v>10</v>
      </c>
      <c r="T78" s="317">
        <v>14</v>
      </c>
    </row>
    <row r="79" spans="1:35" s="317" customFormat="1" ht="75" x14ac:dyDescent="0.25">
      <c r="A79" s="254" t="s">
        <v>800</v>
      </c>
      <c r="B79" s="562" t="s">
        <v>870</v>
      </c>
      <c r="C79" s="563" t="s">
        <v>188</v>
      </c>
      <c r="D79" s="562" t="s">
        <v>871</v>
      </c>
      <c r="E79" s="562" t="s">
        <v>872</v>
      </c>
      <c r="F79" s="562" t="s">
        <v>810</v>
      </c>
      <c r="G79" s="562" t="s">
        <v>374</v>
      </c>
      <c r="H79" s="574" t="s">
        <v>1</v>
      </c>
      <c r="I79" s="562" t="s">
        <v>66</v>
      </c>
      <c r="J79" s="574" t="s">
        <v>889</v>
      </c>
      <c r="K79" s="578" t="s">
        <v>838</v>
      </c>
      <c r="L79" s="578" t="s">
        <v>149</v>
      </c>
      <c r="M79" s="578" t="s">
        <v>62</v>
      </c>
      <c r="N79" s="578"/>
      <c r="O79" s="578"/>
      <c r="P79" s="565" t="s">
        <v>876</v>
      </c>
      <c r="Q79" s="565" t="s">
        <v>699</v>
      </c>
      <c r="R79" s="564" t="s">
        <v>700</v>
      </c>
      <c r="S79" s="565" t="s">
        <v>703</v>
      </c>
      <c r="T79" s="566" t="s">
        <v>701</v>
      </c>
      <c r="U79" s="566" t="s">
        <v>702</v>
      </c>
      <c r="V79" s="566" t="s">
        <v>873</v>
      </c>
      <c r="W79" s="566" t="s">
        <v>874</v>
      </c>
      <c r="X79" s="566" t="s">
        <v>875</v>
      </c>
    </row>
    <row r="80" spans="1:35" s="317" customFormat="1" x14ac:dyDescent="0.25">
      <c r="A80" s="255" t="s">
        <v>801</v>
      </c>
      <c r="B80" s="331"/>
      <c r="C80" s="328"/>
      <c r="D80" s="516"/>
      <c r="E80" s="516"/>
      <c r="F80" s="575"/>
      <c r="P80" s="330" t="s">
        <v>886</v>
      </c>
      <c r="Q80" s="330" t="s">
        <v>886</v>
      </c>
      <c r="R80" s="330" t="s">
        <v>886</v>
      </c>
      <c r="S80" s="330" t="s">
        <v>886</v>
      </c>
      <c r="T80" s="330" t="s">
        <v>886</v>
      </c>
      <c r="U80" s="330" t="s">
        <v>886</v>
      </c>
      <c r="V80" s="330" t="s">
        <v>886</v>
      </c>
      <c r="W80" s="330" t="s">
        <v>886</v>
      </c>
      <c r="X80" s="330" t="s">
        <v>886</v>
      </c>
    </row>
    <row r="81" spans="1:35" s="317" customFormat="1" x14ac:dyDescent="0.25">
      <c r="A81" s="254" t="s">
        <v>802</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803</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804</v>
      </c>
      <c r="B83" s="330"/>
      <c r="C83" s="330"/>
      <c r="D83" s="330"/>
      <c r="E83" s="330"/>
      <c r="F83" s="331"/>
      <c r="G83" s="576" t="s">
        <v>887</v>
      </c>
      <c r="H83" s="576" t="s">
        <v>888</v>
      </c>
      <c r="I83" s="330"/>
      <c r="J83" s="577" t="s">
        <v>890</v>
      </c>
      <c r="K83" s="577" t="s">
        <v>899</v>
      </c>
      <c r="L83" s="577"/>
      <c r="M83" s="577"/>
      <c r="N83" s="577"/>
      <c r="O83" s="577"/>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805</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5" spans="1:35" s="317" customFormat="1" x14ac:dyDescent="0.25">
      <c r="A85" s="488"/>
      <c r="B85" s="488"/>
      <c r="C85" s="488"/>
      <c r="D85" s="488"/>
      <c r="E85" s="488"/>
      <c r="F85" s="331"/>
      <c r="G85" s="330"/>
      <c r="H85" s="330"/>
      <c r="K85" s="330"/>
      <c r="L85" s="332"/>
      <c r="M85" s="332"/>
      <c r="N85" s="332"/>
      <c r="O85" s="332"/>
      <c r="P85" s="332"/>
      <c r="Q85" s="332"/>
      <c r="R85" s="332"/>
      <c r="S85" s="332"/>
      <c r="T85" s="332"/>
      <c r="U85" s="367"/>
      <c r="V85" s="332"/>
      <c r="W85" s="332"/>
      <c r="X85" s="332"/>
      <c r="Y85" s="332"/>
      <c r="Z85" s="332"/>
      <c r="AA85" s="332"/>
    </row>
    <row r="86" spans="1:35" s="430" customFormat="1" ht="7.5" customHeight="1" x14ac:dyDescent="0.25">
      <c r="D86" s="431"/>
      <c r="E86" s="431"/>
    </row>
    <row r="87" spans="1:35" s="317" customFormat="1" ht="19.5" x14ac:dyDescent="0.3">
      <c r="C87" s="318"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834</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3" t="s">
        <v>115</v>
      </c>
      <c r="H96" s="605" t="s">
        <v>917</v>
      </c>
      <c r="I96" s="145" t="s">
        <v>91</v>
      </c>
      <c r="J96" s="145"/>
      <c r="K96" s="145"/>
      <c r="L96" s="145"/>
      <c r="M96" s="145"/>
    </row>
    <row r="97" spans="1:23" x14ac:dyDescent="0.25">
      <c r="A97" s="254" t="s">
        <v>693</v>
      </c>
      <c r="E97" t="s">
        <v>815</v>
      </c>
      <c r="H97" s="57"/>
      <c r="I97" s="92"/>
      <c r="M97" s="92"/>
      <c r="N97" s="92"/>
      <c r="O97" s="460"/>
      <c r="P97" s="92"/>
    </row>
    <row r="98" spans="1:23" x14ac:dyDescent="0.25">
      <c r="A98" s="254" t="s">
        <v>814</v>
      </c>
      <c r="E98" s="252"/>
      <c r="G98" s="252" t="s">
        <v>831</v>
      </c>
      <c r="H98" s="604" t="s">
        <v>916</v>
      </c>
      <c r="I98" s="330"/>
      <c r="N98" s="253"/>
      <c r="R98" s="461"/>
      <c r="S98" s="461"/>
      <c r="T98" s="461"/>
      <c r="U98" s="461"/>
      <c r="V98" s="461"/>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5" t="s">
        <v>165</v>
      </c>
      <c r="S101" s="495" t="s">
        <v>166</v>
      </c>
      <c r="T101" s="495" t="s">
        <v>167</v>
      </c>
      <c r="U101" s="495" t="s">
        <v>168</v>
      </c>
      <c r="V101" s="495"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59" t="s">
        <v>17</v>
      </c>
      <c r="P102" s="14"/>
      <c r="Q102" s="15"/>
      <c r="R102" s="16"/>
      <c r="S102" s="16"/>
      <c r="T102" s="16"/>
      <c r="U102" s="16"/>
      <c r="V102" s="16"/>
      <c r="W102" s="458"/>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0" t="s">
        <v>816</v>
      </c>
      <c r="P105" s="92" t="s">
        <v>822</v>
      </c>
    </row>
    <row r="106" spans="1:23" x14ac:dyDescent="0.25">
      <c r="A106" s="254" t="s">
        <v>814</v>
      </c>
      <c r="E106" s="252"/>
      <c r="G106" s="252"/>
      <c r="I106" s="330"/>
      <c r="K106" s="461" t="s">
        <v>831</v>
      </c>
      <c r="N106" s="253"/>
      <c r="R106" s="461" t="s">
        <v>820</v>
      </c>
      <c r="S106" s="461" t="s">
        <v>821</v>
      </c>
      <c r="T106" s="461" t="s">
        <v>817</v>
      </c>
      <c r="U106" s="461" t="s">
        <v>818</v>
      </c>
      <c r="V106" s="461"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8"/>
      <c r="B1114" s="369"/>
      <c r="C1114" s="370"/>
      <c r="D1114" s="370"/>
      <c r="E1114" s="371"/>
      <c r="F1114" s="372"/>
      <c r="G1114" s="373"/>
      <c r="H1114" s="373"/>
      <c r="I1114" s="374"/>
      <c r="J1114" s="375"/>
      <c r="K1114" s="375"/>
      <c r="L1114" s="376"/>
      <c r="M1114" s="374"/>
      <c r="N1114" s="377"/>
      <c r="O1114" s="377"/>
      <c r="P1114" s="378"/>
      <c r="Q1114" s="378"/>
      <c r="R1114" s="378"/>
      <c r="S1114" s="379"/>
      <c r="T1114" s="380"/>
      <c r="U1114" s="380"/>
      <c r="V1114" s="380"/>
      <c r="W1114" s="378"/>
    </row>
    <row r="1115" spans="1:23" x14ac:dyDescent="0.25">
      <c r="A1115" s="368"/>
      <c r="B1115" s="383" t="s">
        <v>752</v>
      </c>
      <c r="C1115" s="434">
        <f>COUNTIF(B$1:B1112,B1115)</f>
        <v>1</v>
      </c>
      <c r="D1115" s="442">
        <f>C1115/C1120</f>
        <v>0.2</v>
      </c>
      <c r="E1115" s="384"/>
      <c r="F1115" s="372"/>
      <c r="G1115" s="373"/>
      <c r="H1115" s="373"/>
      <c r="I1115" s="385"/>
      <c r="J1115" s="435">
        <f>SUMIF(B$3:B1112,B1115,T$3:T1119)</f>
        <v>48</v>
      </c>
      <c r="K1115" s="446"/>
      <c r="L1115" s="447">
        <f>J1115/J1120</f>
        <v>1</v>
      </c>
      <c r="M1115" s="377"/>
      <c r="N1115" s="377"/>
      <c r="O1115" s="377"/>
      <c r="P1115" s="378"/>
      <c r="Q1115" s="378"/>
      <c r="R1115" s="378"/>
      <c r="S1115" s="379" t="s">
        <v>729</v>
      </c>
      <c r="T1115" s="387">
        <v>1261915799.52244</v>
      </c>
      <c r="U1115" s="387" t="e">
        <f>SUM(#REF!)</f>
        <v>#REF!</v>
      </c>
      <c r="V1115" s="387" t="e">
        <f>SUM(#REF!)</f>
        <v>#REF!</v>
      </c>
      <c r="W1115" s="378" t="s">
        <v>753</v>
      </c>
    </row>
    <row r="1116" spans="1:23" x14ac:dyDescent="0.25">
      <c r="A1116" s="368"/>
      <c r="B1116" s="388" t="s">
        <v>754</v>
      </c>
      <c r="C1116" s="436">
        <f>COUNTIF(B$1:B1112,B1116)</f>
        <v>1</v>
      </c>
      <c r="D1116" s="443">
        <f>C1116/C1120</f>
        <v>0.2</v>
      </c>
      <c r="E1116" s="384"/>
      <c r="F1116" s="372"/>
      <c r="G1116" s="373"/>
      <c r="H1116" s="373"/>
      <c r="I1116" s="385"/>
      <c r="J1116" s="437">
        <f>SUMIF(B$3:B1115,B1116,T$3:T1120)</f>
        <v>0</v>
      </c>
      <c r="K1116" s="448"/>
      <c r="L1116" s="449">
        <f>J1116/J1120</f>
        <v>0</v>
      </c>
      <c r="M1116" s="377"/>
      <c r="N1116" s="377"/>
      <c r="O1116" s="377"/>
      <c r="P1116" s="382"/>
      <c r="Q1116" s="382"/>
      <c r="R1116" s="382"/>
      <c r="S1116" s="389"/>
      <c r="T1116" s="390"/>
      <c r="U1116" s="390"/>
      <c r="V1116" s="390"/>
      <c r="W1116" s="382"/>
    </row>
    <row r="1117" spans="1:23" x14ac:dyDescent="0.25">
      <c r="A1117" s="368"/>
      <c r="B1117" s="392" t="s">
        <v>755</v>
      </c>
      <c r="C1117" s="438">
        <f>COUNTIF(B$1:B1112,B1117)</f>
        <v>1</v>
      </c>
      <c r="D1117" s="444">
        <f>C1117/C1120</f>
        <v>0.2</v>
      </c>
      <c r="E1117" s="384"/>
      <c r="F1117" s="372"/>
      <c r="G1117" s="373"/>
      <c r="H1117" s="373"/>
      <c r="I1117" s="385"/>
      <c r="J1117" s="439">
        <f>SUMIF(B$3:B1116,B1117,T$3:T1120)</f>
        <v>0</v>
      </c>
      <c r="K1117" s="450"/>
      <c r="L1117" s="451">
        <f>J1117/J1120</f>
        <v>0</v>
      </c>
      <c r="M1117" s="374"/>
      <c r="N1117" s="377"/>
      <c r="O1117" s="377"/>
      <c r="P1117" s="382"/>
      <c r="Q1117" s="382"/>
      <c r="R1117" s="382"/>
      <c r="S1117" s="389"/>
      <c r="T1117" s="390"/>
      <c r="U1117" s="390"/>
      <c r="V1117" s="390"/>
      <c r="W1117" s="382"/>
    </row>
    <row r="1118" spans="1:23" ht="15.75" thickBot="1" x14ac:dyDescent="0.3">
      <c r="A1118" s="368"/>
      <c r="B1118" s="393" t="s">
        <v>756</v>
      </c>
      <c r="C1118" s="440">
        <f>COUNTIF(B$1:B1115,B1118)</f>
        <v>1</v>
      </c>
      <c r="D1118" s="445">
        <f>C1118/C1120</f>
        <v>0.2</v>
      </c>
      <c r="E1118" s="384"/>
      <c r="F1118" s="372"/>
      <c r="G1118" s="373"/>
      <c r="H1118" s="373"/>
      <c r="I1118" s="385"/>
      <c r="J1118" s="441">
        <f>SUMIF(B$3:B1117,B1118,T$3:T1120)</f>
        <v>0</v>
      </c>
      <c r="K1118" s="452"/>
      <c r="L1118" s="453">
        <f>J1118/J1120</f>
        <v>0</v>
      </c>
      <c r="M1118" s="374"/>
      <c r="N1118" s="377"/>
      <c r="O1118" s="377"/>
      <c r="P1118" s="382"/>
      <c r="Q1118" s="382"/>
      <c r="R1118" s="382"/>
      <c r="S1118" s="389"/>
      <c r="T1118" s="390"/>
      <c r="U1118" s="390"/>
      <c r="V1118" s="390"/>
      <c r="W1118" s="382"/>
    </row>
    <row r="1119" spans="1:23" ht="16.5" thickTop="1" thickBot="1" x14ac:dyDescent="0.3">
      <c r="A1119" s="394"/>
      <c r="B1119" s="395" t="s">
        <v>757</v>
      </c>
      <c r="C1119" s="396">
        <f>COUNTIF(B$1:B1112,B1119)</f>
        <v>1</v>
      </c>
      <c r="D1119" s="397">
        <f>C1119/C1120</f>
        <v>0.2</v>
      </c>
      <c r="E1119" s="398"/>
      <c r="F1119" s="399"/>
      <c r="G1119" s="400"/>
      <c r="H1119" s="400"/>
      <c r="I1119" s="401"/>
      <c r="J1119" s="454">
        <f>SUMIF(B$3:B1118,B1119,T$3:T1120)</f>
        <v>0</v>
      </c>
      <c r="K1119" s="455"/>
      <c r="L1119" s="456">
        <f>J1119/J1120</f>
        <v>0</v>
      </c>
      <c r="M1119" s="402"/>
      <c r="N1119" s="402"/>
      <c r="O1119" s="402"/>
      <c r="P1119" s="382"/>
      <c r="Q1119" s="382"/>
      <c r="R1119" s="382"/>
      <c r="S1119" s="389"/>
      <c r="T1119" s="390"/>
      <c r="U1119" s="390"/>
      <c r="V1119" s="390"/>
      <c r="W1119" s="382"/>
    </row>
    <row r="1120" spans="1:23" x14ac:dyDescent="0.25">
      <c r="A1120" s="368"/>
      <c r="B1120" s="403"/>
      <c r="C1120" s="404">
        <f>SUM(C1115:C1119)</f>
        <v>5</v>
      </c>
      <c r="D1120" s="370"/>
      <c r="E1120" s="384"/>
      <c r="F1120" s="372"/>
      <c r="G1120" s="373"/>
      <c r="H1120" s="373"/>
      <c r="I1120" s="385"/>
      <c r="J1120" s="405">
        <f>SUM(J1115:J1119)</f>
        <v>48</v>
      </c>
      <c r="K1120" s="386"/>
      <c r="L1120" s="406"/>
      <c r="M1120" s="374"/>
      <c r="N1120" s="377"/>
      <c r="O1120" s="377"/>
      <c r="P1120" s="382"/>
      <c r="Q1120" s="382"/>
      <c r="R1120" s="382"/>
      <c r="S1120" s="389"/>
      <c r="T1120" s="390"/>
      <c r="U1120" s="390"/>
      <c r="V1120" s="390"/>
      <c r="W1120"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29"/>
  <sheetViews>
    <sheetView zoomScale="80" zoomScaleNormal="80" workbookViewId="0">
      <selection activeCell="I26" sqref="I26"/>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5.7109375" customWidth="1"/>
    <col min="14" max="14" width="12.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46"/>
    </row>
    <row r="2" spans="1:33" s="317" customFormat="1" ht="19.5" x14ac:dyDescent="0.3">
      <c r="C2" s="318" t="s">
        <v>809</v>
      </c>
      <c r="J2" s="646"/>
    </row>
    <row r="4" spans="1:33" ht="15.75" thickBot="1" x14ac:dyDescent="0.3">
      <c r="A4" s="30" t="s">
        <v>913</v>
      </c>
    </row>
    <row r="5" spans="1:33" s="1" customFormat="1" ht="15.75" thickBot="1" x14ac:dyDescent="0.3">
      <c r="A5"/>
      <c r="B5" s="496" t="s">
        <v>929</v>
      </c>
      <c r="C5" s="542" t="s">
        <v>133</v>
      </c>
      <c r="D5" s="542" t="s">
        <v>130</v>
      </c>
      <c r="J5" s="539"/>
      <c r="K5" s="498" t="s">
        <v>837</v>
      </c>
      <c r="L5" s="497" t="s">
        <v>838</v>
      </c>
      <c r="M5" s="499" t="s">
        <v>839</v>
      </c>
      <c r="N5" s="613" t="s">
        <v>920</v>
      </c>
      <c r="P5" s="145"/>
      <c r="Q5" s="8"/>
      <c r="R5" s="6"/>
      <c r="S5" s="12"/>
      <c r="T5"/>
      <c r="U5"/>
      <c r="V5"/>
      <c r="W5"/>
      <c r="X5"/>
      <c r="Y5"/>
      <c r="Z5"/>
      <c r="AA5"/>
      <c r="AB5"/>
      <c r="AC5"/>
    </row>
    <row r="6" spans="1:33" s="539" customFormat="1" x14ac:dyDescent="0.25">
      <c r="A6" s="537"/>
      <c r="B6" s="538"/>
      <c r="C6" s="542"/>
      <c r="D6" s="500"/>
      <c r="K6" s="540"/>
      <c r="L6" s="540"/>
      <c r="M6" s="541"/>
      <c r="P6" s="269"/>
      <c r="Q6" s="8"/>
      <c r="R6" s="6"/>
      <c r="S6" s="12"/>
      <c r="T6" s="2"/>
      <c r="U6" s="2"/>
      <c r="V6" s="2"/>
      <c r="W6" s="2"/>
      <c r="X6" s="2"/>
      <c r="Y6" s="2"/>
      <c r="Z6" s="2"/>
      <c r="AA6" s="2"/>
      <c r="AB6" s="2"/>
      <c r="AC6" s="2"/>
    </row>
    <row r="7" spans="1:33" x14ac:dyDescent="0.25">
      <c r="A7" s="594">
        <v>0</v>
      </c>
      <c r="B7" s="506" t="s">
        <v>603</v>
      </c>
      <c r="C7" s="504" t="s">
        <v>603</v>
      </c>
      <c r="D7" s="505" t="s">
        <v>603</v>
      </c>
      <c r="E7" s="591">
        <v>0</v>
      </c>
      <c r="F7" s="591">
        <v>0</v>
      </c>
      <c r="G7" s="591">
        <v>0</v>
      </c>
      <c r="H7" s="591">
        <v>0</v>
      </c>
      <c r="I7" s="591">
        <v>0</v>
      </c>
      <c r="J7" s="591">
        <v>17</v>
      </c>
      <c r="K7" s="592" t="s">
        <v>921</v>
      </c>
      <c r="L7" s="592" t="s">
        <v>130</v>
      </c>
      <c r="M7" s="592" t="s">
        <v>130</v>
      </c>
      <c r="N7" s="592" t="s">
        <v>127</v>
      </c>
      <c r="O7" s="592" t="s">
        <v>921</v>
      </c>
      <c r="P7" s="592" t="s">
        <v>131</v>
      </c>
      <c r="Q7" s="592" t="s">
        <v>113</v>
      </c>
      <c r="R7" s="592" t="s">
        <v>71</v>
      </c>
      <c r="S7" s="592" t="s">
        <v>113</v>
      </c>
      <c r="T7" s="592" t="s">
        <v>113</v>
      </c>
      <c r="U7" s="592" t="s">
        <v>113</v>
      </c>
      <c r="V7" s="592" t="s">
        <v>113</v>
      </c>
      <c r="W7" s="592" t="s">
        <v>91</v>
      </c>
      <c r="X7" s="592" t="s">
        <v>110</v>
      </c>
      <c r="Z7" s="460"/>
      <c r="AA7" s="92"/>
    </row>
    <row r="8" spans="1:33" x14ac:dyDescent="0.25">
      <c r="A8" s="537"/>
      <c r="B8" s="506" t="s">
        <v>692</v>
      </c>
      <c r="C8" s="504"/>
      <c r="D8" s="505"/>
      <c r="E8" s="590"/>
      <c r="F8" s="590"/>
      <c r="G8" s="590"/>
      <c r="H8" s="590"/>
      <c r="I8" s="590"/>
      <c r="J8" s="590"/>
      <c r="K8" s="269"/>
      <c r="L8" s="269"/>
      <c r="M8" s="269"/>
      <c r="N8" s="2"/>
      <c r="O8" s="2"/>
      <c r="P8" s="269"/>
      <c r="Q8" s="269"/>
      <c r="R8" s="269"/>
      <c r="S8" s="269"/>
      <c r="T8" s="269"/>
      <c r="U8" s="269"/>
      <c r="V8" s="2"/>
      <c r="W8" s="2"/>
      <c r="X8" s="2"/>
      <c r="Y8" s="460"/>
      <c r="Z8" s="92"/>
    </row>
    <row r="9" spans="1:33" x14ac:dyDescent="0.25">
      <c r="A9" s="537"/>
      <c r="B9" s="506" t="s">
        <v>693</v>
      </c>
      <c r="C9" s="504"/>
      <c r="D9" s="505"/>
      <c r="E9" s="590"/>
      <c r="F9" s="590"/>
      <c r="G9" s="590"/>
      <c r="H9" s="590"/>
      <c r="I9" s="590"/>
      <c r="J9" s="590"/>
      <c r="K9" s="269"/>
      <c r="L9" s="269"/>
      <c r="M9" s="269"/>
      <c r="N9" s="2"/>
      <c r="O9" s="2"/>
      <c r="P9" s="269"/>
      <c r="Q9" s="269"/>
      <c r="R9" s="269"/>
      <c r="S9" s="269"/>
      <c r="T9" s="269"/>
      <c r="U9" s="269"/>
      <c r="V9" s="2"/>
      <c r="W9" s="2"/>
      <c r="X9" s="2"/>
      <c r="Y9" s="460"/>
      <c r="Z9" s="92"/>
    </row>
    <row r="10" spans="1:33" ht="15.75" thickBot="1" x14ac:dyDescent="0.3">
      <c r="A10" s="537"/>
      <c r="B10" s="507" t="s">
        <v>814</v>
      </c>
      <c r="C10" s="504"/>
      <c r="D10" s="505"/>
      <c r="E10" s="590"/>
      <c r="F10" s="590"/>
      <c r="G10" s="590"/>
      <c r="H10" s="590"/>
      <c r="I10" s="590"/>
      <c r="J10" s="590"/>
      <c r="K10" s="269"/>
      <c r="L10" s="269"/>
      <c r="M10" s="269"/>
      <c r="N10" s="2"/>
      <c r="O10" s="2"/>
      <c r="P10" s="269"/>
      <c r="Q10" s="269"/>
      <c r="R10" s="269"/>
      <c r="S10" s="269"/>
      <c r="T10" s="269"/>
      <c r="U10" s="269"/>
      <c r="V10" s="2"/>
      <c r="W10" s="2"/>
      <c r="X10" s="2"/>
      <c r="Y10" s="460"/>
      <c r="Z10" s="92"/>
    </row>
    <row r="11" spans="1:33" s="5" customFormat="1" ht="23.25" thickBot="1" x14ac:dyDescent="0.3">
      <c r="A11" s="699" t="s">
        <v>574</v>
      </c>
      <c r="B11" s="623" t="s">
        <v>927</v>
      </c>
      <c r="C11" s="501" t="s">
        <v>840</v>
      </c>
      <c r="D11" s="502"/>
      <c r="E11" s="319" t="s">
        <v>713</v>
      </c>
      <c r="F11" s="639" t="s">
        <v>65</v>
      </c>
      <c r="G11" s="639"/>
      <c r="H11" s="630"/>
      <c r="I11" s="320" t="s">
        <v>592</v>
      </c>
      <c r="J11" s="662" t="s">
        <v>359</v>
      </c>
      <c r="K11" s="666" t="s">
        <v>951</v>
      </c>
      <c r="L11" s="656" t="s">
        <v>68</v>
      </c>
      <c r="M11" s="656" t="s">
        <v>67</v>
      </c>
      <c r="N11" s="657" t="s">
        <v>66</v>
      </c>
      <c r="O11" s="656" t="s">
        <v>842</v>
      </c>
      <c r="P11" s="659" t="s">
        <v>0</v>
      </c>
      <c r="Q11" s="691" t="s">
        <v>2</v>
      </c>
      <c r="R11" s="692"/>
      <c r="S11" s="658" t="s">
        <v>1</v>
      </c>
      <c r="T11" s="657" t="s">
        <v>62</v>
      </c>
      <c r="U11" s="658" t="s">
        <v>64</v>
      </c>
      <c r="V11" s="660" t="s">
        <v>61</v>
      </c>
      <c r="W11" s="661" t="s">
        <v>63</v>
      </c>
      <c r="X11" s="658" t="s">
        <v>57</v>
      </c>
      <c r="Y11"/>
    </row>
    <row r="12" spans="1:33" s="5" customFormat="1" ht="15.75" thickBot="1" x14ac:dyDescent="0.3">
      <c r="A12" s="700"/>
      <c r="B12" s="503" t="s">
        <v>122</v>
      </c>
      <c r="C12" s="504" t="s">
        <v>840</v>
      </c>
      <c r="D12" s="593"/>
      <c r="E12" s="515"/>
      <c r="F12" s="663"/>
      <c r="G12" s="663"/>
      <c r="H12" s="619"/>
      <c r="I12" s="619"/>
      <c r="J12" s="655"/>
      <c r="K12" s="665">
        <f>HYPERLINK("https://eu1.salesforce.com/"&amp;E18,F18)</f>
        <v>0</v>
      </c>
      <c r="L12" s="650"/>
      <c r="M12" s="650"/>
      <c r="N12" s="651"/>
      <c r="O12" s="652">
        <v>1234567.8899999999</v>
      </c>
      <c r="P12" s="652">
        <v>1234567.8899999999</v>
      </c>
      <c r="Q12" s="693"/>
      <c r="R12" s="694"/>
      <c r="S12" s="653"/>
      <c r="T12" s="654"/>
      <c r="U12" s="654"/>
      <c r="V12" s="654"/>
      <c r="W12" s="654"/>
      <c r="X12" s="654"/>
    </row>
    <row r="13" spans="1:33" x14ac:dyDescent="0.25">
      <c r="A13" s="700"/>
      <c r="B13" s="506" t="s">
        <v>691</v>
      </c>
      <c r="C13" s="504"/>
      <c r="D13" s="505"/>
      <c r="E13" s="590">
        <v>0.5</v>
      </c>
      <c r="F13" s="590"/>
      <c r="G13" s="590"/>
      <c r="I13" s="590">
        <v>0.5</v>
      </c>
      <c r="J13" s="590">
        <v>17</v>
      </c>
      <c r="K13" s="269" t="s">
        <v>921</v>
      </c>
      <c r="L13" s="269" t="s">
        <v>130</v>
      </c>
      <c r="M13" s="269" t="s">
        <v>128</v>
      </c>
      <c r="N13" s="269" t="s">
        <v>110</v>
      </c>
      <c r="O13" s="269" t="s">
        <v>113</v>
      </c>
      <c r="P13" s="269" t="s">
        <v>113</v>
      </c>
      <c r="Q13" s="269" t="s">
        <v>922</v>
      </c>
      <c r="R13" s="269"/>
      <c r="S13" s="269" t="s">
        <v>113</v>
      </c>
      <c r="T13" s="269" t="s">
        <v>128</v>
      </c>
      <c r="U13" s="269" t="s">
        <v>128</v>
      </c>
      <c r="V13" s="269" t="s">
        <v>113</v>
      </c>
      <c r="W13" s="269" t="s">
        <v>91</v>
      </c>
      <c r="X13" s="269" t="s">
        <v>110</v>
      </c>
      <c r="Z13" s="460"/>
      <c r="AA13" s="92"/>
    </row>
    <row r="14" spans="1:33" x14ac:dyDescent="0.25">
      <c r="A14" s="700"/>
      <c r="B14" s="506" t="s">
        <v>692</v>
      </c>
      <c r="C14" s="504"/>
      <c r="D14" s="505"/>
      <c r="E14" s="590">
        <v>1</v>
      </c>
      <c r="F14" s="590">
        <v>9</v>
      </c>
      <c r="G14" s="590"/>
      <c r="I14" s="590"/>
      <c r="J14" s="590">
        <v>19</v>
      </c>
      <c r="K14" s="269" t="s">
        <v>858</v>
      </c>
      <c r="L14" s="269" t="s">
        <v>126</v>
      </c>
      <c r="M14" s="269" t="s">
        <v>112</v>
      </c>
      <c r="N14" s="269" t="s">
        <v>128</v>
      </c>
      <c r="O14" s="269" t="s">
        <v>113</v>
      </c>
      <c r="P14" s="269" t="s">
        <v>111</v>
      </c>
      <c r="Q14" s="269" t="s">
        <v>830</v>
      </c>
      <c r="R14" s="269"/>
      <c r="S14" s="269" t="s">
        <v>921</v>
      </c>
      <c r="T14" s="269" t="s">
        <v>115</v>
      </c>
      <c r="U14" s="269" t="s">
        <v>923</v>
      </c>
      <c r="V14" s="269" t="s">
        <v>925</v>
      </c>
      <c r="W14" s="269" t="s">
        <v>926</v>
      </c>
      <c r="X14" s="269" t="s">
        <v>924</v>
      </c>
      <c r="AC14" s="461"/>
      <c r="AD14" s="461"/>
      <c r="AE14" s="461"/>
      <c r="AF14" s="461"/>
      <c r="AG14" s="461"/>
    </row>
    <row r="15" spans="1:33" x14ac:dyDescent="0.25">
      <c r="A15" s="700"/>
      <c r="B15" s="506" t="s">
        <v>693</v>
      </c>
      <c r="C15" s="504"/>
      <c r="D15" s="505"/>
      <c r="E15" s="590"/>
      <c r="F15" s="590"/>
      <c r="G15" s="590"/>
      <c r="I15" s="590"/>
      <c r="J15" s="631" t="s">
        <v>942</v>
      </c>
      <c r="K15" s="2"/>
      <c r="L15" s="2"/>
      <c r="M15" s="2"/>
      <c r="N15" s="2"/>
      <c r="O15" s="2"/>
      <c r="P15" s="2"/>
      <c r="Q15" s="2"/>
      <c r="R15" s="2"/>
      <c r="S15" s="2"/>
      <c r="T15" s="2"/>
      <c r="U15" s="2"/>
      <c r="V15" s="2"/>
      <c r="W15" s="2"/>
      <c r="X15" s="2"/>
      <c r="AC15" s="461"/>
      <c r="AD15" s="461"/>
      <c r="AE15" s="461"/>
      <c r="AF15" s="461"/>
      <c r="AG15" s="461"/>
    </row>
    <row r="16" spans="1:33" ht="15.75" thickBot="1" x14ac:dyDescent="0.3">
      <c r="A16" s="701"/>
      <c r="B16" s="507" t="s">
        <v>814</v>
      </c>
      <c r="C16" s="510"/>
      <c r="D16" s="511"/>
      <c r="E16" s="618"/>
      <c r="F16" s="618"/>
      <c r="G16" s="618"/>
      <c r="I16" s="618"/>
      <c r="J16" s="618"/>
      <c r="K16" s="2"/>
      <c r="L16" s="2"/>
      <c r="M16" s="2"/>
      <c r="N16" s="2"/>
      <c r="O16" s="2"/>
      <c r="P16" s="2"/>
      <c r="Q16" s="2"/>
      <c r="R16" s="2"/>
      <c r="S16" s="2"/>
      <c r="T16" s="2"/>
      <c r="U16" s="2"/>
      <c r="V16" s="2"/>
      <c r="AA16" s="461"/>
      <c r="AB16" s="461"/>
      <c r="AC16" s="461"/>
      <c r="AD16" s="461"/>
      <c r="AE16" s="461"/>
    </row>
    <row r="17" spans="1:35" s="5" customFormat="1" ht="30.75" thickBot="1" x14ac:dyDescent="0.3">
      <c r="A17" s="699" t="s">
        <v>136</v>
      </c>
      <c r="B17" s="624" t="s">
        <v>928</v>
      </c>
      <c r="C17" s="501" t="s">
        <v>840</v>
      </c>
      <c r="D17" s="502"/>
      <c r="E17" s="522" t="s">
        <v>714</v>
      </c>
      <c r="F17" s="522"/>
      <c r="G17" s="522"/>
      <c r="H17" s="523" t="s">
        <v>852</v>
      </c>
      <c r="I17" s="524" t="s">
        <v>612</v>
      </c>
      <c r="J17" s="648"/>
      <c r="K17" s="667" t="s">
        <v>851</v>
      </c>
      <c r="L17" s="668" t="s">
        <v>845</v>
      </c>
      <c r="M17" s="669" t="s">
        <v>850</v>
      </c>
      <c r="N17" s="669" t="s">
        <v>846</v>
      </c>
      <c r="O17" s="670" t="s">
        <v>847</v>
      </c>
      <c r="P17" s="670" t="s">
        <v>848</v>
      </c>
      <c r="Q17" s="695" t="s">
        <v>849</v>
      </c>
      <c r="R17" s="696"/>
      <c r="S17" s="667" t="s">
        <v>938</v>
      </c>
      <c r="V17" s="667" t="s">
        <v>940</v>
      </c>
      <c r="W17" s="525"/>
    </row>
    <row r="18" spans="1:35" s="5" customFormat="1" ht="15.75" thickBot="1" x14ac:dyDescent="0.3">
      <c r="A18" s="700"/>
      <c r="B18" s="503" t="s">
        <v>122</v>
      </c>
      <c r="C18" s="504" t="s">
        <v>840</v>
      </c>
      <c r="D18" s="671">
        <f>E12</f>
        <v>0</v>
      </c>
      <c r="H18" s="672"/>
      <c r="I18" s="673"/>
      <c r="J18" s="647"/>
      <c r="K18" s="674"/>
      <c r="L18" s="676"/>
      <c r="M18" s="675"/>
      <c r="N18" s="675"/>
      <c r="O18" s="675"/>
      <c r="P18" s="676"/>
      <c r="Q18" s="697"/>
      <c r="R18" s="698"/>
      <c r="S18" s="677"/>
      <c r="V18" s="675"/>
      <c r="W18" s="525"/>
    </row>
    <row r="19" spans="1:35" x14ac:dyDescent="0.25">
      <c r="A19" s="700"/>
      <c r="B19" s="506" t="s">
        <v>691</v>
      </c>
      <c r="C19" s="504"/>
      <c r="D19" s="505"/>
      <c r="E19" s="330">
        <v>0.5</v>
      </c>
      <c r="F19" s="330"/>
      <c r="G19" s="330"/>
      <c r="H19" s="330">
        <v>0.5</v>
      </c>
      <c r="I19" s="330">
        <v>0.5</v>
      </c>
      <c r="J19" s="590"/>
      <c r="K19" s="512">
        <v>14</v>
      </c>
      <c r="L19" s="512">
        <v>10</v>
      </c>
      <c r="M19" s="512">
        <v>10</v>
      </c>
      <c r="N19" s="512">
        <v>10</v>
      </c>
      <c r="O19" s="512">
        <v>30</v>
      </c>
      <c r="P19" s="512">
        <v>10</v>
      </c>
      <c r="Q19" s="512">
        <v>40</v>
      </c>
      <c r="R19" s="512"/>
      <c r="S19" s="512">
        <v>26</v>
      </c>
      <c r="V19" s="512">
        <v>15</v>
      </c>
      <c r="W19" s="492"/>
    </row>
    <row r="20" spans="1:35" x14ac:dyDescent="0.25">
      <c r="A20" s="700"/>
      <c r="B20" s="506" t="s">
        <v>692</v>
      </c>
      <c r="C20" s="504"/>
      <c r="D20" s="505"/>
      <c r="E20" s="620">
        <v>4</v>
      </c>
      <c r="F20" s="620"/>
      <c r="G20" s="620"/>
      <c r="H20" s="620"/>
      <c r="I20" s="620"/>
      <c r="J20" s="590"/>
      <c r="K20" s="492">
        <v>4</v>
      </c>
      <c r="L20" s="492">
        <v>4</v>
      </c>
      <c r="M20" s="512">
        <v>4</v>
      </c>
      <c r="N20" s="512">
        <v>4</v>
      </c>
      <c r="O20" s="512">
        <v>4</v>
      </c>
      <c r="P20" s="512">
        <v>4</v>
      </c>
      <c r="Q20" s="512">
        <v>4</v>
      </c>
      <c r="R20" s="512"/>
      <c r="S20" s="512">
        <v>4</v>
      </c>
      <c r="V20" s="512">
        <v>4</v>
      </c>
      <c r="W20" s="492"/>
    </row>
    <row r="21" spans="1:35" x14ac:dyDescent="0.25">
      <c r="A21" s="700"/>
      <c r="B21" s="506" t="s">
        <v>693</v>
      </c>
      <c r="C21" s="504"/>
      <c r="D21" s="505"/>
      <c r="E21" s="620"/>
      <c r="F21" s="620"/>
      <c r="G21" s="620"/>
      <c r="H21" s="620"/>
      <c r="I21" s="620"/>
      <c r="J21" s="590"/>
      <c r="K21" s="492"/>
      <c r="L21" s="492"/>
      <c r="M21" s="492"/>
      <c r="N21" s="492"/>
      <c r="O21" s="492"/>
      <c r="P21" s="492"/>
      <c r="Q21" s="492"/>
      <c r="R21" s="492"/>
      <c r="S21" s="492"/>
      <c r="V21" s="492"/>
      <c r="W21" s="492"/>
    </row>
    <row r="22" spans="1:35" s="1" customFormat="1" ht="15.75" thickBot="1" x14ac:dyDescent="0.3">
      <c r="A22" s="701"/>
      <c r="B22" s="507" t="s">
        <v>814</v>
      </c>
      <c r="C22" s="508"/>
      <c r="D22" s="509"/>
      <c r="E22" s="622" t="s">
        <v>930</v>
      </c>
      <c r="F22" s="622"/>
      <c r="G22" s="622"/>
      <c r="H22" s="621"/>
      <c r="I22" s="621"/>
      <c r="J22" s="618"/>
      <c r="K22" s="622" t="s">
        <v>931</v>
      </c>
      <c r="L22" s="622" t="s">
        <v>932</v>
      </c>
      <c r="M22" s="622" t="s">
        <v>933</v>
      </c>
      <c r="N22" s="622" t="s">
        <v>934</v>
      </c>
      <c r="O22" s="622" t="s">
        <v>935</v>
      </c>
      <c r="P22" s="622" t="s">
        <v>936</v>
      </c>
      <c r="Q22" s="622" t="s">
        <v>937</v>
      </c>
      <c r="R22" s="512"/>
      <c r="S22" s="622" t="s">
        <v>939</v>
      </c>
      <c r="V22" s="622" t="s">
        <v>941</v>
      </c>
      <c r="W22" s="513"/>
      <c r="X22" s="12"/>
      <c r="Y22"/>
      <c r="Z22"/>
      <c r="AA22"/>
      <c r="AB22"/>
      <c r="AC22"/>
      <c r="AD22"/>
      <c r="AE22"/>
      <c r="AF22"/>
      <c r="AG22"/>
      <c r="AH22"/>
    </row>
    <row r="23" spans="1:35" ht="15.75" thickBot="1" x14ac:dyDescent="0.3">
      <c r="A23" s="699" t="s">
        <v>586</v>
      </c>
      <c r="B23" s="625" t="s">
        <v>943</v>
      </c>
      <c r="C23" s="501" t="s">
        <v>840</v>
      </c>
      <c r="D23" s="502"/>
      <c r="E23" s="320" t="s">
        <v>157</v>
      </c>
      <c r="F23" s="320" t="s">
        <v>944</v>
      </c>
      <c r="G23" s="320" t="s">
        <v>838</v>
      </c>
      <c r="H23" s="521" t="s">
        <v>62</v>
      </c>
      <c r="I23" s="519" t="s">
        <v>612</v>
      </c>
      <c r="J23" s="649"/>
      <c r="K23" s="702" t="s">
        <v>838</v>
      </c>
      <c r="L23" s="703"/>
      <c r="M23" s="514" t="s">
        <v>1</v>
      </c>
      <c r="N23" s="514" t="s">
        <v>843</v>
      </c>
      <c r="O23" s="514" t="s">
        <v>841</v>
      </c>
      <c r="P23" s="514" t="s">
        <v>844</v>
      </c>
      <c r="Q23" s="514" t="s">
        <v>946</v>
      </c>
      <c r="R23" s="514" t="s">
        <v>945</v>
      </c>
      <c r="S23" s="514" t="s">
        <v>62</v>
      </c>
      <c r="T23" s="514" t="s">
        <v>704</v>
      </c>
      <c r="U23" s="514" t="s">
        <v>611</v>
      </c>
      <c r="V23" s="514" t="s">
        <v>853</v>
      </c>
      <c r="W23" s="514" t="s">
        <v>372</v>
      </c>
      <c r="X23" s="145"/>
      <c r="Y23" s="145"/>
      <c r="Z23" s="145"/>
    </row>
    <row r="24" spans="1:35" ht="15.75" thickBot="1" x14ac:dyDescent="0.3">
      <c r="A24" s="700"/>
      <c r="B24" s="503" t="s">
        <v>122</v>
      </c>
      <c r="C24" s="504" t="s">
        <v>840</v>
      </c>
      <c r="D24" s="634">
        <v>1</v>
      </c>
      <c r="F24" s="517"/>
      <c r="G24" s="330"/>
      <c r="H24" s="520"/>
      <c r="I24" s="518"/>
      <c r="J24" s="678" t="s">
        <v>953</v>
      </c>
      <c r="K24" s="704">
        <f>HYPERLINK("https://eu1.salesforce.com/"&amp;F24,G24)</f>
        <v>0</v>
      </c>
      <c r="L24" s="705"/>
      <c r="M24" s="1"/>
      <c r="N24" s="1"/>
      <c r="O24" s="1"/>
      <c r="P24" s="1"/>
      <c r="Q24" s="1"/>
      <c r="R24" s="1"/>
      <c r="T24" s="1"/>
      <c r="U24" s="1"/>
      <c r="V24" s="145"/>
      <c r="W24" s="145"/>
      <c r="X24" s="145"/>
      <c r="Y24" s="145"/>
      <c r="Z24" s="145"/>
    </row>
    <row r="25" spans="1:35" ht="15.75" thickBot="1" x14ac:dyDescent="0.3">
      <c r="A25" s="700"/>
      <c r="B25" s="506" t="s">
        <v>691</v>
      </c>
      <c r="C25" s="504"/>
      <c r="D25" s="505"/>
      <c r="E25" s="330">
        <v>0.5</v>
      </c>
      <c r="F25" s="330"/>
      <c r="G25" s="330"/>
      <c r="H25" s="330">
        <v>0.5</v>
      </c>
      <c r="I25" s="330">
        <v>0.5</v>
      </c>
      <c r="J25" s="664" t="s">
        <v>950</v>
      </c>
      <c r="K25" s="635" t="s">
        <v>921</v>
      </c>
      <c r="L25" s="635"/>
      <c r="M25" s="635" t="s">
        <v>113</v>
      </c>
      <c r="N25" s="635" t="s">
        <v>113</v>
      </c>
      <c r="O25" s="635" t="s">
        <v>113</v>
      </c>
      <c r="P25" s="635" t="s">
        <v>242</v>
      </c>
      <c r="Q25" s="635"/>
      <c r="R25" s="635"/>
      <c r="S25" s="636"/>
      <c r="T25" s="635" t="s">
        <v>113</v>
      </c>
      <c r="U25" s="635" t="s">
        <v>128</v>
      </c>
      <c r="V25" s="635" t="s">
        <v>128</v>
      </c>
      <c r="W25" s="635" t="s">
        <v>128</v>
      </c>
      <c r="Z25" s="92"/>
      <c r="AB25" s="460"/>
      <c r="AC25" s="92"/>
    </row>
    <row r="26" spans="1:35" x14ac:dyDescent="0.25">
      <c r="A26" s="700"/>
      <c r="B26" s="506" t="s">
        <v>692</v>
      </c>
      <c r="C26" s="504" t="s">
        <v>70</v>
      </c>
      <c r="D26" s="632" t="s">
        <v>128</v>
      </c>
      <c r="E26" s="620">
        <v>1</v>
      </c>
      <c r="F26" s="640" t="s">
        <v>70</v>
      </c>
      <c r="G26" s="620">
        <v>3</v>
      </c>
      <c r="H26" s="620"/>
      <c r="I26" s="620"/>
      <c r="J26" s="640" t="s">
        <v>949</v>
      </c>
      <c r="K26" s="640" t="s">
        <v>949</v>
      </c>
      <c r="L26" s="635"/>
      <c r="M26" s="635" t="s">
        <v>113</v>
      </c>
      <c r="N26" s="635" t="s">
        <v>858</v>
      </c>
      <c r="O26" s="635" t="s">
        <v>131</v>
      </c>
      <c r="P26" s="635" t="s">
        <v>129</v>
      </c>
      <c r="Q26" s="635" t="s">
        <v>947</v>
      </c>
      <c r="R26" s="635" t="s">
        <v>111</v>
      </c>
      <c r="S26" s="635" t="s">
        <v>70</v>
      </c>
      <c r="T26" s="641"/>
      <c r="U26" s="641"/>
      <c r="V26" s="641"/>
      <c r="W26" s="641"/>
      <c r="X26" s="642"/>
      <c r="AE26" s="461"/>
      <c r="AF26" s="461"/>
      <c r="AG26" s="461"/>
      <c r="AH26" s="461"/>
      <c r="AI26" s="461"/>
    </row>
    <row r="27" spans="1:35" ht="45" x14ac:dyDescent="0.25">
      <c r="A27" s="700"/>
      <c r="B27" s="506" t="s">
        <v>693</v>
      </c>
      <c r="C27" s="504"/>
      <c r="D27" s="505"/>
      <c r="E27" s="633" t="s">
        <v>952</v>
      </c>
      <c r="F27" s="620"/>
      <c r="G27" s="620"/>
      <c r="H27" s="620"/>
      <c r="I27" s="620"/>
      <c r="J27" s="590"/>
      <c r="K27" s="636"/>
      <c r="L27" s="636"/>
      <c r="M27" s="636"/>
      <c r="N27" s="636"/>
      <c r="AE27" s="461"/>
      <c r="AF27" s="461"/>
      <c r="AG27" s="461"/>
      <c r="AH27" s="461"/>
      <c r="AI27" s="461"/>
    </row>
    <row r="28" spans="1:35" ht="15.75" thickBot="1" x14ac:dyDescent="0.3">
      <c r="A28" s="701"/>
      <c r="B28" s="507" t="s">
        <v>814</v>
      </c>
      <c r="C28" s="510"/>
      <c r="D28" s="509"/>
      <c r="E28" s="621"/>
      <c r="F28" s="621"/>
      <c r="G28" s="621"/>
      <c r="H28" s="620"/>
      <c r="I28" s="620"/>
      <c r="J28" s="590"/>
      <c r="K28" s="636"/>
      <c r="L28" s="636"/>
      <c r="M28" s="636"/>
      <c r="N28" s="636"/>
      <c r="S28" t="s">
        <v>948</v>
      </c>
      <c r="AA28" s="253"/>
      <c r="AE28" s="461"/>
      <c r="AF28" s="461"/>
      <c r="AG28" s="461"/>
      <c r="AH28" s="461"/>
      <c r="AI28" s="461"/>
    </row>
    <row r="29" spans="1:35" x14ac:dyDescent="0.25">
      <c r="K29" s="636"/>
    </row>
  </sheetData>
  <mergeCells count="9">
    <mergeCell ref="A23:A28"/>
    <mergeCell ref="K23:L23"/>
    <mergeCell ref="K24:L24"/>
    <mergeCell ref="Q11:R11"/>
    <mergeCell ref="Q12:R12"/>
    <mergeCell ref="Q17:R17"/>
    <mergeCell ref="Q18:R18"/>
    <mergeCell ref="A17:A22"/>
    <mergeCell ref="A11:A16"/>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2012-10-19T23:33:55Z</dcterms:modified>
</cp:coreProperties>
</file>