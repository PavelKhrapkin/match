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xWindow="16065" yWindow="-15" windowWidth="7950" windowHeight="514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We!$A$184:$A$188</definedName>
    <definedName name="DIC_Build_Autodesk_Material_Description" comment="7/5/12 список групп товаров ADSK       10/5/12 - добавлена 1 кол. - результат ">We!$C$207:$E$282</definedName>
    <definedName name="DIC_CityNames" comment="9.5.12 А.Пасс - словарь по 1 колонке 5.5.12 Словарь городов">We!$A$155:$B$181</definedName>
    <definedName name="DIC_CtryNames" comment="9.5.12 А.Пасс - словарь из 1 колонки 6.5.12 Словарь стран">We!$A$191:$A$193</definedName>
    <definedName name="DIC_GoodADSK" comment="7.5.12 DIC_GoodADSK - словарь Продуктов Autodesk">We!$A$207:$A$239</definedName>
    <definedName name="Fr1CtoSF">We!$A$8:$C$33</definedName>
    <definedName name="Glossary" comment="5.4.12 слова, игнорируемые при сравнении имен Организаций">We!$A$65:$B$152</definedName>
    <definedName name="Goods" comment="типы товаров по Счетам 1С">We!$A$41:$B$54</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We!$A$41:$D$54</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We!$A$61:$B$62</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We!$D$40:$F$59</definedName>
  </definedNames>
  <calcPr calcId="152511"/>
</workbook>
</file>

<file path=xl/calcChain.xml><?xml version="1.0" encoding="utf-8"?>
<calcChain xmlns="http://schemas.openxmlformats.org/spreadsheetml/2006/main">
  <c r="K50" i="659" l="1"/>
  <c r="L50" i="2049" l="1"/>
  <c r="C50" i="2049"/>
  <c r="D44" i="2049"/>
  <c r="U38" i="2049"/>
  <c r="L38" i="2049"/>
  <c r="U24" i="2049"/>
  <c r="L24" i="2049"/>
  <c r="C24" i="2049"/>
  <c r="D18" i="2049"/>
  <c r="U12" i="2049"/>
  <c r="L12" i="2049"/>
  <c r="D5" i="2049"/>
  <c r="C5" i="2049"/>
  <c r="J1134" i="763"/>
  <c r="C1134" i="763"/>
  <c r="L1133" i="763"/>
  <c r="J1133" i="763"/>
  <c r="D1133" i="763"/>
  <c r="C1133" i="763"/>
  <c r="L1132" i="763"/>
  <c r="J1132" i="763"/>
  <c r="D1132" i="763"/>
  <c r="C1132" i="763"/>
  <c r="L1131" i="763"/>
  <c r="J1131" i="763"/>
  <c r="D1131" i="763"/>
  <c r="C1131" i="763"/>
  <c r="L1130" i="763"/>
  <c r="J1130" i="763"/>
  <c r="D1130" i="763"/>
  <c r="C1130" i="763"/>
  <c r="V1129" i="763"/>
  <c r="U1129" i="763"/>
  <c r="L1129" i="763"/>
  <c r="J1129" i="763"/>
  <c r="D1129" i="763"/>
  <c r="C1129" i="763"/>
  <c r="AU189" i="763"/>
  <c r="AT189" i="763"/>
  <c r="AS189" i="763"/>
  <c r="AR189" i="763"/>
  <c r="AQ189" i="763"/>
  <c r="AP189" i="763"/>
  <c r="AO189" i="763"/>
  <c r="AN189" i="763"/>
  <c r="AM189" i="763"/>
  <c r="AL189" i="763"/>
  <c r="AK189" i="763"/>
  <c r="AJ189" i="763"/>
  <c r="AI189" i="763"/>
  <c r="AH189" i="763"/>
  <c r="AG189" i="763"/>
  <c r="AF189" i="763"/>
  <c r="AE189" i="763"/>
  <c r="AD189" i="763"/>
  <c r="AC189" i="763"/>
  <c r="AB189" i="763"/>
  <c r="AA189" i="763"/>
  <c r="Z189" i="763"/>
  <c r="Y189" i="763"/>
  <c r="X189" i="763"/>
  <c r="W189" i="763"/>
  <c r="V189" i="763"/>
  <c r="U189" i="763"/>
  <c r="T189" i="763"/>
  <c r="S189" i="763"/>
  <c r="R189" i="763"/>
  <c r="Q189" i="763"/>
  <c r="P189" i="763"/>
  <c r="O189" i="763"/>
  <c r="N189" i="763"/>
  <c r="M189" i="763"/>
  <c r="L189" i="763"/>
  <c r="K189" i="763"/>
  <c r="J189" i="763"/>
  <c r="I189" i="763"/>
  <c r="H189" i="763"/>
  <c r="G189" i="763"/>
  <c r="F189" i="763"/>
  <c r="E189" i="763"/>
  <c r="D189" i="763"/>
  <c r="C189" i="763"/>
  <c r="AU188" i="763"/>
  <c r="AT188" i="763"/>
  <c r="AG188" i="763"/>
  <c r="T188" i="763"/>
  <c r="G188" i="763"/>
  <c r="AU187" i="763"/>
  <c r="AT187" i="763"/>
  <c r="AG187" i="763"/>
  <c r="T187" i="763"/>
  <c r="G187" i="763"/>
  <c r="AU186" i="763"/>
  <c r="AT186" i="763"/>
  <c r="AG186" i="763"/>
  <c r="T186" i="763"/>
  <c r="G186" i="763"/>
  <c r="AU185" i="763"/>
  <c r="AT185" i="763"/>
  <c r="AG185" i="763"/>
  <c r="T185" i="763"/>
  <c r="G185" i="763"/>
  <c r="AU184" i="763"/>
  <c r="AT184" i="763"/>
  <c r="AG184" i="763"/>
  <c r="T184" i="763"/>
  <c r="G184" i="763"/>
  <c r="AU183" i="763"/>
  <c r="AT183" i="763"/>
  <c r="AG183" i="763"/>
  <c r="T183" i="763"/>
  <c r="G183" i="763"/>
  <c r="AU182" i="763"/>
  <c r="AT182" i="763"/>
  <c r="AG182" i="763"/>
  <c r="T182" i="763"/>
  <c r="G182" i="763"/>
  <c r="AU181" i="763"/>
  <c r="AT181" i="763"/>
  <c r="AG181" i="763"/>
  <c r="T181" i="763"/>
  <c r="G181" i="763"/>
  <c r="AU180" i="763"/>
  <c r="AT180" i="763"/>
  <c r="AG180" i="763"/>
  <c r="T180" i="763"/>
  <c r="G180" i="763"/>
  <c r="AU179" i="763"/>
  <c r="AT179" i="763"/>
  <c r="AG179" i="763"/>
  <c r="T179" i="763"/>
  <c r="G179" i="763"/>
  <c r="AU178" i="763"/>
  <c r="AT178" i="763"/>
  <c r="AG178" i="763"/>
  <c r="T178" i="763"/>
  <c r="G178" i="763"/>
  <c r="AU177" i="763"/>
  <c r="AT177" i="763"/>
  <c r="AG177" i="763"/>
  <c r="T177" i="763"/>
  <c r="G177" i="763"/>
  <c r="AU176" i="763"/>
  <c r="AT176" i="763"/>
  <c r="AG176" i="763"/>
  <c r="T176" i="763"/>
  <c r="G176" i="763"/>
  <c r="AU175" i="763"/>
  <c r="AT175" i="763"/>
  <c r="AG175" i="763"/>
  <c r="T175" i="763"/>
  <c r="G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I93" i="763"/>
  <c r="D75" i="763"/>
  <c r="I71" i="763"/>
  <c r="A65" i="763"/>
  <c r="F61" i="763"/>
  <c r="F58" i="763"/>
  <c r="D57" i="763"/>
  <c r="C57" i="763"/>
  <c r="F52" i="763"/>
  <c r="A52" i="763"/>
  <c r="F51" i="763"/>
  <c r="A51" i="763"/>
  <c r="B47" i="763"/>
  <c r="J32" i="763"/>
  <c r="C32" i="763"/>
  <c r="L31" i="763"/>
  <c r="J31" i="763"/>
  <c r="D31" i="763"/>
  <c r="C31" i="763"/>
  <c r="L30" i="763"/>
  <c r="J30" i="763"/>
  <c r="D30" i="763"/>
  <c r="C30" i="763"/>
  <c r="L29" i="763"/>
  <c r="J29" i="763"/>
  <c r="D29" i="763"/>
  <c r="C29" i="763"/>
  <c r="L28" i="763"/>
  <c r="J28" i="763"/>
  <c r="D28" i="763"/>
  <c r="C28" i="763"/>
  <c r="V27" i="763"/>
  <c r="U27" i="763"/>
  <c r="T27" i="763"/>
  <c r="L27" i="763"/>
  <c r="J27" i="763"/>
  <c r="D27" i="763"/>
  <c r="C27" i="763"/>
  <c r="I19" i="763"/>
  <c r="G19" i="763"/>
  <c r="F19" i="763"/>
  <c r="R14" i="763"/>
  <c r="H14" i="763"/>
  <c r="G14" i="763"/>
  <c r="F14" i="763"/>
  <c r="A14" i="763"/>
  <c r="F6" i="763"/>
  <c r="C6" i="763"/>
  <c r="L117" i="1989"/>
  <c r="K117" i="1989"/>
  <c r="C117" i="1989"/>
  <c r="M114" i="1989"/>
  <c r="L114" i="1989"/>
  <c r="K114" i="1989"/>
  <c r="L111" i="1989"/>
  <c r="K99" i="1989"/>
  <c r="F99" i="1989"/>
  <c r="C99" i="1989"/>
  <c r="N98" i="1989"/>
  <c r="M98" i="1989"/>
  <c r="L98" i="1989"/>
  <c r="K98" i="1989"/>
  <c r="C98" i="1989"/>
  <c r="C96" i="1989"/>
  <c r="K95" i="1989"/>
  <c r="K94" i="1989"/>
  <c r="K92" i="1989"/>
  <c r="C92" i="1989"/>
  <c r="K91" i="1989"/>
  <c r="C91" i="1989"/>
  <c r="N90" i="1989"/>
  <c r="M90" i="1989"/>
  <c r="L90" i="1989"/>
  <c r="K90" i="1989"/>
  <c r="C90" i="1989"/>
  <c r="K88" i="1989"/>
  <c r="K87" i="1989"/>
  <c r="F86" i="1989"/>
  <c r="C86" i="1989"/>
  <c r="F85" i="1989"/>
  <c r="F84" i="1989"/>
  <c r="C84" i="1989"/>
  <c r="H83" i="1989"/>
  <c r="G83" i="1989"/>
  <c r="F83" i="1989"/>
  <c r="K82" i="1989"/>
  <c r="N80" i="1989"/>
  <c r="K80" i="1989"/>
  <c r="C80" i="1989"/>
  <c r="K79" i="1989"/>
  <c r="K75" i="1989"/>
  <c r="K73" i="1989"/>
  <c r="F73" i="1989"/>
  <c r="C73" i="1989"/>
  <c r="M72" i="1989"/>
  <c r="L72" i="1989"/>
  <c r="K72" i="1989"/>
  <c r="C72" i="1989"/>
  <c r="K71" i="1989"/>
  <c r="K69" i="1989"/>
  <c r="F69" i="1989"/>
  <c r="C69" i="1989"/>
  <c r="M68" i="1989"/>
  <c r="L68" i="1989"/>
  <c r="K68" i="1989"/>
  <c r="C68" i="1989"/>
  <c r="K67" i="1989"/>
  <c r="C65" i="1989"/>
  <c r="L64" i="1989"/>
  <c r="K64" i="1989"/>
  <c r="C64" i="1989"/>
  <c r="K63" i="1989"/>
  <c r="K61" i="1989"/>
  <c r="N54" i="1989"/>
  <c r="L54" i="1989"/>
  <c r="K54" i="1989"/>
  <c r="F54" i="1989"/>
  <c r="C54" i="1989"/>
  <c r="K52" i="1989"/>
  <c r="C52" i="1989"/>
  <c r="K51"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C36" i="1989"/>
  <c r="F35" i="1989"/>
  <c r="C35" i="1989"/>
  <c r="L34" i="1989"/>
  <c r="F34" i="1989"/>
  <c r="C34" i="1989"/>
  <c r="F30" i="1989"/>
  <c r="F29" i="1989"/>
  <c r="L28" i="1989"/>
  <c r="N24" i="1989"/>
  <c r="K24" i="1989"/>
  <c r="C24" i="1989"/>
  <c r="N23" i="1989"/>
  <c r="K23" i="1989"/>
  <c r="F23" i="1989"/>
  <c r="C23" i="1989"/>
  <c r="K22" i="1989"/>
  <c r="C22" i="1989"/>
  <c r="K21" i="1989"/>
  <c r="K20" i="1989"/>
  <c r="N18" i="1989"/>
  <c r="K18" i="1989"/>
  <c r="C18" i="1989"/>
  <c r="L17" i="1989"/>
  <c r="K17" i="1989"/>
  <c r="C17" i="1989"/>
  <c r="K16" i="1989"/>
  <c r="C16" i="1989"/>
  <c r="M15" i="1989"/>
  <c r="L15" i="1989"/>
  <c r="K15" i="1989"/>
  <c r="F15" i="1989"/>
  <c r="C15" i="1989"/>
  <c r="K14" i="1989"/>
  <c r="K13" i="1989"/>
  <c r="K11" i="1989"/>
  <c r="K10" i="1989"/>
  <c r="C10" i="1989"/>
  <c r="K9" i="1989"/>
  <c r="F9" i="1989"/>
  <c r="C9" i="1989"/>
  <c r="N8" i="1989"/>
  <c r="M8" i="1989"/>
  <c r="L8" i="1989"/>
  <c r="K8" i="1989"/>
  <c r="F8" i="1989"/>
  <c r="C8" i="1989"/>
  <c r="K7" i="1989"/>
  <c r="I39" i="1988"/>
  <c r="I28" i="1988"/>
  <c r="I22" i="1988"/>
  <c r="H21" i="1988"/>
  <c r="H20" i="1988"/>
  <c r="H19" i="1988"/>
  <c r="H18" i="1988"/>
  <c r="T17" i="1988"/>
  <c r="H17" i="1988"/>
  <c r="H16" i="1988"/>
  <c r="T15" i="1988"/>
  <c r="H15" i="1988"/>
  <c r="T14" i="1988"/>
  <c r="H14" i="1988"/>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<sst xmlns="http://schemas.openxmlformats.org/spreadsheetml/2006/main" count="2241" uniqueCount="1039">
  <si>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</si>
  <si>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</si>
  <si>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</si>
  <si>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</si>
  <si>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</si>
  <si>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</si>
  <si>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</si>
  <si>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</si>
  <si>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</si>
  <si>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</si>
  <si>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</si>
  <si>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</si>
  <si>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</si>
  <si>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</si>
  <si>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</si>
  <si>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</si>
  <si>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</si>
  <si>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</si>
  <si>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</si>
  <si>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</si>
  <si>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</si>
  <si>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</si>
  <si>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</si>
  <si>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</si>
  <si>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</si>
  <si>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</si>
  <si>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</si>
  <si>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</si>
  <si>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</si>
  <si>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</si>
  <si>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</si>
  <si>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</si>
  <si>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</si>
  <si>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</si>
  <si>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</si>
  <si>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</si>
  <si>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</si>
  <si>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</si>
  <si>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</si>
  <si>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</si>
  <si>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</si>
  <si>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</si>
  <si>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</si>
  <si>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</si>
  <si>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</si>
  <si>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</si>
  <si>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</si>
  <si>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</si>
  <si>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</si>
  <si>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</si>
  <si>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</si>
  <si>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</si>
  <si>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</si>
  <si>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</si>
  <si>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</si>
  <si>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</si>
  <si>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</si>
  <si>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</si>
  <si>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</si>
  <si>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</si>
  <si>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</si>
  <si>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</si>
  <si>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</si>
  <si>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</si>
  <si>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</si>
  <si>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</si>
  <si>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</si>
  <si>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</si>
  <si>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</si>
  <si>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</si>
  <si>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</si>
  <si>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</si>
  <si>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</si>
  <si>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</si>
  <si>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</si>
  <si>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</si>
  <si>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</si>
  <si>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</si>
  <si>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</si>
  <si>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</si>
  <si>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</si>
  <si>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</si>
  <si>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</si>
  <si>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</si>
  <si>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</si>
  <si>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</si>
  <si>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</si>
  <si>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</si>
  <si>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</si>
  <si>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</si>
  <si>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</si>
  <si>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</si>
  <si>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</si>
  <si>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</si>
  <si>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</si>
  <si>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</si>
  <si>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</si>
  <si>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</si>
  <si>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</si>
  <si>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</si>
  <si>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</si>
  <si>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</si>
  <si>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</si>
  <si>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</si>
  <si>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</si>
  <si>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</si>
  <si>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</si>
  <si>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</si>
  <si>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</si>
  <si>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</si>
  <si>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</si>
  <si>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</si>
  <si>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</si>
  <si>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</si>
  <si>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</si>
  <si>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</si>
  <si>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</si>
  <si>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</si>
  <si>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</si>
  <si>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</si>
  <si>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</si>
  <si>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</si>
  <si>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</si>
  <si>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</si>
  <si>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</si>
  <si>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</si>
  <si>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</si>
  <si>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</si>
  <si>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</si>
  <si>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</si>
  <si>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</si>
  <si>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</si>
  <si>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</si>
  <si>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</si>
  <si>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</si>
  <si>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</si>
  <si>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</si>
  <si>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</si>
  <si>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</si>
  <si>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</si>
  <si>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</si>
  <si>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</si>
  <si>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</si>
  <si>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</si>
  <si>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</si>
  <si>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</si>
  <si>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</si>
  <si>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</si>
  <si>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</si>
  <si>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</si>
  <si>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</si>
  <si>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</si>
  <si>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</si>
  <si>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</si>
  <si>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</si>
  <si>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</si>
  <si>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</si>
  <si>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</si>
  <si>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</si>
  <si>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</si>
  <si>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</si>
  <si>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</si>
  <si>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</si>
  <si>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</si>
  <si>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</si>
  <si>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</si>
  <si>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</si>
  <si>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</si>
  <si>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</si>
  <si>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</si>
  <si>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</si>
  <si>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</si>
  <si>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</si>
  <si>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</si>
  <si>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</si>
  <si>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</si>
  <si>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</si>
  <si>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</si>
  <si>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</si>
  <si>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</si>
  <si>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</si>
  <si>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</si>
  <si>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</si>
  <si>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</si>
  <si>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</si>
  <si>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</si>
  <si>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</si>
  <si>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</si>
  <si>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</si>
  <si>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</si>
  <si>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</si>
  <si>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</si>
  <si>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</si>
  <si>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</si>
  <si>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</si>
  <si>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</si>
  <si>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</si>
  <si>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</si>
  <si>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</si>
  <si>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</si>
  <si>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</si>
  <si>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</si>
  <si>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</si>
  <si>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</si>
  <si>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</si>
  <si>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</si>
  <si>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</si>
  <si>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</si>
  <si>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</si>
  <si>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</si>
  <si>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</si>
  <si>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</si>
  <si>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</si>
  <si>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</si>
  <si>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</si>
  <si>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</si>
  <si>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</si>
  <si>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</si>
  <si>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</si>
  <si>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</si>
  <si>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</si>
  <si>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</si>
  <si>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</si>
  <si>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</si>
  <si>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</si>
  <si>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</si>
  <si>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</si>
  <si>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</si>
  <si>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</si>
  <si>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</si>
  <si>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</si>
  <si>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</si>
  <si>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</si>
  <si>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</si>
  <si>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</si>
  <si>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</si>
  <si>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</si>
  <si>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</si>
  <si>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</si>
  <si>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</si>
  <si>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</si>
  <si>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</si>
  <si>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</si>
  <si>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</si>
  <si>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</si>
  <si>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</si>
  <si>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</si>
  <si>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</si>
  <si>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</si>
  <si>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</si>
  <si>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</si>
  <si>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</si>
  <si>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</si>
  <si>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</si>
  <si>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</si>
  <si>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</si>
  <si>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</si>
  <si>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</si>
  <si>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</si>
  <si>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</si>
  <si>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</si>
  <si>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</si>
  <si>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</si>
  <si>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</si>
  <si>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</si>
  <si>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</si>
  <si>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</si>
  <si>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</si>
  <si>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</si>
  <si>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</si>
  <si>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</si>
  <si>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</si>
  <si>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</si>
  <si>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</si>
  <si>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</si>
  <si>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</si>
  <si>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</si>
  <si>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</si>
  <si>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</si>
  <si>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</si>
  <si>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</si>
  <si>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</si>
  <si>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</si>
  <si>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</si>
  <si>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</si>
  <si>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</si>
  <si>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</si>
  <si>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</si>
  <si>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</si>
  <si>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</si>
  <si>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</si>
  <si>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</si>
  <si>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</si>
  <si>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</si>
  <si>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</si>
  <si>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</si>
  <si>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</si>
  <si>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</si>
  <si>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</si>
  <si>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</si>
  <si>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</si>
  <si>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</si>
  <si>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</si>
  <si>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</si>
  <si>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</si>
  <si>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</si>
  <si>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</si>
  <si>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</si>
  <si>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</si>
  <si>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</si>
  <si>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</si>
  <si>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</si>
  <si>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</si>
  <si>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</si>
  <si>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</si>
  <si>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</si>
  <si>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</si>
  <si>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</si>
  <si>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</si>
  <si>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</si>
  <si>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</si>
  <si>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</si>
  <si>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</si>
  <si>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</si>
  <si>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</si>
  <si>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</si>
  <si>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</si>
  <si>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</si>
  <si>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</si>
  <si>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</si>
  <si>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</si>
  <si>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</si>
  <si>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</si>
  <si>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</si>
  <si>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</si>
  <si>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</si>
  <si>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</si>
  <si>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</si>
  <si>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</si>
  <si>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</si>
  <si>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</si>
  <si>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</si>
  <si>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</si>
  <si>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</si>
  <si>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</si>
  <si>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</si>
  <si>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</si>
  <si>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</si>
  <si>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</si>
  <si>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</si>
  <si>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</si>
  <si>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</si>
  <si>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</si>
  <si>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</si>
  <si>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</si>
  <si>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</si>
  <si>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</si>
  <si>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</si>
  <si>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</si>
  <si>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</si>
  <si>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</si>
  <si>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</si>
  <si>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</si>
  <si>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</si>
  <si>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</si>
  <si>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</si>
  <si>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</si>
  <si>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</si>
  <si>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</si>
  <si>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</si>
  <si>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</si>
  <si>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</si>
  <si>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</si>
  <si>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</si>
  <si>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</si>
  <si>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</si>
  <si>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</si>
  <si>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</si>
  <si>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</si>
  <si>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</si>
  <si>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</si>
  <si>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</si>
  <si>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</si>
  <si>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</si>
  <si>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</si>
  <si>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</si>
  <si>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</si>
  <si>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</si>
  <si>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</si>
  <si>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</si>
  <si>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</si>
  <si>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</si>
  <si>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</si>
  <si>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</si>
  <si>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</si>
  <si>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</si>
  <si>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</si>
  <si>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</si>
  <si>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</si>
  <si>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</si>
  <si>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</si>
  <si>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</si>
  <si>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</si>
  <si>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</si>
  <si>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</si>
  <si>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</si>
  <si>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</si>
  <si>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</si>
  <si>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</si>
  <si>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</si>
  <si>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</si>
  <si>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</si>
  <si>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</si>
  <si>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</si>
  <si>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</si>
  <si>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</si>
  <si>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</si>
  <si>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</si>
  <si>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</si>
  <si>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</si>
  <si>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</si>
  <si>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</si>
  <si>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</si>
  <si>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</si>
  <si>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</si>
  <si>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</si>
  <si>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</si>
  <si>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</si>
  <si>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</si>
  <si>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</si>
  <si>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</si>
  <si>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</si>
  <si>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</si>
  <si>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</si>
  <si>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</si>
  <si>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</si>
  <si>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</si>
  <si>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</si>
  <si>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</si>
  <si>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</si>
  <si>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</si>
  <si>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</si>
  <si>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</si>
  <si>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</si>
  <si>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</si>
  <si>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</si>
  <si>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</si>
  <si>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</si>
  <si>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</si>
  <si>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</si>
  <si>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</si>
  <si>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</si>
  <si>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</si>
  <si>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</si>
  <si>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</si>
  <si>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</si>
  <si>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</si>
  <si>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</si>
  <si>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</si>
  <si>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</si>
  <si>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</si>
  <si>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</si>
  <si>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</si>
  <si>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</si>
  <si>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</si>
  <si>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</si>
  <si>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</si>
  <si>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</si>
  <si>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</si>
  <si>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</si>
  <si>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</si>
  <si>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</si>
  <si>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</si>
  <si>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</si>
  <si>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</si>
  <si>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</si>
  <si>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</si>
  <si>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</si>
  <si>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</si>
  <si>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</si>
  <si>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</si>
  <si>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</si>
  <si>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</si>
  <si>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</si>
  <si>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</si>
  <si>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</si>
  <si>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</si>
  <si>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</si>
  <si>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</si>
  <si>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</si>
  <si>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</si>
  <si>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</si>
  <si>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</si>
  <si>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</si>
  <si>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</si>
  <si>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</si>
  <si>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</si>
  <si>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</si>
  <si>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</si>
  <si>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</si>
  <si>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</si>
  <si>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</si>
  <si>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</si>
  <si>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</si>
  <si>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</si>
  <si>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</si>
  <si>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</si>
  <si>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</si>
  <si>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</si>
  <si>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</si>
  <si>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</si>
  <si>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</si>
  <si>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</si>
  <si>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</si>
  <si>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</si>
  <si>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</si>
  <si>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</si>
  <si>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</si>
  <si>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</si>
  <si>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</si>
  <si>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</si>
  <si>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</si>
  <si>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</si>
  <si>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</si>
  <si>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</si>
  <si>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</si>
  <si>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</si>
  <si>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</si>
  <si>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</si>
  <si>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</si>
  <si>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</si>
  <si>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</si>
  <si>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</si>
  <si>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</si>
  <si>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</si>
  <si>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</si>
  <si>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</si>
  <si>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</si>
  <si>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</si>
  <si>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</si>
  <si>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</si>
  <si>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NormaCS, Autodesk, ПО CSoft, Прочее ПО</t>
  </si>
  <si>
    <t>Intergraph, Autodesk, NormaCS, О П Л А Т А, ПО CSoft</t>
  </si>
  <si>
    <t>Расходники, Оборудование, О П Л А Т А</t>
  </si>
  <si>
    <t>AccN</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</si>
  <si>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</si>
  <si>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</si>
  <si>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</si>
  <si>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</si>
  <si>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</si>
  <si>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</si>
  <si>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</si>
  <si>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</si>
  <si>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</si>
  <si>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</si>
  <si>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</si>
  <si>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</si>
  <si>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</si>
  <si>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</si>
  <si>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</si>
  <si>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</si>
  <si>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</si>
  <si>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</si>
  <si>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</si>
  <si>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</si>
  <si>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</si>
  <si>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</si>
  <si>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</si>
  <si>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</si>
  <si>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</si>
  <si>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</si>
  <si>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</si>
  <si>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</si>
  <si>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</si>
  <si>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</si>
  <si>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</si>
  <si>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</si>
  <si>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</si>
  <si>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</si>
  <si>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</si>
  <si>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</si>
  <si>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</si>
  <si>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</si>
  <si>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</si>
  <si>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</si>
  <si>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</si>
  <si>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</si>
  <si>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</si>
  <si>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</si>
  <si>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</si>
  <si>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</si>
  <si>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</si>
  <si>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</si>
  <si>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</si>
  <si>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</si>
  <si>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</si>
  <si>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</si>
  <si>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</si>
  <si>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</si>
  <si>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</si>
  <si>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</si>
  <si>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</si>
  <si>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</si>
  <si>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</si>
  <si>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</si>
  <si>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</si>
  <si>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</si>
  <si>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</si>
  <si>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</si>
  <si>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</si>
  <si>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</si>
  <si>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</si>
  <si>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</si>
  <si>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</si>
  <si>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</si>
  <si>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</si>
  <si>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</si>
  <si>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</si>
  <si>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</si>
  <si>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</si>
  <si>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</si>
  <si>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</si>
  <si>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</si>
  <si>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</si>
  <si>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</si>
  <si>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</si>
  <si>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</si>
  <si>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</si>
  <si>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</si>
  <si>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</si>
  <si>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</si>
  <si>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</si>
  <si>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</si>
  <si>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</si>
  <si>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</si>
  <si>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</si>
  <si>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</si>
  <si>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</si>
  <si>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</si>
  <si>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</si>
  <si>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</si>
  <si>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</si>
  <si>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</si>
  <si>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</si>
  <si>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</si>
  <si>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</si>
  <si>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</si>
  <si>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</si>
  <si>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</si>
  <si>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</si>
  <si>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</si>
  <si>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</si>
  <si>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</si>
  <si>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</si>
  <si>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</si>
  <si>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</si>
  <si>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</si>
  <si>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</si>
  <si>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</si>
  <si>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</si>
  <si>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</si>
  <si>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</si>
  <si>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</si>
  <si>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</si>
  <si>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</si>
  <si>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</si>
  <si>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</si>
  <si>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</si>
  <si>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</si>
  <si>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</si>
  <si>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</si>
  <si>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</si>
  <si>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</si>
  <si>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</si>
  <si>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</si>
  <si>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</si>
  <si>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</si>
  <si>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</si>
  <si>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</si>
  <si>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</si>
  <si>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</si>
  <si>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</si>
  <si>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</si>
  <si>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</si>
  <si>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</si>
  <si>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</si>
  <si>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</si>
  <si>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</si>
  <si>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</si>
  <si>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</si>
  <si>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</si>
  <si>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</si>
  <si>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</si>
  <si>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</si>
  <si>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</si>
  <si>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</si>
  <si>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</si>
  <si>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</si>
  <si>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</si>
  <si>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</si>
  <si>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</si>
  <si>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</si>
  <si>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</si>
  <si>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</si>
  <si>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</si>
  <si>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</si>
  <si>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</si>
  <si>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</si>
  <si>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</si>
  <si>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</si>
  <si>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</si>
  <si>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</si>
  <si>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</si>
  <si>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</si>
  <si>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</si>
  <si>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</si>
  <si>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</si>
  <si>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</si>
  <si>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</si>
  <si>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</si>
  <si>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</si>
  <si>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</si>
  <si>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</si>
  <si>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</si>
  <si>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</si>
  <si>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</si>
  <si>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</si>
  <si>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</si>
  <si>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</si>
  <si>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</si>
  <si>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</si>
  <si>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</si>
  <si>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</si>
  <si>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</si>
  <si>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</si>
  <si>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</si>
  <si>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</si>
  <si>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</si>
  <si>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</si>
  <si>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</si>
  <si>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</si>
  <si>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</si>
  <si>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</si>
  <si>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</si>
  <si>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</si>
  <si>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</si>
  <si>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</si>
  <si>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</si>
  <si>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</si>
  <si>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</si>
  <si>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</si>
  <si>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</si>
  <si>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</si>
  <si>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</si>
  <si>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</si>
  <si>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</si>
  <si>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</si>
  <si>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</si>
  <si>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</si>
  <si>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</si>
  <si>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</si>
  <si>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</si>
  <si>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</si>
  <si>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</si>
  <si>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</si>
  <si>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</si>
  <si>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</si>
  <si>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</si>
  <si>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</si>
  <si>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</si>
  <si>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</si>
  <si>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</si>
  <si>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</si>
  <si>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</si>
  <si>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</si>
  <si>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</si>
  <si>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</si>
  <si>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</si>
  <si>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</si>
  <si>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</si>
  <si>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</si>
  <si>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</si>
  <si>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</si>
  <si>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</si>
  <si>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</si>
  <si>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</si>
  <si>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</si>
  <si>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</si>
  <si>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</si>
  <si>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</si>
  <si>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</si>
  <si>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</si>
  <si>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</si>
  <si>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</si>
  <si>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</si>
  <si>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</si>
  <si>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</si>
  <si>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</si>
  <si>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</si>
  <si>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</si>
  <si>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</si>
  <si>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</si>
  <si>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</si>
  <si>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</si>
  <si>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</si>
  <si>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</si>
  <si>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</si>
  <si>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</si>
  <si>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</si>
  <si>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</si>
  <si>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</si>
  <si>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</si>
  <si>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</si>
  <si>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</si>
  <si>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</si>
  <si>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</si>
  <si>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</si>
  <si>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</si>
  <si>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</si>
  <si>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</si>
  <si>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</si>
  <si>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</si>
  <si>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</si>
  <si>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</si>
  <si>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</si>
  <si>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</si>
  <si>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</si>
  <si>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</si>
  <si>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</si>
  <si>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</si>
  <si>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</si>
  <si>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</si>
  <si>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</si>
  <si>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</si>
  <si>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</si>
  <si>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</si>
  <si>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</si>
  <si>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</si>
  <si>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</si>
  <si>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</si>
  <si>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</si>
  <si>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</si>
  <si>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</si>
  <si>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</si>
  <si>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</si>
  <si>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</si>
  <si>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</si>
  <si>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</si>
  <si>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</si>
  <si>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</si>
  <si>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</si>
  <si>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</si>
  <si>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</si>
  <si>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</si>
  <si>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</si>
  <si>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</si>
  <si>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</si>
  <si>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</si>
  <si>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</si>
  <si>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</si>
  <si>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</si>
  <si>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</si>
  <si>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</si>
  <si>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</si>
  <si>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</si>
  <si>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</si>
  <si>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</si>
  <si>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</si>
  <si>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</si>
  <si>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</si>
  <si>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</si>
  <si>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</si>
  <si>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</si>
  <si>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</si>
  <si>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</si>
  <si>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</si>
  <si>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</si>
  <si>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</si>
  <si>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</si>
  <si>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</si>
  <si>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</si>
  <si>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</si>
  <si>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</si>
  <si>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</si>
  <si>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</si>
  <si>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</si>
  <si>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</si>
  <si>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</si>
  <si>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SFopp/1:2</t>
  </si>
  <si>
    <t>ExtPar</t>
  </si>
  <si>
    <t>4, 12</t>
  </si>
  <si>
    <t>2, 10</t>
  </si>
  <si>
    <t>STOP</t>
  </si>
  <si>
    <t>22</t>
  </si>
  <si>
    <t>40</t>
  </si>
  <si>
    <t>26</t>
  </si>
  <si>
    <t>29</t>
  </si>
  <si>
    <t>27</t>
  </si>
  <si>
    <t>28</t>
  </si>
  <si>
    <t>iLine</t>
  </si>
  <si>
    <t>Шаблон</t>
  </si>
  <si>
    <t>Кнопки</t>
  </si>
  <si>
    <t>SFacc/3:2</t>
  </si>
  <si>
    <t>SFacc/3:9</t>
  </si>
  <si>
    <t>SFacc/3:12</t>
  </si>
  <si>
    <t>SFacc/3:6</t>
  </si>
  <si>
    <t>SFacc/3:5</t>
  </si>
  <si>
    <t>SFacc/3:4</t>
  </si>
  <si>
    <t>SFacc/3:7</t>
  </si>
  <si>
    <t>SFacc/3:10</t>
  </si>
  <si>
    <t>Ответственный за организацию</t>
  </si>
  <si>
    <t>SFacc/3:11</t>
  </si>
  <si>
    <t>Оборот за год</t>
  </si>
  <si>
    <t>SFacc/3:19</t>
  </si>
  <si>
    <t>GoodType</t>
  </si>
  <si>
    <t>Select</t>
  </si>
  <si>
    <t>IdOpp</t>
  </si>
  <si>
    <t>Тема&amp;вид деятельности</t>
  </si>
  <si>
    <t>АСЕ</t>
  </si>
  <si>
    <t>21</t>
  </si>
  <si>
    <t>Организация 1С</t>
  </si>
  <si>
    <t>IdSFD</t>
  </si>
  <si>
    <t>ContrK/26</t>
  </si>
  <si>
    <t>SFD/2:15</t>
  </si>
  <si>
    <t>ForceTxt</t>
  </si>
  <si>
    <t>#7</t>
  </si>
  <si>
    <t>IdSFopp</t>
  </si>
  <si>
    <t>SFD/15:18/0</t>
  </si>
  <si>
    <t>=I12</t>
  </si>
  <si>
    <t>#3</t>
  </si>
  <si>
    <t>CopyToVal</t>
  </si>
  <si>
    <t>Связать  -&gt;</t>
  </si>
  <si>
    <t>WP</t>
  </si>
  <si>
    <t>NewAcc</t>
  </si>
  <si>
    <t>UpdateContract</t>
  </si>
  <si>
    <t>95</t>
  </si>
  <si>
    <t>HDR_NewPayment</t>
  </si>
  <si>
    <t>HDR_NewContract</t>
  </si>
  <si>
    <t>Формы новых объектов в WP_TMP.xlsm</t>
  </si>
  <si>
    <t>HDR_NewOpp</t>
  </si>
  <si>
    <t>WP_Prototype</t>
  </si>
  <si>
    <t>W_TMP.xlsm</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</si>
  <si>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</si>
  <si>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</si>
  <si>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</si>
  <si>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</si>
  <si>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</si>
  <si>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</si>
  <si>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</si>
  <si>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</si>
  <si>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</si>
  <si>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</si>
  <si>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</si>
  <si>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</si>
  <si>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SFacc/3:1</t>
  </si>
  <si>
    <t>Продавцы/4</t>
  </si>
  <si>
    <t>NewOppName/10,8,21,13</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</si>
  <si>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</si>
  <si>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</si>
  <si>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</si>
  <si>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</si>
  <si>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</si>
  <si>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</si>
  <si>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</si>
  <si>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</si>
  <si>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90%-первые деньги пришли на счет</t>
  </si>
  <si>
    <t>NewOpp.bat</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</si>
  <si>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</si>
  <si>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ContractUpdate</t>
  </si>
  <si>
    <t>HDR_ContractUpdate</t>
  </si>
  <si>
    <t>4.11.12 - исправлено форматирование в колонке 9</t>
  </si>
  <si>
    <t>Договоры/8:№/0</t>
  </si>
  <si>
    <t>4.11.12 - обработка колонки Match в Адаптере</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</si>
  <si>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</si>
  <si>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</si>
  <si>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</si>
  <si>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Dbl</t>
  </si>
  <si>
    <t>Этап</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</si>
  <si>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</si>
  <si>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</si>
  <si>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</si>
  <si>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</si>
  <si>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</si>
  <si>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</si>
  <si>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</si>
  <si>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SFD/18:2</t>
  </si>
  <si>
    <t>Код Договор</t>
  </si>
  <si>
    <t>W</t>
  </si>
  <si>
    <t>!6</t>
  </si>
  <si>
    <t>SFD/18:15</t>
  </si>
  <si>
    <t>SeekInv</t>
  </si>
  <si>
    <t>OppFilter/20,6,11,17,14,21,22</t>
  </si>
  <si>
    <t>SetOppButton</t>
  </si>
  <si>
    <t>1, 15</t>
  </si>
  <si>
    <t>2, 16</t>
  </si>
  <si>
    <t>3, 17</t>
  </si>
  <si>
    <t>5, 19</t>
  </si>
  <si>
    <t>6, 20</t>
  </si>
  <si>
    <t>4, 18</t>
  </si>
  <si>
    <t>Сч-XXX</t>
  </si>
  <si>
    <t>InvN</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</si>
  <si>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</si>
  <si>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PaidContr</t>
  </si>
  <si>
    <t>HDR_DicAcc</t>
  </si>
  <si>
    <t>DicAcc</t>
  </si>
  <si>
    <t>HANDL_DicAccBuild</t>
  </si>
  <si>
    <t>DicAccBuild</t>
  </si>
  <si>
    <t>SeekPayN/1,15</t>
  </si>
  <si>
    <t>C:\Users\Pavel_Khrapkin\Documents\Pavel\match\DBs\</t>
  </si>
  <si>
    <t>10/Txt</t>
  </si>
  <si>
    <t>7/Txt</t>
  </si>
  <si>
    <t>1/Txt</t>
  </si>
  <si>
    <t>8/Txt</t>
  </si>
  <si>
    <t>20/Txt</t>
  </si>
  <si>
    <t xml:space="preserve">Intergraph, INTERGRAPH, SP3D,CAXpert, Smart, PDS, CAESAR, Plant Design, GeoMed, G/Technology Designer </t>
  </si>
  <si>
    <t>Auto,Civil,Robot, Revit,mental ray, РИБЕЙТЫ</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</si>
  <si>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</si>
  <si>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</si>
  <si>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Расчет динамического</t>
  </si>
  <si>
    <t>сканир, чертеж, вывод,плакат, буклет</t>
  </si>
  <si>
    <t>DogVal/17,16,24,23</t>
  </si>
  <si>
    <t>GoodType/18</t>
  </si>
  <si>
    <t>Услуги</t>
  </si>
  <si>
    <t>оплата,платеж, расчет, договор, дог., Создание технорабочего проекта,  Ввод в действие ИС,  Тестирование компьютеров,  Авторизация  Сервисного ноутбука, Годовая подписка, Стройцена РЦЦС</t>
  </si>
  <si>
    <t>Norma, строительство, нии лот</t>
  </si>
  <si>
    <t xml:space="preserve">Обучение, консультаци, консалт, услуг, обслужив, работ, обследов, поддерж, изготовление, установка </t>
  </si>
  <si>
    <t>22/Dbl</t>
  </si>
  <si>
    <t>12/0%</t>
  </si>
  <si>
    <t>$плоттер[ $], $принтер[ $], $сканер[ $], $мышь[ $], $Ламинатор[ $],$манипулятор[ $], $printer[ $], $SpacePilot[ $], $Дигитайзер[ $], Гравер, Ricoh, фотоаппарат,  Summa D60</t>
  </si>
  <si>
    <t>&lt;! ERROR !&gt; Неизвестный тип товара oce flap cpl 1087070/1;осе belt 2967192/2;</t>
  </si>
  <si>
    <t>&lt;! ERROR !&gt; Неизвестный тип товара деталь доп.устройства oce tds600 (stop/clutch sprocket 48t - 9168004 )/1;</t>
  </si>
  <si>
    <t>&lt;! ERROR !&gt; Неизвестный тип товара приемная корзина для оригиналов к oce plotwave 3x0/1;</t>
  </si>
  <si>
    <t>картридж, Cartridge,бумага ,калька, ремень, пленка,насос,онер, нож, нить, головка, ремонт, Контакт, расходн, мешок, Муфта, ролик,рулон, диагностик, чернил,цанг,жидкость, лезвие, Держатель, нагрев, платы,пластина,датчик,узел,контроллер, лампа, резервуар, карет, подачи, прозрач, помпа, курсор, резистор, шлейф, барабан,мотор,выключатель,Resist,запчасть, Шестер, Printheard, Девелопер, Блок пи, Блок оч, Композит, решетка,стекло, вентилятор, $деталь[ $], вал,подшип,фальц, коротрон, Резист, нить, Энкодер, Редуктор, вещество, истемная,  Датчик, NVIDIA, Пластина, очистк, патрон, Сервисное обслуживание, плата,  Oce, Осе, мастерлента, запасн, Encad, ENCAD, кабель,салфетк,плоттер,принтер, сканер,мышь,Ламинатор,манипулятор, printer, SpacePilot, Дигитайзер</t>
  </si>
  <si>
    <t>&lt;! ERROR !&gt; Неизвестный тип товара ключ аппаратной защиты cs./1;</t>
  </si>
  <si>
    <t>&lt;! ERROR !&gt; Неизвестный тип товара программное обеспечение adobe flash pro cs5.5/4;программное обеспечение ms visiostd 2010 rus olp nl/7;</t>
  </si>
  <si>
    <t>&lt;! ERROR !&gt; Неизвестный тип товара ключ аппаратной защиты cs, wibukey/2;</t>
  </si>
  <si>
    <t>$CS[. $], Spot, Graphics,Raster,PlanTracer,  СПДС Стройплощадка, ключ аппаратной защиты cs</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</si>
  <si>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 ПАССАТ, I-Run, КРЕДО, CREDO, экземпляра программы фундамент,  программы арбат, remoteexec, nestomega, эвм астра раскрой, adobe</t>
  </si>
  <si>
    <t>&lt;! ERROR !&gt; Неизвестный тип товара программное обеспечение project smeta cs, subscription/1;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</si>
</sst>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theme="3" tint="0.59999389629810485"/>
        <bgColor indexed="64"/>
      </patternFill>
    </fill>
    <fill>
      <patternFill patternType="solid">
        <fgColor rgb="FF008000"/>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4">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8" borderId="31" xfId="0" applyNumberFormat="1" applyFill="1" applyBorder="1" applyAlignment="1">
      <alignment horizontal="center"/>
    </xf>
    <xf numFmtId="171" fontId="258" fillId="4" borderId="0" xfId="94" applyFont="1" applyFill="1" applyAlignment="1">
      <alignment horizontal="center" vertical="top"/>
    </xf>
    <xf numFmtId="171" fontId="261" fillId="0" borderId="0" xfId="0" applyFont="1" applyFill="1"/>
    <xf numFmtId="170"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0" fontId="1" fillId="61" borderId="1" xfId="731" applyFill="1" applyBorder="1" applyAlignment="1">
      <alignment horizontal="center" vertical="center"/>
    </xf>
    <xf numFmtId="0" fontId="1" fillId="37" borderId="1" xfId="731" applyFill="1" applyBorder="1"/>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0" fillId="40" borderId="0" xfId="0" applyNumberFormat="1" applyFill="1" applyBorder="1" applyAlignment="1">
      <alignment horizontal="left" vertical="center"/>
    </xf>
    <xf numFmtId="49" fontId="0" fillId="62" borderId="41" xfId="0" applyNumberFormat="1" applyFill="1" applyBorder="1" applyAlignment="1">
      <alignment horizontal="center" vertical="center" wrapText="1"/>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F29" sqref="F29"/>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41271.033842592595</v>
      </c>
      <c r="C1" s="125" t="s">
        <v>584</v>
      </c>
      <c r="J1" s="458" t="s">
        <v>1008</v>
      </c>
      <c r="K1" s="167"/>
      <c r="L1" s="57"/>
      <c r="M1" s="57"/>
      <c r="N1" s="57"/>
      <c r="O1" s="747" t="s">
        <v>593</v>
      </c>
      <c r="P1" s="747" t="s">
        <v>840</v>
      </c>
      <c r="Q1" s="747"/>
      <c r="R1" s="747"/>
      <c r="S1" s="747"/>
    </row>
    <row r="2" spans="1:23" ht="20.25" customHeight="1" x14ac:dyDescent="0.25">
      <c r="O2" s="748"/>
      <c r="P2" s="748"/>
      <c r="Q2" s="748"/>
      <c r="R2" s="748"/>
      <c r="S2" s="748"/>
    </row>
    <row r="3" spans="1:23" s="123" customFormat="1" x14ac:dyDescent="0.25">
      <c r="A3" s="123" t="s">
        <v>120</v>
      </c>
      <c r="B3" s="123" t="s">
        <v>563</v>
      </c>
      <c r="C3" s="158" t="s">
        <v>564</v>
      </c>
      <c r="D3" s="123" t="s">
        <v>589</v>
      </c>
      <c r="E3" s="123" t="s">
        <v>594</v>
      </c>
      <c r="F3" s="123" t="s">
        <v>604</v>
      </c>
      <c r="G3" s="123" t="s">
        <v>629</v>
      </c>
      <c r="H3" s="123" t="s">
        <v>565</v>
      </c>
      <c r="I3" s="123" t="s">
        <v>566</v>
      </c>
      <c r="J3" s="127" t="s">
        <v>570</v>
      </c>
      <c r="K3" s="143" t="s">
        <v>585</v>
      </c>
      <c r="L3" s="127" t="s">
        <v>586</v>
      </c>
      <c r="M3" s="127" t="s">
        <v>587</v>
      </c>
      <c r="N3" s="158" t="s">
        <v>606</v>
      </c>
      <c r="O3" s="123" t="s">
        <v>590</v>
      </c>
      <c r="T3" s="123" t="s">
        <v>592</v>
      </c>
    </row>
    <row r="4" spans="1:23" s="171" customFormat="1" x14ac:dyDescent="0.25">
      <c r="A4" s="248"/>
      <c r="B4" s="169" t="s">
        <v>609</v>
      </c>
      <c r="C4" s="170">
        <v>45</v>
      </c>
      <c r="H4" s="169" t="s">
        <v>610</v>
      </c>
      <c r="I4" s="169" t="s">
        <v>609</v>
      </c>
      <c r="J4" s="169" t="s">
        <v>609</v>
      </c>
      <c r="K4" s="172" t="s">
        <v>611</v>
      </c>
      <c r="L4" s="153">
        <v>1</v>
      </c>
      <c r="M4" s="153">
        <v>3</v>
      </c>
      <c r="N4" s="168">
        <v>41112.947581018518</v>
      </c>
    </row>
    <row r="5" spans="1:23" s="171" customFormat="1" x14ac:dyDescent="0.25">
      <c r="A5" s="248"/>
      <c r="B5" s="169" t="s">
        <v>628</v>
      </c>
      <c r="C5" s="170" t="s">
        <v>935</v>
      </c>
      <c r="H5" s="169" t="s">
        <v>610</v>
      </c>
      <c r="I5" s="169" t="s">
        <v>628</v>
      </c>
      <c r="J5" s="169" t="s">
        <v>628</v>
      </c>
      <c r="K5" s="172" t="s">
        <v>611</v>
      </c>
      <c r="L5" s="153">
        <v>1</v>
      </c>
      <c r="M5" s="153">
        <v>3</v>
      </c>
      <c r="N5" s="168">
        <v>41120.947581018518</v>
      </c>
    </row>
    <row r="6" spans="1:23" s="171" customFormat="1" x14ac:dyDescent="0.25">
      <c r="A6" s="248"/>
      <c r="B6" s="169" t="s">
        <v>614</v>
      </c>
      <c r="C6" s="170" t="s">
        <v>564</v>
      </c>
      <c r="H6" s="169" t="s">
        <v>679</v>
      </c>
      <c r="I6" s="169"/>
      <c r="J6" s="169" t="s">
        <v>612</v>
      </c>
      <c r="K6" s="172" t="s">
        <v>611</v>
      </c>
      <c r="L6" s="153">
        <v>3</v>
      </c>
      <c r="M6" s="153">
        <v>1</v>
      </c>
      <c r="N6" s="168">
        <v>41112.947581018518</v>
      </c>
      <c r="O6" s="169" t="s">
        <v>314</v>
      </c>
    </row>
    <row r="7" spans="1:23" s="171" customFormat="1" x14ac:dyDescent="0.25">
      <c r="A7" s="248"/>
      <c r="B7" s="169"/>
      <c r="C7" s="170">
        <v>0</v>
      </c>
      <c r="D7" s="251"/>
      <c r="F7" s="535"/>
      <c r="H7" s="169"/>
      <c r="I7" s="169"/>
      <c r="J7" s="169" t="s">
        <v>613</v>
      </c>
      <c r="K7" s="172" t="s">
        <v>588</v>
      </c>
      <c r="L7" s="153">
        <v>6</v>
      </c>
      <c r="M7" s="153">
        <v>1</v>
      </c>
      <c r="N7" s="168"/>
    </row>
    <row r="8" spans="1:23" s="136" customFormat="1" x14ac:dyDescent="0.25">
      <c r="A8" s="249">
        <v>41271.033831018518</v>
      </c>
      <c r="B8" s="136" t="s">
        <v>562</v>
      </c>
      <c r="C8" s="141">
        <v>5189</v>
      </c>
      <c r="D8" s="141">
        <v>5</v>
      </c>
      <c r="E8" s="141">
        <v>2</v>
      </c>
      <c r="F8" t="s">
        <v>656</v>
      </c>
      <c r="G8" s="141" t="s">
        <v>112</v>
      </c>
      <c r="H8" s="136" t="s">
        <v>682</v>
      </c>
      <c r="I8" s="147" t="s">
        <v>562</v>
      </c>
      <c r="J8" s="137" t="s">
        <v>68</v>
      </c>
      <c r="K8" s="144" t="s">
        <v>588</v>
      </c>
      <c r="L8" s="142">
        <v>1</v>
      </c>
      <c r="M8" s="142" t="s">
        <v>658</v>
      </c>
      <c r="N8" s="135">
        <v>41270</v>
      </c>
      <c r="O8" s="146" t="s">
        <v>314</v>
      </c>
      <c r="P8" s="146"/>
      <c r="Q8" s="146"/>
      <c r="T8" s="136" t="s">
        <v>639</v>
      </c>
      <c r="W8" s="159"/>
    </row>
    <row r="9" spans="1:23" s="149" customFormat="1" x14ac:dyDescent="0.25">
      <c r="A9" s="250"/>
      <c r="B9" s="149" t="s">
        <v>562</v>
      </c>
      <c r="C9" s="150"/>
      <c r="D9" s="150"/>
      <c r="E9" s="150"/>
      <c r="J9" s="151" t="s">
        <v>67</v>
      </c>
      <c r="K9" s="152" t="s">
        <v>588</v>
      </c>
      <c r="L9" s="153">
        <v>1</v>
      </c>
      <c r="M9" s="153" t="s">
        <v>663</v>
      </c>
      <c r="N9" s="148"/>
      <c r="O9" s="154"/>
      <c r="P9" s="154"/>
      <c r="Q9" s="154"/>
      <c r="T9" s="160"/>
    </row>
    <row r="10" spans="1:23" x14ac:dyDescent="0.25">
      <c r="A10" s="248">
        <v>41270.962002314816</v>
      </c>
      <c r="B10" t="s">
        <v>567</v>
      </c>
      <c r="C10" s="145">
        <v>1178</v>
      </c>
      <c r="D10" s="139">
        <v>8</v>
      </c>
      <c r="E10" s="139">
        <v>2</v>
      </c>
      <c r="F10" t="s">
        <v>670</v>
      </c>
      <c r="G10" s="150" t="s">
        <v>112</v>
      </c>
      <c r="H10" t="s">
        <v>682</v>
      </c>
      <c r="I10" s="163" t="s">
        <v>567</v>
      </c>
      <c r="J10" s="128" t="s">
        <v>595</v>
      </c>
      <c r="K10" s="129" t="s">
        <v>588</v>
      </c>
      <c r="L10" s="153">
        <v>1</v>
      </c>
      <c r="M10" s="153" t="s">
        <v>891</v>
      </c>
      <c r="N10" s="124">
        <v>41270</v>
      </c>
      <c r="O10" s="138" t="s">
        <v>314</v>
      </c>
      <c r="P10" s="138"/>
      <c r="Q10" s="138"/>
      <c r="T10" t="s">
        <v>640</v>
      </c>
    </row>
    <row r="11" spans="1:23" x14ac:dyDescent="0.25">
      <c r="A11" s="250"/>
      <c r="B11" t="s">
        <v>567</v>
      </c>
      <c r="C11" s="145"/>
      <c r="D11" s="139"/>
      <c r="E11" s="139"/>
      <c r="G11" s="149"/>
      <c r="I11" s="149"/>
      <c r="J11" s="128" t="s">
        <v>596</v>
      </c>
      <c r="K11" s="129" t="s">
        <v>588</v>
      </c>
      <c r="L11" s="153">
        <v>1</v>
      </c>
      <c r="M11" s="153" t="s">
        <v>890</v>
      </c>
      <c r="N11" s="124"/>
      <c r="O11" s="161"/>
      <c r="P11" s="161"/>
      <c r="Q11" s="161"/>
    </row>
    <row r="12" spans="1:23" x14ac:dyDescent="0.25">
      <c r="A12" s="248">
        <v>41270.948252314818</v>
      </c>
      <c r="B12" t="s">
        <v>568</v>
      </c>
      <c r="C12" s="145">
        <v>2788</v>
      </c>
      <c r="D12" s="145">
        <v>1</v>
      </c>
      <c r="E12" s="145">
        <v>0</v>
      </c>
      <c r="F12" t="s">
        <v>656</v>
      </c>
      <c r="G12" s="150" t="s">
        <v>71</v>
      </c>
      <c r="H12" t="s">
        <v>682</v>
      </c>
      <c r="I12" s="164" t="s">
        <v>568</v>
      </c>
      <c r="J12" s="128" t="s">
        <v>597</v>
      </c>
      <c r="K12" s="129" t="s">
        <v>588</v>
      </c>
      <c r="L12" s="153" t="s">
        <v>657</v>
      </c>
      <c r="M12" s="153" t="s">
        <v>659</v>
      </c>
      <c r="N12" s="124">
        <v>41233</v>
      </c>
      <c r="O12" s="138" t="s">
        <v>314</v>
      </c>
      <c r="P12" s="138"/>
      <c r="Q12" s="138"/>
      <c r="T12" t="s">
        <v>641</v>
      </c>
    </row>
    <row r="13" spans="1:23" x14ac:dyDescent="0.25">
      <c r="A13" s="250"/>
      <c r="B13" t="s">
        <v>568</v>
      </c>
      <c r="C13" s="145"/>
      <c r="D13" s="145"/>
      <c r="E13" s="145"/>
      <c r="G13" s="2"/>
      <c r="I13" s="149"/>
      <c r="J13" s="128" t="s">
        <v>598</v>
      </c>
      <c r="K13" s="129" t="s">
        <v>588</v>
      </c>
      <c r="L13" s="153" t="s">
        <v>657</v>
      </c>
      <c r="M13" s="153" t="s">
        <v>660</v>
      </c>
      <c r="N13" s="162"/>
      <c r="O13" s="161"/>
      <c r="P13" s="161"/>
      <c r="Q13" s="161"/>
      <c r="T13" s="2"/>
    </row>
    <row r="14" spans="1:23" s="136" customFormat="1" ht="15.75" customHeight="1" x14ac:dyDescent="0.25">
      <c r="A14" s="249">
        <v>41270.965266203704</v>
      </c>
      <c r="B14" s="136" t="s">
        <v>569</v>
      </c>
      <c r="C14" s="141">
        <v>3839</v>
      </c>
      <c r="D14" s="141">
        <v>2</v>
      </c>
      <c r="E14" s="141">
        <v>6</v>
      </c>
      <c r="F14" s="136" t="s">
        <v>618</v>
      </c>
      <c r="G14" s="141" t="s">
        <v>91</v>
      </c>
      <c r="H14" s="136" t="str">
        <f t="shared" ref="H14:H21" si="0">H$6</f>
        <v>SFDC.xlsx</v>
      </c>
      <c r="I14" s="165" t="s">
        <v>569</v>
      </c>
      <c r="J14" s="137" t="s">
        <v>571</v>
      </c>
      <c r="K14" s="144" t="s">
        <v>588</v>
      </c>
      <c r="L14" s="142">
        <v>2</v>
      </c>
      <c r="M14" s="142" t="s">
        <v>661</v>
      </c>
      <c r="N14" s="270">
        <v>41270.964583333334</v>
      </c>
      <c r="O14" s="146"/>
      <c r="P14" s="146"/>
      <c r="Q14" s="146"/>
      <c r="T14" s="136" t="str">
        <f>Process!F26</f>
        <v>LOAD_SF</v>
      </c>
    </row>
    <row r="15" spans="1:23" ht="15.75" customHeight="1" x14ac:dyDescent="0.25">
      <c r="A15" s="248">
        <v>41270.959513888891</v>
      </c>
      <c r="B15" t="s">
        <v>572</v>
      </c>
      <c r="C15" s="145">
        <v>930</v>
      </c>
      <c r="D15" s="139">
        <v>2</v>
      </c>
      <c r="E15" s="139">
        <v>6</v>
      </c>
      <c r="F15" t="s">
        <v>618</v>
      </c>
      <c r="G15" s="150" t="s">
        <v>91</v>
      </c>
      <c r="H15" t="str">
        <f t="shared" si="0"/>
        <v>SFDC.xlsx</v>
      </c>
      <c r="I15" s="166" t="s">
        <v>572</v>
      </c>
      <c r="J15" s="128" t="s">
        <v>573</v>
      </c>
      <c r="K15" s="129" t="s">
        <v>588</v>
      </c>
      <c r="L15" s="140">
        <v>2</v>
      </c>
      <c r="M15" s="140" t="s">
        <v>661</v>
      </c>
      <c r="N15" s="124">
        <v>41270.956250000003</v>
      </c>
      <c r="O15" s="138"/>
      <c r="Q15" s="138"/>
      <c r="T15" s="149" t="str">
        <f>Process!F32</f>
        <v>LOAD_SFD</v>
      </c>
    </row>
    <row r="16" spans="1:23" ht="15.75" x14ac:dyDescent="0.3">
      <c r="A16" s="248">
        <v>41267.975902777776</v>
      </c>
      <c r="B16" t="s">
        <v>574</v>
      </c>
      <c r="C16" s="145">
        <v>3033</v>
      </c>
      <c r="D16" s="139" t="s">
        <v>591</v>
      </c>
      <c r="E16" s="139">
        <v>6</v>
      </c>
      <c r="F16" t="s">
        <v>605</v>
      </c>
      <c r="G16" s="150" t="s">
        <v>91</v>
      </c>
      <c r="H16" t="str">
        <f t="shared" si="0"/>
        <v>SFDC.xlsx</v>
      </c>
      <c r="I16" s="166" t="s">
        <v>574</v>
      </c>
      <c r="J16" s="130" t="s">
        <v>575</v>
      </c>
      <c r="K16" s="129" t="s">
        <v>588</v>
      </c>
      <c r="L16" s="140">
        <v>2</v>
      </c>
      <c r="M16" s="140">
        <v>1</v>
      </c>
      <c r="N16" s="124">
        <v>41267.974999999999</v>
      </c>
      <c r="O16" s="138"/>
      <c r="Q16" s="138"/>
    </row>
    <row r="17" spans="1:20" ht="15.75" x14ac:dyDescent="0.3">
      <c r="A17" s="248">
        <v>41270.946527777778</v>
      </c>
      <c r="B17" t="s">
        <v>136</v>
      </c>
      <c r="C17" s="145">
        <v>4046</v>
      </c>
      <c r="D17" s="139" t="s">
        <v>591</v>
      </c>
      <c r="E17" s="139">
        <v>6</v>
      </c>
      <c r="F17" t="s">
        <v>605</v>
      </c>
      <c r="G17" s="150" t="s">
        <v>91</v>
      </c>
      <c r="H17" t="str">
        <f t="shared" si="0"/>
        <v>SFDC.xlsx</v>
      </c>
      <c r="I17" s="166" t="s">
        <v>136</v>
      </c>
      <c r="J17" s="131" t="s">
        <v>136</v>
      </c>
      <c r="K17" s="129" t="s">
        <v>588</v>
      </c>
      <c r="L17" s="140">
        <v>2</v>
      </c>
      <c r="M17" s="140">
        <v>1</v>
      </c>
      <c r="N17" s="124">
        <v>41270.90625</v>
      </c>
      <c r="O17" s="138"/>
      <c r="Q17" s="138"/>
      <c r="T17" t="str">
        <f>Process!F38</f>
        <v>LOAD_SFacc</v>
      </c>
    </row>
    <row r="18" spans="1:20" ht="15.75" x14ac:dyDescent="0.3">
      <c r="A18" s="248">
        <v>41270.943449074075</v>
      </c>
      <c r="B18" t="s">
        <v>577</v>
      </c>
      <c r="C18" s="145">
        <v>7956</v>
      </c>
      <c r="D18" s="139" t="s">
        <v>591</v>
      </c>
      <c r="E18" s="139">
        <v>6</v>
      </c>
      <c r="F18" t="s">
        <v>605</v>
      </c>
      <c r="G18" s="150" t="s">
        <v>113</v>
      </c>
      <c r="H18" t="str">
        <f t="shared" si="0"/>
        <v>SFDC.xlsx</v>
      </c>
      <c r="I18" s="166" t="s">
        <v>577</v>
      </c>
      <c r="J18" s="131" t="s">
        <v>576</v>
      </c>
      <c r="K18" s="129" t="s">
        <v>588</v>
      </c>
      <c r="L18" s="140">
        <v>2</v>
      </c>
      <c r="M18" s="140">
        <v>1</v>
      </c>
      <c r="N18" s="124">
        <v>41270.928472222222</v>
      </c>
      <c r="O18" s="138"/>
      <c r="Q18" s="138"/>
    </row>
    <row r="19" spans="1:20" ht="15.75" x14ac:dyDescent="0.3">
      <c r="A19" s="724">
        <v>41233.837291666663</v>
      </c>
      <c r="B19" t="s">
        <v>579</v>
      </c>
      <c r="C19" s="145">
        <v>1747</v>
      </c>
      <c r="D19" s="139" t="s">
        <v>591</v>
      </c>
      <c r="E19" s="139">
        <v>6</v>
      </c>
      <c r="F19" t="s">
        <v>605</v>
      </c>
      <c r="G19" s="150" t="s">
        <v>71</v>
      </c>
      <c r="H19" t="str">
        <f t="shared" si="0"/>
        <v>SFDC.xlsx</v>
      </c>
      <c r="I19" s="166" t="s">
        <v>579</v>
      </c>
      <c r="J19" s="132" t="s">
        <v>578</v>
      </c>
      <c r="K19" s="129" t="s">
        <v>588</v>
      </c>
      <c r="L19" s="140">
        <v>2</v>
      </c>
      <c r="M19" s="140">
        <v>1</v>
      </c>
      <c r="N19" s="124">
        <v>41233.836805555555</v>
      </c>
      <c r="O19" s="138"/>
      <c r="Q19" s="138"/>
    </row>
    <row r="20" spans="1:20" ht="15.75" x14ac:dyDescent="0.3">
      <c r="A20" s="724">
        <v>41233.83971064815</v>
      </c>
      <c r="B20" t="s">
        <v>580</v>
      </c>
      <c r="C20" s="145">
        <v>194</v>
      </c>
      <c r="D20" s="139" t="s">
        <v>591</v>
      </c>
      <c r="E20" s="139">
        <v>6</v>
      </c>
      <c r="F20" t="s">
        <v>605</v>
      </c>
      <c r="G20" s="150" t="s">
        <v>91</v>
      </c>
      <c r="H20" t="str">
        <f t="shared" si="0"/>
        <v>SFDC.xlsx</v>
      </c>
      <c r="I20" s="166" t="s">
        <v>580</v>
      </c>
      <c r="J20" s="133" t="s">
        <v>581</v>
      </c>
      <c r="K20" s="129" t="s">
        <v>588</v>
      </c>
      <c r="L20" s="140">
        <v>2</v>
      </c>
      <c r="M20" s="140">
        <v>1</v>
      </c>
      <c r="N20" s="124">
        <v>41233.839583333334</v>
      </c>
      <c r="O20" s="138"/>
      <c r="Q20" s="138"/>
    </row>
    <row r="21" spans="1:20" ht="15.75" x14ac:dyDescent="0.3">
      <c r="A21" s="724">
        <v>41233.84138888889</v>
      </c>
      <c r="B21" t="s">
        <v>582</v>
      </c>
      <c r="C21" s="145">
        <v>362</v>
      </c>
      <c r="D21" s="139" t="s">
        <v>591</v>
      </c>
      <c r="E21" s="139">
        <v>6</v>
      </c>
      <c r="F21" t="s">
        <v>605</v>
      </c>
      <c r="G21" s="150" t="s">
        <v>113</v>
      </c>
      <c r="H21" t="str">
        <f t="shared" si="0"/>
        <v>SFDC.xlsx</v>
      </c>
      <c r="I21" s="560" t="s">
        <v>582</v>
      </c>
      <c r="J21" s="134" t="s">
        <v>583</v>
      </c>
      <c r="K21" s="295" t="s">
        <v>588</v>
      </c>
      <c r="L21" s="140">
        <v>2</v>
      </c>
      <c r="M21" s="140">
        <v>1</v>
      </c>
      <c r="N21" s="162">
        <v>41233.840277777781</v>
      </c>
      <c r="O21" s="559"/>
      <c r="P21" s="297"/>
      <c r="Q21" s="559"/>
      <c r="R21" s="297"/>
      <c r="S21" s="297"/>
    </row>
    <row r="22" spans="1:20" s="136" customFormat="1" x14ac:dyDescent="0.25">
      <c r="A22" s="725">
        <v>41249.044224537036</v>
      </c>
      <c r="B22" s="136" t="s">
        <v>599</v>
      </c>
      <c r="C22" s="157">
        <v>8848</v>
      </c>
      <c r="D22" s="157" t="s">
        <v>130</v>
      </c>
      <c r="E22" s="157" t="s">
        <v>591</v>
      </c>
      <c r="F22" s="136" t="s">
        <v>783</v>
      </c>
      <c r="G22" s="530">
        <v>10</v>
      </c>
      <c r="H22" s="136" t="s">
        <v>683</v>
      </c>
      <c r="I22" s="278" t="str">
        <f>B22</f>
        <v>Склад</v>
      </c>
      <c r="J22" s="137" t="s">
        <v>65</v>
      </c>
      <c r="K22" s="152" t="s">
        <v>611</v>
      </c>
      <c r="L22" s="142" t="s">
        <v>661</v>
      </c>
      <c r="M22" s="142" t="s">
        <v>993</v>
      </c>
      <c r="N22" s="135">
        <v>41232.113368055558</v>
      </c>
      <c r="O22" s="154" t="s">
        <v>314</v>
      </c>
      <c r="P22" s="160"/>
      <c r="Q22" s="558" t="s">
        <v>865</v>
      </c>
      <c r="R22" s="277"/>
      <c r="S22" s="160"/>
      <c r="T22" s="136" t="s">
        <v>645</v>
      </c>
    </row>
    <row r="23" spans="1:20" s="149" customFormat="1" x14ac:dyDescent="0.25">
      <c r="A23" s="274"/>
      <c r="C23" s="275"/>
      <c r="D23" s="275"/>
      <c r="E23" s="275"/>
      <c r="I23" s="160"/>
      <c r="J23" s="151" t="s">
        <v>684</v>
      </c>
      <c r="K23" s="152" t="s">
        <v>588</v>
      </c>
      <c r="L23" s="153" t="s">
        <v>661</v>
      </c>
      <c r="M23" s="153" t="s">
        <v>994</v>
      </c>
      <c r="N23" s="148"/>
      <c r="O23" s="154" t="s">
        <v>314</v>
      </c>
      <c r="Q23" s="154"/>
      <c r="R23" s="277"/>
    </row>
    <row r="24" spans="1:20" s="149" customFormat="1" x14ac:dyDescent="0.25">
      <c r="A24" s="274"/>
      <c r="C24" s="275"/>
      <c r="D24" s="275"/>
      <c r="E24" s="275"/>
      <c r="I24" s="160"/>
      <c r="J24" s="151" t="s">
        <v>685</v>
      </c>
      <c r="K24" s="152" t="s">
        <v>588</v>
      </c>
      <c r="L24" s="153" t="s">
        <v>661</v>
      </c>
      <c r="M24" s="153" t="s">
        <v>995</v>
      </c>
      <c r="N24" s="148"/>
      <c r="O24" s="154" t="s">
        <v>314</v>
      </c>
      <c r="Q24" s="154"/>
      <c r="R24" s="277"/>
    </row>
    <row r="25" spans="1:20" s="149" customFormat="1" x14ac:dyDescent="0.25">
      <c r="A25" s="274"/>
      <c r="C25" s="275"/>
      <c r="D25" s="275"/>
      <c r="E25" s="275"/>
      <c r="I25" s="160"/>
      <c r="J25" s="151" t="s">
        <v>686</v>
      </c>
      <c r="K25" s="152" t="s">
        <v>588</v>
      </c>
      <c r="L25" s="153" t="s">
        <v>661</v>
      </c>
      <c r="M25" s="153" t="s">
        <v>996</v>
      </c>
      <c r="N25" s="148"/>
      <c r="O25" s="154" t="s">
        <v>314</v>
      </c>
      <c r="Q25" s="154"/>
      <c r="R25" s="277"/>
    </row>
    <row r="26" spans="1:20" s="149" customFormat="1" x14ac:dyDescent="0.25">
      <c r="A26" s="274"/>
      <c r="C26" s="275"/>
      <c r="D26" s="275"/>
      <c r="E26" s="275"/>
      <c r="I26" s="160"/>
      <c r="J26" s="151" t="s">
        <v>687</v>
      </c>
      <c r="K26" s="152" t="s">
        <v>588</v>
      </c>
      <c r="L26" s="153" t="s">
        <v>661</v>
      </c>
      <c r="M26" s="153" t="s">
        <v>997</v>
      </c>
      <c r="N26" s="148"/>
      <c r="O26" s="154" t="s">
        <v>314</v>
      </c>
      <c r="Q26" s="154"/>
      <c r="R26" s="277"/>
    </row>
    <row r="27" spans="1:20" s="280" customFormat="1" x14ac:dyDescent="0.25">
      <c r="A27" s="279"/>
      <c r="C27" s="281"/>
      <c r="D27" s="281"/>
      <c r="E27" s="281"/>
      <c r="I27" s="160"/>
      <c r="J27" s="282" t="s">
        <v>688</v>
      </c>
      <c r="K27" s="283" t="s">
        <v>588</v>
      </c>
      <c r="L27" s="284" t="s">
        <v>661</v>
      </c>
      <c r="M27" s="284" t="s">
        <v>998</v>
      </c>
      <c r="N27" s="285"/>
      <c r="O27" s="286"/>
      <c r="Q27" s="286"/>
      <c r="R27" s="287"/>
    </row>
    <row r="28" spans="1:20" s="288" customFormat="1" x14ac:dyDescent="0.25">
      <c r="A28" s="703">
        <v>41221.716736111113</v>
      </c>
      <c r="B28" s="288" t="s">
        <v>603</v>
      </c>
      <c r="C28" s="289">
        <v>1271</v>
      </c>
      <c r="D28" s="531">
        <v>8</v>
      </c>
      <c r="E28" s="531">
        <v>19</v>
      </c>
      <c r="F28" s="288" t="s">
        <v>861</v>
      </c>
      <c r="G28" s="531">
        <v>10</v>
      </c>
      <c r="H28" s="288" t="s">
        <v>683</v>
      </c>
      <c r="I28" s="276" t="str">
        <f>B28</f>
        <v>Заказы</v>
      </c>
      <c r="J28" s="290" t="s">
        <v>689</v>
      </c>
      <c r="K28" s="291" t="s">
        <v>588</v>
      </c>
      <c r="L28" s="292" t="s">
        <v>661</v>
      </c>
      <c r="M28" s="292" t="s">
        <v>875</v>
      </c>
      <c r="N28" s="293">
        <v>41211.864074074074</v>
      </c>
      <c r="O28" s="288" t="s">
        <v>314</v>
      </c>
      <c r="P28" s="532">
        <v>2</v>
      </c>
      <c r="Q28" s="557" t="s">
        <v>864</v>
      </c>
      <c r="R28" s="149"/>
      <c r="S28" s="149"/>
      <c r="T28" s="288" t="s">
        <v>646</v>
      </c>
    </row>
    <row r="29" spans="1:20" s="149" customFormat="1" x14ac:dyDescent="0.25">
      <c r="A29" s="294"/>
      <c r="C29" s="275"/>
      <c r="J29" s="151" t="s">
        <v>690</v>
      </c>
      <c r="K29" s="152" t="s">
        <v>588</v>
      </c>
      <c r="L29" s="153" t="s">
        <v>661</v>
      </c>
      <c r="M29" s="153" t="s">
        <v>876</v>
      </c>
      <c r="N29" s="148"/>
      <c r="O29" s="149" t="s">
        <v>314</v>
      </c>
      <c r="P29" s="533">
        <v>2</v>
      </c>
    </row>
    <row r="30" spans="1:20" x14ac:dyDescent="0.25">
      <c r="A30" s="263"/>
      <c r="C30" s="269"/>
      <c r="H30" s="149"/>
      <c r="I30" s="149"/>
      <c r="J30" s="151" t="s">
        <v>65</v>
      </c>
      <c r="K30" s="152" t="s">
        <v>588</v>
      </c>
      <c r="L30" s="153" t="s">
        <v>661</v>
      </c>
      <c r="M30" s="153" t="s">
        <v>877</v>
      </c>
      <c r="N30" s="148"/>
      <c r="O30" t="s">
        <v>314</v>
      </c>
      <c r="P30" s="533">
        <v>2</v>
      </c>
    </row>
    <row r="31" spans="1:20" x14ac:dyDescent="0.25">
      <c r="A31" s="263"/>
      <c r="C31" s="269"/>
      <c r="H31" s="149"/>
      <c r="I31" s="149"/>
      <c r="J31" s="151" t="s">
        <v>1</v>
      </c>
      <c r="K31" s="152" t="s">
        <v>588</v>
      </c>
      <c r="L31" s="153" t="s">
        <v>661</v>
      </c>
      <c r="M31" s="153" t="s">
        <v>878</v>
      </c>
      <c r="N31" s="148"/>
      <c r="O31" t="s">
        <v>314</v>
      </c>
      <c r="P31" s="533">
        <v>2</v>
      </c>
    </row>
    <row r="32" spans="1:20" x14ac:dyDescent="0.25">
      <c r="A32" s="263"/>
      <c r="C32" s="269"/>
      <c r="H32" s="149"/>
      <c r="I32" s="149"/>
      <c r="J32" s="151" t="s">
        <v>691</v>
      </c>
      <c r="K32" s="152" t="s">
        <v>588</v>
      </c>
      <c r="L32" s="153" t="s">
        <v>661</v>
      </c>
      <c r="M32" s="153" t="s">
        <v>879</v>
      </c>
      <c r="N32" s="148"/>
      <c r="O32" t="s">
        <v>314</v>
      </c>
      <c r="P32" s="533">
        <v>2</v>
      </c>
    </row>
    <row r="33" spans="1:20" x14ac:dyDescent="0.25">
      <c r="A33" s="263"/>
      <c r="C33" s="269"/>
      <c r="H33" s="149"/>
      <c r="I33" s="149"/>
      <c r="J33" s="151" t="s">
        <v>692</v>
      </c>
      <c r="K33" s="152" t="s">
        <v>588</v>
      </c>
      <c r="L33" s="153" t="s">
        <v>661</v>
      </c>
      <c r="M33" s="153" t="s">
        <v>880</v>
      </c>
      <c r="N33" s="148"/>
      <c r="O33" t="s">
        <v>314</v>
      </c>
      <c r="P33" s="533">
        <v>2</v>
      </c>
    </row>
    <row r="34" spans="1:20" x14ac:dyDescent="0.25">
      <c r="A34" s="263"/>
      <c r="C34" s="269"/>
      <c r="H34" s="149"/>
      <c r="I34" s="149"/>
      <c r="J34" s="151" t="s">
        <v>693</v>
      </c>
      <c r="K34" s="295" t="s">
        <v>588</v>
      </c>
      <c r="L34" s="153" t="s">
        <v>661</v>
      </c>
      <c r="M34" s="153" t="s">
        <v>881</v>
      </c>
      <c r="N34" s="148"/>
      <c r="P34" s="534">
        <v>2</v>
      </c>
    </row>
    <row r="35" spans="1:20" s="136" customFormat="1" x14ac:dyDescent="0.25">
      <c r="A35" s="249"/>
      <c r="B35" s="136" t="s">
        <v>600</v>
      </c>
      <c r="C35" s="157" t="s">
        <v>602</v>
      </c>
      <c r="D35" s="157" t="s">
        <v>126</v>
      </c>
      <c r="E35" s="157"/>
      <c r="F35" s="457"/>
      <c r="H35" s="136" t="s">
        <v>608</v>
      </c>
      <c r="I35" s="273" t="s">
        <v>696</v>
      </c>
      <c r="J35" s="137" t="s">
        <v>694</v>
      </c>
      <c r="K35" s="152" t="s">
        <v>588</v>
      </c>
      <c r="L35" s="142">
        <v>3</v>
      </c>
      <c r="M35" s="142">
        <v>1</v>
      </c>
      <c r="N35" s="135"/>
      <c r="O35" s="146" t="s">
        <v>314</v>
      </c>
      <c r="Q35" s="146"/>
      <c r="R35" s="155"/>
      <c r="T35" s="136" t="s">
        <v>647</v>
      </c>
    </row>
    <row r="36" spans="1:20" x14ac:dyDescent="0.25">
      <c r="A36" s="250"/>
      <c r="I36" s="149"/>
      <c r="J36" s="151" t="s">
        <v>695</v>
      </c>
      <c r="K36" s="152" t="s">
        <v>588</v>
      </c>
      <c r="L36" s="153">
        <v>3</v>
      </c>
      <c r="M36" s="153">
        <v>3</v>
      </c>
      <c r="O36" t="s">
        <v>314</v>
      </c>
    </row>
    <row r="37" spans="1:20" x14ac:dyDescent="0.25">
      <c r="A37" s="250"/>
      <c r="I37" s="149"/>
      <c r="J37" s="151" t="s">
        <v>188</v>
      </c>
      <c r="K37" s="152" t="s">
        <v>588</v>
      </c>
      <c r="L37" s="153">
        <v>3</v>
      </c>
      <c r="M37" s="153">
        <v>9</v>
      </c>
      <c r="O37" t="s">
        <v>314</v>
      </c>
    </row>
    <row r="38" spans="1:20" s="297" customFormat="1" x14ac:dyDescent="0.25">
      <c r="A38" s="296"/>
      <c r="C38" s="298"/>
      <c r="J38" s="299" t="s">
        <v>368</v>
      </c>
      <c r="K38" s="295" t="s">
        <v>588</v>
      </c>
      <c r="L38" s="300">
        <v>3</v>
      </c>
      <c r="M38" s="300">
        <v>21</v>
      </c>
    </row>
    <row r="39" spans="1:20" s="713" customFormat="1" x14ac:dyDescent="0.25">
      <c r="A39" s="721">
        <v>0</v>
      </c>
      <c r="B39" s="713" t="s">
        <v>1004</v>
      </c>
      <c r="C39" s="714">
        <v>1</v>
      </c>
      <c r="D39" s="714"/>
      <c r="E39" s="714"/>
      <c r="H39" s="713" t="s">
        <v>941</v>
      </c>
      <c r="I39" s="722" t="str">
        <f>B39</f>
        <v>DicAcc</v>
      </c>
      <c r="J39" s="715"/>
      <c r="K39" s="716" t="s">
        <v>942</v>
      </c>
      <c r="L39" s="717"/>
      <c r="M39" s="717"/>
      <c r="N39" s="718">
        <v>41237.062407407408</v>
      </c>
      <c r="O39" s="719"/>
      <c r="P39" s="713" t="s">
        <v>1003</v>
      </c>
      <c r="Q39" s="719"/>
      <c r="R39" s="720"/>
    </row>
    <row r="40" spans="1:20" s="149" customFormat="1" x14ac:dyDescent="0.25">
      <c r="A40" s="659">
        <v>41270.970555555556</v>
      </c>
      <c r="B40" s="149" t="s">
        <v>807</v>
      </c>
      <c r="C40" s="275">
        <v>1</v>
      </c>
      <c r="D40" s="275"/>
      <c r="E40" s="275"/>
      <c r="F40" s="149" t="s">
        <v>633</v>
      </c>
      <c r="H40" s="149" t="s">
        <v>941</v>
      </c>
      <c r="I40" s="638" t="s">
        <v>807</v>
      </c>
      <c r="J40" s="151"/>
      <c r="K40" s="152" t="s">
        <v>942</v>
      </c>
      <c r="L40" s="153"/>
      <c r="M40" s="153"/>
      <c r="N40" s="148">
        <v>41270.970497685186</v>
      </c>
      <c r="O40" s="154"/>
      <c r="P40" s="149" t="s">
        <v>936</v>
      </c>
      <c r="Q40" s="154"/>
      <c r="R40" s="277"/>
    </row>
    <row r="41" spans="1:20" s="149" customFormat="1" x14ac:dyDescent="0.25">
      <c r="A41" s="659">
        <v>41270.962002314816</v>
      </c>
      <c r="B41" s="149" t="s">
        <v>681</v>
      </c>
      <c r="C41" s="275">
        <v>1</v>
      </c>
      <c r="D41" s="275"/>
      <c r="E41" s="275"/>
      <c r="F41" s="149" t="s">
        <v>633</v>
      </c>
      <c r="H41" s="149" t="s">
        <v>941</v>
      </c>
      <c r="I41" s="638" t="s">
        <v>681</v>
      </c>
      <c r="J41" s="151"/>
      <c r="K41" s="152" t="s">
        <v>942</v>
      </c>
      <c r="L41" s="153"/>
      <c r="M41" s="153"/>
      <c r="N41" s="148">
        <v>41270.962002314816</v>
      </c>
      <c r="O41" s="154"/>
      <c r="P41" s="149" t="s">
        <v>937</v>
      </c>
      <c r="Q41" s="154"/>
      <c r="R41" s="277"/>
    </row>
    <row r="42" spans="1:20" s="149" customFormat="1" x14ac:dyDescent="0.25">
      <c r="A42" s="659">
        <v>41265.139594907407</v>
      </c>
      <c r="B42" s="149" t="s">
        <v>818</v>
      </c>
      <c r="C42" s="275">
        <v>5</v>
      </c>
      <c r="D42" s="275"/>
      <c r="E42" s="275"/>
      <c r="F42" s="149" t="s">
        <v>633</v>
      </c>
      <c r="H42" s="149" t="s">
        <v>941</v>
      </c>
      <c r="I42" s="638" t="s">
        <v>818</v>
      </c>
      <c r="J42" s="151"/>
      <c r="K42" s="152" t="s">
        <v>942</v>
      </c>
      <c r="L42" s="153"/>
      <c r="M42" s="153"/>
      <c r="N42" s="148">
        <v>41265.130254629628</v>
      </c>
      <c r="O42" s="154"/>
      <c r="P42" s="149" t="s">
        <v>939</v>
      </c>
      <c r="Q42" s="154"/>
      <c r="R42" s="277"/>
    </row>
    <row r="43" spans="1:20" s="149" customFormat="1" x14ac:dyDescent="0.25">
      <c r="A43" s="274"/>
      <c r="B43" s="149" t="s">
        <v>933</v>
      </c>
      <c r="C43" s="275" t="s">
        <v>91</v>
      </c>
      <c r="D43" s="275"/>
      <c r="E43" s="275"/>
      <c r="H43" s="149" t="s">
        <v>941</v>
      </c>
      <c r="I43" s="638" t="s">
        <v>933</v>
      </c>
      <c r="J43" s="151"/>
      <c r="K43" s="152" t="s">
        <v>942</v>
      </c>
      <c r="L43" s="153"/>
      <c r="M43" s="153"/>
      <c r="N43" s="148"/>
      <c r="O43" s="154"/>
      <c r="P43" s="648"/>
      <c r="Q43" s="649"/>
      <c r="R43" s="650"/>
      <c r="S43" s="648"/>
      <c r="T43" s="648"/>
    </row>
    <row r="44" spans="1:20" s="640" customFormat="1" x14ac:dyDescent="0.25">
      <c r="A44" s="660"/>
      <c r="B44" s="640" t="s">
        <v>968</v>
      </c>
      <c r="C44" s="641" t="s">
        <v>919</v>
      </c>
      <c r="D44" s="641"/>
      <c r="E44" s="641"/>
      <c r="H44" s="640" t="s">
        <v>941</v>
      </c>
      <c r="I44" s="642" t="s">
        <v>934</v>
      </c>
      <c r="J44" s="643"/>
      <c r="K44" s="644" t="s">
        <v>942</v>
      </c>
      <c r="L44" s="645"/>
      <c r="M44" s="645"/>
      <c r="N44" s="646"/>
      <c r="O44" s="647"/>
      <c r="P44" s="651" t="s">
        <v>969</v>
      </c>
      <c r="Q44" s="652"/>
      <c r="R44" s="653"/>
      <c r="S44" s="651"/>
      <c r="T44" s="651"/>
    </row>
    <row r="45" spans="1:20" s="297" customFormat="1" x14ac:dyDescent="0.25">
      <c r="A45" s="661"/>
      <c r="B45" s="297" t="s">
        <v>932</v>
      </c>
      <c r="C45" s="635" t="s">
        <v>115</v>
      </c>
      <c r="D45" s="635"/>
      <c r="E45" s="635"/>
      <c r="H45" s="297" t="s">
        <v>941</v>
      </c>
      <c r="I45" s="639" t="s">
        <v>932</v>
      </c>
      <c r="J45" s="299"/>
      <c r="K45" s="295" t="s">
        <v>942</v>
      </c>
      <c r="L45" s="300"/>
      <c r="M45" s="300"/>
      <c r="N45" s="636"/>
      <c r="O45" s="559"/>
      <c r="P45" s="297" t="s">
        <v>940</v>
      </c>
      <c r="Q45" s="559"/>
      <c r="R45" s="637"/>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zoomScale="70" zoomScaleNormal="70" workbookViewId="0">
      <selection activeCell="B6" sqref="B6"/>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41271.033831018518</v>
      </c>
      <c r="C1" s="125" t="s">
        <v>615</v>
      </c>
      <c r="D1" s="125"/>
      <c r="G1" s="459" t="s">
        <v>639</v>
      </c>
      <c r="H1" s="459"/>
      <c r="I1" s="459" t="s">
        <v>783</v>
      </c>
    </row>
    <row r="2" spans="1:29" ht="15" customHeight="1" thickBot="1" x14ac:dyDescent="0.35">
      <c r="B2" s="125"/>
    </row>
    <row r="3" spans="1:29" ht="15.75" customHeight="1" x14ac:dyDescent="0.25">
      <c r="E3" s="749" t="s">
        <v>619</v>
      </c>
      <c r="F3" s="751" t="s">
        <v>620</v>
      </c>
      <c r="G3" s="752"/>
      <c r="H3" s="752"/>
      <c r="I3" s="752"/>
      <c r="J3" s="753"/>
      <c r="K3" s="751" t="s">
        <v>621</v>
      </c>
      <c r="L3" s="752"/>
      <c r="M3" s="752"/>
      <c r="N3" s="752"/>
      <c r="O3" s="753"/>
    </row>
    <row r="4" spans="1:29" s="123" customFormat="1" ht="15.75" thickBot="1" x14ac:dyDescent="0.3">
      <c r="B4" s="158" t="s">
        <v>616</v>
      </c>
      <c r="C4" s="123" t="s">
        <v>617</v>
      </c>
      <c r="E4" s="750"/>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605</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625</v>
      </c>
      <c r="C6" s="479"/>
      <c r="E6" s="190"/>
      <c r="F6" s="189" t="s">
        <v>639</v>
      </c>
      <c r="G6" s="174"/>
      <c r="H6" s="174"/>
      <c r="I6" s="174"/>
      <c r="J6" s="175"/>
      <c r="K6" s="188" t="s">
        <v>562</v>
      </c>
      <c r="L6" s="174"/>
      <c r="M6" s="174"/>
      <c r="N6" s="174"/>
      <c r="O6" s="175"/>
      <c r="T6"/>
      <c r="U6"/>
      <c r="V6"/>
      <c r="W6"/>
      <c r="X6"/>
      <c r="Y6"/>
      <c r="Z6"/>
      <c r="AA6"/>
      <c r="AB6"/>
      <c r="AC6"/>
    </row>
    <row r="7" spans="1:29" s="173" customFormat="1" outlineLevel="1" x14ac:dyDescent="0.25">
      <c r="A7" s="264">
        <v>41270.951469907406</v>
      </c>
      <c r="B7" s="265" t="s">
        <v>607</v>
      </c>
      <c r="C7" s="302" t="s">
        <v>605</v>
      </c>
      <c r="D7" s="196"/>
      <c r="E7" s="197" t="s">
        <v>70</v>
      </c>
      <c r="F7" s="427" t="s">
        <v>774</v>
      </c>
      <c r="G7" s="428" t="s">
        <v>775</v>
      </c>
      <c r="H7" s="198"/>
      <c r="I7" s="198"/>
      <c r="J7" s="199"/>
      <c r="K7" s="200" t="str">
        <f>K6</f>
        <v>Платежи</v>
      </c>
      <c r="O7" s="199"/>
      <c r="T7"/>
      <c r="U7"/>
      <c r="V7"/>
      <c r="W7"/>
      <c r="X7"/>
      <c r="Y7"/>
      <c r="Z7"/>
      <c r="AA7"/>
      <c r="AB7"/>
      <c r="AC7"/>
    </row>
    <row r="8" spans="1:29" s="173" customFormat="1" outlineLevel="1" x14ac:dyDescent="0.25">
      <c r="A8" s="264">
        <v>41271.033750000002</v>
      </c>
      <c r="B8" s="265" t="s">
        <v>783</v>
      </c>
      <c r="C8" s="302" t="str">
        <f>B7</f>
        <v>InsMyCol</v>
      </c>
      <c r="D8" s="196"/>
      <c r="E8" s="197"/>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41271.033761574072</v>
      </c>
      <c r="B9" s="265" t="s">
        <v>618</v>
      </c>
      <c r="C9" s="302" t="str">
        <f>B8</f>
        <v>Adapt</v>
      </c>
      <c r="D9" s="196"/>
      <c r="E9" s="197"/>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737">
        <v>41271.033819444441</v>
      </c>
      <c r="B10" s="460" t="s">
        <v>630</v>
      </c>
      <c r="C10" s="302" t="str">
        <f>B9</f>
        <v>DateSort</v>
      </c>
      <c r="D10" s="5"/>
      <c r="E10" s="203"/>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41271.033831018518</v>
      </c>
      <c r="B11" s="265" t="s">
        <v>656</v>
      </c>
      <c r="C11" s="481"/>
      <c r="D11" s="5"/>
      <c r="E11" s="218"/>
      <c r="F11" s="200"/>
      <c r="G11" s="201"/>
      <c r="H11" s="215"/>
      <c r="I11" s="215"/>
      <c r="J11" s="216"/>
      <c r="K11" s="200" t="str">
        <f>K6</f>
        <v>Платежи</v>
      </c>
      <c r="L11" s="201"/>
      <c r="M11" s="201"/>
      <c r="N11" s="201"/>
      <c r="O11" s="216"/>
    </row>
    <row r="12" spans="1:29" s="187" customFormat="1" outlineLevel="1" x14ac:dyDescent="0.25">
      <c r="A12" s="738"/>
      <c r="B12" s="739" t="s">
        <v>626</v>
      </c>
      <c r="C12" s="237"/>
      <c r="D12" s="205"/>
      <c r="E12" s="206"/>
      <c r="F12" s="207"/>
      <c r="G12" s="208"/>
      <c r="H12" s="208"/>
      <c r="I12" s="208"/>
      <c r="J12" s="209"/>
      <c r="K12" s="210"/>
      <c r="L12" s="211"/>
      <c r="M12" s="208"/>
      <c r="N12" s="211"/>
      <c r="O12" s="209"/>
    </row>
    <row r="13" spans="1:29" s="173" customFormat="1" x14ac:dyDescent="0.25">
      <c r="A13" s="468"/>
      <c r="B13" s="469" t="s">
        <v>625</v>
      </c>
      <c r="C13" s="470"/>
      <c r="D13" s="471"/>
      <c r="E13" s="472" t="s">
        <v>201</v>
      </c>
      <c r="F13" s="473" t="s">
        <v>640</v>
      </c>
      <c r="G13" s="471"/>
      <c r="H13" s="471"/>
      <c r="I13" s="471"/>
      <c r="J13" s="474"/>
      <c r="K13" s="475" t="str">
        <f>TOCmatch!B10</f>
        <v>Договоры</v>
      </c>
      <c r="L13" s="476"/>
      <c r="M13" s="471"/>
      <c r="N13" s="476"/>
      <c r="O13" s="474"/>
    </row>
    <row r="14" spans="1:29" s="149" customFormat="1" outlineLevel="1" x14ac:dyDescent="0.25">
      <c r="A14" s="264">
        <v>41270.911030092589</v>
      </c>
      <c r="B14" s="265" t="s">
        <v>607</v>
      </c>
      <c r="C14" s="302" t="s">
        <v>605</v>
      </c>
      <c r="D14" s="196"/>
      <c r="E14" s="197" t="s">
        <v>70</v>
      </c>
      <c r="F14" s="427" t="s">
        <v>781</v>
      </c>
      <c r="G14" s="428" t="s">
        <v>782</v>
      </c>
      <c r="H14" s="198"/>
      <c r="I14" s="198"/>
      <c r="J14" s="216"/>
      <c r="K14" s="200" t="str">
        <f>TOCmatch!B10</f>
        <v>Договоры</v>
      </c>
      <c r="N14" s="215"/>
      <c r="O14" s="216"/>
    </row>
    <row r="15" spans="1:29" s="149" customFormat="1" outlineLevel="1" x14ac:dyDescent="0.25">
      <c r="A15" s="264">
        <v>41270.95989583333</v>
      </c>
      <c r="B15" s="265" t="s">
        <v>783</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outlineLevel="1" x14ac:dyDescent="0.25">
      <c r="A16" s="737">
        <v>41270.960196759261</v>
      </c>
      <c r="B16" s="265" t="s">
        <v>618</v>
      </c>
      <c r="C16" s="302" t="str">
        <f>B15</f>
        <v>Adapt</v>
      </c>
      <c r="D16" s="196"/>
      <c r="E16" s="197" t="s">
        <v>70</v>
      </c>
      <c r="F16" s="271" t="s">
        <v>567</v>
      </c>
      <c r="G16" s="221" t="s">
        <v>132</v>
      </c>
      <c r="H16" s="215"/>
      <c r="I16" s="215"/>
      <c r="J16" s="216"/>
      <c r="K16" s="200" t="str">
        <f>TOCmatch!B10</f>
        <v>Договоры</v>
      </c>
      <c r="L16" s="215"/>
      <c r="M16" s="215"/>
      <c r="N16" s="215"/>
      <c r="O16" s="216"/>
    </row>
    <row r="17" spans="1:19" s="149" customFormat="1" outlineLevel="1" x14ac:dyDescent="0.25">
      <c r="A17" s="737">
        <v>41270.960648148146</v>
      </c>
      <c r="B17" s="460" t="s">
        <v>622</v>
      </c>
      <c r="C17" s="302" t="str">
        <f>B16</f>
        <v>DateSort</v>
      </c>
      <c r="D17" s="5"/>
      <c r="E17" s="219" t="s">
        <v>70</v>
      </c>
      <c r="F17" s="272"/>
      <c r="G17" s="215"/>
      <c r="H17" s="215"/>
      <c r="I17" s="215"/>
      <c r="J17" s="216"/>
      <c r="K17" s="200" t="str">
        <f>TOCmatch!B10</f>
        <v>Договоры</v>
      </c>
      <c r="L17" s="301" t="str">
        <f>TOCmatch!B15</f>
        <v>SFD</v>
      </c>
      <c r="N17" s="215"/>
      <c r="O17" s="216"/>
    </row>
    <row r="18" spans="1:19" outlineLevel="1" x14ac:dyDescent="0.25">
      <c r="A18" s="264">
        <v>41270.960717592592</v>
      </c>
      <c r="B18" s="265" t="s">
        <v>656</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outlineLevel="1" x14ac:dyDescent="0.25">
      <c r="A19" s="738"/>
      <c r="B19" s="739" t="s">
        <v>626</v>
      </c>
      <c r="C19" s="237"/>
      <c r="D19" s="205"/>
      <c r="E19" s="206"/>
      <c r="F19" s="207"/>
      <c r="G19" s="208"/>
      <c r="H19" s="208"/>
      <c r="I19" s="208"/>
      <c r="J19" s="209"/>
      <c r="K19" s="210"/>
      <c r="L19" s="211"/>
      <c r="M19" s="208"/>
      <c r="N19" s="211"/>
      <c r="O19" s="209"/>
    </row>
    <row r="20" spans="1:19" s="173" customFormat="1" ht="15.75" thickBot="1" x14ac:dyDescent="0.3">
      <c r="A20" s="264"/>
      <c r="B20" s="265" t="s">
        <v>625</v>
      </c>
      <c r="C20" s="266"/>
      <c r="D20" s="212"/>
      <c r="E20" s="197"/>
      <c r="F20" s="220" t="s">
        <v>641</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655</v>
      </c>
      <c r="C21" s="302" t="s">
        <v>605</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607</v>
      </c>
      <c r="C22" s="668" t="str">
        <f>B21</f>
        <v>Acc1C_Bottom</v>
      </c>
      <c r="D22" s="196"/>
      <c r="E22" s="197" t="s">
        <v>70</v>
      </c>
      <c r="F22" s="200" t="s">
        <v>662</v>
      </c>
      <c r="G22" s="201"/>
      <c r="H22" s="198"/>
      <c r="I22" s="198"/>
      <c r="J22" s="216"/>
      <c r="K22" s="200" t="str">
        <f>K20</f>
        <v>Список клиентов 1C</v>
      </c>
      <c r="L22" s="215"/>
      <c r="M22" s="215"/>
      <c r="O22" s="216"/>
      <c r="S22" s="173"/>
    </row>
    <row r="23" spans="1:19" s="149" customFormat="1" hidden="1" outlineLevel="1" x14ac:dyDescent="0.25">
      <c r="A23" s="264">
        <v>41270.948252314818</v>
      </c>
      <c r="B23" s="265" t="s">
        <v>783</v>
      </c>
      <c r="C23" s="668" t="str">
        <f>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41270.948252314818</v>
      </c>
      <c r="B24" s="265" t="s">
        <v>656</v>
      </c>
      <c r="C24" s="668" t="str">
        <f>B23</f>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40"/>
      <c r="B25" s="741" t="s">
        <v>626</v>
      </c>
      <c r="C25" s="555"/>
      <c r="D25" s="240"/>
      <c r="E25" s="241"/>
      <c r="F25" s="242"/>
      <c r="G25" s="243"/>
      <c r="H25" s="243"/>
      <c r="I25" s="243"/>
      <c r="J25" s="244"/>
      <c r="K25" s="245"/>
      <c r="L25" s="246"/>
      <c r="M25" s="243"/>
      <c r="N25" s="246"/>
      <c r="O25" s="244"/>
    </row>
    <row r="26" spans="1:19" s="173" customFormat="1" ht="15.75" collapsed="1" thickTop="1" x14ac:dyDescent="0.25">
      <c r="A26" s="706"/>
      <c r="B26" s="707" t="s">
        <v>625</v>
      </c>
      <c r="C26" s="708"/>
      <c r="D26" s="309"/>
      <c r="E26" s="310" t="s">
        <v>201</v>
      </c>
      <c r="F26" s="311" t="s">
        <v>642</v>
      </c>
      <c r="G26" s="309"/>
      <c r="H26" s="309"/>
      <c r="I26" s="309"/>
      <c r="J26" s="312"/>
      <c r="K26" s="313" t="s">
        <v>569</v>
      </c>
      <c r="L26" s="314"/>
      <c r="M26" s="309"/>
      <c r="N26" s="314"/>
      <c r="O26" s="312"/>
    </row>
    <row r="27" spans="1:19" hidden="1" outlineLevel="1" x14ac:dyDescent="0.25">
      <c r="A27" s="264">
        <v>41270.965219907404</v>
      </c>
      <c r="B27" s="265" t="s">
        <v>607</v>
      </c>
      <c r="C27" s="302" t="s">
        <v>605</v>
      </c>
      <c r="D27" s="196"/>
      <c r="E27" s="197" t="s">
        <v>70</v>
      </c>
      <c r="F27" s="200" t="s">
        <v>623</v>
      </c>
      <c r="G27" s="201" t="s">
        <v>624</v>
      </c>
      <c r="H27" s="215"/>
      <c r="I27" s="215"/>
      <c r="J27" s="222"/>
      <c r="K27" s="223" t="s">
        <v>569</v>
      </c>
      <c r="L27" s="215"/>
      <c r="M27" s="215"/>
      <c r="N27" s="215"/>
      <c r="O27" s="222"/>
      <c r="S27" s="173"/>
    </row>
    <row r="28" spans="1:19" ht="45" hidden="1" outlineLevel="1" x14ac:dyDescent="0.25">
      <c r="A28" s="264">
        <v>41270.965254629627</v>
      </c>
      <c r="B28" s="265" t="s">
        <v>627</v>
      </c>
      <c r="C28" s="302" t="s">
        <v>650</v>
      </c>
      <c r="D28" s="215"/>
      <c r="E28" s="218" t="s">
        <v>70</v>
      </c>
      <c r="F28" s="214"/>
      <c r="G28" s="201"/>
      <c r="H28" s="215"/>
      <c r="I28" s="215"/>
      <c r="J28" s="222"/>
      <c r="K28" s="223" t="s">
        <v>569</v>
      </c>
      <c r="L28" s="215" t="str">
        <f>TOCmatch!B8</f>
        <v>Платежи</v>
      </c>
      <c r="M28" s="215"/>
      <c r="N28" s="215"/>
      <c r="O28" s="222"/>
      <c r="S28" s="173"/>
    </row>
    <row r="29" spans="1:19" hidden="1" outlineLevel="1" x14ac:dyDescent="0.25">
      <c r="A29" s="264">
        <v>41270.965266203704</v>
      </c>
      <c r="B29" s="265" t="s">
        <v>618</v>
      </c>
      <c r="C29" s="302"/>
      <c r="D29" s="196"/>
      <c r="E29" s="197" t="s">
        <v>70</v>
      </c>
      <c r="F29" s="220" t="str">
        <f>K29</f>
        <v>SF</v>
      </c>
      <c r="G29" s="221" t="s">
        <v>91</v>
      </c>
      <c r="H29" s="215"/>
      <c r="I29" s="215"/>
      <c r="J29" s="216"/>
      <c r="K29" s="200" t="s">
        <v>569</v>
      </c>
      <c r="L29" s="215"/>
      <c r="M29" s="215"/>
      <c r="N29" s="215"/>
      <c r="O29" s="216"/>
      <c r="S29" s="173"/>
    </row>
    <row r="30" spans="1:19" hidden="1" outlineLevel="1" x14ac:dyDescent="0.25">
      <c r="A30" s="264">
        <v>41270.969039351854</v>
      </c>
      <c r="B30" s="460" t="s">
        <v>664</v>
      </c>
      <c r="C30" s="302" t="s">
        <v>627</v>
      </c>
      <c r="D30" s="5"/>
      <c r="E30" s="218" t="s">
        <v>70</v>
      </c>
      <c r="F30" s="200" t="str">
        <f>F6</f>
        <v>LOAD_1C_P</v>
      </c>
      <c r="G30" s="201"/>
      <c r="H30" s="215"/>
      <c r="I30" s="215"/>
      <c r="J30" s="222"/>
      <c r="K30" s="223" t="s">
        <v>562</v>
      </c>
      <c r="L30" s="215"/>
      <c r="M30" s="215"/>
      <c r="N30" s="215"/>
      <c r="O30" s="222"/>
      <c r="S30" s="173"/>
    </row>
    <row r="31" spans="1:19" s="187" customFormat="1" hidden="1" outlineLevel="1" x14ac:dyDescent="0.25">
      <c r="A31" s="738"/>
      <c r="B31" s="739" t="s">
        <v>626</v>
      </c>
      <c r="C31" s="237"/>
      <c r="D31" s="205"/>
      <c r="E31" s="206" t="s">
        <v>201</v>
      </c>
      <c r="F31" s="207"/>
      <c r="G31" s="208"/>
      <c r="H31" s="208"/>
      <c r="I31" s="208"/>
      <c r="J31" s="209"/>
      <c r="K31" s="210" t="s">
        <v>569</v>
      </c>
      <c r="L31" s="211"/>
      <c r="M31" s="208"/>
      <c r="N31" s="211"/>
      <c r="O31" s="209"/>
    </row>
    <row r="32" spans="1:19" s="173" customFormat="1" collapsed="1" x14ac:dyDescent="0.25">
      <c r="A32" s="744"/>
      <c r="B32" s="745" t="s">
        <v>625</v>
      </c>
      <c r="C32" s="746"/>
      <c r="D32" s="303"/>
      <c r="E32" s="304" t="s">
        <v>201</v>
      </c>
      <c r="F32" s="305" t="s">
        <v>643</v>
      </c>
      <c r="G32" s="303"/>
      <c r="H32" s="303"/>
      <c r="I32" s="303"/>
      <c r="J32" s="306"/>
      <c r="K32" s="307" t="s">
        <v>572</v>
      </c>
      <c r="L32" s="308"/>
      <c r="M32" s="303"/>
      <c r="N32" s="308"/>
      <c r="O32" s="306"/>
    </row>
    <row r="33" spans="1:21" hidden="1" outlineLevel="1" x14ac:dyDescent="0.25">
      <c r="A33" s="264">
        <v>41270.958425925928</v>
      </c>
      <c r="B33" s="265" t="s">
        <v>607</v>
      </c>
      <c r="C33" s="302" t="s">
        <v>605</v>
      </c>
      <c r="D33" s="196"/>
      <c r="E33" s="197" t="s">
        <v>70</v>
      </c>
      <c r="F33" s="200" t="s">
        <v>651</v>
      </c>
      <c r="G33" s="201" t="s">
        <v>652</v>
      </c>
      <c r="H33" s="215"/>
      <c r="I33" s="215"/>
      <c r="J33" s="222"/>
      <c r="K33" s="223" t="s">
        <v>572</v>
      </c>
      <c r="M33" s="215"/>
      <c r="N33" s="215"/>
      <c r="O33" s="222"/>
      <c r="S33" s="173"/>
    </row>
    <row r="34" spans="1:21" hidden="1" outlineLevel="1" x14ac:dyDescent="0.25">
      <c r="A34" s="264">
        <v>41270.959143518521</v>
      </c>
      <c r="B34" s="265" t="s">
        <v>783</v>
      </c>
      <c r="C34" s="302" t="str">
        <f>B33</f>
        <v>InsMyCol</v>
      </c>
      <c r="D34" s="196"/>
      <c r="E34" s="197" t="s">
        <v>70</v>
      </c>
      <c r="F34" s="200" t="str">
        <f>F33</f>
        <v xml:space="preserve"> SFD_MyCol</v>
      </c>
      <c r="G34" s="201"/>
      <c r="H34" s="215"/>
      <c r="I34" s="215"/>
      <c r="J34" s="222"/>
      <c r="K34" s="223" t="s">
        <v>572</v>
      </c>
      <c r="L34" s="5" t="str">
        <f>TOCmatch!B$10</f>
        <v>Договоры</v>
      </c>
      <c r="M34" s="215"/>
      <c r="N34" s="215"/>
      <c r="O34" s="222"/>
      <c r="S34" s="173"/>
    </row>
    <row r="35" spans="1:21" hidden="1" outlineLevel="1" x14ac:dyDescent="0.25">
      <c r="A35" s="264">
        <v>41270.959513888891</v>
      </c>
      <c r="B35" s="265" t="s">
        <v>618</v>
      </c>
      <c r="C35" s="302" t="str">
        <f>B34</f>
        <v>Adapt</v>
      </c>
      <c r="D35" s="196"/>
      <c r="E35" s="197" t="s">
        <v>70</v>
      </c>
      <c r="F35" s="220" t="str">
        <f>K35</f>
        <v>SFD</v>
      </c>
      <c r="G35" s="221" t="s">
        <v>128</v>
      </c>
      <c r="H35" s="215"/>
      <c r="I35" s="215"/>
      <c r="J35" s="216"/>
      <c r="K35" s="223" t="s">
        <v>572</v>
      </c>
      <c r="L35" s="215"/>
      <c r="M35" s="215"/>
      <c r="N35" s="215"/>
      <c r="O35" s="216"/>
    </row>
    <row r="36" spans="1:21" hidden="1" outlineLevel="1" x14ac:dyDescent="0.25">
      <c r="A36" s="264">
        <v>41270.960740740738</v>
      </c>
      <c r="B36" s="460" t="s">
        <v>664</v>
      </c>
      <c r="C36" s="668" t="str">
        <f>B35</f>
        <v>DateSort</v>
      </c>
      <c r="D36" s="5"/>
      <c r="E36" s="218" t="s">
        <v>70</v>
      </c>
      <c r="F36" s="200" t="str">
        <f>F13</f>
        <v>LOAD_1C_DOG</v>
      </c>
      <c r="G36" s="201"/>
      <c r="H36" s="215"/>
      <c r="I36" s="215"/>
      <c r="J36" s="222"/>
      <c r="K36" s="223" t="s">
        <v>567</v>
      </c>
      <c r="L36" s="215"/>
      <c r="M36" s="215"/>
      <c r="N36" s="215"/>
      <c r="O36" s="222"/>
    </row>
    <row r="37" spans="1:21" s="187" customFormat="1" hidden="1" outlineLevel="1" x14ac:dyDescent="0.25">
      <c r="A37" s="738"/>
      <c r="B37" s="739" t="s">
        <v>626</v>
      </c>
      <c r="C37" s="237"/>
      <c r="D37" s="205"/>
      <c r="E37" s="206" t="s">
        <v>201</v>
      </c>
      <c r="F37" s="207"/>
      <c r="G37" s="208"/>
      <c r="H37" s="208"/>
      <c r="I37" s="208"/>
      <c r="J37" s="209"/>
      <c r="K37" s="210"/>
      <c r="L37" s="211"/>
      <c r="M37" s="208"/>
      <c r="N37" s="211"/>
      <c r="O37" s="209"/>
    </row>
    <row r="38" spans="1:21" s="173" customFormat="1" collapsed="1" x14ac:dyDescent="0.25">
      <c r="A38" s="468"/>
      <c r="B38" s="469" t="s">
        <v>625</v>
      </c>
      <c r="C38" s="470"/>
      <c r="D38" s="471"/>
      <c r="E38" s="472" t="s">
        <v>201</v>
      </c>
      <c r="F38" s="473" t="s">
        <v>644</v>
      </c>
      <c r="G38" s="471"/>
      <c r="H38" s="471"/>
      <c r="I38" s="471"/>
      <c r="J38" s="474"/>
      <c r="K38" s="475" t="str">
        <f>TOCmatch!B17</f>
        <v>SFacc</v>
      </c>
      <c r="L38" s="476"/>
      <c r="M38" s="471"/>
      <c r="N38" s="476"/>
      <c r="O38" s="474"/>
    </row>
    <row r="39" spans="1:21" hidden="1" outlineLevel="1" x14ac:dyDescent="0.25">
      <c r="A39" s="264">
        <v>41270.946921296294</v>
      </c>
      <c r="B39" s="265" t="s">
        <v>664</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41270.947569444441</v>
      </c>
      <c r="B40" s="265" t="s">
        <v>664</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41270.948252314818</v>
      </c>
      <c r="B41" s="265" t="s">
        <v>664</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40"/>
      <c r="B42" s="741" t="s">
        <v>626</v>
      </c>
      <c r="C42" s="555"/>
      <c r="D42" s="240"/>
      <c r="E42" s="241"/>
      <c r="F42" s="242"/>
      <c r="G42" s="243"/>
      <c r="H42" s="243"/>
      <c r="I42" s="243"/>
      <c r="J42" s="244"/>
      <c r="K42" s="245"/>
      <c r="L42" s="246"/>
      <c r="M42" s="243"/>
      <c r="N42" s="246"/>
      <c r="O42" s="244"/>
    </row>
    <row r="43" spans="1:21" s="173" customFormat="1" ht="15.75" collapsed="1" thickBot="1" x14ac:dyDescent="0.3">
      <c r="B43" s="269" t="s">
        <v>625</v>
      </c>
      <c r="E43" s="190"/>
      <c r="F43" s="189" t="s">
        <v>646</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858</v>
      </c>
      <c r="C44" s="302" t="s">
        <v>605</v>
      </c>
      <c r="D44" s="196"/>
      <c r="E44" s="197" t="s">
        <v>70</v>
      </c>
      <c r="F44" s="214" t="s">
        <v>862</v>
      </c>
      <c r="G44" s="221"/>
      <c r="H44" s="198"/>
      <c r="I44" s="198"/>
      <c r="J44" s="199"/>
      <c r="K44" s="200" t="str">
        <f>K43</f>
        <v>Заказы</v>
      </c>
      <c r="L44" s="201"/>
      <c r="M44" s="198"/>
      <c r="N44" s="201"/>
      <c r="O44" s="199"/>
    </row>
    <row r="45" spans="1:21" s="173" customFormat="1" hidden="1" outlineLevel="1" x14ac:dyDescent="0.25">
      <c r="A45" s="264">
        <v>41211.867777777778</v>
      </c>
      <c r="B45" s="265" t="s">
        <v>607</v>
      </c>
      <c r="C45" s="481" t="str">
        <f>B44</f>
        <v>RowDel</v>
      </c>
      <c r="D45" s="196"/>
      <c r="E45" s="197" t="s">
        <v>70</v>
      </c>
      <c r="F45" s="200" t="s">
        <v>863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861</v>
      </c>
      <c r="C46" s="665" t="str">
        <f>B45</f>
        <v>InsMyCol</v>
      </c>
      <c r="D46" s="196"/>
      <c r="E46" s="197" t="s">
        <v>201</v>
      </c>
      <c r="F46" s="214" t="s">
        <v>94</v>
      </c>
      <c r="G46" s="221" t="s">
        <v>126</v>
      </c>
      <c r="H46" s="221" t="s">
        <v>130</v>
      </c>
      <c r="I46" s="221" t="s">
        <v>811</v>
      </c>
      <c r="J46" s="554"/>
      <c r="K46" s="200" t="str">
        <f>K43</f>
        <v>Заказы</v>
      </c>
      <c r="L46" s="201" t="str">
        <f>TOCmatch!B8</f>
        <v>Платежи</v>
      </c>
      <c r="M46" s="198"/>
      <c r="O46" s="199"/>
    </row>
    <row r="47" spans="1:21" s="173" customFormat="1" hidden="1" outlineLevel="1" x14ac:dyDescent="0.25">
      <c r="A47" s="217"/>
      <c r="B47" s="196" t="s">
        <v>631</v>
      </c>
      <c r="C47" s="236"/>
      <c r="D47" s="196"/>
      <c r="E47" s="197"/>
      <c r="F47" s="214" t="s">
        <v>70</v>
      </c>
      <c r="G47" s="221"/>
      <c r="H47" s="198"/>
      <c r="I47" s="198"/>
      <c r="J47" s="199"/>
      <c r="K47" s="556"/>
      <c r="L47" s="201"/>
      <c r="M47" s="198"/>
      <c r="N47" s="201"/>
      <c r="O47" s="199"/>
    </row>
    <row r="48" spans="1:21" s="173" customFormat="1" hidden="1" outlineLevel="1" x14ac:dyDescent="0.25">
      <c r="A48" s="195">
        <v>41211.867939814816</v>
      </c>
      <c r="B48" s="196" t="s">
        <v>783</v>
      </c>
      <c r="C48" s="665"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626</v>
      </c>
      <c r="C49" s="237"/>
      <c r="D49" s="205"/>
      <c r="E49" s="206"/>
      <c r="F49" s="207"/>
      <c r="G49" s="208"/>
      <c r="H49" s="208"/>
      <c r="I49" s="208"/>
      <c r="J49" s="209"/>
      <c r="K49" s="210"/>
      <c r="L49" s="211"/>
      <c r="M49" s="208"/>
      <c r="N49" s="211"/>
      <c r="O49" s="209"/>
    </row>
    <row r="50" spans="1:21" s="173" customFormat="1" ht="16.5" collapsed="1" thickTop="1" thickBot="1" x14ac:dyDescent="0.3">
      <c r="B50" s="269" t="s">
        <v>625</v>
      </c>
      <c r="E50" s="484" t="s">
        <v>591</v>
      </c>
      <c r="F50" s="189" t="s">
        <v>645</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858</v>
      </c>
      <c r="C51" s="302" t="s">
        <v>605</v>
      </c>
      <c r="D51" s="196"/>
      <c r="E51" s="197" t="s">
        <v>70</v>
      </c>
      <c r="F51" s="214" t="s">
        <v>859</v>
      </c>
      <c r="G51" s="221"/>
      <c r="H51" s="198"/>
      <c r="I51" s="198"/>
      <c r="J51" s="199"/>
      <c r="K51" s="556" t="str">
        <f>K50</f>
        <v>Склад</v>
      </c>
      <c r="L51" s="201"/>
      <c r="M51" s="198"/>
      <c r="N51" s="201"/>
      <c r="O51" s="199"/>
    </row>
    <row r="52" spans="1:21" s="173" customFormat="1" hidden="1" outlineLevel="1" x14ac:dyDescent="0.25">
      <c r="A52" s="264">
        <v>41232.9768287037</v>
      </c>
      <c r="B52" s="265" t="s">
        <v>607</v>
      </c>
      <c r="C52" s="481" t="str">
        <f>B51</f>
        <v>RowDel</v>
      </c>
      <c r="D52" s="196"/>
      <c r="E52" s="197" t="s">
        <v>70</v>
      </c>
      <c r="F52" s="200" t="s">
        <v>860</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631</v>
      </c>
      <c r="C53" s="236"/>
      <c r="D53" s="196"/>
      <c r="E53" s="197" t="s">
        <v>201</v>
      </c>
      <c r="F53" s="214" t="s">
        <v>70</v>
      </c>
      <c r="G53" s="221" t="s">
        <v>987</v>
      </c>
      <c r="H53" s="198"/>
      <c r="I53" s="198"/>
      <c r="J53" s="199"/>
      <c r="K53" s="200"/>
      <c r="L53" s="201"/>
      <c r="M53" s="198"/>
      <c r="N53" s="201"/>
      <c r="O53" s="199"/>
    </row>
    <row r="54" spans="1:21" s="173" customFormat="1" hidden="1" outlineLevel="1" x14ac:dyDescent="0.25">
      <c r="A54" s="195">
        <v>41249.044224537036</v>
      </c>
      <c r="B54" s="196" t="s">
        <v>783</v>
      </c>
      <c r="C54" s="665"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hidden="1" outlineLevel="1" thickBot="1" x14ac:dyDescent="0.3">
      <c r="A55" s="204"/>
      <c r="B55" s="205" t="s">
        <v>626</v>
      </c>
      <c r="C55" s="237"/>
      <c r="D55" s="205"/>
      <c r="E55" s="206" t="s">
        <v>201</v>
      </c>
      <c r="F55" s="207"/>
      <c r="G55" s="208"/>
      <c r="H55" s="208"/>
      <c r="I55" s="208"/>
      <c r="J55" s="209"/>
      <c r="K55" s="210"/>
      <c r="L55" s="211"/>
      <c r="M55" s="208"/>
      <c r="N55" s="211"/>
      <c r="O55" s="209"/>
    </row>
    <row r="56" spans="1:21" s="173" customFormat="1" ht="15.75" collapsed="1" thickTop="1" x14ac:dyDescent="0.25">
      <c r="A56" s="706"/>
      <c r="B56" s="707" t="s">
        <v>625</v>
      </c>
      <c r="C56" s="708"/>
      <c r="D56" s="309"/>
      <c r="E56" s="310" t="s">
        <v>201</v>
      </c>
      <c r="F56" s="311" t="s">
        <v>648</v>
      </c>
      <c r="G56" s="309"/>
      <c r="H56" s="309"/>
      <c r="I56" s="309"/>
      <c r="J56" s="312"/>
      <c r="K56" s="477" t="s">
        <v>562</v>
      </c>
      <c r="L56" s="314"/>
      <c r="M56" s="309"/>
      <c r="N56" s="314"/>
      <c r="O56" s="312"/>
    </row>
    <row r="57" spans="1:21" s="173" customFormat="1" x14ac:dyDescent="0.25">
      <c r="A57" s="217"/>
      <c r="B57" s="196" t="s">
        <v>631</v>
      </c>
      <c r="C57" s="236"/>
      <c r="D57" s="196"/>
      <c r="E57" s="197"/>
      <c r="F57" s="214" t="s">
        <v>70</v>
      </c>
      <c r="G57" s="221"/>
      <c r="H57" s="198"/>
      <c r="I57" s="198"/>
      <c r="J57" s="199"/>
      <c r="K57" s="200"/>
      <c r="L57" s="201"/>
      <c r="M57" s="198"/>
      <c r="N57" s="201"/>
      <c r="O57" s="199"/>
    </row>
    <row r="58" spans="1:21" ht="30" x14ac:dyDescent="0.25">
      <c r="A58" s="217"/>
      <c r="B58" s="202" t="s">
        <v>665</v>
      </c>
      <c r="C58" s="235" t="s">
        <v>666</v>
      </c>
      <c r="D58" s="5"/>
      <c r="E58" s="218" t="s">
        <v>201</v>
      </c>
      <c r="F58" s="200"/>
      <c r="G58" s="201"/>
      <c r="H58" s="215"/>
      <c r="I58" s="215"/>
      <c r="J58" s="222"/>
      <c r="K58" s="223" t="s">
        <v>562</v>
      </c>
      <c r="L58" s="215"/>
      <c r="M58" s="215"/>
      <c r="N58" s="215"/>
      <c r="O58" s="222"/>
    </row>
    <row r="59" spans="1:21" x14ac:dyDescent="0.25">
      <c r="A59" s="217"/>
      <c r="B59" s="202" t="s">
        <v>633</v>
      </c>
      <c r="C59" s="239" t="s">
        <v>632</v>
      </c>
      <c r="D59" s="5"/>
      <c r="E59" s="218"/>
      <c r="F59" s="200" t="s">
        <v>634</v>
      </c>
      <c r="G59" s="201" t="s">
        <v>635</v>
      </c>
      <c r="H59" s="215" t="s">
        <v>636</v>
      </c>
      <c r="I59" s="215" t="s">
        <v>637</v>
      </c>
      <c r="J59" s="222"/>
      <c r="K59" s="223"/>
      <c r="L59" s="215"/>
      <c r="M59" s="215"/>
      <c r="N59" s="215"/>
      <c r="O59" s="222"/>
    </row>
    <row r="60" spans="1:21" s="187" customFormat="1" ht="15.75" thickBot="1" x14ac:dyDescent="0.3">
      <c r="A60" s="204"/>
      <c r="B60" s="205" t="s">
        <v>626</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625</v>
      </c>
      <c r="C61" s="238"/>
      <c r="D61" s="212"/>
      <c r="E61" s="484" t="s">
        <v>201</v>
      </c>
      <c r="F61" s="213" t="s">
        <v>806</v>
      </c>
      <c r="G61" s="198"/>
      <c r="H61" s="198"/>
      <c r="I61" s="198"/>
      <c r="J61" s="199"/>
      <c r="K61" s="188" t="str">
        <f>TOCmatch!B8</f>
        <v>Платежи</v>
      </c>
      <c r="L61" s="201"/>
      <c r="M61" s="198"/>
      <c r="N61" s="201"/>
      <c r="O61" s="199"/>
      <c r="P61" s="464"/>
    </row>
    <row r="62" spans="1:21" s="173" customFormat="1" ht="15.75" thickTop="1" x14ac:dyDescent="0.25">
      <c r="A62" s="195"/>
      <c r="B62" s="196" t="s">
        <v>631</v>
      </c>
      <c r="C62" s="236"/>
      <c r="D62" s="196"/>
      <c r="E62" s="197" t="s">
        <v>201</v>
      </c>
      <c r="F62" s="214" t="s">
        <v>70</v>
      </c>
      <c r="G62" s="221"/>
      <c r="H62" s="198"/>
      <c r="I62" s="198"/>
      <c r="J62" s="199"/>
      <c r="K62" s="200"/>
      <c r="L62" s="201"/>
      <c r="M62" s="198"/>
      <c r="N62" s="201"/>
      <c r="O62" s="199"/>
      <c r="P62" s="464"/>
    </row>
    <row r="63" spans="1:21" s="173" customFormat="1" x14ac:dyDescent="0.25">
      <c r="A63" s="264">
        <v>41260.062905092593</v>
      </c>
      <c r="B63" s="265" t="s">
        <v>680</v>
      </c>
      <c r="C63" s="266"/>
      <c r="D63" s="212"/>
      <c r="E63" s="197" t="s">
        <v>70</v>
      </c>
      <c r="F63" s="267" t="s">
        <v>807</v>
      </c>
      <c r="G63" s="198"/>
      <c r="H63" s="198"/>
      <c r="I63" s="198"/>
      <c r="J63" s="199"/>
      <c r="K63" s="267" t="str">
        <f>F63</f>
        <v>NewPayment</v>
      </c>
      <c r="L63" s="201"/>
      <c r="M63" s="198"/>
      <c r="N63" s="201"/>
      <c r="O63" s="199"/>
      <c r="P63" s="464"/>
    </row>
    <row r="64" spans="1:21" s="173" customFormat="1" x14ac:dyDescent="0.25">
      <c r="A64" s="195"/>
      <c r="B64" s="196" t="s">
        <v>808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c r="B65" s="202" t="s">
        <v>633</v>
      </c>
      <c r="C65" s="467" t="str">
        <f>B64</f>
        <v>NewPaidOpp</v>
      </c>
      <c r="D65" s="196"/>
      <c r="E65" s="197" t="s">
        <v>201</v>
      </c>
      <c r="F65" s="267" t="s">
        <v>807</v>
      </c>
      <c r="G65" s="201" t="s">
        <v>805</v>
      </c>
      <c r="H65" s="215" t="s">
        <v>813</v>
      </c>
      <c r="I65" s="215" t="s">
        <v>814</v>
      </c>
      <c r="J65" s="199"/>
      <c r="K65" s="200"/>
      <c r="L65" s="201"/>
      <c r="M65" s="198"/>
      <c r="N65" s="201"/>
      <c r="O65" s="199"/>
      <c r="P65" s="464"/>
    </row>
    <row r="66" spans="1:21" s="187" customFormat="1" ht="15.75" thickBot="1" x14ac:dyDescent="0.3">
      <c r="A66" s="204"/>
      <c r="B66" s="205" t="s">
        <v>626</v>
      </c>
      <c r="C66" s="237">
        <v>224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625</v>
      </c>
      <c r="C67" s="266"/>
      <c r="D67" s="212"/>
      <c r="E67" s="484" t="s">
        <v>591</v>
      </c>
      <c r="F67" s="213" t="s">
        <v>809</v>
      </c>
      <c r="G67" s="198"/>
      <c r="H67" s="198"/>
      <c r="I67" s="198"/>
      <c r="J67" s="199"/>
      <c r="K67" s="188" t="str">
        <f>TOCmatch!B8</f>
        <v>Платежи</v>
      </c>
      <c r="L67" s="201"/>
      <c r="M67" s="198"/>
      <c r="N67" s="201"/>
      <c r="O67" s="199"/>
      <c r="P67" s="462"/>
    </row>
    <row r="68" spans="1:21" s="173" customFormat="1" ht="15.75" thickTop="1" x14ac:dyDescent="0.25">
      <c r="A68" s="264">
        <v>41270.970555555556</v>
      </c>
      <c r="B68" s="265" t="s">
        <v>1002</v>
      </c>
      <c r="C68" s="742" t="str">
        <f>F6&amp;"/"&amp;B10</f>
        <v>LOAD_1C_P/PaymentPaint</v>
      </c>
      <c r="D68" s="196"/>
      <c r="E68" s="197" t="s">
        <v>70</v>
      </c>
      <c r="F68" s="267" t="s">
        <v>807</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41270.970555555556</v>
      </c>
      <c r="B69" s="460" t="s">
        <v>633</v>
      </c>
      <c r="C69" s="583" t="str">
        <f>B68</f>
        <v>PaidContr</v>
      </c>
      <c r="D69" s="196"/>
      <c r="E69" s="197" t="s">
        <v>70</v>
      </c>
      <c r="F69" s="268" t="str">
        <f>F68</f>
        <v>NewPayment</v>
      </c>
      <c r="G69" s="201" t="s">
        <v>805</v>
      </c>
      <c r="H69" s="215" t="s">
        <v>813</v>
      </c>
      <c r="I69" s="215" t="s">
        <v>814</v>
      </c>
      <c r="J69" s="199"/>
      <c r="K69" s="267" t="str">
        <f>F69</f>
        <v>NewPayment</v>
      </c>
      <c r="M69" s="198"/>
      <c r="N69" s="201"/>
      <c r="O69" s="199"/>
      <c r="P69" s="462"/>
    </row>
    <row r="70" spans="1:21" s="187" customFormat="1" ht="15.75" thickBot="1" x14ac:dyDescent="0.3">
      <c r="A70" s="738"/>
      <c r="B70" s="739" t="s">
        <v>626</v>
      </c>
      <c r="C70" s="743">
        <v>0</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625</v>
      </c>
      <c r="C71" s="266"/>
      <c r="D71" s="212"/>
      <c r="E71" s="484" t="s">
        <v>591</v>
      </c>
      <c r="F71" s="483" t="s">
        <v>671</v>
      </c>
      <c r="G71" s="198"/>
      <c r="H71" s="198"/>
      <c r="I71" s="198"/>
      <c r="J71" s="199"/>
      <c r="K71" s="188" t="str">
        <f>K13</f>
        <v>Договоры</v>
      </c>
      <c r="L71" s="201"/>
      <c r="M71" s="198"/>
      <c r="N71" s="201"/>
      <c r="O71" s="199"/>
    </row>
    <row r="72" spans="1:21" s="173" customFormat="1" ht="15.75" thickTop="1" x14ac:dyDescent="0.25">
      <c r="A72" s="264">
        <v>41270.962002314816</v>
      </c>
      <c r="B72" s="265" t="s">
        <v>670</v>
      </c>
      <c r="C72" s="742" t="str">
        <f>F13&amp;"/"&amp;B14</f>
        <v>LOAD_1C_DOG/InsMyCol</v>
      </c>
      <c r="D72" s="196"/>
      <c r="E72" s="197" t="s">
        <v>70</v>
      </c>
      <c r="F72" s="267" t="s">
        <v>681</v>
      </c>
      <c r="G72" s="221"/>
      <c r="H72" s="198"/>
      <c r="I72" s="198"/>
      <c r="J72" s="199"/>
      <c r="K72" s="200" t="str">
        <f>K71</f>
        <v>Договоры</v>
      </c>
      <c r="L72" s="301" t="str">
        <f>TOCmatch!B15</f>
        <v>SFD</v>
      </c>
      <c r="M72" s="301" t="str">
        <f>TOCmatch!B17</f>
        <v>SFacc</v>
      </c>
      <c r="N72" s="201"/>
      <c r="O72" s="199"/>
      <c r="U72" s="711"/>
    </row>
    <row r="73" spans="1:21" s="173" customFormat="1" x14ac:dyDescent="0.25">
      <c r="A73" s="264">
        <v>41270.962002314816</v>
      </c>
      <c r="B73" s="460" t="s">
        <v>633</v>
      </c>
      <c r="C73" s="583" t="str">
        <f>B72</f>
        <v>NewContr</v>
      </c>
      <c r="D73" s="196"/>
      <c r="E73" s="197" t="s">
        <v>70</v>
      </c>
      <c r="F73" s="268" t="str">
        <f>F72</f>
        <v>NewContract</v>
      </c>
      <c r="G73" s="201" t="s">
        <v>805</v>
      </c>
      <c r="H73" s="215" t="s">
        <v>672</v>
      </c>
      <c r="I73" s="215" t="s">
        <v>673</v>
      </c>
      <c r="J73" s="199"/>
      <c r="K73" s="267" t="str">
        <f>F73</f>
        <v>NewContract</v>
      </c>
      <c r="M73" s="198"/>
      <c r="N73" s="201"/>
      <c r="O73" s="199"/>
    </row>
    <row r="74" spans="1:21" s="187" customFormat="1" x14ac:dyDescent="0.25">
      <c r="A74" s="738"/>
      <c r="B74" s="739" t="s">
        <v>626</v>
      </c>
      <c r="C74" s="743">
        <v>0</v>
      </c>
      <c r="D74" s="205"/>
      <c r="E74" s="206" t="s">
        <v>201</v>
      </c>
      <c r="F74" s="207"/>
      <c r="G74" s="208"/>
      <c r="H74" s="208"/>
      <c r="I74" s="208"/>
      <c r="J74" s="209"/>
      <c r="K74" s="210"/>
      <c r="L74" s="211"/>
      <c r="M74" s="208"/>
      <c r="N74" s="211"/>
      <c r="O74" s="209"/>
    </row>
    <row r="75" spans="1:21" s="173" customFormat="1" x14ac:dyDescent="0.25">
      <c r="A75" s="264"/>
      <c r="B75" s="265" t="s">
        <v>625</v>
      </c>
      <c r="C75" s="266"/>
      <c r="D75" s="212"/>
      <c r="E75" s="197" t="s">
        <v>201</v>
      </c>
      <c r="F75" s="213" t="s">
        <v>667</v>
      </c>
      <c r="G75" s="198"/>
      <c r="H75" s="198"/>
      <c r="I75" s="198"/>
      <c r="J75" s="199"/>
      <c r="K75" s="188" t="str">
        <f>TOCmatch!B10</f>
        <v>Договоры</v>
      </c>
      <c r="L75" s="201"/>
      <c r="M75" s="198"/>
      <c r="N75" s="201"/>
      <c r="O75" s="199"/>
    </row>
    <row r="76" spans="1:21" x14ac:dyDescent="0.25">
      <c r="A76" s="217"/>
      <c r="B76" s="202" t="s">
        <v>668</v>
      </c>
      <c r="C76" s="235" t="s">
        <v>670</v>
      </c>
      <c r="D76" s="5"/>
      <c r="E76" s="218" t="s">
        <v>201</v>
      </c>
      <c r="F76" s="200"/>
      <c r="G76" s="201"/>
      <c r="H76" s="215"/>
      <c r="I76" s="215"/>
      <c r="J76" s="222"/>
      <c r="K76" s="223" t="s">
        <v>567</v>
      </c>
      <c r="L76" s="215"/>
      <c r="M76" s="215"/>
      <c r="N76" s="215"/>
      <c r="O76" s="222"/>
    </row>
    <row r="77" spans="1:21" x14ac:dyDescent="0.25">
      <c r="A77" s="217"/>
      <c r="B77" s="202" t="s">
        <v>633</v>
      </c>
      <c r="C77" s="239" t="s">
        <v>668</v>
      </c>
      <c r="D77" s="5"/>
      <c r="E77" s="218"/>
      <c r="F77" s="200" t="s">
        <v>669</v>
      </c>
      <c r="G77" s="201" t="s">
        <v>635</v>
      </c>
      <c r="H77" s="215" t="s">
        <v>636</v>
      </c>
      <c r="I77" s="215" t="s">
        <v>637</v>
      </c>
      <c r="J77" s="222"/>
      <c r="K77" s="223"/>
      <c r="L77" s="215"/>
      <c r="M77" s="215"/>
      <c r="N77" s="215"/>
      <c r="O77" s="222"/>
    </row>
    <row r="78" spans="1:21" s="247" customFormat="1" ht="15.75" thickBot="1" x14ac:dyDescent="0.3">
      <c r="A78" s="712"/>
      <c r="B78" s="240" t="s">
        <v>626</v>
      </c>
      <c r="C78" s="712"/>
      <c r="D78" s="240"/>
      <c r="E78" s="241" t="s">
        <v>201</v>
      </c>
      <c r="F78" s="242"/>
      <c r="G78" s="243"/>
      <c r="H78" s="243"/>
      <c r="I78" s="243"/>
      <c r="J78" s="244"/>
      <c r="K78" s="245"/>
      <c r="L78" s="246"/>
      <c r="M78" s="243"/>
      <c r="N78" s="246"/>
      <c r="O78" s="244"/>
    </row>
    <row r="79" spans="1:21" s="173" customFormat="1" ht="15.75" thickTop="1" x14ac:dyDescent="0.25">
      <c r="A79" s="195"/>
      <c r="B79" s="196" t="s">
        <v>625</v>
      </c>
      <c r="C79" s="238"/>
      <c r="D79" s="212"/>
      <c r="E79" s="197" t="s">
        <v>201</v>
      </c>
      <c r="F79" s="213" t="s">
        <v>1005</v>
      </c>
      <c r="G79" s="198"/>
      <c r="H79" s="198"/>
      <c r="I79" s="198"/>
      <c r="J79" s="199"/>
      <c r="K79" s="188" t="str">
        <f>TOCmatch!B12</f>
        <v>Список клиентов 1C</v>
      </c>
      <c r="L79" s="201"/>
      <c r="M79" s="198"/>
      <c r="N79" s="201"/>
      <c r="O79" s="199"/>
    </row>
    <row r="80" spans="1:21" x14ac:dyDescent="0.25">
      <c r="A80" s="195">
        <v>41237.062696759262</v>
      </c>
      <c r="B80" s="202" t="s">
        <v>1006</v>
      </c>
      <c r="C80" s="160" t="str">
        <f>F20&amp;"/"&amp;B22</f>
        <v>LOAD_1C_ACC/InsMyCol</v>
      </c>
      <c r="D80" s="5"/>
      <c r="E80" s="218" t="s">
        <v>201</v>
      </c>
      <c r="F80" s="200" t="s">
        <v>1004</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626</v>
      </c>
      <c r="C81" s="237"/>
      <c r="D81" s="205"/>
      <c r="E81" s="206" t="s">
        <v>201</v>
      </c>
      <c r="F81" s="207"/>
      <c r="G81" s="208"/>
      <c r="H81" s="208"/>
      <c r="I81" s="208"/>
      <c r="J81" s="209"/>
      <c r="K81" s="210"/>
      <c r="L81" s="211"/>
      <c r="M81" s="208"/>
      <c r="N81" s="211"/>
      <c r="O81" s="209"/>
    </row>
    <row r="82" spans="1:15" s="522" customFormat="1" ht="16.5" thickTop="1" thickBot="1" x14ac:dyDescent="0.3">
      <c r="A82" s="734">
        <v>41201.045671296299</v>
      </c>
      <c r="B82" s="735" t="s">
        <v>625</v>
      </c>
      <c r="C82" s="736"/>
      <c r="D82" s="516"/>
      <c r="E82" s="517" t="s">
        <v>201</v>
      </c>
      <c r="F82" s="518" t="s">
        <v>835</v>
      </c>
      <c r="G82" s="516"/>
      <c r="H82" s="516"/>
      <c r="I82" s="516"/>
      <c r="J82" s="519"/>
      <c r="K82" s="520" t="str">
        <f>K6</f>
        <v>Платежи</v>
      </c>
      <c r="L82" s="521"/>
      <c r="M82" s="516"/>
      <c r="N82" s="521"/>
      <c r="O82" s="519"/>
    </row>
    <row r="83" spans="1:15" s="173" customFormat="1" ht="16.5" thickTop="1" thickBot="1" x14ac:dyDescent="0.3">
      <c r="A83" s="264">
        <v>41265.130231481482</v>
      </c>
      <c r="B83" s="460" t="s">
        <v>838</v>
      </c>
      <c r="C83" s="461"/>
      <c r="D83" s="196"/>
      <c r="E83" s="452" t="s">
        <v>70</v>
      </c>
      <c r="F83" s="200" t="str">
        <f>F71</f>
        <v>HANDL_NewContract</v>
      </c>
      <c r="G83" s="696" t="str">
        <f>F82</f>
        <v>WP_PaidOpp</v>
      </c>
      <c r="H83" s="696" t="str">
        <f>B90</f>
        <v>WP_Paid</v>
      </c>
      <c r="I83" s="697">
        <v>7</v>
      </c>
      <c r="J83" s="199"/>
      <c r="K83" s="200"/>
      <c r="L83" s="201"/>
      <c r="M83" s="198"/>
      <c r="N83" s="201"/>
      <c r="O83" s="199"/>
    </row>
    <row r="84" spans="1:15" s="173" customFormat="1" x14ac:dyDescent="0.25">
      <c r="A84" s="264">
        <v>41265.130231481482</v>
      </c>
      <c r="B84" s="265" t="s">
        <v>837</v>
      </c>
      <c r="C84" s="583" t="str">
        <f>B83</f>
        <v>ProcReset</v>
      </c>
      <c r="D84" s="196"/>
      <c r="E84" s="197" t="s">
        <v>70</v>
      </c>
      <c r="F84" s="523">
        <f>C74</f>
        <v>0</v>
      </c>
      <c r="G84" s="221"/>
      <c r="H84" s="198"/>
      <c r="I84" s="198"/>
      <c r="J84" s="199"/>
      <c r="K84" s="200"/>
      <c r="L84" s="201"/>
      <c r="M84" s="198"/>
      <c r="N84" s="201"/>
      <c r="O84" s="199"/>
    </row>
    <row r="85" spans="1:15" s="173" customFormat="1" x14ac:dyDescent="0.25">
      <c r="A85" s="264">
        <v>41265.130254629628</v>
      </c>
      <c r="B85" s="460" t="s">
        <v>838</v>
      </c>
      <c r="C85" s="461"/>
      <c r="D85" s="196"/>
      <c r="E85" s="452" t="s">
        <v>70</v>
      </c>
      <c r="F85" s="200" t="str">
        <f>F67</f>
        <v>HANDL_PaidContr</v>
      </c>
      <c r="G85" s="221"/>
      <c r="H85" s="198"/>
      <c r="I85" s="198"/>
      <c r="J85" s="199"/>
      <c r="K85" s="200"/>
      <c r="L85" s="201"/>
      <c r="M85" s="198"/>
      <c r="N85" s="201"/>
      <c r="O85" s="199"/>
    </row>
    <row r="86" spans="1:15" s="173" customFormat="1" x14ac:dyDescent="0.25">
      <c r="A86" s="264">
        <v>41265.130254629628</v>
      </c>
      <c r="B86" s="265" t="s">
        <v>837</v>
      </c>
      <c r="C86" s="583" t="str">
        <f>B84</f>
        <v>CheckProc0</v>
      </c>
      <c r="D86" s="196"/>
      <c r="E86" s="197" t="s">
        <v>70</v>
      </c>
      <c r="F86" s="710">
        <f>C70</f>
        <v>0</v>
      </c>
      <c r="G86" s="221"/>
      <c r="H86" s="198"/>
      <c r="I86" s="198"/>
      <c r="J86" s="199"/>
      <c r="K86" s="200"/>
      <c r="L86" s="201"/>
      <c r="M86" s="198"/>
      <c r="N86" s="201"/>
      <c r="O86" s="199"/>
    </row>
    <row r="87" spans="1:15" s="173" customFormat="1" x14ac:dyDescent="0.25">
      <c r="A87" s="264">
        <v>41265.130254629628</v>
      </c>
      <c r="B87" s="265" t="s">
        <v>680</v>
      </c>
      <c r="C87" s="266"/>
      <c r="D87" s="212"/>
      <c r="E87" s="197" t="s">
        <v>70</v>
      </c>
      <c r="F87" s="267" t="s">
        <v>818</v>
      </c>
      <c r="G87" s="198"/>
      <c r="H87" s="198"/>
      <c r="I87" s="198"/>
      <c r="J87" s="199"/>
      <c r="K87" s="267" t="str">
        <f>F87</f>
        <v>NewOpp</v>
      </c>
      <c r="L87" s="201"/>
      <c r="M87" s="198"/>
      <c r="N87" s="201"/>
      <c r="O87" s="199"/>
    </row>
    <row r="88" spans="1:15" s="173" customFormat="1" x14ac:dyDescent="0.25">
      <c r="A88" s="264">
        <v>41265.130266203705</v>
      </c>
      <c r="B88" s="265" t="s">
        <v>680</v>
      </c>
      <c r="C88" s="266"/>
      <c r="D88" s="212"/>
      <c r="E88" s="197" t="s">
        <v>70</v>
      </c>
      <c r="F88" s="267" t="s">
        <v>807</v>
      </c>
      <c r="G88" s="198"/>
      <c r="H88" s="198"/>
      <c r="I88" s="198"/>
      <c r="J88" s="199"/>
      <c r="K88" s="267" t="str">
        <f>F88</f>
        <v>NewPayment</v>
      </c>
      <c r="L88" s="201"/>
      <c r="M88" s="198"/>
      <c r="N88" s="201"/>
      <c r="O88" s="199"/>
    </row>
    <row r="89" spans="1:15" s="173" customFormat="1" x14ac:dyDescent="0.25">
      <c r="A89" s="195"/>
      <c r="B89" s="196" t="s">
        <v>631</v>
      </c>
      <c r="C89" s="236"/>
      <c r="D89" s="196"/>
      <c r="E89" s="197" t="s">
        <v>201</v>
      </c>
      <c r="F89" s="214" t="s">
        <v>591</v>
      </c>
      <c r="G89" s="221" t="s">
        <v>987</v>
      </c>
      <c r="H89" s="198"/>
      <c r="I89" s="198"/>
      <c r="J89" s="199"/>
      <c r="K89" s="200"/>
      <c r="L89" s="201"/>
      <c r="M89" s="198"/>
      <c r="N89" s="201"/>
      <c r="O89" s="199"/>
    </row>
    <row r="90" spans="1:15" s="173" customFormat="1" ht="15.75" thickBot="1" x14ac:dyDescent="0.3">
      <c r="A90" s="677">
        <v>41265.139247685183</v>
      </c>
      <c r="B90" s="678" t="s">
        <v>984</v>
      </c>
      <c r="C90" s="679" t="str">
        <f>B84</f>
        <v>CheckProc0</v>
      </c>
      <c r="D90" s="678"/>
      <c r="E90" s="680" t="s">
        <v>201</v>
      </c>
      <c r="F90" s="681" t="s">
        <v>836</v>
      </c>
      <c r="G90" s="695">
        <v>7</v>
      </c>
      <c r="H90" s="683"/>
      <c r="I90" s="683"/>
      <c r="J90" s="684"/>
      <c r="K90" s="685" t="str">
        <f>K82</f>
        <v>Платежи</v>
      </c>
      <c r="L90" s="686" t="str">
        <f>TOCmatch!B17</f>
        <v>SFacc</v>
      </c>
      <c r="M90" s="686" t="str">
        <f>TOCmatch!B16</f>
        <v>SFopp</v>
      </c>
      <c r="N90" s="686" t="str">
        <f>TOCmatch!B15</f>
        <v>SFD</v>
      </c>
      <c r="O90" s="684"/>
    </row>
    <row r="91" spans="1:15" s="173" customFormat="1" ht="15.75" thickTop="1" x14ac:dyDescent="0.25">
      <c r="A91" s="195">
        <v>41265.139282407406</v>
      </c>
      <c r="B91" s="202" t="s">
        <v>633</v>
      </c>
      <c r="C91" s="467" t="str">
        <f>B90</f>
        <v>WP_Paid</v>
      </c>
      <c r="D91" s="196"/>
      <c r="E91" s="197" t="s">
        <v>201</v>
      </c>
      <c r="F91" s="267" t="s">
        <v>818</v>
      </c>
      <c r="G91" s="201" t="s">
        <v>805</v>
      </c>
      <c r="H91" s="215" t="s">
        <v>887</v>
      </c>
      <c r="I91" s="215" t="s">
        <v>966</v>
      </c>
      <c r="J91" s="199"/>
      <c r="K91" s="267" t="str">
        <f>F91</f>
        <v>NewOpp</v>
      </c>
      <c r="L91" s="201"/>
      <c r="M91" s="198"/>
      <c r="N91" s="201"/>
      <c r="O91" s="199"/>
    </row>
    <row r="92" spans="1:15" s="173" customFormat="1" x14ac:dyDescent="0.25">
      <c r="A92" s="195">
        <v>41265.139594907407</v>
      </c>
      <c r="B92" s="202" t="s">
        <v>633</v>
      </c>
      <c r="C92" s="467" t="str">
        <f>B90</f>
        <v>WP_Paid</v>
      </c>
      <c r="D92" s="196"/>
      <c r="E92" s="197" t="s">
        <v>201</v>
      </c>
      <c r="F92" s="267" t="s">
        <v>807</v>
      </c>
      <c r="G92" s="201" t="s">
        <v>805</v>
      </c>
      <c r="H92" s="215" t="s">
        <v>813</v>
      </c>
      <c r="I92" s="215" t="s">
        <v>814</v>
      </c>
      <c r="J92" s="199"/>
      <c r="K92" s="267" t="str">
        <f>F92</f>
        <v>NewPayment</v>
      </c>
      <c r="L92" s="201"/>
      <c r="M92" s="198"/>
      <c r="N92" s="201"/>
      <c r="O92" s="199"/>
    </row>
    <row r="93" spans="1:15" s="174" customFormat="1" x14ac:dyDescent="0.25">
      <c r="A93" s="730"/>
      <c r="B93" s="202" t="s">
        <v>626</v>
      </c>
      <c r="C93" s="731">
        <v>0</v>
      </c>
      <c r="D93" s="202"/>
      <c r="E93" s="203" t="s">
        <v>201</v>
      </c>
      <c r="F93" s="515"/>
      <c r="G93" s="198"/>
      <c r="H93" s="198"/>
      <c r="I93" s="198"/>
      <c r="J93" s="199"/>
      <c r="K93" s="200"/>
      <c r="L93" s="201"/>
      <c r="M93" s="198"/>
      <c r="N93" s="201"/>
      <c r="O93" s="199"/>
    </row>
    <row r="94" spans="1:15" s="690" customFormat="1" ht="15.75" thickBot="1" x14ac:dyDescent="0.3">
      <c r="A94" s="728">
        <v>41201.045671296299</v>
      </c>
      <c r="B94" s="228" t="s">
        <v>625</v>
      </c>
      <c r="C94" s="729"/>
      <c r="D94" s="303"/>
      <c r="E94" s="687" t="s">
        <v>201</v>
      </c>
      <c r="F94" s="688" t="s">
        <v>979</v>
      </c>
      <c r="G94" s="303"/>
      <c r="H94" s="303"/>
      <c r="I94" s="303"/>
      <c r="J94" s="306"/>
      <c r="K94" s="689" t="str">
        <f>TOCmatch!B$8</f>
        <v>Платежи</v>
      </c>
      <c r="L94" s="308"/>
      <c r="M94" s="303"/>
      <c r="N94" s="308"/>
      <c r="O94" s="306"/>
    </row>
    <row r="95" spans="1:15" s="173" customFormat="1" ht="15.75" thickTop="1" x14ac:dyDescent="0.25">
      <c r="A95" s="264">
        <v>41218.822870370372</v>
      </c>
      <c r="B95" s="265" t="s">
        <v>680</v>
      </c>
      <c r="C95" s="266"/>
      <c r="D95" s="212"/>
      <c r="E95" s="197"/>
      <c r="F95" s="267" t="s">
        <v>933</v>
      </c>
      <c r="G95" s="198"/>
      <c r="H95" s="198"/>
      <c r="I95" s="198"/>
      <c r="J95" s="199"/>
      <c r="K95" s="267" t="str">
        <f>F95</f>
        <v>NewAcc</v>
      </c>
      <c r="L95" s="201"/>
      <c r="M95" s="198"/>
      <c r="N95" s="201"/>
      <c r="O95" s="199"/>
    </row>
    <row r="96" spans="1:15" s="173" customFormat="1" x14ac:dyDescent="0.25">
      <c r="A96" s="264"/>
      <c r="B96" s="265" t="s">
        <v>982</v>
      </c>
      <c r="C96" s="467" t="str">
        <f>B95</f>
        <v>NewSheet</v>
      </c>
      <c r="D96" s="212"/>
      <c r="E96" s="197"/>
      <c r="F96" s="693"/>
      <c r="G96" s="198"/>
      <c r="H96" s="198"/>
      <c r="I96" s="198"/>
      <c r="J96" s="199"/>
      <c r="K96" s="267"/>
      <c r="L96" s="201"/>
      <c r="M96" s="198"/>
      <c r="N96" s="201"/>
      <c r="O96" s="199"/>
    </row>
    <row r="97" spans="1:19" s="173" customFormat="1" x14ac:dyDescent="0.25">
      <c r="A97" s="195"/>
      <c r="B97" s="196" t="s">
        <v>631</v>
      </c>
      <c r="C97" s="236"/>
      <c r="D97" s="196"/>
      <c r="E97" s="197" t="s">
        <v>201</v>
      </c>
      <c r="F97" s="214" t="s">
        <v>591</v>
      </c>
      <c r="G97" s="221" t="s">
        <v>987</v>
      </c>
      <c r="H97" s="198"/>
      <c r="I97" s="198"/>
      <c r="J97" s="199"/>
      <c r="K97" s="200"/>
      <c r="L97" s="201"/>
      <c r="M97" s="198"/>
      <c r="N97" s="201"/>
      <c r="O97" s="199"/>
    </row>
    <row r="98" spans="1:19" s="173" customFormat="1" ht="15.75" thickBot="1" x14ac:dyDescent="0.3">
      <c r="A98" s="677">
        <v>41218.824293981481</v>
      </c>
      <c r="B98" s="678" t="s">
        <v>984</v>
      </c>
      <c r="C98" s="679" t="str">
        <f>B96</f>
        <v>SFaccDicBuild</v>
      </c>
      <c r="D98" s="678"/>
      <c r="E98" s="680" t="s">
        <v>201</v>
      </c>
      <c r="F98" s="681" t="s">
        <v>980</v>
      </c>
      <c r="G98" s="682"/>
      <c r="H98" s="683"/>
      <c r="I98" s="683"/>
      <c r="J98" s="684"/>
      <c r="K98" s="685" t="str">
        <f>K94</f>
        <v>Платежи</v>
      </c>
      <c r="L98" s="686">
        <f>TOCmatch!B27</f>
        <v>0</v>
      </c>
      <c r="M98" s="686">
        <f>TOCmatch!B26</f>
        <v>0</v>
      </c>
      <c r="N98" s="686">
        <f>TOCmatch!B25</f>
        <v>0</v>
      </c>
      <c r="O98" s="684"/>
    </row>
    <row r="99" spans="1:19" s="173" customFormat="1" ht="15.75" thickTop="1" x14ac:dyDescent="0.25">
      <c r="A99" s="195">
        <v>41218.824293981481</v>
      </c>
      <c r="B99" s="202" t="s">
        <v>633</v>
      </c>
      <c r="C99" s="467" t="str">
        <f>B98</f>
        <v>WP_Paid</v>
      </c>
      <c r="D99" s="196"/>
      <c r="E99" s="197" t="s">
        <v>201</v>
      </c>
      <c r="F99" s="267" t="str">
        <f>F95</f>
        <v>NewAcc</v>
      </c>
      <c r="G99" s="201" t="s">
        <v>805</v>
      </c>
      <c r="H99" s="215" t="s">
        <v>887</v>
      </c>
      <c r="I99" s="215" t="s">
        <v>966</v>
      </c>
      <c r="J99" s="199"/>
      <c r="K99" s="267" t="str">
        <f>F99</f>
        <v>NewAcc</v>
      </c>
      <c r="L99" s="201"/>
      <c r="M99" s="198"/>
      <c r="N99" s="201"/>
      <c r="O99" s="199"/>
    </row>
    <row r="100" spans="1:19" s="187" customFormat="1" x14ac:dyDescent="0.25">
      <c r="A100" s="204"/>
      <c r="B100" s="205" t="s">
        <v>626</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625</v>
      </c>
      <c r="C101" s="238"/>
      <c r="D101" s="212"/>
      <c r="E101" s="197" t="s">
        <v>201</v>
      </c>
      <c r="F101" s="213" t="s">
        <v>649</v>
      </c>
      <c r="G101" s="198"/>
      <c r="H101" s="198"/>
      <c r="I101" s="198"/>
      <c r="J101" s="199"/>
      <c r="K101" s="188" t="s">
        <v>562</v>
      </c>
      <c r="L101" s="201"/>
      <c r="M101" s="198"/>
      <c r="N101" s="201"/>
      <c r="O101" s="199"/>
    </row>
    <row r="102" spans="1:19" s="173" customFormat="1" x14ac:dyDescent="0.25">
      <c r="A102" s="217"/>
      <c r="B102" s="196" t="s">
        <v>631</v>
      </c>
      <c r="C102" s="236"/>
      <c r="D102" s="196"/>
      <c r="E102" s="197"/>
      <c r="F102" s="214" t="s">
        <v>70</v>
      </c>
      <c r="G102" s="221"/>
      <c r="H102" s="198"/>
      <c r="I102" s="198"/>
      <c r="J102" s="199"/>
      <c r="K102" s="200"/>
      <c r="L102" s="201"/>
      <c r="M102" s="198"/>
      <c r="N102" s="201"/>
      <c r="O102" s="199"/>
    </row>
    <row r="103" spans="1:19" ht="30" x14ac:dyDescent="0.25">
      <c r="A103" s="217"/>
      <c r="B103" s="202" t="s">
        <v>638</v>
      </c>
      <c r="C103" s="235" t="s">
        <v>666</v>
      </c>
      <c r="D103" s="5"/>
      <c r="E103" s="218" t="s">
        <v>201</v>
      </c>
      <c r="F103" s="200"/>
      <c r="G103" s="201"/>
      <c r="H103" s="215"/>
      <c r="I103" s="215"/>
      <c r="J103" s="222"/>
      <c r="K103" s="223" t="s">
        <v>562</v>
      </c>
      <c r="L103" s="215" t="s">
        <v>574</v>
      </c>
      <c r="M103" s="215"/>
      <c r="N103" s="215"/>
      <c r="O103" s="222"/>
    </row>
    <row r="104" spans="1:19" s="187" customFormat="1" x14ac:dyDescent="0.25">
      <c r="A104" s="204"/>
      <c r="B104" s="205" t="s">
        <v>626</v>
      </c>
      <c r="C104" s="237"/>
      <c r="D104" s="205"/>
      <c r="E104" s="206" t="s">
        <v>201</v>
      </c>
      <c r="F104" s="207"/>
      <c r="G104" s="208"/>
      <c r="H104" s="208"/>
      <c r="I104" s="208"/>
      <c r="J104" s="209"/>
      <c r="K104" s="210"/>
      <c r="L104" s="211"/>
      <c r="M104" s="208"/>
      <c r="N104" s="211"/>
      <c r="O104" s="209"/>
    </row>
    <row r="105" spans="1:19" s="136" customFormat="1" x14ac:dyDescent="0.25">
      <c r="A105" s="225"/>
      <c r="B105" s="226" t="s">
        <v>602</v>
      </c>
      <c r="C105" s="227" t="s">
        <v>126</v>
      </c>
      <c r="D105" s="228"/>
      <c r="E105" s="229"/>
      <c r="F105" s="230"/>
      <c r="G105" s="224"/>
      <c r="H105" s="224"/>
      <c r="I105" s="224"/>
      <c r="J105" s="231"/>
      <c r="K105" s="230" t="s">
        <v>601</v>
      </c>
      <c r="L105" s="224"/>
      <c r="M105" s="224"/>
      <c r="N105" s="224"/>
      <c r="O105" s="231"/>
    </row>
    <row r="106" spans="1:19" x14ac:dyDescent="0.25">
      <c r="A106" s="232"/>
      <c r="B106" s="233">
        <v>1043</v>
      </c>
      <c r="C106" s="234"/>
      <c r="D106" s="5"/>
      <c r="E106" s="197"/>
      <c r="F106" s="220"/>
      <c r="G106" s="215"/>
      <c r="H106" s="215"/>
      <c r="I106" s="215"/>
      <c r="J106" s="216"/>
      <c r="K106" s="220" t="s">
        <v>601</v>
      </c>
      <c r="L106" s="215"/>
      <c r="M106" s="215"/>
      <c r="N106" s="215"/>
      <c r="O106" s="216"/>
    </row>
    <row r="107" spans="1:19" s="136" customFormat="1" ht="15.75" thickBot="1" x14ac:dyDescent="0.3">
      <c r="A107" s="135"/>
      <c r="B107" s="156" t="s">
        <v>602</v>
      </c>
      <c r="C107" s="194" t="s">
        <v>126</v>
      </c>
      <c r="D107" s="157"/>
      <c r="E107" s="192"/>
      <c r="F107" s="176"/>
      <c r="G107" s="177"/>
      <c r="H107" s="177"/>
      <c r="I107" s="177"/>
      <c r="J107" s="178"/>
      <c r="K107" s="176" t="s">
        <v>608</v>
      </c>
      <c r="L107" s="177"/>
      <c r="M107" s="177"/>
      <c r="N107" s="177"/>
      <c r="O107" s="178"/>
    </row>
    <row r="108" spans="1:19" x14ac:dyDescent="0.25">
      <c r="A108" s="145"/>
    </row>
    <row r="109" spans="1:19" s="173" customFormat="1" x14ac:dyDescent="0.25">
      <c r="A109" s="195"/>
      <c r="B109" s="196" t="s">
        <v>631</v>
      </c>
      <c r="C109" s="236"/>
      <c r="D109" s="196"/>
      <c r="E109" s="197" t="s">
        <v>201</v>
      </c>
      <c r="F109" s="214" t="s">
        <v>591</v>
      </c>
      <c r="G109" s="221" t="s">
        <v>987</v>
      </c>
      <c r="H109" s="198"/>
      <c r="I109" s="198"/>
      <c r="J109" s="199"/>
      <c r="K109" s="200"/>
      <c r="L109" s="201"/>
      <c r="M109" s="198"/>
      <c r="N109" s="201"/>
      <c r="O109" s="199"/>
    </row>
    <row r="111" spans="1:19" ht="45" hidden="1" outlineLevel="1" x14ac:dyDescent="0.25">
      <c r="A111" s="195">
        <v>41217.705717592595</v>
      </c>
      <c r="B111" s="196" t="s">
        <v>654</v>
      </c>
      <c r="C111" s="235" t="s">
        <v>653</v>
      </c>
      <c r="D111" s="215"/>
      <c r="E111" s="218" t="s">
        <v>201</v>
      </c>
      <c r="F111" s="214" t="s">
        <v>572</v>
      </c>
      <c r="G111" s="201" t="s">
        <v>567</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607</v>
      </c>
      <c r="C114" s="235" t="s">
        <v>605</v>
      </c>
      <c r="D114" s="196"/>
      <c r="E114" s="197" t="s">
        <v>201</v>
      </c>
      <c r="F114" s="427" t="s">
        <v>781</v>
      </c>
      <c r="G114" s="428" t="s">
        <v>782</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861</v>
      </c>
      <c r="C117" s="665" t="str">
        <f>B52</f>
        <v>InsMyCol</v>
      </c>
      <c r="D117" s="196"/>
      <c r="E117" s="197" t="s">
        <v>201</v>
      </c>
      <c r="F117" s="214" t="s">
        <v>128</v>
      </c>
      <c r="G117" s="221" t="s">
        <v>91</v>
      </c>
      <c r="H117" s="221" t="s">
        <v>110</v>
      </c>
      <c r="I117" s="221" t="s">
        <v>811</v>
      </c>
      <c r="J117" s="554"/>
      <c r="K117" s="556"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4"/>
  <sheetViews>
    <sheetView topLeftCell="A44" workbookViewId="0">
      <selection activeCell="B45" sqref="B45"/>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541</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346</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366</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546</v>
      </c>
      <c r="G20" s="61">
        <v>0</v>
      </c>
    </row>
    <row r="21" spans="1:7" x14ac:dyDescent="0.25">
      <c r="A21" s="51" t="s">
        <v>32</v>
      </c>
      <c r="B21" s="68" t="s">
        <v>83</v>
      </c>
      <c r="C21" s="22" t="s">
        <v>22</v>
      </c>
      <c r="D21" s="17" t="s">
        <v>182</v>
      </c>
      <c r="E21" s="22" t="s">
        <v>22</v>
      </c>
      <c r="F21" s="54" t="s">
        <v>540</v>
      </c>
      <c r="G21" s="61">
        <v>0</v>
      </c>
    </row>
    <row r="22" spans="1:7" ht="30" x14ac:dyDescent="0.25">
      <c r="A22" s="52" t="s">
        <v>31</v>
      </c>
      <c r="B22" s="69" t="s">
        <v>48</v>
      </c>
      <c r="C22" s="37" t="s">
        <v>16</v>
      </c>
      <c r="D22" s="38" t="s">
        <v>178</v>
      </c>
      <c r="E22" s="39" t="s">
        <v>220</v>
      </c>
      <c r="F22" s="53" t="s">
        <v>542</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367</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543</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4" t="s">
        <v>355</v>
      </c>
      <c r="I39" s="755"/>
      <c r="J39" s="755"/>
      <c r="K39" s="748"/>
      <c r="L39" s="27"/>
    </row>
    <row r="40" spans="1:12" ht="30" x14ac:dyDescent="0.25">
      <c r="A40" s="27" t="s">
        <v>223</v>
      </c>
      <c r="B40" s="25" t="s">
        <v>378</v>
      </c>
      <c r="C40" s="41" t="s">
        <v>231</v>
      </c>
      <c r="D40" s="41" t="s">
        <v>149</v>
      </c>
      <c r="E40" s="46" t="s">
        <v>235</v>
      </c>
      <c r="F40" s="47" t="s">
        <v>241</v>
      </c>
      <c r="G40" s="56" t="s">
        <v>350</v>
      </c>
      <c r="H40" s="60" t="s">
        <v>352</v>
      </c>
      <c r="I40" s="60" t="s">
        <v>353</v>
      </c>
      <c r="J40" s="60" t="s">
        <v>958</v>
      </c>
      <c r="K40" s="658" t="s">
        <v>957</v>
      </c>
    </row>
    <row r="41" spans="1:12" ht="15.75" x14ac:dyDescent="0.3">
      <c r="A41" s="27" t="s">
        <v>137</v>
      </c>
      <c r="B41" s="71" t="s">
        <v>1015</v>
      </c>
      <c r="C41" s="50" t="s">
        <v>229</v>
      </c>
      <c r="D41" s="49" t="s">
        <v>137</v>
      </c>
      <c r="E41" s="48" t="s">
        <v>137</v>
      </c>
      <c r="F41" s="44" t="s">
        <v>239</v>
      </c>
      <c r="G41" s="56" t="s">
        <v>349</v>
      </c>
      <c r="H41" s="27" t="s">
        <v>350</v>
      </c>
      <c r="I41" s="27" t="s">
        <v>351</v>
      </c>
      <c r="J41" s="27"/>
    </row>
    <row r="42" spans="1:12" ht="15.75" x14ac:dyDescent="0.3">
      <c r="A42" s="27" t="s">
        <v>106</v>
      </c>
      <c r="B42" s="71" t="s">
        <v>1014</v>
      </c>
      <c r="C42" s="50" t="s">
        <v>229</v>
      </c>
      <c r="D42" s="49" t="s">
        <v>106</v>
      </c>
      <c r="E42" s="48" t="s">
        <v>236</v>
      </c>
      <c r="F42" s="44" t="s">
        <v>238</v>
      </c>
      <c r="G42" s="56" t="s">
        <v>356</v>
      </c>
      <c r="H42" s="27" t="s">
        <v>350</v>
      </c>
      <c r="I42" s="27" t="s">
        <v>351</v>
      </c>
      <c r="J42" s="27"/>
    </row>
    <row r="43" spans="1:12" ht="15.75" x14ac:dyDescent="0.3">
      <c r="A43" s="27" t="s">
        <v>18</v>
      </c>
      <c r="B43" s="71" t="s">
        <v>1024</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350</v>
      </c>
      <c r="I44" s="27" t="s">
        <v>351</v>
      </c>
      <c r="J44" s="27"/>
    </row>
    <row r="45" spans="1:12" ht="15.75" x14ac:dyDescent="0.3">
      <c r="A45" s="27" t="s">
        <v>144</v>
      </c>
      <c r="B45" s="71" t="s">
        <v>1036</v>
      </c>
      <c r="C45" s="50" t="s">
        <v>229</v>
      </c>
      <c r="D45" s="49" t="s">
        <v>144</v>
      </c>
      <c r="E45" s="48" t="s">
        <v>234</v>
      </c>
      <c r="F45" s="44" t="s">
        <v>240</v>
      </c>
      <c r="G45" s="56" t="s">
        <v>354</v>
      </c>
      <c r="H45" s="27" t="s">
        <v>350</v>
      </c>
      <c r="I45" s="27" t="s">
        <v>351</v>
      </c>
      <c r="J45" s="27"/>
    </row>
    <row r="46" spans="1:12" ht="15.75" x14ac:dyDescent="0.3">
      <c r="A46" s="27" t="s">
        <v>224</v>
      </c>
      <c r="B46" s="71" t="s">
        <v>1019</v>
      </c>
      <c r="C46" s="49" t="s">
        <v>224</v>
      </c>
      <c r="D46" s="49" t="s">
        <v>146</v>
      </c>
      <c r="E46" s="48" t="s">
        <v>233</v>
      </c>
      <c r="F46" s="44" t="s">
        <v>240</v>
      </c>
      <c r="K46" s="27" t="s">
        <v>960</v>
      </c>
    </row>
    <row r="47" spans="1:12" x14ac:dyDescent="0.25">
      <c r="A47" s="27" t="s">
        <v>198</v>
      </c>
      <c r="B47" s="71" t="s">
        <v>1037</v>
      </c>
      <c r="C47" s="50" t="s">
        <v>229</v>
      </c>
      <c r="D47" s="28" t="s">
        <v>138</v>
      </c>
      <c r="E47" s="48" t="s">
        <v>237</v>
      </c>
      <c r="F47" s="44" t="s">
        <v>238</v>
      </c>
      <c r="G47" s="56" t="s">
        <v>354</v>
      </c>
      <c r="H47" s="27" t="s">
        <v>350</v>
      </c>
      <c r="I47" s="27" t="s">
        <v>351</v>
      </c>
      <c r="J47" s="27"/>
    </row>
    <row r="48" spans="1:12" ht="15.75" x14ac:dyDescent="0.3">
      <c r="A48" s="27" t="s">
        <v>107</v>
      </c>
      <c r="B48" s="71" t="s">
        <v>226</v>
      </c>
      <c r="C48" s="50" t="s">
        <v>229</v>
      </c>
      <c r="D48" s="49" t="s">
        <v>107</v>
      </c>
      <c r="E48" s="48" t="s">
        <v>233</v>
      </c>
      <c r="F48" s="44" t="s">
        <v>240</v>
      </c>
      <c r="G48" s="56" t="s">
        <v>354</v>
      </c>
      <c r="H48" s="27" t="s">
        <v>350</v>
      </c>
      <c r="I48" s="27" t="s">
        <v>351</v>
      </c>
      <c r="J48" s="27"/>
    </row>
    <row r="49" spans="1:12" ht="15.75" x14ac:dyDescent="0.3">
      <c r="A49" s="27" t="s">
        <v>225</v>
      </c>
      <c r="B49" s="71" t="s">
        <v>1028</v>
      </c>
      <c r="C49" s="49" t="s">
        <v>225</v>
      </c>
      <c r="D49" s="49" t="s">
        <v>141</v>
      </c>
      <c r="E49" s="48" t="s">
        <v>233</v>
      </c>
      <c r="F49" s="44" t="s">
        <v>240</v>
      </c>
      <c r="K49" s="27" t="s">
        <v>961</v>
      </c>
    </row>
    <row r="50" spans="1:12" ht="15.75" x14ac:dyDescent="0.3">
      <c r="A50" s="27" t="s">
        <v>203</v>
      </c>
      <c r="B50" s="71" t="s">
        <v>1032</v>
      </c>
      <c r="C50" s="49" t="s">
        <v>212</v>
      </c>
      <c r="D50" s="50" t="s">
        <v>140</v>
      </c>
      <c r="E50" s="48" t="s">
        <v>233</v>
      </c>
      <c r="F50" s="44" t="s">
        <v>240</v>
      </c>
      <c r="I50" s="27"/>
      <c r="J50" s="27"/>
      <c r="K50" s="17" t="str">
        <f>A50</f>
        <v>Расходники</v>
      </c>
      <c r="L50" s="27"/>
    </row>
    <row r="51" spans="1:12" ht="15.75" x14ac:dyDescent="0.3">
      <c r="A51" s="27" t="s">
        <v>104</v>
      </c>
      <c r="B51" s="71" t="s">
        <v>222</v>
      </c>
      <c r="C51" s="50" t="s">
        <v>229</v>
      </c>
      <c r="D51" s="49" t="s">
        <v>104</v>
      </c>
      <c r="E51" s="48" t="s">
        <v>104</v>
      </c>
      <c r="F51" s="44" t="s">
        <v>239</v>
      </c>
      <c r="G51" s="56" t="s">
        <v>354</v>
      </c>
      <c r="H51" s="27" t="s">
        <v>350</v>
      </c>
      <c r="I51" s="27" t="s">
        <v>351</v>
      </c>
      <c r="J51" s="27"/>
    </row>
    <row r="52" spans="1:12" ht="15.75" x14ac:dyDescent="0.3">
      <c r="A52" s="27" t="s">
        <v>143</v>
      </c>
      <c r="B52" s="71" t="s">
        <v>143</v>
      </c>
      <c r="C52" s="50" t="s">
        <v>229</v>
      </c>
      <c r="D52" s="49" t="s">
        <v>143</v>
      </c>
      <c r="E52" s="48" t="s">
        <v>233</v>
      </c>
      <c r="F52" s="44" t="s">
        <v>240</v>
      </c>
      <c r="G52" s="56" t="s">
        <v>354</v>
      </c>
      <c r="H52" s="27" t="s">
        <v>350</v>
      </c>
      <c r="I52" s="27" t="s">
        <v>351</v>
      </c>
      <c r="J52" s="27"/>
    </row>
    <row r="53" spans="1:12" ht="15.75" x14ac:dyDescent="0.3">
      <c r="A53" s="27" t="s">
        <v>958</v>
      </c>
      <c r="B53" s="71" t="s">
        <v>1025</v>
      </c>
      <c r="C53" s="50" t="s">
        <v>1022</v>
      </c>
      <c r="D53" s="49"/>
      <c r="E53" s="48"/>
      <c r="F53" s="44"/>
      <c r="G53" s="56"/>
      <c r="H53" s="27"/>
      <c r="I53" s="27"/>
      <c r="J53" s="27"/>
    </row>
    <row r="54" spans="1:12" x14ac:dyDescent="0.25">
      <c r="A54" s="55" t="s">
        <v>247</v>
      </c>
      <c r="B54" s="71" t="s">
        <v>1023</v>
      </c>
      <c r="C54" s="50"/>
      <c r="D54" s="28"/>
      <c r="E54" s="48"/>
      <c r="F54" s="44"/>
    </row>
    <row r="55" spans="1:12" x14ac:dyDescent="0.25">
      <c r="C55" s="50"/>
      <c r="D55" s="50" t="s">
        <v>142</v>
      </c>
      <c r="E55" s="48" t="s">
        <v>233</v>
      </c>
      <c r="F55" s="44" t="s">
        <v>240</v>
      </c>
    </row>
    <row r="56" spans="1:12" x14ac:dyDescent="0.25">
      <c r="C56" s="50"/>
      <c r="D56" s="50" t="s">
        <v>147</v>
      </c>
      <c r="E56" s="48" t="s">
        <v>233</v>
      </c>
      <c r="F56" s="44" t="s">
        <v>240</v>
      </c>
    </row>
    <row r="57" spans="1:12" x14ac:dyDescent="0.25">
      <c r="C57" s="50"/>
      <c r="D57" s="50" t="s">
        <v>1018</v>
      </c>
      <c r="E57" s="48"/>
      <c r="F57" s="44"/>
    </row>
    <row r="58" spans="1:12" x14ac:dyDescent="0.25">
      <c r="A58" s="27"/>
      <c r="C58" s="50"/>
      <c r="D58" s="50" t="s">
        <v>148</v>
      </c>
      <c r="E58" s="48" t="s">
        <v>233</v>
      </c>
      <c r="F58" s="44" t="s">
        <v>240</v>
      </c>
    </row>
    <row r="59" spans="1:12" x14ac:dyDescent="0.25">
      <c r="C59" s="28"/>
      <c r="D59" s="50" t="s">
        <v>145</v>
      </c>
      <c r="E59" s="48" t="s">
        <v>233</v>
      </c>
      <c r="F59" s="44" t="s">
        <v>240</v>
      </c>
    </row>
    <row r="60" spans="1:12" x14ac:dyDescent="0.25">
      <c r="A60" s="27" t="s">
        <v>962</v>
      </c>
      <c r="C60" s="28"/>
      <c r="D60" s="50"/>
      <c r="F60" s="44"/>
    </row>
    <row r="61" spans="1:12" x14ac:dyDescent="0.25">
      <c r="A61" s="27" t="s">
        <v>960</v>
      </c>
      <c r="B61" s="68" t="s">
        <v>963</v>
      </c>
      <c r="C61" s="28"/>
      <c r="D61" s="50"/>
      <c r="F61" s="44"/>
    </row>
    <row r="62" spans="1:12" x14ac:dyDescent="0.25">
      <c r="A62" s="27" t="s">
        <v>350</v>
      </c>
      <c r="B62" s="68" t="s">
        <v>964</v>
      </c>
      <c r="C62" s="28"/>
      <c r="D62" s="50"/>
      <c r="F62" s="44"/>
    </row>
    <row r="63" spans="1:12" x14ac:dyDescent="0.25">
      <c r="C63" s="28"/>
      <c r="D63" s="50"/>
      <c r="F63" s="44"/>
    </row>
    <row r="64" spans="1:12" x14ac:dyDescent="0.25">
      <c r="A64" s="72" t="s">
        <v>547</v>
      </c>
    </row>
    <row r="65" spans="1:7" x14ac:dyDescent="0.25">
      <c r="A65" s="27" t="s">
        <v>320</v>
      </c>
    </row>
    <row r="66" spans="1:7" x14ac:dyDescent="0.25">
      <c r="A66" s="27" t="s">
        <v>322</v>
      </c>
    </row>
    <row r="67" spans="1:7" x14ac:dyDescent="0.25">
      <c r="A67" s="27" t="s">
        <v>524</v>
      </c>
      <c r="B67" s="25" t="s">
        <v>70</v>
      </c>
    </row>
    <row r="68" spans="1:7" x14ac:dyDescent="0.25">
      <c r="A68" s="27" t="s">
        <v>293</v>
      </c>
      <c r="B68" s="24">
        <v>1</v>
      </c>
    </row>
    <row r="69" spans="1:7" x14ac:dyDescent="0.25">
      <c r="A69" s="27" t="s">
        <v>291</v>
      </c>
      <c r="B69" s="24">
        <v>1</v>
      </c>
    </row>
    <row r="70" spans="1:7" x14ac:dyDescent="0.25">
      <c r="A70" s="27" t="s">
        <v>299</v>
      </c>
      <c r="B70" s="24">
        <v>1</v>
      </c>
    </row>
    <row r="71" spans="1:7" x14ac:dyDescent="0.25">
      <c r="A71" s="27" t="s">
        <v>306</v>
      </c>
    </row>
    <row r="72" spans="1:7" x14ac:dyDescent="0.25">
      <c r="A72" s="27" t="s">
        <v>534</v>
      </c>
    </row>
    <row r="73" spans="1:7" x14ac:dyDescent="0.25">
      <c r="A73" s="27" t="s">
        <v>531</v>
      </c>
      <c r="B73" s="25" t="s">
        <v>70</v>
      </c>
    </row>
    <row r="74" spans="1:7" x14ac:dyDescent="0.25">
      <c r="A74" s="27" t="s">
        <v>364</v>
      </c>
      <c r="F74" s="17"/>
      <c r="G74" s="17"/>
    </row>
    <row r="75" spans="1:7" x14ac:dyDescent="0.25">
      <c r="A75" s="27" t="s">
        <v>282</v>
      </c>
      <c r="F75" s="17"/>
      <c r="G75" s="17"/>
    </row>
    <row r="76" spans="1:7" x14ac:dyDescent="0.25">
      <c r="A76" s="27" t="s">
        <v>323</v>
      </c>
      <c r="F76" s="17"/>
      <c r="G76" s="17"/>
    </row>
    <row r="77" spans="1:7" x14ac:dyDescent="0.25">
      <c r="A77" s="27" t="s">
        <v>289</v>
      </c>
      <c r="F77" s="17"/>
      <c r="G77" s="17"/>
    </row>
    <row r="78" spans="1:7" x14ac:dyDescent="0.25">
      <c r="A78" s="27" t="s">
        <v>292</v>
      </c>
      <c r="B78" s="24">
        <v>1</v>
      </c>
      <c r="F78" s="17"/>
      <c r="G78" s="17"/>
    </row>
    <row r="79" spans="1:7" x14ac:dyDescent="0.25">
      <c r="A79" s="27" t="s">
        <v>295</v>
      </c>
      <c r="B79" s="24">
        <v>1</v>
      </c>
      <c r="F79" s="17"/>
      <c r="G79" s="17"/>
    </row>
    <row r="80" spans="1:7" x14ac:dyDescent="0.25">
      <c r="A80" s="27" t="s">
        <v>321</v>
      </c>
      <c r="F80" s="17"/>
      <c r="G80" s="17"/>
    </row>
    <row r="81" spans="1:7" x14ac:dyDescent="0.25">
      <c r="A81" s="27" t="s">
        <v>334</v>
      </c>
      <c r="F81" s="17"/>
      <c r="G81" s="17"/>
    </row>
    <row r="82" spans="1:7" x14ac:dyDescent="0.25">
      <c r="A82" s="27" t="s">
        <v>302</v>
      </c>
      <c r="F82" s="17"/>
      <c r="G82" s="17"/>
    </row>
    <row r="83" spans="1:7" x14ac:dyDescent="0.25">
      <c r="A83" s="27" t="s">
        <v>305</v>
      </c>
      <c r="F83" s="17"/>
      <c r="G83" s="17"/>
    </row>
    <row r="84" spans="1:7" x14ac:dyDescent="0.25">
      <c r="A84" s="27" t="s">
        <v>286</v>
      </c>
      <c r="B84" s="24">
        <v>1</v>
      </c>
      <c r="F84" s="17"/>
      <c r="G84" s="17"/>
    </row>
    <row r="85" spans="1:7" x14ac:dyDescent="0.25">
      <c r="A85" s="27" t="s">
        <v>268</v>
      </c>
      <c r="B85" s="24">
        <v>1</v>
      </c>
      <c r="F85" s="17"/>
      <c r="G85" s="17"/>
    </row>
    <row r="86" spans="1:7" x14ac:dyDescent="0.25">
      <c r="A86" s="27" t="s">
        <v>267</v>
      </c>
      <c r="F86" s="17"/>
      <c r="G86" s="17"/>
    </row>
    <row r="87" spans="1:7" x14ac:dyDescent="0.25">
      <c r="A87" s="27" t="s">
        <v>312</v>
      </c>
      <c r="B87" s="24">
        <v>1</v>
      </c>
      <c r="F87" s="17"/>
      <c r="G87" s="17"/>
    </row>
    <row r="88" spans="1:7" x14ac:dyDescent="0.25">
      <c r="A88" s="27" t="s">
        <v>361</v>
      </c>
      <c r="F88" s="17"/>
      <c r="G88" s="17"/>
    </row>
    <row r="89" spans="1:7" x14ac:dyDescent="0.25">
      <c r="A89" s="27" t="s">
        <v>298</v>
      </c>
      <c r="B89" s="24">
        <v>1</v>
      </c>
      <c r="F89" s="17"/>
      <c r="G89" s="17"/>
    </row>
    <row r="90" spans="1:7" x14ac:dyDescent="0.25">
      <c r="A90" s="27" t="s">
        <v>278</v>
      </c>
      <c r="B90" s="24">
        <v>1</v>
      </c>
      <c r="F90" s="17"/>
      <c r="G90" s="17"/>
    </row>
    <row r="91" spans="1:7" x14ac:dyDescent="0.25">
      <c r="A91" s="27" t="s">
        <v>269</v>
      </c>
      <c r="F91" s="17"/>
      <c r="G91" s="17"/>
    </row>
    <row r="92" spans="1:7" x14ac:dyDescent="0.25">
      <c r="A92" s="27" t="s">
        <v>271</v>
      </c>
      <c r="F92" s="17"/>
      <c r="G92" s="17"/>
    </row>
    <row r="93" spans="1:7" x14ac:dyDescent="0.25">
      <c r="A93" s="27" t="s">
        <v>535</v>
      </c>
      <c r="F93" s="17"/>
      <c r="G93" s="17"/>
    </row>
    <row r="94" spans="1:7" x14ac:dyDescent="0.25">
      <c r="A94" s="27" t="s">
        <v>331</v>
      </c>
      <c r="F94" s="17"/>
      <c r="G94" s="17"/>
    </row>
    <row r="95" spans="1:7" x14ac:dyDescent="0.25">
      <c r="A95" s="27" t="s">
        <v>273</v>
      </c>
      <c r="F95" s="17"/>
      <c r="G95" s="17"/>
    </row>
    <row r="96" spans="1:7" x14ac:dyDescent="0.25">
      <c r="A96" s="27" t="s">
        <v>288</v>
      </c>
      <c r="F96" s="17"/>
      <c r="G96" s="17"/>
    </row>
    <row r="97" spans="1:7" x14ac:dyDescent="0.25">
      <c r="A97" s="27" t="s">
        <v>324</v>
      </c>
      <c r="B97" s="24">
        <v>1</v>
      </c>
      <c r="F97" s="17"/>
      <c r="G97" s="17"/>
    </row>
    <row r="98" spans="1:7" x14ac:dyDescent="0.25">
      <c r="A98" s="27" t="s">
        <v>281</v>
      </c>
      <c r="F98" s="17"/>
      <c r="G98" s="17"/>
    </row>
    <row r="99" spans="1:7" x14ac:dyDescent="0.25">
      <c r="A99" s="27" t="s">
        <v>310</v>
      </c>
      <c r="F99" s="17"/>
      <c r="G99" s="17"/>
    </row>
    <row r="100" spans="1:7" x14ac:dyDescent="0.25">
      <c r="A100" s="27" t="s">
        <v>333</v>
      </c>
      <c r="F100" s="17"/>
      <c r="G100" s="17"/>
    </row>
    <row r="101" spans="1:7" x14ac:dyDescent="0.25">
      <c r="A101" s="27" t="s">
        <v>297</v>
      </c>
      <c r="B101" s="24">
        <v>1</v>
      </c>
      <c r="F101" s="17"/>
      <c r="G101" s="17"/>
    </row>
    <row r="102" spans="1:7" x14ac:dyDescent="0.25">
      <c r="A102" s="27" t="s">
        <v>317</v>
      </c>
      <c r="F102" s="17"/>
      <c r="G102" s="17"/>
    </row>
    <row r="103" spans="1:7" x14ac:dyDescent="0.25">
      <c r="A103" s="27" t="s">
        <v>533</v>
      </c>
      <c r="F103" s="17"/>
      <c r="G103" s="17"/>
    </row>
    <row r="104" spans="1:7" x14ac:dyDescent="0.25">
      <c r="A104" s="27" t="s">
        <v>532</v>
      </c>
      <c r="F104" s="17"/>
      <c r="G104" s="17"/>
    </row>
    <row r="105" spans="1:7" x14ac:dyDescent="0.25">
      <c r="A105" s="27" t="s">
        <v>228</v>
      </c>
      <c r="F105" s="17"/>
      <c r="G105" s="17"/>
    </row>
    <row r="106" spans="1:7" x14ac:dyDescent="0.25">
      <c r="A106" s="27" t="s">
        <v>325</v>
      </c>
      <c r="B106" s="24">
        <v>1</v>
      </c>
      <c r="F106" s="17"/>
      <c r="G106" s="17"/>
    </row>
    <row r="107" spans="1:7" x14ac:dyDescent="0.25">
      <c r="A107" s="27" t="s">
        <v>328</v>
      </c>
      <c r="B107" s="24">
        <v>1</v>
      </c>
      <c r="F107" s="17"/>
      <c r="G107" s="17"/>
    </row>
    <row r="108" spans="1:7" x14ac:dyDescent="0.25">
      <c r="A108" s="27" t="s">
        <v>277</v>
      </c>
      <c r="F108" s="17"/>
      <c r="G108" s="17"/>
    </row>
    <row r="109" spans="1:7" x14ac:dyDescent="0.25">
      <c r="A109" s="27" t="s">
        <v>284</v>
      </c>
      <c r="F109" s="17"/>
      <c r="G109" s="17"/>
    </row>
    <row r="110" spans="1:7" x14ac:dyDescent="0.25">
      <c r="A110" s="27" t="s">
        <v>265</v>
      </c>
      <c r="F110" s="17"/>
      <c r="G110" s="17"/>
    </row>
    <row r="111" spans="1:7" x14ac:dyDescent="0.25">
      <c r="A111" s="27" t="s">
        <v>329</v>
      </c>
      <c r="B111" s="24">
        <v>1</v>
      </c>
      <c r="F111" s="17"/>
      <c r="G111" s="17"/>
    </row>
    <row r="112" spans="1:7" x14ac:dyDescent="0.25">
      <c r="A112" s="27" t="s">
        <v>285</v>
      </c>
      <c r="F112" s="17"/>
      <c r="G112" s="17"/>
    </row>
    <row r="113" spans="1:7" x14ac:dyDescent="0.25">
      <c r="A113" s="27" t="s">
        <v>296</v>
      </c>
      <c r="F113" s="17"/>
      <c r="G113" s="17"/>
    </row>
    <row r="114" spans="1:7" x14ac:dyDescent="0.25">
      <c r="A114" s="27" t="s">
        <v>290</v>
      </c>
      <c r="B114" s="24">
        <v>1</v>
      </c>
      <c r="F114" s="17"/>
      <c r="G114" s="17"/>
    </row>
    <row r="115" spans="1:7" x14ac:dyDescent="0.25">
      <c r="A115" s="27" t="s">
        <v>303</v>
      </c>
      <c r="F115" s="17"/>
      <c r="G115" s="17"/>
    </row>
    <row r="116" spans="1:7" x14ac:dyDescent="0.25">
      <c r="A116" s="27" t="s">
        <v>308</v>
      </c>
      <c r="F116" s="17"/>
      <c r="G116" s="17"/>
    </row>
    <row r="117" spans="1:7" x14ac:dyDescent="0.25">
      <c r="A117" s="27" t="s">
        <v>272</v>
      </c>
      <c r="F117" s="17"/>
      <c r="G117" s="17"/>
    </row>
    <row r="118" spans="1:7" x14ac:dyDescent="0.25">
      <c r="A118" s="27" t="s">
        <v>313</v>
      </c>
      <c r="F118" s="17"/>
      <c r="G118" s="17"/>
    </row>
    <row r="119" spans="1:7" x14ac:dyDescent="0.25">
      <c r="A119" s="27" t="s">
        <v>301</v>
      </c>
      <c r="B119" s="24">
        <v>1</v>
      </c>
      <c r="F119" s="17"/>
      <c r="G119" s="17"/>
    </row>
    <row r="120" spans="1:7" x14ac:dyDescent="0.25">
      <c r="A120" s="27" t="s">
        <v>319</v>
      </c>
      <c r="B120" s="24">
        <v>1</v>
      </c>
      <c r="F120" s="17"/>
      <c r="G120" s="17"/>
    </row>
    <row r="121" spans="1:7" x14ac:dyDescent="0.25">
      <c r="A121" s="27" t="s">
        <v>213</v>
      </c>
      <c r="F121" s="17"/>
      <c r="G121" s="17"/>
    </row>
    <row r="122" spans="1:7" x14ac:dyDescent="0.25">
      <c r="A122" s="27" t="s">
        <v>327</v>
      </c>
      <c r="B122" s="24">
        <v>1</v>
      </c>
      <c r="F122" s="17"/>
      <c r="G122" s="17"/>
    </row>
    <row r="123" spans="1:7" x14ac:dyDescent="0.25">
      <c r="A123" s="27" t="s">
        <v>274</v>
      </c>
      <c r="F123" s="17"/>
      <c r="G123" s="17"/>
    </row>
    <row r="124" spans="1:7" x14ac:dyDescent="0.25">
      <c r="A124" s="27" t="s">
        <v>311</v>
      </c>
      <c r="B124" s="24">
        <v>1</v>
      </c>
      <c r="F124" s="17"/>
      <c r="G124" s="17"/>
    </row>
    <row r="125" spans="1:7" x14ac:dyDescent="0.25">
      <c r="A125" s="27" t="s">
        <v>309</v>
      </c>
      <c r="F125" s="17"/>
      <c r="G125" s="17"/>
    </row>
    <row r="126" spans="1:7" x14ac:dyDescent="0.25">
      <c r="A126" s="27" t="s">
        <v>279</v>
      </c>
      <c r="F126" s="17"/>
      <c r="G126" s="17"/>
    </row>
    <row r="127" spans="1:7" x14ac:dyDescent="0.25">
      <c r="A127" s="27" t="s">
        <v>307</v>
      </c>
      <c r="F127" s="17"/>
      <c r="G127" s="17"/>
    </row>
    <row r="128" spans="1:7" x14ac:dyDescent="0.25">
      <c r="A128" s="27" t="s">
        <v>316</v>
      </c>
      <c r="F128" s="17"/>
      <c r="G128" s="17"/>
    </row>
    <row r="129" spans="1:7" x14ac:dyDescent="0.25">
      <c r="A129" s="27" t="s">
        <v>102</v>
      </c>
      <c r="F129" s="17"/>
      <c r="G129" s="17"/>
    </row>
    <row r="130" spans="1:7" x14ac:dyDescent="0.25">
      <c r="A130" s="27" t="s">
        <v>283</v>
      </c>
      <c r="F130" s="17"/>
      <c r="G130" s="17"/>
    </row>
    <row r="131" spans="1:7" x14ac:dyDescent="0.25">
      <c r="A131" s="27" t="s">
        <v>332</v>
      </c>
      <c r="B131" s="24">
        <v>1</v>
      </c>
      <c r="F131" s="17"/>
      <c r="G131" s="17"/>
    </row>
    <row r="132" spans="1:7" x14ac:dyDescent="0.25">
      <c r="A132" s="27" t="s">
        <v>330</v>
      </c>
      <c r="B132" s="24">
        <v>1</v>
      </c>
      <c r="F132" s="17"/>
      <c r="G132" s="17"/>
    </row>
    <row r="133" spans="1:7" x14ac:dyDescent="0.25">
      <c r="A133" s="27" t="s">
        <v>304</v>
      </c>
      <c r="F133" s="17"/>
      <c r="G133" s="17"/>
    </row>
    <row r="134" spans="1:7" x14ac:dyDescent="0.25">
      <c r="A134" s="27" t="s">
        <v>315</v>
      </c>
      <c r="B134" s="24">
        <v>1</v>
      </c>
      <c r="F134" s="17"/>
      <c r="G134" s="17"/>
    </row>
    <row r="135" spans="1:7" x14ac:dyDescent="0.25">
      <c r="A135" s="27" t="s">
        <v>536</v>
      </c>
      <c r="B135" s="25" t="s">
        <v>70</v>
      </c>
      <c r="F135" s="17"/>
      <c r="G135" s="17"/>
    </row>
    <row r="136" spans="1:7" x14ac:dyDescent="0.25">
      <c r="A136" s="27" t="s">
        <v>276</v>
      </c>
      <c r="F136" s="17"/>
      <c r="G136" s="17"/>
    </row>
    <row r="137" spans="1:7" x14ac:dyDescent="0.25">
      <c r="A137" s="27" t="s">
        <v>326</v>
      </c>
      <c r="B137" s="24">
        <v>1</v>
      </c>
      <c r="F137" s="17"/>
      <c r="G137" s="17"/>
    </row>
    <row r="138" spans="1:7" x14ac:dyDescent="0.25">
      <c r="A138" s="27" t="s">
        <v>270</v>
      </c>
      <c r="F138" s="17"/>
      <c r="G138" s="17"/>
    </row>
    <row r="139" spans="1:7" x14ac:dyDescent="0.25">
      <c r="A139" s="27" t="s">
        <v>363</v>
      </c>
      <c r="F139" s="17"/>
      <c r="G139" s="17"/>
    </row>
    <row r="140" spans="1:7" x14ac:dyDescent="0.25">
      <c r="A140" s="27" t="s">
        <v>300</v>
      </c>
      <c r="F140" s="17"/>
      <c r="G140" s="17"/>
    </row>
    <row r="141" spans="1:7" x14ac:dyDescent="0.25">
      <c r="A141" s="27" t="s">
        <v>537</v>
      </c>
      <c r="F141" s="17"/>
      <c r="G141" s="17"/>
    </row>
    <row r="142" spans="1:7" x14ac:dyDescent="0.25">
      <c r="A142" s="27" t="s">
        <v>266</v>
      </c>
      <c r="F142" s="17"/>
      <c r="G142" s="17"/>
    </row>
    <row r="143" spans="1:7" x14ac:dyDescent="0.25">
      <c r="A143" s="27" t="s">
        <v>530</v>
      </c>
      <c r="B143" s="25" t="s">
        <v>70</v>
      </c>
      <c r="F143" s="17"/>
      <c r="G143" s="17"/>
    </row>
    <row r="144" spans="1:7" x14ac:dyDescent="0.25">
      <c r="A144" s="27" t="s">
        <v>275</v>
      </c>
      <c r="F144" s="17"/>
      <c r="G144" s="17"/>
    </row>
    <row r="145" spans="1:7" x14ac:dyDescent="0.25">
      <c r="A145" s="27" t="s">
        <v>318</v>
      </c>
      <c r="F145" s="17"/>
      <c r="G145" s="17"/>
    </row>
    <row r="146" spans="1:7" x14ac:dyDescent="0.25">
      <c r="A146" s="27" t="s">
        <v>362</v>
      </c>
      <c r="F146" s="17"/>
      <c r="G146" s="17"/>
    </row>
    <row r="147" spans="1:7" x14ac:dyDescent="0.25">
      <c r="A147" s="27" t="s">
        <v>294</v>
      </c>
      <c r="B147" s="24">
        <v>1</v>
      </c>
      <c r="F147" s="17"/>
      <c r="G147" s="17"/>
    </row>
    <row r="148" spans="1:7" x14ac:dyDescent="0.25">
      <c r="A148" s="27" t="s">
        <v>287</v>
      </c>
      <c r="B148" s="24">
        <v>1</v>
      </c>
      <c r="F148" s="17"/>
      <c r="G148" s="17"/>
    </row>
    <row r="149" spans="1:7" x14ac:dyDescent="0.25">
      <c r="A149" s="27" t="s">
        <v>538</v>
      </c>
      <c r="F149" s="17"/>
      <c r="G149" s="17"/>
    </row>
    <row r="150" spans="1:7" x14ac:dyDescent="0.25">
      <c r="A150" s="27" t="s">
        <v>523</v>
      </c>
      <c r="F150" s="17"/>
      <c r="G150" s="17"/>
    </row>
    <row r="151" spans="1:7" x14ac:dyDescent="0.25">
      <c r="A151" s="27" t="s">
        <v>280</v>
      </c>
      <c r="F151" s="17"/>
      <c r="G151" s="17"/>
    </row>
    <row r="152" spans="1:7" x14ac:dyDescent="0.25">
      <c r="A152" s="27" t="s">
        <v>525</v>
      </c>
      <c r="B152" s="25" t="s">
        <v>70</v>
      </c>
      <c r="F152" s="17"/>
      <c r="G152" s="17"/>
    </row>
    <row r="153" spans="1:7" x14ac:dyDescent="0.25">
      <c r="F153" s="17"/>
      <c r="G153" s="17"/>
    </row>
    <row r="154" spans="1:7" x14ac:dyDescent="0.25">
      <c r="A154" s="73" t="s">
        <v>473</v>
      </c>
      <c r="F154" s="17"/>
      <c r="G154" s="17"/>
    </row>
    <row r="155" spans="1:7" x14ac:dyDescent="0.25">
      <c r="A155" s="17" t="s">
        <v>88</v>
      </c>
      <c r="F155" s="17"/>
      <c r="G155" s="17"/>
    </row>
    <row r="156" spans="1:7" x14ac:dyDescent="0.25">
      <c r="A156" s="27" t="s">
        <v>526</v>
      </c>
      <c r="B156" s="25" t="s">
        <v>527</v>
      </c>
      <c r="F156" s="17"/>
      <c r="G156" s="17"/>
    </row>
    <row r="157" spans="1:7" x14ac:dyDescent="0.25">
      <c r="A157" s="17" t="s">
        <v>499</v>
      </c>
      <c r="F157" s="17"/>
      <c r="G157" s="17"/>
    </row>
    <row r="158" spans="1:7" x14ac:dyDescent="0.25">
      <c r="A158" s="27" t="s">
        <v>200</v>
      </c>
      <c r="F158" s="17"/>
      <c r="G158" s="17"/>
    </row>
    <row r="159" spans="1:7" x14ac:dyDescent="0.25">
      <c r="A159" s="17" t="s">
        <v>195</v>
      </c>
      <c r="B159" s="17"/>
      <c r="F159" s="17"/>
      <c r="G159" s="17"/>
    </row>
    <row r="160" spans="1:7" x14ac:dyDescent="0.25">
      <c r="A160" s="17" t="s">
        <v>87</v>
      </c>
      <c r="F160" s="17"/>
      <c r="G160" s="17"/>
    </row>
    <row r="161" spans="1:7" x14ac:dyDescent="0.25">
      <c r="A161" s="17" t="s">
        <v>501</v>
      </c>
      <c r="B161" s="74" t="s">
        <v>502</v>
      </c>
      <c r="F161" s="17"/>
      <c r="G161" s="17"/>
    </row>
    <row r="162" spans="1:7" x14ac:dyDescent="0.25">
      <c r="A162" s="27" t="s">
        <v>529</v>
      </c>
      <c r="B162" s="74" t="s">
        <v>528</v>
      </c>
      <c r="F162" s="17"/>
      <c r="G162" s="17"/>
    </row>
    <row r="163" spans="1:7" x14ac:dyDescent="0.25">
      <c r="A163" s="17" t="s">
        <v>471</v>
      </c>
      <c r="B163" s="27"/>
      <c r="F163" s="17"/>
      <c r="G163" s="17"/>
    </row>
    <row r="164" spans="1:7" x14ac:dyDescent="0.25">
      <c r="A164" s="17" t="s">
        <v>93</v>
      </c>
      <c r="F164" s="17"/>
      <c r="G164" s="17"/>
    </row>
    <row r="165" spans="1:7" x14ac:dyDescent="0.25">
      <c r="A165" s="17" t="s">
        <v>85</v>
      </c>
    </row>
    <row r="166" spans="1:7" x14ac:dyDescent="0.25">
      <c r="A166" s="17" t="s">
        <v>103</v>
      </c>
      <c r="F166" s="17"/>
      <c r="G166" s="17"/>
    </row>
    <row r="167" spans="1:7" x14ac:dyDescent="0.25">
      <c r="A167" s="17" t="s">
        <v>86</v>
      </c>
      <c r="F167" s="17"/>
      <c r="G167" s="17"/>
    </row>
    <row r="168" spans="1:7" x14ac:dyDescent="0.25">
      <c r="A168" s="17" t="s">
        <v>191</v>
      </c>
      <c r="F168" s="17"/>
      <c r="G168" s="17"/>
    </row>
    <row r="169" spans="1:7" x14ac:dyDescent="0.25">
      <c r="A169" s="17" t="s">
        <v>89</v>
      </c>
      <c r="F169" s="17"/>
      <c r="G169" s="17"/>
    </row>
    <row r="170" spans="1:7" x14ac:dyDescent="0.25">
      <c r="A170" s="17" t="s">
        <v>472</v>
      </c>
      <c r="B170" s="27"/>
    </row>
    <row r="171" spans="1:7" x14ac:dyDescent="0.25">
      <c r="A171" s="17" t="s">
        <v>522</v>
      </c>
      <c r="F171" s="17"/>
      <c r="G171" s="17"/>
    </row>
    <row r="172" spans="1:7" x14ac:dyDescent="0.25">
      <c r="A172" s="17" t="s">
        <v>197</v>
      </c>
      <c r="C172" s="27" t="s">
        <v>503</v>
      </c>
      <c r="F172" s="17"/>
      <c r="G172" s="17"/>
    </row>
    <row r="173" spans="1:7" x14ac:dyDescent="0.25">
      <c r="A173" s="17" t="s">
        <v>193</v>
      </c>
      <c r="C173" s="27"/>
      <c r="F173" s="17"/>
      <c r="G173" s="17"/>
    </row>
    <row r="174" spans="1:7" x14ac:dyDescent="0.25">
      <c r="A174" s="17" t="s">
        <v>500</v>
      </c>
      <c r="B174" s="17" t="s">
        <v>469</v>
      </c>
      <c r="F174" s="17"/>
      <c r="G174" s="17"/>
    </row>
    <row r="175" spans="1:7" x14ac:dyDescent="0.25">
      <c r="A175" s="17" t="s">
        <v>498</v>
      </c>
      <c r="F175" s="17"/>
      <c r="G175" s="17"/>
    </row>
    <row r="176" spans="1:7" x14ac:dyDescent="0.25">
      <c r="A176" s="17" t="s">
        <v>199</v>
      </c>
      <c r="F176" s="17"/>
      <c r="G176" s="17"/>
    </row>
    <row r="177" spans="1:7" x14ac:dyDescent="0.25">
      <c r="A177" s="17" t="s">
        <v>468</v>
      </c>
    </row>
    <row r="178" spans="1:7" x14ac:dyDescent="0.25">
      <c r="A178" s="17" t="s">
        <v>470</v>
      </c>
      <c r="B178" s="27"/>
      <c r="F178" s="17"/>
      <c r="G178" s="17"/>
    </row>
    <row r="179" spans="1:7" x14ac:dyDescent="0.25">
      <c r="A179" s="17" t="s">
        <v>196</v>
      </c>
      <c r="B179" s="27"/>
      <c r="F179" s="17"/>
      <c r="G179" s="17"/>
    </row>
    <row r="180" spans="1:7" x14ac:dyDescent="0.25">
      <c r="A180" s="17" t="s">
        <v>194</v>
      </c>
      <c r="B180" s="27"/>
      <c r="F180" s="17"/>
      <c r="G180" s="17"/>
    </row>
    <row r="181" spans="1:7" x14ac:dyDescent="0.25">
      <c r="A181" s="17" t="s">
        <v>90</v>
      </c>
      <c r="F181" s="17"/>
      <c r="G181" s="17"/>
    </row>
    <row r="182" spans="1:7" x14ac:dyDescent="0.25">
      <c r="F182" s="17"/>
      <c r="G182" s="17"/>
    </row>
    <row r="183" spans="1:7" x14ac:dyDescent="0.25">
      <c r="A183" s="73" t="s">
        <v>480</v>
      </c>
      <c r="E183" s="74"/>
      <c r="F183" s="17"/>
      <c r="G183" s="17"/>
    </row>
    <row r="184" spans="1:7" x14ac:dyDescent="0.25">
      <c r="A184" s="27" t="s">
        <v>474</v>
      </c>
      <c r="E184"/>
      <c r="F184" s="17"/>
      <c r="G184" s="17"/>
    </row>
    <row r="185" spans="1:7" x14ac:dyDescent="0.25">
      <c r="A185" s="27" t="s">
        <v>475</v>
      </c>
      <c r="E185"/>
      <c r="F185" s="17"/>
      <c r="G185" s="17"/>
    </row>
    <row r="186" spans="1:7" x14ac:dyDescent="0.25">
      <c r="A186" s="27" t="s">
        <v>192</v>
      </c>
      <c r="E186"/>
      <c r="F186" s="17"/>
      <c r="G186" s="17"/>
    </row>
    <row r="187" spans="1:7" x14ac:dyDescent="0.25">
      <c r="A187" s="27" t="s">
        <v>476</v>
      </c>
      <c r="E187"/>
      <c r="F187" s="17"/>
      <c r="G187" s="17"/>
    </row>
    <row r="188" spans="1:7" x14ac:dyDescent="0.25">
      <c r="A188" s="17" t="s">
        <v>477</v>
      </c>
      <c r="E188"/>
      <c r="F188" s="17"/>
      <c r="G188" s="17"/>
    </row>
    <row r="189" spans="1:7" x14ac:dyDescent="0.25">
      <c r="D189" s="74"/>
      <c r="E189"/>
      <c r="F189" s="17"/>
      <c r="G189" s="17"/>
    </row>
    <row r="190" spans="1:7" x14ac:dyDescent="0.25">
      <c r="A190" s="72" t="s">
        <v>481</v>
      </c>
      <c r="D190" s="74"/>
      <c r="E190" s="74"/>
      <c r="F190" s="17"/>
      <c r="G190" s="17"/>
    </row>
    <row r="191" spans="1:7" x14ac:dyDescent="0.25">
      <c r="A191" s="27" t="s">
        <v>478</v>
      </c>
      <c r="D191" s="74"/>
      <c r="E191"/>
    </row>
    <row r="192" spans="1:7" x14ac:dyDescent="0.25">
      <c r="A192" s="27" t="s">
        <v>479</v>
      </c>
      <c r="D192" s="74"/>
      <c r="E192"/>
      <c r="F192" s="17"/>
      <c r="G192" s="17"/>
    </row>
    <row r="193" spans="1:7" x14ac:dyDescent="0.25">
      <c r="A193" s="27" t="s">
        <v>190</v>
      </c>
      <c r="D193" s="74"/>
      <c r="E193"/>
      <c r="F193" s="17"/>
      <c r="G193" s="17"/>
    </row>
    <row r="194" spans="1:7" x14ac:dyDescent="0.25">
      <c r="F194" s="17"/>
      <c r="G194" s="17"/>
    </row>
    <row r="195" spans="1:7" x14ac:dyDescent="0.25">
      <c r="A195" s="73" t="s">
        <v>372</v>
      </c>
      <c r="F195" s="17"/>
      <c r="G195" s="17"/>
    </row>
    <row r="196" spans="1:7" x14ac:dyDescent="0.25">
      <c r="A196" s="27" t="s">
        <v>371</v>
      </c>
      <c r="F196" s="17"/>
      <c r="G196" s="17"/>
    </row>
    <row r="197" spans="1:7" x14ac:dyDescent="0.25">
      <c r="A197" s="27" t="s">
        <v>464</v>
      </c>
      <c r="F197" s="17"/>
      <c r="G197" s="17"/>
    </row>
    <row r="198" spans="1:7" x14ac:dyDescent="0.25">
      <c r="A198" s="27" t="s">
        <v>462</v>
      </c>
    </row>
    <row r="199" spans="1:7" x14ac:dyDescent="0.25">
      <c r="A199" s="27" t="s">
        <v>466</v>
      </c>
    </row>
    <row r="200" spans="1:7" x14ac:dyDescent="0.25">
      <c r="A200" s="27" t="s">
        <v>463</v>
      </c>
    </row>
    <row r="201" spans="1:7" x14ac:dyDescent="0.25">
      <c r="A201" s="27" t="s">
        <v>369</v>
      </c>
    </row>
    <row r="202" spans="1:7" x14ac:dyDescent="0.25">
      <c r="A202" s="27" t="s">
        <v>465</v>
      </c>
    </row>
    <row r="203" spans="1:7" x14ac:dyDescent="0.25">
      <c r="A203" s="27" t="s">
        <v>373</v>
      </c>
    </row>
    <row r="204" spans="1:7" x14ac:dyDescent="0.25">
      <c r="A204" s="27" t="s">
        <v>365</v>
      </c>
    </row>
    <row r="205" spans="1:7" ht="15.75" thickBot="1" x14ac:dyDescent="0.3"/>
    <row r="206" spans="1:7" x14ac:dyDescent="0.25">
      <c r="A206" s="75" t="s">
        <v>377</v>
      </c>
      <c r="B206" s="79"/>
      <c r="C206" s="82" t="s">
        <v>482</v>
      </c>
      <c r="D206" s="83" t="s">
        <v>483</v>
      </c>
      <c r="E206" s="84"/>
      <c r="F206" s="85"/>
      <c r="G206" s="17"/>
    </row>
    <row r="207" spans="1:7" x14ac:dyDescent="0.25">
      <c r="A207" s="76" t="s">
        <v>489</v>
      </c>
      <c r="B207" s="80" t="s">
        <v>490</v>
      </c>
      <c r="C207" s="86" t="s">
        <v>460</v>
      </c>
      <c r="D207" s="29" t="s">
        <v>380</v>
      </c>
      <c r="E207" s="29"/>
      <c r="F207" s="77"/>
      <c r="G207" s="17"/>
    </row>
    <row r="208" spans="1:7" x14ac:dyDescent="0.25">
      <c r="A208" s="76" t="s">
        <v>458</v>
      </c>
      <c r="B208" s="80" t="s">
        <v>490</v>
      </c>
      <c r="C208" s="86" t="s">
        <v>376</v>
      </c>
      <c r="D208" s="29" t="s">
        <v>381</v>
      </c>
      <c r="E208" s="29"/>
      <c r="F208" s="77"/>
      <c r="G208" s="17"/>
    </row>
    <row r="209" spans="1:7" x14ac:dyDescent="0.25">
      <c r="A209" s="76" t="s">
        <v>456</v>
      </c>
      <c r="B209" s="80" t="s">
        <v>490</v>
      </c>
      <c r="C209" s="86" t="s">
        <v>376</v>
      </c>
      <c r="D209" s="29" t="s">
        <v>382</v>
      </c>
      <c r="E209" s="29"/>
      <c r="F209" s="77"/>
      <c r="G209" s="17"/>
    </row>
    <row r="210" spans="1:7" x14ac:dyDescent="0.25">
      <c r="A210" s="76" t="s">
        <v>379</v>
      </c>
      <c r="B210" s="81" t="s">
        <v>490</v>
      </c>
      <c r="C210" s="86" t="s">
        <v>376</v>
      </c>
      <c r="D210" s="29" t="s">
        <v>383</v>
      </c>
      <c r="E210" s="29"/>
      <c r="F210" s="77"/>
      <c r="G210" s="17"/>
    </row>
    <row r="211" spans="1:7" x14ac:dyDescent="0.25">
      <c r="A211" s="76" t="s">
        <v>467</v>
      </c>
      <c r="B211" s="80" t="s">
        <v>490</v>
      </c>
      <c r="C211" s="86" t="s">
        <v>488</v>
      </c>
      <c r="D211" s="29" t="s">
        <v>384</v>
      </c>
      <c r="E211" s="29"/>
      <c r="F211" s="77"/>
      <c r="G211" s="17"/>
    </row>
    <row r="212" spans="1:7" x14ac:dyDescent="0.25">
      <c r="A212" s="76" t="s">
        <v>457</v>
      </c>
      <c r="B212" s="80" t="s">
        <v>490</v>
      </c>
      <c r="C212" s="86" t="s">
        <v>493</v>
      </c>
      <c r="D212" s="29" t="s">
        <v>385</v>
      </c>
      <c r="E212" s="29"/>
      <c r="F212" s="77"/>
      <c r="G212" s="17"/>
    </row>
    <row r="213" spans="1:7" x14ac:dyDescent="0.25">
      <c r="A213" s="76" t="s">
        <v>375</v>
      </c>
      <c r="B213" s="80" t="s">
        <v>490</v>
      </c>
      <c r="C213" s="86" t="s">
        <v>461</v>
      </c>
      <c r="D213" s="29" t="s">
        <v>386</v>
      </c>
      <c r="E213" s="29"/>
      <c r="F213" s="77"/>
      <c r="G213" s="17"/>
    </row>
    <row r="214" spans="1:7" x14ac:dyDescent="0.25">
      <c r="A214" s="76" t="s">
        <v>488</v>
      </c>
      <c r="B214" s="80" t="s">
        <v>490</v>
      </c>
      <c r="C214" s="86" t="s">
        <v>516</v>
      </c>
      <c r="D214" s="29" t="s">
        <v>387</v>
      </c>
      <c r="E214" s="29"/>
      <c r="F214" s="77"/>
      <c r="G214" s="17"/>
    </row>
    <row r="215" spans="1:7" x14ac:dyDescent="0.25">
      <c r="A215" s="76" t="s">
        <v>504</v>
      </c>
      <c r="B215" s="80" t="s">
        <v>490</v>
      </c>
      <c r="C215" s="86" t="s">
        <v>516</v>
      </c>
      <c r="D215" s="29" t="s">
        <v>388</v>
      </c>
      <c r="E215" s="29"/>
      <c r="F215" s="77"/>
      <c r="G215" s="17"/>
    </row>
    <row r="216" spans="1:7" x14ac:dyDescent="0.25">
      <c r="A216" s="76" t="s">
        <v>505</v>
      </c>
      <c r="B216" s="80" t="s">
        <v>490</v>
      </c>
      <c r="C216" s="86" t="s">
        <v>516</v>
      </c>
      <c r="D216" s="29" t="s">
        <v>389</v>
      </c>
      <c r="E216" s="29"/>
      <c r="F216" s="77"/>
      <c r="G216" s="17"/>
    </row>
    <row r="217" spans="1:7" x14ac:dyDescent="0.25">
      <c r="A217" s="76" t="s">
        <v>485</v>
      </c>
      <c r="B217" s="80" t="s">
        <v>490</v>
      </c>
      <c r="C217" s="86" t="s">
        <v>456</v>
      </c>
      <c r="D217" s="81" t="s">
        <v>390</v>
      </c>
      <c r="E217" s="29"/>
      <c r="F217" s="77"/>
      <c r="G217" s="17"/>
    </row>
    <row r="218" spans="1:7" x14ac:dyDescent="0.25">
      <c r="A218" s="76" t="s">
        <v>507</v>
      </c>
      <c r="B218" s="80" t="s">
        <v>490</v>
      </c>
      <c r="C218" s="86" t="s">
        <v>456</v>
      </c>
      <c r="D218" s="29" t="s">
        <v>391</v>
      </c>
      <c r="E218" s="29"/>
      <c r="F218" s="77"/>
      <c r="G218" s="17"/>
    </row>
    <row r="219" spans="1:7" x14ac:dyDescent="0.25">
      <c r="A219" s="76" t="s">
        <v>486</v>
      </c>
      <c r="B219" s="80" t="s">
        <v>514</v>
      </c>
      <c r="C219" s="86" t="s">
        <v>484</v>
      </c>
      <c r="D219" s="29" t="s">
        <v>392</v>
      </c>
      <c r="E219" s="29"/>
      <c r="F219" s="77"/>
      <c r="G219" s="17"/>
    </row>
    <row r="220" spans="1:7" x14ac:dyDescent="0.25">
      <c r="A220" s="76" t="s">
        <v>487</v>
      </c>
      <c r="B220" s="80" t="s">
        <v>514</v>
      </c>
      <c r="C220" s="86" t="s">
        <v>379</v>
      </c>
      <c r="D220" s="29" t="s">
        <v>393</v>
      </c>
      <c r="E220" s="29"/>
      <c r="F220" s="77"/>
      <c r="G220" s="17"/>
    </row>
    <row r="221" spans="1:7" x14ac:dyDescent="0.25">
      <c r="A221" s="76" t="s">
        <v>374</v>
      </c>
      <c r="B221" s="80" t="s">
        <v>491</v>
      </c>
      <c r="C221" s="86" t="s">
        <v>375</v>
      </c>
      <c r="D221" s="29" t="s">
        <v>394</v>
      </c>
      <c r="E221" s="29"/>
      <c r="F221" s="77"/>
      <c r="G221" s="17"/>
    </row>
    <row r="222" spans="1:7" x14ac:dyDescent="0.25">
      <c r="A222" s="76" t="s">
        <v>484</v>
      </c>
      <c r="B222" s="81" t="s">
        <v>491</v>
      </c>
      <c r="C222" s="86" t="s">
        <v>487</v>
      </c>
      <c r="D222" s="29" t="s">
        <v>395</v>
      </c>
      <c r="E222" s="29"/>
      <c r="F222" s="77"/>
      <c r="G222" s="17"/>
    </row>
    <row r="223" spans="1:7" x14ac:dyDescent="0.25">
      <c r="A223" s="76" t="s">
        <v>461</v>
      </c>
      <c r="B223" s="81" t="s">
        <v>491</v>
      </c>
      <c r="C223" s="86" t="s">
        <v>487</v>
      </c>
      <c r="D223" s="29" t="s">
        <v>396</v>
      </c>
      <c r="E223" s="29"/>
      <c r="F223" s="77"/>
      <c r="G223" s="17"/>
    </row>
    <row r="224" spans="1:7" x14ac:dyDescent="0.25">
      <c r="A224" s="76" t="s">
        <v>506</v>
      </c>
      <c r="B224" s="81" t="s">
        <v>491</v>
      </c>
      <c r="C224" s="86" t="s">
        <v>457</v>
      </c>
      <c r="D224" s="29" t="s">
        <v>397</v>
      </c>
      <c r="E224" s="29"/>
      <c r="F224" s="77"/>
      <c r="G224" s="17"/>
    </row>
    <row r="225" spans="1:7" x14ac:dyDescent="0.25">
      <c r="A225" s="76" t="s">
        <v>459</v>
      </c>
      <c r="B225" s="80" t="s">
        <v>491</v>
      </c>
      <c r="C225" s="86" t="s">
        <v>459</v>
      </c>
      <c r="D225" s="29" t="s">
        <v>398</v>
      </c>
      <c r="E225" s="29"/>
      <c r="F225" s="77"/>
      <c r="G225" s="17"/>
    </row>
    <row r="226" spans="1:7" x14ac:dyDescent="0.25">
      <c r="A226" s="76" t="s">
        <v>515</v>
      </c>
      <c r="B226" s="80" t="s">
        <v>491</v>
      </c>
      <c r="C226" s="86" t="s">
        <v>458</v>
      </c>
      <c r="D226" s="29" t="s">
        <v>399</v>
      </c>
      <c r="E226" s="29"/>
      <c r="F226" s="77"/>
      <c r="G226" s="17"/>
    </row>
    <row r="227" spans="1:7" x14ac:dyDescent="0.25">
      <c r="A227" s="76" t="s">
        <v>511</v>
      </c>
      <c r="B227" s="80" t="s">
        <v>491</v>
      </c>
      <c r="C227" s="86" t="s">
        <v>379</v>
      </c>
      <c r="D227" s="29" t="s">
        <v>400</v>
      </c>
      <c r="E227" s="29"/>
      <c r="F227" s="77"/>
      <c r="G227" s="17"/>
    </row>
    <row r="228" spans="1:7" x14ac:dyDescent="0.25">
      <c r="A228" s="76" t="s">
        <v>510</v>
      </c>
      <c r="B228" s="81" t="s">
        <v>491</v>
      </c>
      <c r="C228" s="86" t="s">
        <v>467</v>
      </c>
      <c r="D228" s="29" t="s">
        <v>401</v>
      </c>
      <c r="E228" s="29"/>
      <c r="F228" s="77"/>
      <c r="G228" s="17"/>
    </row>
    <row r="229" spans="1:7" x14ac:dyDescent="0.25">
      <c r="A229" s="76" t="s">
        <v>508</v>
      </c>
      <c r="B229" s="80" t="s">
        <v>491</v>
      </c>
      <c r="C229" s="86" t="s">
        <v>467</v>
      </c>
      <c r="D229" s="29" t="s">
        <v>402</v>
      </c>
      <c r="E229" s="29"/>
      <c r="F229" s="77"/>
      <c r="G229" s="17"/>
    </row>
    <row r="230" spans="1:7" x14ac:dyDescent="0.25">
      <c r="A230" s="76" t="s">
        <v>509</v>
      </c>
      <c r="B230" s="80" t="s">
        <v>494</v>
      </c>
      <c r="C230" s="86" t="s">
        <v>489</v>
      </c>
      <c r="D230" s="29" t="s">
        <v>403</v>
      </c>
      <c r="E230" s="29"/>
      <c r="F230" s="77"/>
      <c r="G230" s="17"/>
    </row>
    <row r="231" spans="1:7" x14ac:dyDescent="0.25">
      <c r="A231" s="76" t="s">
        <v>460</v>
      </c>
      <c r="B231" s="80" t="s">
        <v>494</v>
      </c>
      <c r="C231" s="86" t="s">
        <v>489</v>
      </c>
      <c r="D231" s="29" t="s">
        <v>404</v>
      </c>
      <c r="E231" s="29"/>
      <c r="F231" s="77"/>
      <c r="G231" s="17"/>
    </row>
    <row r="232" spans="1:7" x14ac:dyDescent="0.25">
      <c r="A232" s="76" t="s">
        <v>495</v>
      </c>
      <c r="B232" s="80" t="s">
        <v>494</v>
      </c>
      <c r="C232" s="86" t="s">
        <v>489</v>
      </c>
      <c r="D232" s="29" t="s">
        <v>405</v>
      </c>
      <c r="E232" s="29"/>
      <c r="F232" s="77"/>
      <c r="G232" s="17"/>
    </row>
    <row r="233" spans="1:7" x14ac:dyDescent="0.25">
      <c r="A233" s="76" t="s">
        <v>492</v>
      </c>
      <c r="B233" s="80" t="s">
        <v>494</v>
      </c>
      <c r="C233" s="86" t="s">
        <v>504</v>
      </c>
      <c r="D233" s="29" t="s">
        <v>406</v>
      </c>
      <c r="E233" s="29"/>
      <c r="F233" s="77"/>
      <c r="G233" s="17"/>
    </row>
    <row r="234" spans="1:7" x14ac:dyDescent="0.25">
      <c r="A234" s="76" t="s">
        <v>493</v>
      </c>
      <c r="B234" s="80" t="s">
        <v>494</v>
      </c>
      <c r="C234" s="86" t="s">
        <v>485</v>
      </c>
      <c r="D234" s="29" t="s">
        <v>407</v>
      </c>
      <c r="E234" s="29"/>
      <c r="F234" s="77"/>
      <c r="G234" s="17"/>
    </row>
    <row r="235" spans="1:7" x14ac:dyDescent="0.25">
      <c r="A235" s="76" t="s">
        <v>512</v>
      </c>
      <c r="B235" s="80" t="s">
        <v>494</v>
      </c>
      <c r="C235" s="86" t="s">
        <v>485</v>
      </c>
      <c r="D235" s="29" t="s">
        <v>408</v>
      </c>
      <c r="E235" s="29"/>
      <c r="F235" s="77"/>
      <c r="G235" s="17"/>
    </row>
    <row r="236" spans="1:7" x14ac:dyDescent="0.25">
      <c r="A236" s="76" t="s">
        <v>496</v>
      </c>
      <c r="B236" s="80" t="s">
        <v>494</v>
      </c>
      <c r="C236" s="86" t="s">
        <v>485</v>
      </c>
      <c r="D236" s="29" t="s">
        <v>409</v>
      </c>
      <c r="E236" s="29"/>
      <c r="F236" s="77"/>
      <c r="G236" s="17"/>
    </row>
    <row r="237" spans="1:7" x14ac:dyDescent="0.25">
      <c r="A237" s="76" t="s">
        <v>42</v>
      </c>
      <c r="B237" s="80" t="s">
        <v>42</v>
      </c>
      <c r="C237" s="86" t="s">
        <v>486</v>
      </c>
      <c r="D237" s="29" t="s">
        <v>410</v>
      </c>
      <c r="E237" s="29"/>
      <c r="F237" s="77"/>
      <c r="G237" s="17"/>
    </row>
    <row r="238" spans="1:7" x14ac:dyDescent="0.25">
      <c r="A238" s="76" t="s">
        <v>376</v>
      </c>
      <c r="B238" s="80" t="s">
        <v>376</v>
      </c>
      <c r="C238" s="86" t="s">
        <v>486</v>
      </c>
      <c r="D238" s="29" t="s">
        <v>411</v>
      </c>
      <c r="E238" s="29"/>
      <c r="F238" s="77"/>
      <c r="G238" s="17"/>
    </row>
    <row r="239" spans="1:7" ht="15.75" thickBot="1" x14ac:dyDescent="0.3">
      <c r="A239" s="78" t="s">
        <v>516</v>
      </c>
      <c r="B239" s="91" t="s">
        <v>516</v>
      </c>
      <c r="C239" s="86" t="s">
        <v>486</v>
      </c>
      <c r="D239" s="29" t="s">
        <v>412</v>
      </c>
      <c r="E239" s="29"/>
      <c r="F239" s="77"/>
      <c r="G239" s="17"/>
    </row>
    <row r="240" spans="1:7" x14ac:dyDescent="0.25">
      <c r="C240" s="86" t="s">
        <v>458</v>
      </c>
      <c r="D240" s="29" t="s">
        <v>413</v>
      </c>
      <c r="E240" s="29"/>
      <c r="F240" s="77"/>
      <c r="G240" s="17"/>
    </row>
    <row r="241" spans="2:7" x14ac:dyDescent="0.25">
      <c r="C241" s="86" t="s">
        <v>458</v>
      </c>
      <c r="D241" s="29" t="s">
        <v>414</v>
      </c>
      <c r="E241" s="29"/>
      <c r="F241" s="77"/>
      <c r="G241" s="17"/>
    </row>
    <row r="242" spans="2:7" x14ac:dyDescent="0.25">
      <c r="C242" s="86" t="s">
        <v>458</v>
      </c>
      <c r="D242" s="29" t="s">
        <v>415</v>
      </c>
      <c r="E242" s="29"/>
      <c r="F242" s="77"/>
      <c r="G242" s="17"/>
    </row>
    <row r="243" spans="2:7" x14ac:dyDescent="0.25">
      <c r="C243" s="86" t="s">
        <v>507</v>
      </c>
      <c r="D243" s="29" t="s">
        <v>416</v>
      </c>
      <c r="E243" s="29"/>
      <c r="F243" s="77"/>
      <c r="G243" s="17"/>
    </row>
    <row r="244" spans="2:7" x14ac:dyDescent="0.25">
      <c r="C244" s="86" t="s">
        <v>379</v>
      </c>
      <c r="D244" s="29" t="s">
        <v>417</v>
      </c>
      <c r="E244" s="29"/>
      <c r="F244" s="77"/>
      <c r="G244" s="17"/>
    </row>
    <row r="245" spans="2:7" x14ac:dyDescent="0.25">
      <c r="C245" s="86" t="s">
        <v>505</v>
      </c>
      <c r="D245" s="29" t="s">
        <v>418</v>
      </c>
      <c r="E245" s="29"/>
      <c r="F245" s="77"/>
      <c r="G245" s="17"/>
    </row>
    <row r="246" spans="2:7" x14ac:dyDescent="0.25">
      <c r="C246" s="86" t="s">
        <v>484</v>
      </c>
      <c r="D246" s="29" t="s">
        <v>419</v>
      </c>
      <c r="E246" s="29"/>
      <c r="F246" s="77"/>
      <c r="G246" s="17"/>
    </row>
    <row r="247" spans="2:7" x14ac:dyDescent="0.25">
      <c r="C247" s="86" t="s">
        <v>376</v>
      </c>
      <c r="D247" s="29" t="s">
        <v>420</v>
      </c>
      <c r="E247" s="29"/>
      <c r="F247" s="77"/>
      <c r="G247" s="17"/>
    </row>
    <row r="248" spans="2:7" x14ac:dyDescent="0.25">
      <c r="C248" s="86" t="s">
        <v>376</v>
      </c>
      <c r="D248" s="29" t="s">
        <v>421</v>
      </c>
      <c r="E248" s="29"/>
      <c r="F248" s="77"/>
      <c r="G248" s="17"/>
    </row>
    <row r="249" spans="2:7" x14ac:dyDescent="0.25">
      <c r="B249" s="17"/>
      <c r="C249" s="86" t="s">
        <v>461</v>
      </c>
      <c r="D249" s="29" t="s">
        <v>422</v>
      </c>
      <c r="E249" s="29"/>
      <c r="F249" s="77"/>
      <c r="G249" s="17"/>
    </row>
    <row r="250" spans="2:7" x14ac:dyDescent="0.25">
      <c r="B250" s="17"/>
      <c r="C250" s="86" t="s">
        <v>461</v>
      </c>
      <c r="D250" s="29" t="s">
        <v>423</v>
      </c>
      <c r="E250" s="29"/>
      <c r="F250" s="77"/>
      <c r="G250" s="17"/>
    </row>
    <row r="251" spans="2:7" x14ac:dyDescent="0.25">
      <c r="B251" s="17"/>
      <c r="C251" s="86" t="s">
        <v>510</v>
      </c>
      <c r="D251" s="29" t="s">
        <v>424</v>
      </c>
      <c r="E251" s="29"/>
      <c r="F251" s="77"/>
      <c r="G251" s="17"/>
    </row>
    <row r="252" spans="2:7" x14ac:dyDescent="0.25">
      <c r="B252" s="17"/>
      <c r="C252" s="86" t="s">
        <v>511</v>
      </c>
      <c r="D252" s="29" t="s">
        <v>425</v>
      </c>
      <c r="E252" s="29"/>
      <c r="F252" s="77"/>
      <c r="G252" s="17"/>
    </row>
    <row r="253" spans="2:7" x14ac:dyDescent="0.25">
      <c r="B253" s="17"/>
      <c r="C253" s="86" t="s">
        <v>511</v>
      </c>
      <c r="D253" s="29" t="s">
        <v>426</v>
      </c>
      <c r="E253" s="29"/>
      <c r="F253" s="77"/>
      <c r="G253" s="17"/>
    </row>
    <row r="254" spans="2:7" x14ac:dyDescent="0.25">
      <c r="B254" s="17"/>
      <c r="C254" s="86" t="s">
        <v>511</v>
      </c>
      <c r="D254" s="29" t="s">
        <v>427</v>
      </c>
      <c r="E254" s="29"/>
      <c r="F254" s="77"/>
      <c r="G254" s="17"/>
    </row>
    <row r="255" spans="2:7" x14ac:dyDescent="0.25">
      <c r="B255" s="17"/>
      <c r="C255" s="86" t="s">
        <v>374</v>
      </c>
      <c r="D255" s="29" t="s">
        <v>428</v>
      </c>
      <c r="E255" s="29"/>
      <c r="F255" s="77"/>
      <c r="G255" s="17"/>
    </row>
    <row r="256" spans="2:7" x14ac:dyDescent="0.25">
      <c r="B256" s="17"/>
      <c r="C256" s="86" t="s">
        <v>374</v>
      </c>
      <c r="D256" s="29" t="s">
        <v>429</v>
      </c>
      <c r="E256" s="29"/>
      <c r="F256" s="77"/>
      <c r="G256" s="17"/>
    </row>
    <row r="257" spans="2:7" x14ac:dyDescent="0.25">
      <c r="B257" s="17"/>
      <c r="C257" s="86" t="s">
        <v>374</v>
      </c>
      <c r="D257" s="29" t="s">
        <v>430</v>
      </c>
      <c r="E257" s="29"/>
      <c r="F257" s="77"/>
      <c r="G257" s="17"/>
    </row>
    <row r="258" spans="2:7" x14ac:dyDescent="0.25">
      <c r="B258" s="17"/>
      <c r="C258" s="86" t="s">
        <v>506</v>
      </c>
      <c r="D258" s="29" t="s">
        <v>431</v>
      </c>
      <c r="E258" s="29"/>
      <c r="F258" s="77"/>
      <c r="G258" s="17"/>
    </row>
    <row r="259" spans="2:7" x14ac:dyDescent="0.25">
      <c r="B259" s="17"/>
      <c r="C259" s="86" t="s">
        <v>506</v>
      </c>
      <c r="D259" s="29" t="s">
        <v>432</v>
      </c>
      <c r="E259" s="29"/>
      <c r="F259" s="77"/>
      <c r="G259" s="17"/>
    </row>
    <row r="260" spans="2:7" x14ac:dyDescent="0.25">
      <c r="B260" s="17"/>
      <c r="C260" s="86" t="s">
        <v>506</v>
      </c>
      <c r="D260" s="29" t="s">
        <v>433</v>
      </c>
      <c r="E260" s="29"/>
      <c r="F260" s="77"/>
      <c r="G260" s="17"/>
    </row>
    <row r="261" spans="2:7" x14ac:dyDescent="0.25">
      <c r="B261" s="17"/>
      <c r="C261" s="86" t="s">
        <v>515</v>
      </c>
      <c r="D261" s="29" t="s">
        <v>434</v>
      </c>
      <c r="E261" s="29"/>
      <c r="F261" s="77"/>
      <c r="G261" s="17"/>
    </row>
    <row r="262" spans="2:7" x14ac:dyDescent="0.25">
      <c r="B262" s="17"/>
      <c r="C262" s="86" t="s">
        <v>515</v>
      </c>
      <c r="D262" s="29" t="s">
        <v>435</v>
      </c>
      <c r="E262" s="29"/>
      <c r="F262" s="77"/>
      <c r="G262" s="17"/>
    </row>
    <row r="263" spans="2:7" x14ac:dyDescent="0.25">
      <c r="B263" s="17"/>
      <c r="C263" s="86" t="s">
        <v>515</v>
      </c>
      <c r="D263" s="29" t="s">
        <v>436</v>
      </c>
      <c r="E263" s="29"/>
      <c r="F263" s="77"/>
      <c r="G263" s="17"/>
    </row>
    <row r="264" spans="2:7" x14ac:dyDescent="0.25">
      <c r="B264" s="17"/>
      <c r="C264" s="86" t="s">
        <v>512</v>
      </c>
      <c r="D264" s="29" t="s">
        <v>437</v>
      </c>
      <c r="E264" s="29"/>
      <c r="F264" s="77"/>
      <c r="G264" s="17"/>
    </row>
    <row r="265" spans="2:7" x14ac:dyDescent="0.25">
      <c r="B265" s="17"/>
      <c r="C265" s="86" t="s">
        <v>508</v>
      </c>
      <c r="D265" s="29" t="s">
        <v>438</v>
      </c>
      <c r="E265" s="29"/>
      <c r="F265" s="77"/>
      <c r="G265" s="17"/>
    </row>
    <row r="266" spans="2:7" x14ac:dyDescent="0.25">
      <c r="B266" s="17"/>
      <c r="C266" s="86" t="s">
        <v>508</v>
      </c>
      <c r="D266" s="29" t="s">
        <v>439</v>
      </c>
      <c r="E266" s="29"/>
      <c r="F266" s="77"/>
      <c r="G266" s="17"/>
    </row>
    <row r="267" spans="2:7" x14ac:dyDescent="0.25">
      <c r="B267" s="17"/>
      <c r="C267" s="86" t="s">
        <v>508</v>
      </c>
      <c r="D267" s="29" t="s">
        <v>440</v>
      </c>
      <c r="E267" s="29"/>
      <c r="F267" s="77"/>
      <c r="G267" s="17"/>
    </row>
    <row r="268" spans="2:7" x14ac:dyDescent="0.25">
      <c r="B268" s="17"/>
      <c r="C268" s="86" t="s">
        <v>508</v>
      </c>
      <c r="D268" s="29" t="s">
        <v>441</v>
      </c>
      <c r="E268" s="29"/>
      <c r="F268" s="77"/>
      <c r="G268" s="17"/>
    </row>
    <row r="269" spans="2:7" x14ac:dyDescent="0.25">
      <c r="B269" s="17"/>
      <c r="C269" s="86" t="s">
        <v>508</v>
      </c>
      <c r="D269" s="29" t="s">
        <v>442</v>
      </c>
      <c r="E269" s="29"/>
      <c r="F269" s="77"/>
      <c r="G269" s="17"/>
    </row>
    <row r="270" spans="2:7" x14ac:dyDescent="0.25">
      <c r="B270" s="17"/>
      <c r="C270" s="86" t="s">
        <v>508</v>
      </c>
      <c r="D270" s="29" t="s">
        <v>443</v>
      </c>
      <c r="E270" s="29"/>
      <c r="F270" s="77"/>
      <c r="G270" s="17"/>
    </row>
    <row r="271" spans="2:7" x14ac:dyDescent="0.25">
      <c r="B271" s="17"/>
      <c r="C271" s="86" t="s">
        <v>484</v>
      </c>
      <c r="D271" s="29" t="s">
        <v>444</v>
      </c>
      <c r="E271" s="29"/>
      <c r="F271" s="77"/>
      <c r="G271" s="17"/>
    </row>
    <row r="272" spans="2:7" x14ac:dyDescent="0.25">
      <c r="B272" s="17"/>
      <c r="C272" s="86" t="s">
        <v>484</v>
      </c>
      <c r="D272" s="29" t="s">
        <v>445</v>
      </c>
      <c r="E272" s="29"/>
      <c r="F272" s="77"/>
      <c r="G272" s="17"/>
    </row>
    <row r="273" spans="1:7" x14ac:dyDescent="0.25">
      <c r="B273" s="17"/>
      <c r="C273" s="86" t="s">
        <v>484</v>
      </c>
      <c r="D273" s="29" t="s">
        <v>446</v>
      </c>
      <c r="E273" s="29"/>
      <c r="F273" s="77"/>
      <c r="G273" s="17"/>
    </row>
    <row r="274" spans="1:7" x14ac:dyDescent="0.25">
      <c r="B274" s="17"/>
      <c r="C274" s="86" t="s">
        <v>493</v>
      </c>
      <c r="D274" s="29" t="s">
        <v>447</v>
      </c>
      <c r="E274" s="29"/>
      <c r="F274" s="77"/>
      <c r="G274" s="17"/>
    </row>
    <row r="275" spans="1:7" x14ac:dyDescent="0.25">
      <c r="B275" s="17"/>
      <c r="C275" s="86" t="s">
        <v>493</v>
      </c>
      <c r="D275" s="29" t="s">
        <v>448</v>
      </c>
      <c r="E275" s="29"/>
      <c r="F275" s="77"/>
      <c r="G275" s="17"/>
    </row>
    <row r="276" spans="1:7" x14ac:dyDescent="0.25">
      <c r="B276" s="17"/>
      <c r="C276" s="86" t="s">
        <v>493</v>
      </c>
      <c r="D276" s="29" t="s">
        <v>449</v>
      </c>
      <c r="E276" s="29"/>
      <c r="F276" s="77"/>
      <c r="G276" s="17"/>
    </row>
    <row r="277" spans="1:7" x14ac:dyDescent="0.25">
      <c r="B277" s="17"/>
      <c r="C277" s="86" t="s">
        <v>492</v>
      </c>
      <c r="D277" s="29" t="s">
        <v>450</v>
      </c>
      <c r="E277" s="29"/>
      <c r="F277" s="77"/>
      <c r="G277" s="17"/>
    </row>
    <row r="278" spans="1:7" x14ac:dyDescent="0.25">
      <c r="B278" s="17"/>
      <c r="C278" s="86" t="s">
        <v>492</v>
      </c>
      <c r="D278" s="29" t="s">
        <v>451</v>
      </c>
      <c r="E278" s="29"/>
      <c r="F278" s="77"/>
      <c r="G278" s="17"/>
    </row>
    <row r="279" spans="1:7" x14ac:dyDescent="0.25">
      <c r="B279" s="17"/>
      <c r="C279" s="86" t="s">
        <v>492</v>
      </c>
      <c r="D279" s="29" t="s">
        <v>452</v>
      </c>
      <c r="E279" s="29"/>
      <c r="F279" s="77"/>
      <c r="G279" s="17"/>
    </row>
    <row r="280" spans="1:7" x14ac:dyDescent="0.25">
      <c r="B280" s="17"/>
      <c r="C280" s="86" t="s">
        <v>509</v>
      </c>
      <c r="D280" s="81" t="s">
        <v>453</v>
      </c>
      <c r="E280" s="29"/>
      <c r="F280" s="77"/>
      <c r="G280" s="17"/>
    </row>
    <row r="281" spans="1:7" x14ac:dyDescent="0.25">
      <c r="B281" s="17"/>
      <c r="C281" s="86" t="s">
        <v>495</v>
      </c>
      <c r="D281" s="81" t="s">
        <v>454</v>
      </c>
      <c r="E281" s="29"/>
      <c r="F281" s="77"/>
      <c r="G281" s="17"/>
    </row>
    <row r="282" spans="1:7" ht="15.75" thickBot="1" x14ac:dyDescent="0.3">
      <c r="B282" s="17"/>
      <c r="C282" s="87" t="s">
        <v>496</v>
      </c>
      <c r="D282" s="90" t="s">
        <v>455</v>
      </c>
      <c r="E282" s="88"/>
      <c r="F282" s="89"/>
      <c r="G282" s="17"/>
    </row>
    <row r="283" spans="1:7" x14ac:dyDescent="0.25">
      <c r="B283" s="17"/>
      <c r="F283" s="17"/>
      <c r="G283" s="17"/>
    </row>
    <row r="284" spans="1:7" x14ac:dyDescent="0.25">
      <c r="B284" s="17"/>
      <c r="G284" s="17"/>
    </row>
    <row r="285" spans="1:7" x14ac:dyDescent="0.25">
      <c r="A285" s="27"/>
      <c r="B285" s="17"/>
      <c r="F285" s="17"/>
      <c r="G285" s="17"/>
    </row>
    <row r="286" spans="1:7" x14ac:dyDescent="0.25">
      <c r="B286" s="17"/>
      <c r="F286" s="17"/>
      <c r="G286" s="17"/>
    </row>
    <row r="287" spans="1:7" x14ac:dyDescent="0.25">
      <c r="A287" s="27"/>
      <c r="B287" s="17"/>
    </row>
    <row r="288" spans="1:7" x14ac:dyDescent="0.25">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row r="294" spans="1:2" x14ac:dyDescent="0.25">
      <c r="A294" s="27"/>
      <c r="B294"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0"/>
  <sheetViews>
    <sheetView workbookViewId="0">
      <selection activeCell="A2" sqref="A2"/>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41271</v>
      </c>
      <c r="C1" s="58" t="s">
        <v>215</v>
      </c>
      <c r="D1" s="40">
        <v>10</v>
      </c>
    </row>
    <row r="2" spans="1:4" x14ac:dyDescent="0.25">
      <c r="A2" s="36">
        <v>41271</v>
      </c>
      <c r="B2" s="122">
        <v>1.5462962962962963E-2</v>
      </c>
      <c r="C2" s="26" t="s">
        <v>1029</v>
      </c>
    </row>
    <row r="3" spans="1:4" x14ac:dyDescent="0.25">
      <c r="A3" s="36">
        <v>41271</v>
      </c>
      <c r="B3" s="122">
        <v>1.9108796296296294E-2</v>
      </c>
      <c r="C3" s="26" t="s">
        <v>1030</v>
      </c>
    </row>
    <row r="4" spans="1:4" x14ac:dyDescent="0.25">
      <c r="A4" s="36">
        <v>41271</v>
      </c>
      <c r="B4" s="122">
        <v>2.1805555555555554E-2</v>
      </c>
      <c r="C4" s="26" t="s">
        <v>1030</v>
      </c>
    </row>
    <row r="5" spans="1:4" x14ac:dyDescent="0.25">
      <c r="A5" s="36">
        <v>41271</v>
      </c>
      <c r="B5" s="122">
        <v>2.8668981481481479E-2</v>
      </c>
      <c r="C5" s="26" t="s">
        <v>1031</v>
      </c>
    </row>
    <row r="6" spans="1:4" x14ac:dyDescent="0.25">
      <c r="A6" s="36">
        <v>41271</v>
      </c>
      <c r="B6" s="122">
        <v>3.8969907407407404E-2</v>
      </c>
      <c r="C6" s="26" t="s">
        <v>1033</v>
      </c>
    </row>
    <row r="7" spans="1:4" x14ac:dyDescent="0.25">
      <c r="A7" s="36">
        <v>41271</v>
      </c>
      <c r="B7" s="122">
        <v>4.041666666666667E-2</v>
      </c>
      <c r="C7" s="26" t="s">
        <v>1034</v>
      </c>
    </row>
    <row r="8" spans="1:4" x14ac:dyDescent="0.25">
      <c r="A8" s="36">
        <v>41271</v>
      </c>
      <c r="B8" s="122">
        <v>4.1331018518518517E-2</v>
      </c>
      <c r="C8" s="26" t="s">
        <v>1035</v>
      </c>
    </row>
    <row r="9" spans="1:4" x14ac:dyDescent="0.25">
      <c r="A9" s="36">
        <v>41271</v>
      </c>
      <c r="B9" s="122">
        <v>4.2928240740740746E-2</v>
      </c>
      <c r="C9" s="26" t="s">
        <v>1038</v>
      </c>
    </row>
    <row r="10" spans="1:4" x14ac:dyDescent="0.25">
      <c r="A10" s="36">
        <v>41271</v>
      </c>
      <c r="B10" s="122">
        <v>4.9108796296296296E-2</v>
      </c>
      <c r="C10" s="26" t="s">
        <v>1038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zoomScale="85" zoomScaleNormal="85" workbookViewId="0">
      <selection activeCell="F28" sqref="F2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697</v>
      </c>
    </row>
    <row r="3" spans="1:32" s="315" customFormat="1" x14ac:dyDescent="0.25"/>
    <row r="4" spans="1:32" s="315" customFormat="1" ht="15.75" thickBot="1" x14ac:dyDescent="0.3">
      <c r="A4" s="315" t="s">
        <v>777</v>
      </c>
    </row>
    <row r="5" spans="1:32" s="315" customFormat="1" ht="23.25" thickBot="1" x14ac:dyDescent="0.3">
      <c r="A5" s="254" t="s">
        <v>784</v>
      </c>
      <c r="B5" s="317" t="s">
        <v>698</v>
      </c>
      <c r="C5" s="318" t="s">
        <v>569</v>
      </c>
      <c r="D5" s="318" t="s">
        <v>699</v>
      </c>
      <c r="E5" s="318" t="s">
        <v>580</v>
      </c>
      <c r="F5" s="319"/>
      <c r="G5" s="320" t="s">
        <v>68</v>
      </c>
      <c r="H5" s="321" t="s">
        <v>67</v>
      </c>
      <c r="I5" s="320" t="s">
        <v>66</v>
      </c>
      <c r="J5" s="322" t="s">
        <v>65</v>
      </c>
      <c r="K5" s="323" t="s">
        <v>700</v>
      </c>
      <c r="L5" s="323" t="s">
        <v>701</v>
      </c>
      <c r="M5" s="323" t="s">
        <v>702</v>
      </c>
      <c r="N5" s="324" t="s">
        <v>703</v>
      </c>
      <c r="O5" s="324" t="s">
        <v>704</v>
      </c>
      <c r="P5" s="324" t="s">
        <v>705</v>
      </c>
      <c r="Q5" s="324" t="s">
        <v>706</v>
      </c>
      <c r="R5" s="324" t="s">
        <v>707</v>
      </c>
      <c r="S5" s="323" t="s">
        <v>0</v>
      </c>
      <c r="T5" s="322" t="s">
        <v>2</v>
      </c>
      <c r="U5" s="322" t="s">
        <v>708</v>
      </c>
      <c r="V5" s="322" t="s">
        <v>709</v>
      </c>
      <c r="W5" s="322" t="s">
        <v>1</v>
      </c>
      <c r="X5" s="322" t="s">
        <v>710</v>
      </c>
      <c r="Y5" s="322" t="s">
        <v>711</v>
      </c>
      <c r="Z5" s="320" t="s">
        <v>62</v>
      </c>
      <c r="AA5" s="322" t="s">
        <v>64</v>
      </c>
      <c r="AB5" s="323" t="s">
        <v>61</v>
      </c>
      <c r="AC5" s="322" t="s">
        <v>63</v>
      </c>
      <c r="AD5" s="704" t="s">
        <v>57</v>
      </c>
      <c r="AE5" s="733" t="s">
        <v>999</v>
      </c>
      <c r="AF5" s="732" t="s">
        <v>355</v>
      </c>
    </row>
    <row r="6" spans="1:32" s="315" customFormat="1" x14ac:dyDescent="0.25">
      <c r="A6" s="255" t="s">
        <v>785</v>
      </c>
      <c r="B6" s="325" t="s">
        <v>201</v>
      </c>
      <c r="C6" s="326" t="str">
        <f>IF(D6="","",1)</f>
        <v/>
      </c>
      <c r="D6" s="505"/>
      <c r="E6" s="505"/>
      <c r="F6" s="327" t="str">
        <f>TRIM(G6)&amp;TRIM(J6)&amp;ROUND(S6/1000,0)</f>
        <v>0</v>
      </c>
      <c r="AE6" s="705" t="s">
        <v>867</v>
      </c>
      <c r="AF6" s="705" t="s">
        <v>867</v>
      </c>
    </row>
    <row r="7" spans="1:32" s="315" customFormat="1" x14ac:dyDescent="0.25">
      <c r="A7" s="254" t="s">
        <v>786</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1013</v>
      </c>
    </row>
    <row r="8" spans="1:32" s="315" customFormat="1" x14ac:dyDescent="0.25">
      <c r="A8" s="254" t="s">
        <v>787</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788</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1000</v>
      </c>
      <c r="AF9" s="591" t="s">
        <v>914</v>
      </c>
    </row>
    <row r="10" spans="1:32" s="315" customFormat="1" x14ac:dyDescent="0.25">
      <c r="A10" s="254" t="s">
        <v>789</v>
      </c>
      <c r="B10" s="478" t="s">
        <v>780</v>
      </c>
      <c r="C10" s="478"/>
      <c r="D10" s="478" t="s">
        <v>816</v>
      </c>
      <c r="E10" s="478" t="s">
        <v>817</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776</v>
      </c>
      <c r="Z12" s="330"/>
    </row>
    <row r="13" spans="1:32" s="315" customFormat="1" ht="15.75" thickBot="1" x14ac:dyDescent="0.3">
      <c r="B13" s="315" t="s">
        <v>712</v>
      </c>
      <c r="C13" s="315" t="s">
        <v>713</v>
      </c>
      <c r="D13" s="315" t="s">
        <v>713</v>
      </c>
      <c r="E13" s="315" t="s">
        <v>713</v>
      </c>
      <c r="F13" s="315" t="s">
        <v>713</v>
      </c>
      <c r="H13" s="315" t="s">
        <v>713</v>
      </c>
      <c r="I13" s="315" t="s">
        <v>713</v>
      </c>
      <c r="J13" s="315" t="s">
        <v>713</v>
      </c>
      <c r="K13" s="315" t="s">
        <v>713</v>
      </c>
      <c r="R13" s="331" t="s">
        <v>712</v>
      </c>
    </row>
    <row r="14" spans="1:32" s="315" customFormat="1" ht="15.75" thickBot="1" x14ac:dyDescent="0.3">
      <c r="A14" s="756">
        <f>1 - COUNTIF(A$3:A12,"")/COUNTA(A$3:A12)</f>
        <v>0.75</v>
      </c>
      <c r="B14" s="757"/>
      <c r="C14" s="757"/>
      <c r="D14" s="758"/>
      <c r="E14" s="332"/>
      <c r="F14" s="333">
        <f>R14-SUMIF(B$1:B12,"1",R$1:R12)</f>
        <v>0</v>
      </c>
      <c r="G14" s="334" t="e">
        <f>F14/R14</f>
        <v>#DIV/0!</v>
      </c>
      <c r="H14" s="335" t="e">
        <f>1-G14</f>
        <v>#DIV/0!</v>
      </c>
      <c r="I14" s="336" t="s">
        <v>714</v>
      </c>
      <c r="J14" s="337"/>
      <c r="K14" s="338"/>
      <c r="L14" s="339"/>
      <c r="M14" s="339"/>
      <c r="N14" s="339"/>
      <c r="O14" s="339"/>
      <c r="P14" s="339"/>
      <c r="Q14" s="339"/>
      <c r="R14" s="333">
        <f>SUM(R$3:R12)</f>
        <v>0</v>
      </c>
    </row>
    <row r="15" spans="1:32" s="315" customFormat="1" x14ac:dyDescent="0.25"/>
    <row r="16" spans="1:32" s="315" customFormat="1" x14ac:dyDescent="0.25">
      <c r="A16" s="315" t="s">
        <v>778</v>
      </c>
    </row>
    <row r="17" spans="1:27" s="315" customFormat="1" ht="15.75" thickBot="1" x14ac:dyDescent="0.3">
      <c r="B17" s="315" t="s">
        <v>970</v>
      </c>
    </row>
    <row r="18" spans="1:27" s="351" customFormat="1" ht="60.75" thickBot="1" x14ac:dyDescent="0.3">
      <c r="A18" s="254" t="s">
        <v>784</v>
      </c>
      <c r="B18" s="340" t="s">
        <v>715</v>
      </c>
      <c r="C18" s="341" t="s">
        <v>716</v>
      </c>
      <c r="D18" s="341" t="s">
        <v>717</v>
      </c>
      <c r="E18" s="342" t="s">
        <v>718</v>
      </c>
      <c r="F18" s="343" t="s">
        <v>719</v>
      </c>
      <c r="G18" s="344" t="s">
        <v>720</v>
      </c>
      <c r="H18" s="345" t="s">
        <v>721</v>
      </c>
      <c r="I18" s="346"/>
      <c r="J18" s="347"/>
      <c r="K18" s="348" t="s">
        <v>595</v>
      </c>
      <c r="L18" s="348"/>
      <c r="M18" s="349" t="s">
        <v>596</v>
      </c>
      <c r="N18" s="347" t="s">
        <v>708</v>
      </c>
      <c r="O18" s="347" t="s">
        <v>1</v>
      </c>
      <c r="P18" s="347" t="s">
        <v>58</v>
      </c>
      <c r="Q18" s="347" t="s">
        <v>722</v>
      </c>
      <c r="R18" s="347" t="s">
        <v>723</v>
      </c>
      <c r="S18" s="347" t="s">
        <v>724</v>
      </c>
      <c r="T18" s="348" t="s">
        <v>725</v>
      </c>
      <c r="U18" s="350" t="s">
        <v>726</v>
      </c>
      <c r="V18" s="350" t="s">
        <v>727</v>
      </c>
      <c r="W18" s="350" t="s">
        <v>728</v>
      </c>
      <c r="X18" s="347" t="s">
        <v>729</v>
      </c>
      <c r="Y18" s="347" t="s">
        <v>730</v>
      </c>
      <c r="Z18" s="347" t="s">
        <v>57</v>
      </c>
      <c r="AA18" s="347" t="s">
        <v>731</v>
      </c>
    </row>
    <row r="19" spans="1:27" s="315" customFormat="1" ht="18" customHeight="1" x14ac:dyDescent="0.25">
      <c r="A19" s="255" t="s">
        <v>785</v>
      </c>
      <c r="B19" s="352" t="s">
        <v>70</v>
      </c>
      <c r="C19" s="353" t="s">
        <v>742</v>
      </c>
      <c r="D19" s="354"/>
      <c r="E19" s="355">
        <v>1</v>
      </c>
      <c r="F19" s="356" t="str">
        <f>IF(AND(U19=W19,W19&gt;0),"1","")</f>
        <v/>
      </c>
      <c r="G19" s="357" t="str">
        <f>IF(U19=V19,"1","")</f>
        <v/>
      </c>
      <c r="H19" s="670"/>
      <c r="I19" s="669" t="str">
        <f>IF(S19="",TRIM(K19),TRIM(MID(S19,9,55))&amp;"/"&amp;TRIM(K19))</f>
        <v>2009-1-065</v>
      </c>
      <c r="J19" s="358"/>
      <c r="K19" s="359" t="s">
        <v>732</v>
      </c>
      <c r="L19" s="359"/>
      <c r="M19" s="360">
        <v>40058</v>
      </c>
      <c r="N19" s="358" t="s">
        <v>11</v>
      </c>
      <c r="O19" s="358" t="s">
        <v>80</v>
      </c>
      <c r="P19" s="358" t="s">
        <v>733</v>
      </c>
      <c r="Q19" s="358"/>
      <c r="R19" s="358" t="s">
        <v>734</v>
      </c>
      <c r="S19" s="358"/>
      <c r="T19" s="359" t="s">
        <v>100</v>
      </c>
      <c r="U19" s="361">
        <v>324000</v>
      </c>
      <c r="V19" s="361">
        <v>0</v>
      </c>
      <c r="W19" s="361">
        <v>0</v>
      </c>
      <c r="X19" s="358" t="s">
        <v>45</v>
      </c>
      <c r="Y19" s="362"/>
      <c r="Z19" s="362" t="s">
        <v>735</v>
      </c>
      <c r="AA19" s="358" t="s">
        <v>736</v>
      </c>
    </row>
    <row r="20" spans="1:27" s="315" customFormat="1" x14ac:dyDescent="0.25">
      <c r="A20" s="254" t="s">
        <v>786</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787</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788</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789</v>
      </c>
      <c r="B23" s="328" t="s">
        <v>780</v>
      </c>
      <c r="C23" s="328" t="s">
        <v>792</v>
      </c>
      <c r="D23" s="315" t="s">
        <v>790</v>
      </c>
      <c r="E23" s="328"/>
      <c r="F23" s="329"/>
      <c r="G23" s="328"/>
      <c r="H23" s="328" t="s">
        <v>791</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779</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737</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714</v>
      </c>
      <c r="T27" s="383">
        <f>SUM(T$1:T26)</f>
        <v>48</v>
      </c>
      <c r="U27" s="383">
        <f>SUM(U$1:U26)</f>
        <v>324012</v>
      </c>
      <c r="V27" s="383">
        <f>SUM(V$1:V26)</f>
        <v>11</v>
      </c>
      <c r="W27" s="374" t="s">
        <v>738</v>
      </c>
      <c r="X27" s="377"/>
      <c r="Y27" s="377"/>
      <c r="Z27" s="374"/>
    </row>
    <row r="28" spans="1:27" s="378" customFormat="1" ht="15" customHeight="1" x14ac:dyDescent="0.25">
      <c r="A28" s="364"/>
      <c r="B28" s="384" t="s">
        <v>739</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740</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741</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742</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743</v>
      </c>
    </row>
    <row r="35" spans="1:26" s="315" customFormat="1" ht="17.25" x14ac:dyDescent="0.4">
      <c r="A35" s="254" t="s">
        <v>784</v>
      </c>
      <c r="B35" s="404" t="s">
        <v>698</v>
      </c>
      <c r="C35" s="405"/>
    </row>
    <row r="36" spans="1:26" s="315" customFormat="1" ht="17.25" x14ac:dyDescent="0.4">
      <c r="A36" s="255" t="s">
        <v>785</v>
      </c>
      <c r="B36" s="406"/>
      <c r="C36" s="405"/>
    </row>
    <row r="37" spans="1:26" s="315" customFormat="1" x14ac:dyDescent="0.25">
      <c r="A37" s="254" t="s">
        <v>786</v>
      </c>
      <c r="B37" s="328">
        <v>0.5</v>
      </c>
      <c r="C37" s="328"/>
    </row>
    <row r="38" spans="1:26" s="315" customFormat="1" x14ac:dyDescent="0.25">
      <c r="A38" s="254" t="s">
        <v>787</v>
      </c>
      <c r="B38" s="328">
        <v>3</v>
      </c>
      <c r="C38" s="328"/>
    </row>
    <row r="39" spans="1:26" s="315" customFormat="1" x14ac:dyDescent="0.25">
      <c r="A39" s="254" t="s">
        <v>788</v>
      </c>
      <c r="B39" s="328"/>
      <c r="C39" s="328"/>
    </row>
    <row r="40" spans="1:26" s="315" customFormat="1" x14ac:dyDescent="0.25">
      <c r="A40" s="254" t="s">
        <v>789</v>
      </c>
      <c r="B40" s="328" t="s">
        <v>780</v>
      </c>
      <c r="C40" s="328"/>
    </row>
    <row r="41" spans="1:26" s="315" customFormat="1" x14ac:dyDescent="0.25"/>
    <row r="42" spans="1:26" s="425" customFormat="1" ht="7.5" customHeight="1" x14ac:dyDescent="0.25">
      <c r="D42" s="426"/>
      <c r="E42" s="426"/>
    </row>
    <row r="43" spans="1:26" s="410" customFormat="1" ht="19.5" x14ac:dyDescent="0.3">
      <c r="A43" s="315"/>
      <c r="C43" s="411" t="s">
        <v>759</v>
      </c>
    </row>
    <row r="44" spans="1:26" s="410" customFormat="1" x14ac:dyDescent="0.25"/>
    <row r="45" spans="1:26" s="410" customFormat="1" x14ac:dyDescent="0.25">
      <c r="A45" s="410" t="s">
        <v>760</v>
      </c>
    </row>
    <row r="46" spans="1:26" s="410" customFormat="1" ht="17.25" x14ac:dyDescent="0.4">
      <c r="A46" s="405" t="s">
        <v>761</v>
      </c>
      <c r="B46" s="412" t="s">
        <v>762</v>
      </c>
      <c r="E46" s="410" t="s">
        <v>763</v>
      </c>
    </row>
    <row r="47" spans="1:26" s="410" customFormat="1" x14ac:dyDescent="0.25">
      <c r="A47" s="413">
        <v>4240</v>
      </c>
      <c r="B47" s="414" t="str">
        <f>IF(D47="&lt;&lt;ПУСТО&gt;&gt;",C47&amp;ROUND(F47/1000,0),D47&amp;C47&amp;ROUND(F47/1000,0))</f>
        <v>0</v>
      </c>
      <c r="E47" s="410" t="s">
        <v>764</v>
      </c>
    </row>
    <row r="48" spans="1:26" s="410" customFormat="1" x14ac:dyDescent="0.25">
      <c r="A48" s="415">
        <v>8</v>
      </c>
      <c r="B48" s="415">
        <v>1</v>
      </c>
      <c r="E48" s="410" t="s">
        <v>765</v>
      </c>
    </row>
    <row r="49" spans="1:8" s="410" customFormat="1" x14ac:dyDescent="0.25"/>
    <row r="50" spans="1:8" s="410" customFormat="1" ht="15.75" thickBot="1" x14ac:dyDescent="0.3">
      <c r="A50" s="410" t="s">
        <v>766</v>
      </c>
    </row>
    <row r="51" spans="1:8" s="410" customFormat="1" ht="15.75" x14ac:dyDescent="0.3">
      <c r="A51" s="416">
        <f>(SUMIF(A$43:A47,0,F$43:F47)-F51)/1000000</f>
        <v>0</v>
      </c>
      <c r="B51" s="408"/>
      <c r="C51" s="409"/>
      <c r="E51" s="417" t="s">
        <v>767</v>
      </c>
      <c r="F51" s="418">
        <f>SUMIF(I$43:I48,"Наталья Константиновна Лидер",F$43:F48)</f>
        <v>0</v>
      </c>
    </row>
    <row r="52" spans="1:8" s="410" customFormat="1" ht="16.5" thickBot="1" x14ac:dyDescent="0.35">
      <c r="A52" s="419">
        <f>COUNTIF(A$43:A47,0)-F52</f>
        <v>0</v>
      </c>
      <c r="B52" s="408"/>
      <c r="C52" s="409" t="s">
        <v>613</v>
      </c>
      <c r="E52" s="420"/>
      <c r="F52" s="421">
        <f>COUNTIF(I$43:I53,"Наталья Константиновна Лидер")</f>
        <v>0</v>
      </c>
    </row>
    <row r="53" spans="1:8" s="410" customFormat="1" x14ac:dyDescent="0.25"/>
    <row r="54" spans="1:8" s="410" customFormat="1" x14ac:dyDescent="0.25">
      <c r="A54" s="410" t="s">
        <v>768</v>
      </c>
    </row>
    <row r="55" spans="1:8" s="410" customFormat="1" ht="15.75" thickBot="1" x14ac:dyDescent="0.3">
      <c r="B55" s="410" t="s">
        <v>972</v>
      </c>
    </row>
    <row r="56" spans="1:8" s="410" customFormat="1" ht="17.25" x14ac:dyDescent="0.4">
      <c r="A56" s="759" t="s">
        <v>567</v>
      </c>
      <c r="B56" s="254" t="s">
        <v>784</v>
      </c>
      <c r="C56" s="405" t="s">
        <v>761</v>
      </c>
      <c r="D56" s="405" t="s">
        <v>769</v>
      </c>
      <c r="G56" s="410" t="s">
        <v>763</v>
      </c>
    </row>
    <row r="57" spans="1:8" s="410" customFormat="1" x14ac:dyDescent="0.25">
      <c r="A57" s="760"/>
      <c r="B57" s="255" t="s">
        <v>785</v>
      </c>
      <c r="C57" s="406" t="str">
        <f>IFERROR(MATCH(D57,#REF!,0),IF(N58="Не состоялся","-"," "))</f>
        <v xml:space="preserve"> </v>
      </c>
      <c r="D57" s="422" t="str">
        <f>IF(G57="",F57,G57&amp;"/"&amp;F57)</f>
        <v>Match=&lt;номер строки Договора1С&gt;/</v>
      </c>
      <c r="G57" s="410" t="s">
        <v>770</v>
      </c>
    </row>
    <row r="58" spans="1:8" s="410" customFormat="1" x14ac:dyDescent="0.25">
      <c r="A58" s="760"/>
      <c r="B58" s="254" t="s">
        <v>786</v>
      </c>
      <c r="C58" s="410">
        <v>10</v>
      </c>
      <c r="D58" s="415">
        <v>1</v>
      </c>
      <c r="F58" s="672" t="str">
        <f>"/=""Не состоялся"":"&amp;F59</f>
        <v>/="Не состоялся":/="Договор расторгнут"</v>
      </c>
      <c r="G58" s="410" t="s">
        <v>771</v>
      </c>
    </row>
    <row r="59" spans="1:8" s="315" customFormat="1" x14ac:dyDescent="0.25">
      <c r="A59" s="760"/>
      <c r="B59" s="254" t="s">
        <v>787</v>
      </c>
      <c r="C59" s="328">
        <v>2</v>
      </c>
      <c r="D59" s="328"/>
      <c r="F59" s="671" t="s">
        <v>974</v>
      </c>
    </row>
    <row r="60" spans="1:8" s="315" customFormat="1" x14ac:dyDescent="0.25">
      <c r="A60" s="760"/>
      <c r="B60" s="254" t="s">
        <v>788</v>
      </c>
      <c r="C60" s="328"/>
      <c r="D60" s="328"/>
    </row>
    <row r="61" spans="1:8" s="315" customFormat="1" ht="15.75" thickBot="1" x14ac:dyDescent="0.3">
      <c r="A61" s="761"/>
      <c r="B61" s="254" t="s">
        <v>789</v>
      </c>
      <c r="C61" s="328" t="s">
        <v>971</v>
      </c>
      <c r="D61" s="328"/>
      <c r="F61" s="415" t="str">
        <f>"10/="""":"&amp;F58</f>
        <v>10/="":/="Не состоялся":/="Договор расторгнут"</v>
      </c>
      <c r="G61" s="315" t="s">
        <v>975</v>
      </c>
    </row>
    <row r="62" spans="1:8" s="410" customFormat="1" x14ac:dyDescent="0.25">
      <c r="E62" s="315"/>
      <c r="H62" s="315"/>
    </row>
    <row r="63" spans="1:8" s="410" customFormat="1" x14ac:dyDescent="0.25">
      <c r="A63" s="410" t="s">
        <v>772</v>
      </c>
      <c r="E63" s="315"/>
      <c r="H63" s="315"/>
    </row>
    <row r="64" spans="1:8" s="410" customFormat="1" ht="15.75" thickBot="1" x14ac:dyDescent="0.3">
      <c r="B64" s="410" t="s">
        <v>973</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744</v>
      </c>
    </row>
    <row r="68" spans="1:35" s="410" customFormat="1" x14ac:dyDescent="0.25">
      <c r="A68" s="423" t="s">
        <v>745</v>
      </c>
      <c r="B68" s="423" t="s">
        <v>746</v>
      </c>
      <c r="C68" s="423" t="s">
        <v>747</v>
      </c>
      <c r="D68" s="423" t="s">
        <v>748</v>
      </c>
      <c r="E68" s="423" t="s">
        <v>749</v>
      </c>
      <c r="F68" s="423" t="s">
        <v>750</v>
      </c>
      <c r="G68" s="423" t="s">
        <v>751</v>
      </c>
      <c r="H68" s="423" t="s">
        <v>752</v>
      </c>
      <c r="I68" s="423" t="s">
        <v>753</v>
      </c>
    </row>
    <row r="69" spans="1:35" s="410" customFormat="1" x14ac:dyDescent="0.25">
      <c r="A69" s="410" t="s">
        <v>754</v>
      </c>
      <c r="B69" s="410" t="s">
        <v>755</v>
      </c>
      <c r="D69" s="415" t="s">
        <v>569</v>
      </c>
      <c r="E69" s="415">
        <v>1</v>
      </c>
      <c r="F69" s="410" t="s">
        <v>756</v>
      </c>
      <c r="G69" s="410" t="s">
        <v>757</v>
      </c>
      <c r="H69" s="410" t="s">
        <v>562</v>
      </c>
      <c r="I69" s="410" t="s">
        <v>758</v>
      </c>
    </row>
    <row r="70" spans="1:35" s="425" customFormat="1" ht="7.5" customHeight="1" x14ac:dyDescent="0.25">
      <c r="D70" s="426"/>
      <c r="E70" s="426"/>
    </row>
    <row r="71" spans="1:35" s="410" customFormat="1" ht="19.5" x14ac:dyDescent="0.3">
      <c r="A71" s="315"/>
      <c r="C71" s="411" t="s">
        <v>841</v>
      </c>
      <c r="I71" s="410">
        <f>G77</f>
        <v>6</v>
      </c>
    </row>
    <row r="72" spans="1:35" s="315" customFormat="1" x14ac:dyDescent="0.25"/>
    <row r="73" spans="1:35" s="315" customFormat="1" x14ac:dyDescent="0.25">
      <c r="A73" s="315" t="s">
        <v>882</v>
      </c>
    </row>
    <row r="74" spans="1:35" s="315" customFormat="1" ht="25.5" x14ac:dyDescent="0.25">
      <c r="A74" s="254" t="s">
        <v>784</v>
      </c>
      <c r="B74" s="570" t="s">
        <v>842</v>
      </c>
      <c r="C74" s="572" t="s">
        <v>360</v>
      </c>
      <c r="D74" s="573" t="s">
        <v>843</v>
      </c>
      <c r="E74" s="549" t="s">
        <v>844</v>
      </c>
      <c r="F74" s="549" t="s">
        <v>58</v>
      </c>
      <c r="G74" s="549" t="s">
        <v>794</v>
      </c>
      <c r="H74" s="549" t="s">
        <v>819</v>
      </c>
      <c r="I74" s="549" t="s">
        <v>885</v>
      </c>
      <c r="K74" s="546" t="s">
        <v>850</v>
      </c>
      <c r="L74" s="547" t="s">
        <v>845</v>
      </c>
      <c r="M74" s="548"/>
      <c r="N74" s="536" t="s">
        <v>689</v>
      </c>
      <c r="O74" s="536" t="s">
        <v>690</v>
      </c>
      <c r="P74" s="536" t="s">
        <v>65</v>
      </c>
      <c r="Q74" s="536" t="s">
        <v>1</v>
      </c>
      <c r="R74" s="537" t="s">
        <v>691</v>
      </c>
      <c r="S74" s="538" t="s">
        <v>846</v>
      </c>
      <c r="T74" s="539" t="s">
        <v>692</v>
      </c>
      <c r="U74" s="536" t="s">
        <v>693</v>
      </c>
      <c r="V74" s="540" t="s">
        <v>686</v>
      </c>
      <c r="W74" s="541" t="s">
        <v>686</v>
      </c>
      <c r="X74" s="541" t="s">
        <v>686</v>
      </c>
      <c r="Y74" s="541" t="s">
        <v>686</v>
      </c>
      <c r="Z74" s="536" t="s">
        <v>686</v>
      </c>
      <c r="AA74" s="536" t="s">
        <v>847</v>
      </c>
      <c r="AB74" s="536" t="s">
        <v>686</v>
      </c>
      <c r="AC74" s="536" t="s">
        <v>686</v>
      </c>
      <c r="AD74" s="542" t="s">
        <v>848</v>
      </c>
      <c r="AE74" s="543" t="s">
        <v>686</v>
      </c>
      <c r="AF74" s="536" t="s">
        <v>686</v>
      </c>
      <c r="AG74" s="536" t="s">
        <v>686</v>
      </c>
      <c r="AH74" s="544" t="s">
        <v>849</v>
      </c>
      <c r="AI74" s="545"/>
    </row>
    <row r="75" spans="1:35" s="315" customFormat="1" x14ac:dyDescent="0.25">
      <c r="A75" s="255" t="s">
        <v>785</v>
      </c>
      <c r="B75" s="571"/>
      <c r="C75" s="326"/>
      <c r="D75" s="574">
        <f>R75</f>
        <v>0</v>
      </c>
      <c r="E75" s="505"/>
      <c r="F75" s="329"/>
      <c r="G75" s="567"/>
    </row>
    <row r="76" spans="1:35" s="315" customFormat="1" x14ac:dyDescent="0.25">
      <c r="A76" s="254" t="s">
        <v>786</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787</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788</v>
      </c>
      <c r="B78" s="568" t="s">
        <v>883</v>
      </c>
      <c r="C78" s="568" t="s">
        <v>884</v>
      </c>
      <c r="D78" s="328"/>
      <c r="E78" s="568" t="s">
        <v>869</v>
      </c>
      <c r="F78" s="568" t="s">
        <v>868</v>
      </c>
      <c r="G78" s="569"/>
      <c r="H78" s="569" t="s">
        <v>874</v>
      </c>
      <c r="I78" s="569" t="s">
        <v>886</v>
      </c>
      <c r="J78" s="328"/>
      <c r="K78" s="328"/>
      <c r="N78" s="566" t="s">
        <v>872</v>
      </c>
      <c r="O78" s="330"/>
      <c r="P78" s="330"/>
      <c r="Q78" s="330"/>
      <c r="R78" s="330"/>
      <c r="S78" s="330"/>
      <c r="T78" s="330"/>
      <c r="U78" s="330"/>
      <c r="V78" s="330"/>
      <c r="W78" s="330"/>
      <c r="X78" s="363"/>
      <c r="Y78" s="330"/>
      <c r="Z78" s="330"/>
      <c r="AA78" s="330"/>
      <c r="AB78" s="330"/>
      <c r="AC78" s="330"/>
      <c r="AD78" s="330"/>
    </row>
    <row r="79" spans="1:35" s="315" customFormat="1" x14ac:dyDescent="0.25">
      <c r="A79" s="254" t="s">
        <v>789</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873</v>
      </c>
    </row>
    <row r="81" spans="1:36" s="315" customFormat="1" ht="15.75" thickBot="1" x14ac:dyDescent="0.3">
      <c r="A81" s="315" t="s">
        <v>866</v>
      </c>
      <c r="F81" s="315">
        <v>5</v>
      </c>
      <c r="I81" s="315">
        <v>8</v>
      </c>
      <c r="P81" s="315">
        <v>10</v>
      </c>
      <c r="T81" s="315">
        <v>14</v>
      </c>
    </row>
    <row r="82" spans="1:36" s="315" customFormat="1" ht="75" x14ac:dyDescent="0.25">
      <c r="A82" s="701" t="s">
        <v>599</v>
      </c>
      <c r="B82" s="588" t="s">
        <v>900</v>
      </c>
      <c r="C82" s="549" t="s">
        <v>66</v>
      </c>
      <c r="D82" s="549" t="s">
        <v>794</v>
      </c>
      <c r="E82" s="549" t="s">
        <v>370</v>
      </c>
      <c r="F82" s="561" t="s">
        <v>1</v>
      </c>
      <c r="G82" s="561" t="s">
        <v>870</v>
      </c>
      <c r="H82" s="565" t="s">
        <v>819</v>
      </c>
      <c r="I82" s="565" t="s">
        <v>149</v>
      </c>
      <c r="J82" s="565" t="s">
        <v>62</v>
      </c>
      <c r="K82" s="565"/>
      <c r="L82" s="565"/>
      <c r="M82" s="549" t="s">
        <v>851</v>
      </c>
      <c r="N82" s="550" t="s">
        <v>188</v>
      </c>
      <c r="O82" s="549" t="s">
        <v>852</v>
      </c>
      <c r="P82" s="549" t="s">
        <v>853</v>
      </c>
      <c r="Q82" s="552" t="s">
        <v>857</v>
      </c>
      <c r="R82" s="552" t="s">
        <v>684</v>
      </c>
      <c r="S82" s="551" t="s">
        <v>685</v>
      </c>
      <c r="T82" s="552" t="s">
        <v>688</v>
      </c>
      <c r="U82" s="553" t="s">
        <v>686</v>
      </c>
      <c r="V82" s="553" t="s">
        <v>687</v>
      </c>
      <c r="W82" s="553" t="s">
        <v>854</v>
      </c>
      <c r="X82" s="553" t="s">
        <v>855</v>
      </c>
      <c r="Y82" s="553" t="s">
        <v>856</v>
      </c>
    </row>
    <row r="83" spans="1:36" s="315" customFormat="1" x14ac:dyDescent="0.25">
      <c r="A83" s="702"/>
      <c r="B83" s="255" t="s">
        <v>785</v>
      </c>
      <c r="D83" s="562"/>
      <c r="M83" s="329"/>
      <c r="N83" s="326"/>
      <c r="O83" s="505"/>
      <c r="P83" s="505"/>
      <c r="Q83" s="328" t="s">
        <v>867</v>
      </c>
      <c r="R83" s="328" t="s">
        <v>867</v>
      </c>
      <c r="S83" s="328" t="s">
        <v>867</v>
      </c>
      <c r="T83" s="328" t="s">
        <v>867</v>
      </c>
      <c r="U83" s="328" t="s">
        <v>867</v>
      </c>
      <c r="V83" s="328" t="s">
        <v>867</v>
      </c>
      <c r="W83" s="328" t="s">
        <v>867</v>
      </c>
      <c r="X83" s="328" t="s">
        <v>867</v>
      </c>
      <c r="Y83" s="328" t="s">
        <v>867</v>
      </c>
    </row>
    <row r="84" spans="1:36" s="315" customFormat="1" x14ac:dyDescent="0.25">
      <c r="A84" s="702"/>
      <c r="B84" s="254" t="s">
        <v>786</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02"/>
      <c r="B85" s="254" t="s">
        <v>787</v>
      </c>
      <c r="C85" s="328">
        <v>15</v>
      </c>
      <c r="D85" s="328">
        <v>19</v>
      </c>
      <c r="E85" s="328">
        <v>2</v>
      </c>
      <c r="G85" s="315">
        <v>-1</v>
      </c>
      <c r="M85" s="328"/>
      <c r="N85" s="328"/>
      <c r="O85" s="328"/>
      <c r="P85" s="328"/>
      <c r="T85" s="328"/>
      <c r="U85" s="330"/>
      <c r="V85" s="330"/>
      <c r="W85" s="330"/>
      <c r="X85" s="330"/>
      <c r="Y85" s="330"/>
    </row>
    <row r="86" spans="1:36" s="315" customFormat="1" ht="30" x14ac:dyDescent="0.25">
      <c r="A86" s="702"/>
      <c r="B86" s="254" t="s">
        <v>788</v>
      </c>
      <c r="C86" s="328" t="s">
        <v>990</v>
      </c>
      <c r="D86" s="723" t="s">
        <v>1007</v>
      </c>
      <c r="E86" s="563" t="s">
        <v>868</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02"/>
      <c r="B87" s="254" t="s">
        <v>789</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3" t="s">
        <v>868</v>
      </c>
      <c r="E90" s="563" t="s">
        <v>869</v>
      </c>
      <c r="F90" s="328" t="s">
        <v>990</v>
      </c>
      <c r="K90" s="564" t="s">
        <v>871</v>
      </c>
      <c r="L90" s="564" t="s">
        <v>874</v>
      </c>
      <c r="M90" s="564"/>
      <c r="N90" s="564"/>
      <c r="O90" s="564"/>
      <c r="P90" s="564"/>
    </row>
    <row r="92" spans="1:36" s="425" customFormat="1" ht="7.5" customHeight="1" x14ac:dyDescent="0.25">
      <c r="D92" s="426"/>
      <c r="E92" s="426"/>
    </row>
    <row r="93" spans="1:36" s="410" customFormat="1" ht="19.5" x14ac:dyDescent="0.3">
      <c r="A93" s="315"/>
      <c r="C93" s="411" t="s">
        <v>773</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3" customFormat="1" ht="7.5" customHeight="1" x14ac:dyDescent="0.25">
      <c r="D98" s="634"/>
      <c r="E98" s="634"/>
    </row>
    <row r="99" spans="1:27" s="315" customFormat="1" ht="19.5" x14ac:dyDescent="0.3">
      <c r="C99" s="316" t="s">
        <v>938</v>
      </c>
    </row>
    <row r="101" spans="1:27" ht="15.75" thickBot="1" x14ac:dyDescent="0.3">
      <c r="A101" s="30" t="s">
        <v>810</v>
      </c>
    </row>
    <row r="102" spans="1:27" ht="15.75" thickBot="1" x14ac:dyDescent="0.3">
      <c r="A102" s="254" t="s">
        <v>675</v>
      </c>
      <c r="B102" s="4" t="s">
        <v>119</v>
      </c>
      <c r="C102" s="4" t="s">
        <v>120</v>
      </c>
      <c r="D102" s="4" t="s">
        <v>121</v>
      </c>
      <c r="E102" s="4" t="s">
        <v>122</v>
      </c>
      <c r="F102" s="4" t="s">
        <v>123</v>
      </c>
      <c r="G102" s="3" t="s">
        <v>118</v>
      </c>
      <c r="H102" s="64" t="s">
        <v>116</v>
      </c>
      <c r="I102" s="64" t="s">
        <v>815</v>
      </c>
    </row>
    <row r="103" spans="1:27" s="1" customFormat="1" x14ac:dyDescent="0.25">
      <c r="A103" s="255" t="s">
        <v>589</v>
      </c>
      <c r="I103" s="145"/>
      <c r="J103" s="145"/>
      <c r="K103" s="8"/>
      <c r="L103" s="6"/>
      <c r="M103" s="12"/>
      <c r="N103"/>
      <c r="O103"/>
      <c r="P103"/>
      <c r="Q103"/>
      <c r="R103"/>
      <c r="S103"/>
      <c r="T103"/>
      <c r="U103"/>
      <c r="V103"/>
      <c r="W103"/>
    </row>
    <row r="104" spans="1:27" x14ac:dyDescent="0.25">
      <c r="A104" s="254" t="s">
        <v>676</v>
      </c>
      <c r="B104" s="145" t="s">
        <v>1009</v>
      </c>
      <c r="C104" s="145" t="s">
        <v>113</v>
      </c>
      <c r="D104" s="145" t="s">
        <v>1009</v>
      </c>
      <c r="E104" s="145" t="s">
        <v>113</v>
      </c>
      <c r="F104" s="145" t="s">
        <v>1013</v>
      </c>
      <c r="G104" s="145" t="s">
        <v>1009</v>
      </c>
      <c r="H104" s="145" t="s">
        <v>1012</v>
      </c>
      <c r="I104" s="145" t="s">
        <v>1012</v>
      </c>
      <c r="J104" s="145"/>
      <c r="K104" s="145"/>
      <c r="L104" s="145"/>
      <c r="M104" s="145"/>
    </row>
    <row r="105" spans="1:27" x14ac:dyDescent="0.25">
      <c r="A105" s="254" t="s">
        <v>677</v>
      </c>
      <c r="B105" s="145" t="s">
        <v>126</v>
      </c>
      <c r="C105" s="145" t="s">
        <v>112</v>
      </c>
      <c r="D105" s="145" t="s">
        <v>128</v>
      </c>
      <c r="E105" s="145" t="s">
        <v>111</v>
      </c>
      <c r="F105" s="145" t="s">
        <v>811</v>
      </c>
      <c r="G105" s="466" t="s">
        <v>115</v>
      </c>
      <c r="H105" s="581" t="s">
        <v>889</v>
      </c>
      <c r="I105" s="145" t="s">
        <v>91</v>
      </c>
      <c r="J105" s="145"/>
      <c r="K105" s="145"/>
      <c r="L105" s="145"/>
      <c r="M105" s="145"/>
    </row>
    <row r="106" spans="1:27" x14ac:dyDescent="0.25">
      <c r="A106" s="254" t="s">
        <v>678</v>
      </c>
      <c r="E106" t="s">
        <v>798</v>
      </c>
      <c r="H106" s="57"/>
      <c r="I106" s="92"/>
      <c r="M106" s="92"/>
      <c r="N106" s="92"/>
      <c r="O106" s="455"/>
      <c r="P106" s="92"/>
    </row>
    <row r="107" spans="1:27" x14ac:dyDescent="0.25">
      <c r="A107" s="254" t="s">
        <v>797</v>
      </c>
      <c r="E107" s="252"/>
      <c r="G107" s="252" t="s">
        <v>812</v>
      </c>
      <c r="H107" s="580" t="s">
        <v>888</v>
      </c>
      <c r="I107" s="328"/>
      <c r="N107" s="253"/>
      <c r="R107" s="456"/>
      <c r="S107" s="456"/>
      <c r="T107" s="456"/>
      <c r="U107" s="456"/>
      <c r="V107" s="456"/>
    </row>
    <row r="109" spans="1:27" ht="15.75" thickBot="1" x14ac:dyDescent="0.3">
      <c r="A109" s="30" t="s">
        <v>1017</v>
      </c>
    </row>
    <row r="110" spans="1:27" s="256" customFormat="1" ht="15.75" thickBot="1" x14ac:dyDescent="0.3">
      <c r="A110" s="254" t="s">
        <v>675</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589</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676</v>
      </c>
      <c r="B112" s="145" t="s">
        <v>1009</v>
      </c>
      <c r="C112" s="145" t="s">
        <v>1009</v>
      </c>
      <c r="D112" s="145" t="s">
        <v>1010</v>
      </c>
      <c r="E112" s="145" t="s">
        <v>1011</v>
      </c>
      <c r="F112" s="145" t="s">
        <v>1010</v>
      </c>
      <c r="G112" s="145" t="s">
        <v>1011</v>
      </c>
      <c r="H112" s="145" t="s">
        <v>1009</v>
      </c>
      <c r="I112" s="145" t="s">
        <v>1011</v>
      </c>
      <c r="J112" s="145" t="s">
        <v>1010</v>
      </c>
      <c r="K112" s="145" t="s">
        <v>1009</v>
      </c>
      <c r="L112" s="145" t="s">
        <v>94</v>
      </c>
      <c r="M112" s="145" t="s">
        <v>132</v>
      </c>
      <c r="N112" s="145" t="s">
        <v>112</v>
      </c>
      <c r="O112" s="145" t="s">
        <v>91</v>
      </c>
      <c r="P112" s="145" t="s">
        <v>92</v>
      </c>
      <c r="Q112" s="145" t="s">
        <v>91</v>
      </c>
      <c r="R112" s="145" t="s">
        <v>113</v>
      </c>
      <c r="S112" s="145" t="s">
        <v>113</v>
      </c>
      <c r="T112" s="145" t="s">
        <v>1010</v>
      </c>
      <c r="U112" s="145" t="s">
        <v>92</v>
      </c>
      <c r="V112" s="145" t="s">
        <v>92</v>
      </c>
    </row>
    <row r="113" spans="1:24" x14ac:dyDescent="0.25">
      <c r="A113" s="254" t="s">
        <v>677</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674</v>
      </c>
      <c r="O113" s="145" t="s">
        <v>674</v>
      </c>
      <c r="P113" s="145" t="s">
        <v>674</v>
      </c>
      <c r="Q113" s="145">
        <v>12</v>
      </c>
      <c r="R113" s="145" t="s">
        <v>70</v>
      </c>
      <c r="S113" s="145" t="s">
        <v>70</v>
      </c>
      <c r="T113" s="145" t="s">
        <v>70</v>
      </c>
      <c r="U113" s="145" t="s">
        <v>70</v>
      </c>
      <c r="V113" s="145" t="s">
        <v>70</v>
      </c>
    </row>
    <row r="114" spans="1:24" x14ac:dyDescent="0.25">
      <c r="A114" s="254" t="s">
        <v>678</v>
      </c>
      <c r="E114" s="252" t="s">
        <v>795</v>
      </c>
      <c r="G114" s="252" t="s">
        <v>796</v>
      </c>
      <c r="I114" s="92"/>
      <c r="K114" s="252" t="s">
        <v>159</v>
      </c>
      <c r="M114" s="92" t="s">
        <v>798</v>
      </c>
      <c r="N114" s="92"/>
      <c r="O114" s="455" t="s">
        <v>799</v>
      </c>
      <c r="P114" s="92" t="s">
        <v>804</v>
      </c>
    </row>
    <row r="115" spans="1:24" x14ac:dyDescent="0.25">
      <c r="A115" s="254" t="s">
        <v>797</v>
      </c>
      <c r="E115" s="252"/>
      <c r="G115" s="252"/>
      <c r="I115" s="328"/>
      <c r="K115" s="456" t="s">
        <v>812</v>
      </c>
      <c r="N115" s="253"/>
      <c r="R115" s="456" t="s">
        <v>802</v>
      </c>
      <c r="S115" s="456" t="s">
        <v>803</v>
      </c>
      <c r="T115" s="456" t="s">
        <v>1016</v>
      </c>
      <c r="U115" s="456" t="s">
        <v>800</v>
      </c>
      <c r="V115" s="456" t="s">
        <v>801</v>
      </c>
    </row>
    <row r="117" spans="1:24" ht="15.75" thickBot="1" x14ac:dyDescent="0.3">
      <c r="A117" s="30" t="s">
        <v>943</v>
      </c>
      <c r="B117" s="30"/>
      <c r="C117" s="30"/>
      <c r="D117" s="30"/>
      <c r="E117" s="30"/>
      <c r="F117" s="30"/>
      <c r="G117" s="30"/>
      <c r="H117" s="30"/>
      <c r="I117" s="30"/>
      <c r="J117" s="30"/>
      <c r="P117" s="30"/>
      <c r="Q117" s="30"/>
    </row>
    <row r="118" spans="1:24" ht="15.75" thickBot="1" x14ac:dyDescent="0.3">
      <c r="A118" s="254" t="s">
        <v>675</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25">
      <c r="A119" s="255" t="s">
        <v>589</v>
      </c>
      <c r="B119" s="504" t="s">
        <v>944</v>
      </c>
      <c r="C119" s="7" t="s">
        <v>946</v>
      </c>
      <c r="D119" s="604" t="s">
        <v>947</v>
      </c>
      <c r="E119" s="9"/>
      <c r="F119" s="654">
        <v>2298687.7200000002</v>
      </c>
      <c r="G119" s="10"/>
      <c r="H119" s="662" t="s">
        <v>141</v>
      </c>
      <c r="I119" s="727" t="s">
        <v>965</v>
      </c>
      <c r="J119" s="662"/>
      <c r="K119" s="662"/>
      <c r="L119" s="663"/>
      <c r="M119" s="664"/>
      <c r="N119"/>
      <c r="O119" s="8" t="s">
        <v>141</v>
      </c>
      <c r="P119" s="655"/>
      <c r="Q119" s="8" t="s">
        <v>949</v>
      </c>
      <c r="R119" s="8" t="s">
        <v>141</v>
      </c>
      <c r="S119" s="6" t="s">
        <v>9</v>
      </c>
      <c r="T119" s="12" t="s">
        <v>952</v>
      </c>
      <c r="U119"/>
      <c r="V119"/>
      <c r="W119"/>
      <c r="X119"/>
    </row>
    <row r="120" spans="1:24" x14ac:dyDescent="0.25">
      <c r="A120" s="254" t="s">
        <v>676</v>
      </c>
      <c r="B120" s="145" t="s">
        <v>110</v>
      </c>
      <c r="C120" s="145" t="s">
        <v>945</v>
      </c>
      <c r="D120" s="145" t="s">
        <v>132</v>
      </c>
      <c r="E120" s="145" t="s">
        <v>110</v>
      </c>
      <c r="F120" s="145" t="s">
        <v>110</v>
      </c>
      <c r="G120" s="145" t="s">
        <v>91</v>
      </c>
      <c r="H120" s="598"/>
      <c r="I120" s="269"/>
      <c r="J120" s="145"/>
      <c r="K120" s="145"/>
      <c r="L120" s="145"/>
      <c r="M120" s="145"/>
      <c r="O120" s="145">
        <v>10</v>
      </c>
      <c r="P120" s="145" t="s">
        <v>113</v>
      </c>
      <c r="Q120" s="145" t="s">
        <v>112</v>
      </c>
      <c r="R120" s="145" t="s">
        <v>132</v>
      </c>
      <c r="S120" s="145" t="s">
        <v>113</v>
      </c>
      <c r="T120" s="145" t="s">
        <v>113</v>
      </c>
    </row>
    <row r="121" spans="1:24" x14ac:dyDescent="0.25">
      <c r="A121" s="254" t="s">
        <v>677</v>
      </c>
      <c r="B121" s="145" t="s">
        <v>91</v>
      </c>
      <c r="C121" s="145" t="s">
        <v>91</v>
      </c>
      <c r="D121" s="145" t="s">
        <v>130</v>
      </c>
      <c r="E121" s="145" t="s">
        <v>242</v>
      </c>
      <c r="F121" s="145" t="s">
        <v>893</v>
      </c>
      <c r="G121" s="145" t="s">
        <v>674</v>
      </c>
      <c r="H121" s="598" t="s">
        <v>133</v>
      </c>
      <c r="I121" s="269"/>
      <c r="J121" s="145"/>
      <c r="K121" s="145"/>
      <c r="L121" s="145"/>
      <c r="M121" s="145"/>
      <c r="O121" s="145" t="s">
        <v>113</v>
      </c>
      <c r="P121" s="145" t="s">
        <v>113</v>
      </c>
      <c r="Q121" s="145"/>
      <c r="R121" s="145" t="s">
        <v>113</v>
      </c>
      <c r="S121" s="145" t="s">
        <v>811</v>
      </c>
      <c r="T121" s="145" t="s">
        <v>41</v>
      </c>
    </row>
    <row r="122" spans="1:24" x14ac:dyDescent="0.25">
      <c r="A122" s="254" t="s">
        <v>678</v>
      </c>
      <c r="C122" s="252" t="s">
        <v>956</v>
      </c>
      <c r="E122" s="252" t="s">
        <v>955</v>
      </c>
      <c r="F122" s="726" t="s">
        <v>1020</v>
      </c>
      <c r="G122" s="252" t="s">
        <v>799</v>
      </c>
      <c r="H122" s="656" t="s">
        <v>1021</v>
      </c>
      <c r="I122" s="252"/>
      <c r="J122" s="599"/>
      <c r="K122" s="656"/>
      <c r="L122" s="656"/>
      <c r="M122" s="657"/>
      <c r="O122" s="252" t="s">
        <v>959</v>
      </c>
      <c r="P122" s="656" t="s">
        <v>948</v>
      </c>
      <c r="Q122" s="599"/>
      <c r="R122" s="656" t="s">
        <v>950</v>
      </c>
      <c r="S122" s="656" t="s">
        <v>951</v>
      </c>
      <c r="T122" s="657"/>
    </row>
    <row r="123" spans="1:24" x14ac:dyDescent="0.25">
      <c r="A123" s="254" t="s">
        <v>797</v>
      </c>
      <c r="C123" t="s">
        <v>954</v>
      </c>
      <c r="E123" s="252"/>
      <c r="G123" s="252"/>
      <c r="I123" s="575"/>
      <c r="K123" s="456"/>
      <c r="P123" s="328"/>
      <c r="R123" s="456"/>
      <c r="T123" t="s">
        <v>953</v>
      </c>
    </row>
    <row r="124" spans="1:24" x14ac:dyDescent="0.25">
      <c r="I124" s="2"/>
    </row>
    <row r="125" spans="1:24" ht="15.75" thickBot="1" x14ac:dyDescent="0.3">
      <c r="A125" s="666" t="s">
        <v>967</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691" t="s">
        <v>981</v>
      </c>
      <c r="B131" s="692"/>
      <c r="C131" s="692"/>
      <c r="D131" s="692"/>
      <c r="E131" s="692"/>
      <c r="F131" s="30"/>
      <c r="G131" s="30"/>
      <c r="H131" s="30"/>
      <c r="I131" s="30"/>
      <c r="J131" s="30"/>
    </row>
    <row r="132" spans="1:22" ht="15.75" thickBot="1" x14ac:dyDescent="0.3">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554</v>
      </c>
      <c r="R132" s="118" t="s">
        <v>553</v>
      </c>
      <c r="S132" s="118" t="s">
        <v>555</v>
      </c>
      <c r="T132" s="118" t="s">
        <v>556</v>
      </c>
      <c r="U132" s="118" t="s">
        <v>557</v>
      </c>
      <c r="V132" s="120" t="s">
        <v>548</v>
      </c>
    </row>
    <row r="134" spans="1:22" ht="15.75" thickBot="1" x14ac:dyDescent="0.3">
      <c r="A134" s="30" t="s">
        <v>561</v>
      </c>
    </row>
    <row r="135" spans="1:22" ht="15.75" thickBot="1" x14ac:dyDescent="0.3">
      <c r="A135" s="118" t="s">
        <v>136</v>
      </c>
      <c r="B135" s="118" t="s">
        <v>370</v>
      </c>
      <c r="C135" s="118" t="s">
        <v>344</v>
      </c>
      <c r="D135" s="118" t="s">
        <v>341</v>
      </c>
      <c r="E135" s="118" t="s">
        <v>165</v>
      </c>
      <c r="F135" s="118" t="s">
        <v>166</v>
      </c>
      <c r="G135" s="118" t="s">
        <v>167</v>
      </c>
      <c r="H135" s="118" t="s">
        <v>168</v>
      </c>
      <c r="I135" s="118" t="s">
        <v>169</v>
      </c>
      <c r="J135" s="118" t="s">
        <v>554</v>
      </c>
      <c r="K135" s="118" t="s">
        <v>553</v>
      </c>
      <c r="L135" s="118" t="s">
        <v>555</v>
      </c>
      <c r="M135" s="118" t="s">
        <v>556</v>
      </c>
      <c r="N135" s="118" t="s">
        <v>557</v>
      </c>
    </row>
    <row r="137" spans="1:22" ht="15.75" thickBot="1" x14ac:dyDescent="0.3">
      <c r="A137" s="30" t="s">
        <v>559</v>
      </c>
    </row>
    <row r="138" spans="1:22" ht="15.75" thickBot="1" x14ac:dyDescent="0.3">
      <c r="A138" s="4" t="s">
        <v>345</v>
      </c>
      <c r="B138" s="4" t="s">
        <v>370</v>
      </c>
      <c r="C138" s="118" t="s">
        <v>560</v>
      </c>
    </row>
    <row r="139" spans="1:22" x14ac:dyDescent="0.25">
      <c r="A139" s="119" t="s">
        <v>110</v>
      </c>
      <c r="B139" s="119" t="s">
        <v>134</v>
      </c>
      <c r="C139" s="119" t="s">
        <v>111</v>
      </c>
    </row>
    <row r="140" spans="1:22" x14ac:dyDescent="0.25">
      <c r="A140" s="26"/>
      <c r="B140" s="26"/>
    </row>
    <row r="141" spans="1:22" ht="15.75" thickBot="1" x14ac:dyDescent="0.3">
      <c r="A141" s="65" t="s">
        <v>358</v>
      </c>
      <c r="B141" s="26"/>
    </row>
    <row r="142" spans="1:22" ht="15.75" thickBot="1" x14ac:dyDescent="0.3">
      <c r="A142" s="4" t="s">
        <v>345</v>
      </c>
      <c r="B142" s="4" t="s">
        <v>167</v>
      </c>
      <c r="C142" s="59"/>
    </row>
    <row r="144" spans="1:22" ht="15.75" thickBot="1" x14ac:dyDescent="0.3">
      <c r="A144" s="65" t="s">
        <v>539</v>
      </c>
      <c r="B144" s="26"/>
    </row>
    <row r="145" spans="1:47" ht="15.75" thickBot="1" x14ac:dyDescent="0.3">
      <c r="A145" s="3" t="s">
        <v>513</v>
      </c>
      <c r="B145" s="3" t="s">
        <v>124</v>
      </c>
      <c r="C145" s="3" t="s">
        <v>497</v>
      </c>
    </row>
    <row r="147" spans="1:47" ht="15.75" thickBot="1" x14ac:dyDescent="0.3">
      <c r="A147" s="65" t="s">
        <v>545</v>
      </c>
      <c r="B147" s="119"/>
    </row>
    <row r="148" spans="1:47" ht="15.75" thickBot="1" x14ac:dyDescent="0.3">
      <c r="A148" s="117" t="s">
        <v>368</v>
      </c>
      <c r="B148" s="117" t="s">
        <v>188</v>
      </c>
      <c r="C148" s="117" t="s">
        <v>544</v>
      </c>
    </row>
    <row r="150" spans="1:47" ht="15.75" thickBot="1" x14ac:dyDescent="0.3">
      <c r="A150" s="65" t="s">
        <v>549</v>
      </c>
      <c r="B150" s="119"/>
    </row>
    <row r="151" spans="1:47" ht="29.25" customHeight="1" thickBot="1" x14ac:dyDescent="0.3">
      <c r="A151" s="117" t="s">
        <v>558</v>
      </c>
      <c r="B151" s="121" t="s">
        <v>357</v>
      </c>
      <c r="C151" s="121" t="s">
        <v>360</v>
      </c>
      <c r="D151" s="121" t="s">
        <v>550</v>
      </c>
      <c r="E151" s="121" t="s">
        <v>359</v>
      </c>
      <c r="F151" s="121" t="s">
        <v>1</v>
      </c>
      <c r="G151" s="121" t="s">
        <v>58</v>
      </c>
      <c r="H151" s="121" t="s">
        <v>368</v>
      </c>
      <c r="I151" s="121" t="s">
        <v>552</v>
      </c>
      <c r="J151" s="121" t="s">
        <v>551</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521</v>
      </c>
    </row>
    <row r="155" spans="1:47" ht="71.25" thickBot="1" x14ac:dyDescent="0.3">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25">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737</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714</v>
      </c>
      <c r="T1129" s="383">
        <v>1261915799.52244</v>
      </c>
      <c r="U1129" s="383" t="e">
        <f>SUM(#REF!)</f>
        <v>#REF!</v>
      </c>
      <c r="V1129" s="383" t="e">
        <f>SUM(#REF!)</f>
        <v>#REF!</v>
      </c>
      <c r="W1129" s="374" t="s">
        <v>738</v>
      </c>
    </row>
    <row r="1130" spans="1:23" x14ac:dyDescent="0.25">
      <c r="A1130" s="364"/>
      <c r="B1130" s="384" t="s">
        <v>739</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740</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741</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742</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F4" zoomScale="70" zoomScaleNormal="70" workbookViewId="0">
      <selection activeCell="F25" sqref="F25"/>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0"/>
    </row>
    <row r="2" spans="1:34" s="315" customFormat="1" ht="19.5" x14ac:dyDescent="0.3">
      <c r="C2" s="316" t="s">
        <v>793</v>
      </c>
      <c r="K2" s="600"/>
    </row>
    <row r="4" spans="1:34" ht="15.75" thickBot="1" x14ac:dyDescent="0.3">
      <c r="A4" s="30" t="s">
        <v>1001</v>
      </c>
    </row>
    <row r="5" spans="1:34" s="1" customFormat="1" ht="15.75" thickBot="1" x14ac:dyDescent="0.3">
      <c r="A5"/>
      <c r="B5" s="486" t="s">
        <v>901</v>
      </c>
      <c r="C5" s="698">
        <f>MATCH("NewOpp",E5:N5,0)+4</f>
        <v>12</v>
      </c>
      <c r="D5" s="698">
        <f>MATCH("STOP",E5:N5,0)+4</f>
        <v>14</v>
      </c>
      <c r="K5" s="526"/>
      <c r="L5" s="487" t="s">
        <v>818</v>
      </c>
      <c r="M5" s="488" t="s">
        <v>820</v>
      </c>
      <c r="N5" s="582" t="s">
        <v>892</v>
      </c>
      <c r="P5" s="145"/>
      <c r="Q5" s="8"/>
      <c r="R5" s="6"/>
      <c r="S5" s="12"/>
      <c r="T5"/>
      <c r="U5"/>
      <c r="V5"/>
      <c r="W5"/>
      <c r="X5"/>
      <c r="Y5"/>
      <c r="Z5"/>
      <c r="AA5"/>
      <c r="AB5"/>
      <c r="AC5"/>
    </row>
    <row r="6" spans="1:34" s="526" customFormat="1" x14ac:dyDescent="0.25">
      <c r="A6" s="524"/>
      <c r="B6" s="525"/>
      <c r="C6" s="529"/>
      <c r="D6" s="489"/>
      <c r="L6" s="527"/>
      <c r="M6" s="527"/>
      <c r="N6" s="528"/>
      <c r="Q6" s="269"/>
      <c r="R6" s="8"/>
      <c r="S6" s="6"/>
      <c r="T6" s="12"/>
      <c r="U6" s="2"/>
      <c r="V6" s="2"/>
      <c r="W6" s="2"/>
      <c r="X6" s="2"/>
      <c r="Y6" s="2"/>
      <c r="Z6" s="2"/>
      <c r="AA6" s="2"/>
      <c r="AB6" s="2"/>
      <c r="AC6" s="2"/>
      <c r="AD6" s="2"/>
    </row>
    <row r="7" spans="1:34" x14ac:dyDescent="0.25">
      <c r="A7" s="579">
        <v>0</v>
      </c>
      <c r="B7" s="495" t="s">
        <v>591</v>
      </c>
      <c r="C7" s="493" t="s">
        <v>591</v>
      </c>
      <c r="D7" s="494" t="s">
        <v>591</v>
      </c>
      <c r="E7" s="576">
        <v>0</v>
      </c>
      <c r="F7" s="576">
        <v>0</v>
      </c>
      <c r="G7" s="576">
        <v>0</v>
      </c>
      <c r="H7" s="576">
        <v>0</v>
      </c>
      <c r="I7" s="576">
        <v>0</v>
      </c>
      <c r="J7" s="576">
        <v>0</v>
      </c>
      <c r="K7" s="576">
        <v>17</v>
      </c>
      <c r="L7" s="577" t="s">
        <v>893</v>
      </c>
      <c r="M7" s="577" t="s">
        <v>130</v>
      </c>
      <c r="N7" s="577" t="s">
        <v>130</v>
      </c>
      <c r="O7" s="577" t="s">
        <v>127</v>
      </c>
      <c r="P7" s="577" t="s">
        <v>893</v>
      </c>
      <c r="Q7" s="577" t="s">
        <v>131</v>
      </c>
      <c r="R7" s="577" t="s">
        <v>113</v>
      </c>
      <c r="S7" s="577" t="s">
        <v>71</v>
      </c>
      <c r="T7" s="577" t="s">
        <v>113</v>
      </c>
      <c r="U7" s="577" t="s">
        <v>113</v>
      </c>
      <c r="V7" s="577" t="s">
        <v>113</v>
      </c>
      <c r="W7" s="577" t="s">
        <v>110</v>
      </c>
      <c r="X7" s="577" t="s">
        <v>91</v>
      </c>
      <c r="Y7" s="577" t="s">
        <v>110</v>
      </c>
      <c r="Z7" s="576">
        <v>0</v>
      </c>
      <c r="AA7" s="455"/>
      <c r="AB7" s="92"/>
    </row>
    <row r="8" spans="1:34" x14ac:dyDescent="0.25">
      <c r="A8" s="524"/>
      <c r="B8" s="495" t="s">
        <v>677</v>
      </c>
      <c r="C8" s="493"/>
      <c r="D8" s="494"/>
      <c r="E8" s="575"/>
      <c r="F8" s="575"/>
      <c r="G8" s="575"/>
      <c r="H8" s="575"/>
      <c r="I8" s="575"/>
      <c r="J8" s="575"/>
      <c r="K8" s="575"/>
      <c r="L8" s="269"/>
      <c r="M8" s="269"/>
      <c r="N8" s="269"/>
      <c r="O8" s="2"/>
      <c r="P8" s="2"/>
      <c r="Q8" s="269"/>
      <c r="R8" s="269"/>
      <c r="S8" s="269"/>
      <c r="T8" s="269"/>
      <c r="U8" s="269"/>
      <c r="V8" s="269"/>
      <c r="W8" s="2"/>
      <c r="X8" s="2"/>
      <c r="Y8" s="2"/>
      <c r="Z8" s="455"/>
      <c r="AA8" s="92"/>
    </row>
    <row r="9" spans="1:34" x14ac:dyDescent="0.25">
      <c r="A9" s="524"/>
      <c r="B9" s="495" t="s">
        <v>678</v>
      </c>
      <c r="C9" s="493"/>
      <c r="D9" s="494"/>
      <c r="E9" s="575"/>
      <c r="F9" s="575"/>
      <c r="G9" s="575"/>
      <c r="H9" s="575"/>
      <c r="I9" s="575"/>
      <c r="J9" s="575"/>
      <c r="K9" s="575"/>
      <c r="L9" s="269"/>
      <c r="M9" s="269"/>
      <c r="N9" s="269"/>
      <c r="O9" s="2"/>
      <c r="P9" s="2"/>
      <c r="Q9" s="269"/>
      <c r="R9" s="269"/>
      <c r="S9" s="269"/>
      <c r="T9" s="269"/>
      <c r="U9" s="269"/>
      <c r="V9" s="269"/>
      <c r="W9" s="2"/>
      <c r="X9" s="2"/>
      <c r="Y9" s="2"/>
      <c r="Z9" s="455"/>
      <c r="AA9" s="92"/>
    </row>
    <row r="10" spans="1:34" ht="15.75" thickBot="1" x14ac:dyDescent="0.3">
      <c r="A10" s="524"/>
      <c r="B10" s="496" t="s">
        <v>797</v>
      </c>
      <c r="C10" s="493"/>
      <c r="D10" s="494"/>
      <c r="E10" s="575"/>
      <c r="F10" s="575"/>
      <c r="G10" s="575"/>
      <c r="H10" s="575"/>
      <c r="I10" s="575"/>
      <c r="J10" s="575"/>
      <c r="K10" s="575"/>
      <c r="L10" s="269"/>
      <c r="M10" s="269"/>
      <c r="N10" s="269"/>
      <c r="O10" s="2"/>
      <c r="P10" s="2"/>
      <c r="Q10" s="269"/>
      <c r="R10" s="269"/>
      <c r="S10" s="269"/>
      <c r="T10" s="269"/>
      <c r="U10" s="269"/>
      <c r="V10" s="269"/>
      <c r="W10" s="2"/>
      <c r="X10" s="2"/>
      <c r="Y10" s="2"/>
      <c r="Z10" s="455"/>
      <c r="AA10" s="92"/>
    </row>
    <row r="11" spans="1:34" s="5" customFormat="1" ht="23.25" thickBot="1" x14ac:dyDescent="0.3">
      <c r="A11" s="759" t="s">
        <v>562</v>
      </c>
      <c r="B11" s="587" t="s">
        <v>899</v>
      </c>
      <c r="C11" s="490" t="s">
        <v>821</v>
      </c>
      <c r="D11" s="491"/>
      <c r="E11" s="317" t="s">
        <v>698</v>
      </c>
      <c r="F11" s="597" t="s">
        <v>65</v>
      </c>
      <c r="G11" s="597" t="s">
        <v>921</v>
      </c>
      <c r="H11" s="590" t="s">
        <v>62</v>
      </c>
      <c r="I11" s="590"/>
      <c r="J11" s="318" t="s">
        <v>926</v>
      </c>
      <c r="K11" s="615" t="s">
        <v>355</v>
      </c>
      <c r="L11" s="618" t="s">
        <v>920</v>
      </c>
      <c r="M11" s="609" t="s">
        <v>68</v>
      </c>
      <c r="N11" s="609" t="s">
        <v>67</v>
      </c>
      <c r="O11" s="610" t="s">
        <v>66</v>
      </c>
      <c r="P11" s="609" t="s">
        <v>823</v>
      </c>
      <c r="Q11" s="612" t="s">
        <v>0</v>
      </c>
      <c r="R11" s="766" t="s">
        <v>2</v>
      </c>
      <c r="S11" s="767"/>
      <c r="T11" s="611" t="s">
        <v>1</v>
      </c>
      <c r="U11" s="610" t="s">
        <v>62</v>
      </c>
      <c r="V11" s="611" t="s">
        <v>64</v>
      </c>
      <c r="W11" s="613" t="s">
        <v>61</v>
      </c>
      <c r="X11" s="614" t="s">
        <v>63</v>
      </c>
      <c r="Y11" s="611" t="s">
        <v>57</v>
      </c>
      <c r="Z11"/>
    </row>
    <row r="12" spans="1:34" s="5" customFormat="1" ht="15.75" thickBot="1" x14ac:dyDescent="0.3">
      <c r="A12" s="760"/>
      <c r="B12" s="492" t="s">
        <v>122</v>
      </c>
      <c r="C12" s="493" t="s">
        <v>821</v>
      </c>
      <c r="D12" s="578"/>
      <c r="E12" s="504"/>
      <c r="F12" s="616"/>
      <c r="G12"/>
      <c r="H12"/>
      <c r="I12"/>
      <c r="J12" s="482"/>
      <c r="K12" s="608"/>
      <c r="L12" s="617">
        <f>HYPERLINK("https://eu1.salesforce.com/"&amp;E12,F12)</f>
        <v>0</v>
      </c>
      <c r="M12" s="604"/>
      <c r="N12" s="604"/>
      <c r="O12" s="605"/>
      <c r="P12" s="674">
        <v>1234567.8899999999</v>
      </c>
      <c r="Q12" s="674">
        <v>1234567.8899999999</v>
      </c>
      <c r="R12" s="768"/>
      <c r="S12" s="769"/>
      <c r="T12" s="606"/>
      <c r="U12" s="617">
        <f>HYPERLINK("https://eu1.salesforce.com/"&amp;G12,H12)</f>
        <v>0</v>
      </c>
      <c r="V12" s="607"/>
      <c r="W12" s="607"/>
      <c r="X12" s="607"/>
      <c r="Y12" s="607"/>
    </row>
    <row r="13" spans="1:34" x14ac:dyDescent="0.25">
      <c r="A13" s="760"/>
      <c r="B13" s="495" t="s">
        <v>676</v>
      </c>
      <c r="C13" s="493"/>
      <c r="D13" s="494"/>
      <c r="E13" s="575">
        <v>0.5</v>
      </c>
      <c r="F13" s="575"/>
      <c r="J13" s="575">
        <v>0.5</v>
      </c>
      <c r="K13" s="575">
        <v>17</v>
      </c>
      <c r="L13" s="269" t="s">
        <v>893</v>
      </c>
      <c r="M13" s="269" t="s">
        <v>130</v>
      </c>
      <c r="N13" s="269" t="s">
        <v>113</v>
      </c>
      <c r="O13" s="269" t="s">
        <v>111</v>
      </c>
      <c r="P13" s="269" t="s">
        <v>976</v>
      </c>
      <c r="Q13" s="269" t="s">
        <v>976</v>
      </c>
      <c r="R13" s="269" t="s">
        <v>894</v>
      </c>
      <c r="S13" s="269"/>
      <c r="T13" s="269" t="s">
        <v>113</v>
      </c>
      <c r="U13" s="269" t="s">
        <v>128</v>
      </c>
      <c r="V13" s="269" t="s">
        <v>128</v>
      </c>
      <c r="W13" s="269" t="s">
        <v>976</v>
      </c>
      <c r="X13" s="269" t="s">
        <v>91</v>
      </c>
      <c r="Y13" s="269" t="s">
        <v>110</v>
      </c>
      <c r="AA13" s="455"/>
      <c r="AB13" s="92"/>
    </row>
    <row r="14" spans="1:34" x14ac:dyDescent="0.25">
      <c r="A14" s="760"/>
      <c r="B14" s="495" t="s">
        <v>677</v>
      </c>
      <c r="C14" s="493"/>
      <c r="D14" s="494"/>
      <c r="E14" s="575">
        <v>1</v>
      </c>
      <c r="F14" s="575">
        <v>9</v>
      </c>
      <c r="G14" s="575">
        <v>25</v>
      </c>
      <c r="H14" s="482">
        <v>25</v>
      </c>
      <c r="I14" s="482"/>
      <c r="J14" s="575" t="s">
        <v>925</v>
      </c>
      <c r="K14" s="575">
        <v>19</v>
      </c>
      <c r="L14" s="269"/>
      <c r="M14" s="269" t="s">
        <v>126</v>
      </c>
      <c r="N14" s="269" t="s">
        <v>112</v>
      </c>
      <c r="O14" s="269" t="s">
        <v>128</v>
      </c>
      <c r="P14" s="269" t="s">
        <v>113</v>
      </c>
      <c r="Q14" s="269" t="s">
        <v>111</v>
      </c>
      <c r="R14" s="269" t="s">
        <v>811</v>
      </c>
      <c r="S14" s="269"/>
      <c r="T14" s="269" t="s">
        <v>893</v>
      </c>
      <c r="U14" s="269"/>
      <c r="V14" s="269" t="s">
        <v>895</v>
      </c>
      <c r="W14" s="269" t="s">
        <v>897</v>
      </c>
      <c r="X14" s="269" t="s">
        <v>898</v>
      </c>
      <c r="Y14" s="269" t="s">
        <v>896</v>
      </c>
      <c r="AD14" s="456"/>
      <c r="AE14" s="456"/>
      <c r="AF14" s="456"/>
      <c r="AG14" s="456"/>
      <c r="AH14" s="456"/>
    </row>
    <row r="15" spans="1:34" x14ac:dyDescent="0.25">
      <c r="A15" s="760"/>
      <c r="B15" s="495" t="s">
        <v>678</v>
      </c>
      <c r="C15" s="493"/>
      <c r="D15" s="494"/>
      <c r="E15" s="575"/>
      <c r="F15" s="575"/>
      <c r="G15" s="575" t="s">
        <v>922</v>
      </c>
      <c r="H15" t="s">
        <v>924</v>
      </c>
      <c r="J15" s="575"/>
      <c r="K15" s="591" t="s">
        <v>914</v>
      </c>
      <c r="L15" s="2"/>
      <c r="M15" s="2"/>
      <c r="N15" s="2"/>
      <c r="O15" s="2"/>
      <c r="P15" s="2"/>
      <c r="Q15" s="2"/>
      <c r="R15" s="2"/>
      <c r="S15" s="2"/>
      <c r="T15" s="2"/>
      <c r="U15" s="2"/>
      <c r="V15" s="2"/>
      <c r="W15" s="2"/>
      <c r="X15" s="2"/>
      <c r="Y15" s="2"/>
      <c r="AD15" s="456"/>
      <c r="AE15" s="456"/>
      <c r="AF15" s="456"/>
      <c r="AG15" s="456"/>
      <c r="AH15" s="456"/>
    </row>
    <row r="16" spans="1:34" ht="15.75" thickBot="1" x14ac:dyDescent="0.3">
      <c r="A16" s="761"/>
      <c r="B16" s="496" t="s">
        <v>797</v>
      </c>
      <c r="C16" s="499"/>
      <c r="D16" s="500"/>
      <c r="E16" s="584"/>
      <c r="F16" s="584"/>
      <c r="G16" s="584" t="s">
        <v>923</v>
      </c>
      <c r="J16" s="584" t="s">
        <v>927</v>
      </c>
      <c r="K16" s="584"/>
      <c r="L16" s="2"/>
      <c r="M16" s="2"/>
      <c r="N16" s="2"/>
      <c r="O16" s="2"/>
      <c r="P16" s="2"/>
      <c r="Q16" s="2"/>
      <c r="R16" s="2"/>
      <c r="S16" s="2"/>
      <c r="T16" s="2"/>
      <c r="U16" s="2"/>
      <c r="V16" s="2"/>
      <c r="W16" s="2"/>
      <c r="AB16" s="456"/>
      <c r="AC16" s="456"/>
      <c r="AD16" s="456"/>
      <c r="AE16" s="456"/>
      <c r="AF16" s="456"/>
    </row>
    <row r="17" spans="1:37" s="5" customFormat="1" ht="30.75" thickBot="1" x14ac:dyDescent="0.3">
      <c r="A17" s="759" t="s">
        <v>136</v>
      </c>
      <c r="B17" s="588" t="s">
        <v>900</v>
      </c>
      <c r="C17" s="490" t="s">
        <v>821</v>
      </c>
      <c r="D17" s="491"/>
      <c r="E17" s="511" t="s">
        <v>699</v>
      </c>
      <c r="F17" s="511"/>
      <c r="G17" s="511"/>
      <c r="H17" s="512" t="s">
        <v>833</v>
      </c>
      <c r="I17" s="512"/>
      <c r="J17" s="513" t="s">
        <v>600</v>
      </c>
      <c r="K17" s="602"/>
      <c r="L17" s="619" t="s">
        <v>832</v>
      </c>
      <c r="M17" s="620" t="s">
        <v>826</v>
      </c>
      <c r="N17" s="621" t="s">
        <v>831</v>
      </c>
      <c r="O17" s="621" t="s">
        <v>827</v>
      </c>
      <c r="P17" s="622" t="s">
        <v>828</v>
      </c>
      <c r="Q17" s="622" t="s">
        <v>829</v>
      </c>
      <c r="R17" s="770" t="s">
        <v>830</v>
      </c>
      <c r="S17" s="771"/>
      <c r="T17" s="619" t="s">
        <v>910</v>
      </c>
      <c r="W17" s="619" t="s">
        <v>912</v>
      </c>
      <c r="X17" s="514"/>
    </row>
    <row r="18" spans="1:37" s="5" customFormat="1" ht="15.75" thickBot="1" x14ac:dyDescent="0.3">
      <c r="A18" s="760"/>
      <c r="B18" s="492" t="s">
        <v>122</v>
      </c>
      <c r="C18" s="493" t="s">
        <v>928</v>
      </c>
      <c r="D18" s="623">
        <f>E12</f>
        <v>0</v>
      </c>
      <c r="H18" s="624"/>
      <c r="I18" s="624"/>
      <c r="J18" s="625"/>
      <c r="K18" s="601"/>
      <c r="L18" s="626"/>
      <c r="M18" s="628"/>
      <c r="N18" s="627"/>
      <c r="O18" s="627"/>
      <c r="P18" s="627"/>
      <c r="Q18" s="628"/>
      <c r="R18" s="772"/>
      <c r="S18" s="773"/>
      <c r="T18" s="629"/>
      <c r="W18" s="676"/>
      <c r="X18" s="514"/>
    </row>
    <row r="19" spans="1:37" x14ac:dyDescent="0.25">
      <c r="A19" s="760"/>
      <c r="B19" s="495" t="s">
        <v>676</v>
      </c>
      <c r="C19" s="493"/>
      <c r="D19" s="494"/>
      <c r="E19" s="328">
        <v>0.5</v>
      </c>
      <c r="F19" s="328"/>
      <c r="G19" s="328"/>
      <c r="H19" s="328">
        <v>0.5</v>
      </c>
      <c r="I19" s="328"/>
      <c r="J19" s="328">
        <v>0.5</v>
      </c>
      <c r="K19" s="575"/>
      <c r="L19" s="501">
        <v>14</v>
      </c>
      <c r="M19" s="501">
        <v>10</v>
      </c>
      <c r="N19" s="501">
        <v>10</v>
      </c>
      <c r="O19" s="501">
        <v>10</v>
      </c>
      <c r="P19" s="501">
        <v>30</v>
      </c>
      <c r="Q19" s="501">
        <v>10</v>
      </c>
      <c r="R19" s="501">
        <v>40</v>
      </c>
      <c r="S19" s="501"/>
      <c r="T19" s="501">
        <v>26</v>
      </c>
      <c r="W19" s="269" t="s">
        <v>976</v>
      </c>
      <c r="X19" s="482"/>
    </row>
    <row r="20" spans="1:37" x14ac:dyDescent="0.25">
      <c r="A20" s="760"/>
      <c r="B20" s="495" t="s">
        <v>677</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60"/>
      <c r="B21" s="495" t="s">
        <v>678</v>
      </c>
      <c r="C21" s="493"/>
      <c r="D21" s="494"/>
      <c r="E21" s="482"/>
      <c r="K21"/>
      <c r="L21" s="482"/>
      <c r="M21" s="482"/>
      <c r="N21" s="482"/>
      <c r="O21" s="482"/>
      <c r="P21" s="482"/>
      <c r="Q21" s="482"/>
      <c r="R21" s="482"/>
      <c r="S21" s="482"/>
      <c r="T21" s="482"/>
      <c r="W21" s="482"/>
      <c r="X21" s="482"/>
    </row>
    <row r="22" spans="1:37" s="1" customFormat="1" ht="15.75" thickBot="1" x14ac:dyDescent="0.3">
      <c r="A22" s="761"/>
      <c r="B22" s="496" t="s">
        <v>797</v>
      </c>
      <c r="C22" s="497"/>
      <c r="D22" s="498"/>
      <c r="E22" s="586" t="s">
        <v>902</v>
      </c>
      <c r="F22" s="586"/>
      <c r="G22"/>
      <c r="H22"/>
      <c r="I22"/>
      <c r="J22" s="2"/>
      <c r="K22" s="584"/>
      <c r="L22" s="586" t="s">
        <v>903</v>
      </c>
      <c r="M22" s="586" t="s">
        <v>904</v>
      </c>
      <c r="N22" s="586" t="s">
        <v>905</v>
      </c>
      <c r="O22" s="586" t="s">
        <v>906</v>
      </c>
      <c r="P22" s="586" t="s">
        <v>907</v>
      </c>
      <c r="Q22" s="586" t="s">
        <v>908</v>
      </c>
      <c r="R22" s="586" t="s">
        <v>909</v>
      </c>
      <c r="S22" s="501"/>
      <c r="T22" s="586" t="s">
        <v>911</v>
      </c>
      <c r="U22" s="586"/>
      <c r="X22" s="586" t="s">
        <v>913</v>
      </c>
      <c r="Y22" s="502"/>
      <c r="Z22"/>
      <c r="AA22"/>
      <c r="AB22"/>
      <c r="AC22"/>
      <c r="AD22"/>
      <c r="AE22"/>
      <c r="AF22"/>
      <c r="AG22"/>
      <c r="AH22"/>
      <c r="AI22"/>
      <c r="AJ22"/>
    </row>
    <row r="23" spans="1:37" ht="30.75" thickBot="1" x14ac:dyDescent="0.3">
      <c r="A23" s="759" t="s">
        <v>574</v>
      </c>
      <c r="B23" s="589" t="s">
        <v>915</v>
      </c>
      <c r="C23" s="490" t="s">
        <v>821</v>
      </c>
      <c r="D23" s="491"/>
      <c r="E23" s="318" t="s">
        <v>157</v>
      </c>
      <c r="F23" s="318" t="s">
        <v>916</v>
      </c>
      <c r="G23" s="318" t="s">
        <v>819</v>
      </c>
      <c r="H23" s="694" t="s">
        <v>986</v>
      </c>
      <c r="I23" s="694" t="s">
        <v>921</v>
      </c>
      <c r="J23" s="508" t="s">
        <v>600</v>
      </c>
      <c r="K23" s="603"/>
      <c r="L23" s="762" t="s">
        <v>819</v>
      </c>
      <c r="M23" s="763"/>
      <c r="N23" s="667" t="s">
        <v>824</v>
      </c>
      <c r="O23" s="503" t="s">
        <v>977</v>
      </c>
      <c r="P23" s="503" t="s">
        <v>822</v>
      </c>
      <c r="Q23" s="503" t="s">
        <v>825</v>
      </c>
      <c r="R23" s="503" t="s">
        <v>918</v>
      </c>
      <c r="S23" s="503" t="s">
        <v>917</v>
      </c>
      <c r="T23" s="503" t="s">
        <v>1</v>
      </c>
      <c r="U23" s="503" t="s">
        <v>62</v>
      </c>
      <c r="V23" s="503" t="s">
        <v>689</v>
      </c>
      <c r="W23" s="503" t="s">
        <v>599</v>
      </c>
      <c r="X23" s="503" t="s">
        <v>834</v>
      </c>
      <c r="Y23" s="503" t="s">
        <v>368</v>
      </c>
      <c r="Z23" s="145"/>
      <c r="AA23" s="145"/>
      <c r="AB23" s="145"/>
    </row>
    <row r="24" spans="1:37" ht="15.75" thickBot="1" x14ac:dyDescent="0.3">
      <c r="A24" s="760"/>
      <c r="B24" s="492" t="s">
        <v>122</v>
      </c>
      <c r="C24" s="630" t="str">
        <f>IF(LEN(J12)=0,"",J12)</f>
        <v/>
      </c>
      <c r="D24" s="594">
        <v>1</v>
      </c>
      <c r="F24" s="506"/>
      <c r="G24" s="328"/>
      <c r="H24" s="509"/>
      <c r="I24" s="509"/>
      <c r="J24" s="507"/>
      <c r="K24" s="632" t="s">
        <v>931</v>
      </c>
      <c r="L24" s="764">
        <f>HYPERLINK("https://eu1.salesforce.com/"&amp;F24,G24)</f>
        <v>0</v>
      </c>
      <c r="M24" s="765"/>
      <c r="N24" s="1"/>
      <c r="O24" s="1"/>
      <c r="P24" s="675"/>
      <c r="Q24" s="1"/>
      <c r="R24" s="1"/>
      <c r="S24" s="1"/>
      <c r="T24" s="700"/>
      <c r="U24" s="699">
        <f>HYPERLINK("https://eu1.salesforce.com/"&amp;I24,H24)</f>
        <v>0</v>
      </c>
      <c r="V24" s="1"/>
      <c r="W24" s="1"/>
      <c r="X24" s="145"/>
      <c r="Y24" s="145"/>
      <c r="Z24" s="145"/>
      <c r="AA24" s="145"/>
      <c r="AB24" s="145"/>
    </row>
    <row r="25" spans="1:37" ht="15.75" thickBot="1" x14ac:dyDescent="0.3">
      <c r="A25" s="760"/>
      <c r="B25" s="495" t="s">
        <v>676</v>
      </c>
      <c r="C25" s="493"/>
      <c r="D25" s="494"/>
      <c r="E25" s="328">
        <v>0.5</v>
      </c>
      <c r="F25" s="328"/>
      <c r="G25" s="328"/>
      <c r="H25" s="328">
        <v>10</v>
      </c>
      <c r="I25" s="328"/>
      <c r="J25" s="328">
        <v>0.5</v>
      </c>
      <c r="K25" s="575"/>
      <c r="L25" s="595" t="s">
        <v>893</v>
      </c>
      <c r="M25" s="595"/>
      <c r="N25" s="595" t="s">
        <v>113</v>
      </c>
      <c r="O25" s="595"/>
      <c r="P25" s="269" t="s">
        <v>1026</v>
      </c>
      <c r="Q25" s="269" t="s">
        <v>1027</v>
      </c>
      <c r="R25" s="595"/>
      <c r="S25" s="595"/>
      <c r="T25" s="595" t="s">
        <v>113</v>
      </c>
      <c r="U25" s="595" t="s">
        <v>113</v>
      </c>
      <c r="V25" s="595" t="s">
        <v>113</v>
      </c>
      <c r="W25" s="595" t="s">
        <v>128</v>
      </c>
      <c r="X25" s="595" t="s">
        <v>128</v>
      </c>
      <c r="Y25" s="595" t="s">
        <v>128</v>
      </c>
      <c r="AB25" s="92"/>
      <c r="AD25" s="455"/>
      <c r="AE25" s="92"/>
    </row>
    <row r="26" spans="1:37" ht="15.75" thickBot="1" x14ac:dyDescent="0.3">
      <c r="A26" s="760"/>
      <c r="B26" s="495" t="s">
        <v>677</v>
      </c>
      <c r="C26" s="493" t="s">
        <v>70</v>
      </c>
      <c r="D26" s="592" t="s">
        <v>128</v>
      </c>
      <c r="E26" s="585" t="s">
        <v>929</v>
      </c>
      <c r="F26" s="482" t="s">
        <v>70</v>
      </c>
      <c r="G26" s="482">
        <v>3</v>
      </c>
      <c r="H26" s="501" t="s">
        <v>988</v>
      </c>
      <c r="I26" s="501" t="s">
        <v>988</v>
      </c>
      <c r="J26" s="501"/>
      <c r="K26" s="709"/>
      <c r="L26" s="482"/>
      <c r="M26" s="482"/>
      <c r="N26" s="501" t="s">
        <v>839</v>
      </c>
      <c r="O26" s="501">
        <v>26</v>
      </c>
      <c r="P26" s="501" t="s">
        <v>131</v>
      </c>
      <c r="Q26" s="482" t="s">
        <v>129</v>
      </c>
      <c r="R26" s="482" t="s">
        <v>919</v>
      </c>
      <c r="S26" s="595" t="s">
        <v>111</v>
      </c>
      <c r="T26" s="501" t="s">
        <v>113</v>
      </c>
      <c r="U26" s="501"/>
      <c r="V26" s="598"/>
      <c r="W26" s="598"/>
      <c r="X26" s="598"/>
      <c r="Y26" s="598"/>
      <c r="AG26" s="456"/>
      <c r="AH26" s="456"/>
      <c r="AI26" s="456"/>
      <c r="AJ26" s="456"/>
      <c r="AK26" s="456"/>
    </row>
    <row r="27" spans="1:37" ht="45" x14ac:dyDescent="0.25">
      <c r="A27" s="760"/>
      <c r="B27" s="495" t="s">
        <v>678</v>
      </c>
      <c r="C27" s="493"/>
      <c r="D27" s="494"/>
      <c r="E27" s="593" t="s">
        <v>991</v>
      </c>
      <c r="K27" s="631" t="s">
        <v>992</v>
      </c>
      <c r="L27" s="631" t="s">
        <v>930</v>
      </c>
      <c r="M27" s="596"/>
      <c r="N27" s="596"/>
      <c r="O27" s="596"/>
      <c r="T27" s="596"/>
      <c r="U27" s="631" t="s">
        <v>930</v>
      </c>
      <c r="AG27" s="456"/>
      <c r="AH27" s="456"/>
      <c r="AI27" s="456"/>
      <c r="AJ27" s="456"/>
      <c r="AK27" s="456"/>
    </row>
    <row r="28" spans="1:37" ht="15.75" thickBot="1" x14ac:dyDescent="0.3">
      <c r="A28" s="761"/>
      <c r="B28" s="496" t="s">
        <v>797</v>
      </c>
      <c r="C28" s="499"/>
      <c r="D28" s="498"/>
      <c r="E28" s="119"/>
      <c r="H28" s="584" t="s">
        <v>985</v>
      </c>
      <c r="I28" s="584" t="s">
        <v>989</v>
      </c>
      <c r="K28"/>
      <c r="L28" s="2"/>
      <c r="AB28" s="253"/>
      <c r="AF28" s="456"/>
      <c r="AG28" s="456"/>
      <c r="AH28" s="456"/>
      <c r="AI28" s="456"/>
      <c r="AJ28" s="456"/>
    </row>
    <row r="29" spans="1:37" x14ac:dyDescent="0.25">
      <c r="K29"/>
    </row>
    <row r="30" spans="1:37" ht="15.75" thickBot="1" x14ac:dyDescent="0.3">
      <c r="A30" s="30" t="s">
        <v>978</v>
      </c>
    </row>
    <row r="31" spans="1:37" s="1" customFormat="1" ht="15.75" thickBot="1" x14ac:dyDescent="0.3">
      <c r="A31"/>
      <c r="B31" s="486" t="s">
        <v>901</v>
      </c>
      <c r="C31" s="529" t="s">
        <v>133</v>
      </c>
      <c r="D31" s="529" t="s">
        <v>131</v>
      </c>
      <c r="K31" s="526"/>
      <c r="L31" s="487" t="s">
        <v>933</v>
      </c>
      <c r="M31" s="488" t="s">
        <v>820</v>
      </c>
      <c r="N31" s="582" t="s">
        <v>892</v>
      </c>
      <c r="P31" s="145"/>
      <c r="Q31" s="8"/>
      <c r="R31" s="6"/>
      <c r="S31" s="12"/>
      <c r="T31"/>
      <c r="U31"/>
      <c r="V31"/>
      <c r="W31"/>
      <c r="X31"/>
      <c r="Y31"/>
      <c r="Z31"/>
      <c r="AA31"/>
      <c r="AB31"/>
      <c r="AC31"/>
    </row>
    <row r="32" spans="1:37" s="526" customFormat="1" x14ac:dyDescent="0.25">
      <c r="A32" s="524"/>
      <c r="B32" s="525"/>
      <c r="C32" s="529"/>
      <c r="D32" s="489"/>
      <c r="L32" s="527"/>
      <c r="M32" s="527"/>
      <c r="N32" s="528"/>
      <c r="Q32" s="269"/>
      <c r="R32" s="8"/>
      <c r="S32" s="6"/>
      <c r="T32" s="12"/>
      <c r="U32" s="2"/>
      <c r="V32" s="2"/>
      <c r="W32" s="2"/>
      <c r="X32" s="2"/>
      <c r="Y32" s="2"/>
      <c r="Z32" s="2"/>
      <c r="AA32" s="2"/>
      <c r="AB32" s="2"/>
      <c r="AC32" s="2"/>
      <c r="AD32" s="2"/>
    </row>
    <row r="33" spans="1:35" x14ac:dyDescent="0.25">
      <c r="A33" s="579">
        <v>0</v>
      </c>
      <c r="B33" s="495" t="s">
        <v>591</v>
      </c>
      <c r="C33" s="493" t="s">
        <v>591</v>
      </c>
      <c r="D33" s="494" t="s">
        <v>591</v>
      </c>
      <c r="E33" s="576">
        <v>0</v>
      </c>
      <c r="F33" s="576">
        <v>0</v>
      </c>
      <c r="G33" s="576">
        <v>0</v>
      </c>
      <c r="H33" s="576">
        <v>0</v>
      </c>
      <c r="I33" s="576"/>
      <c r="J33" s="576">
        <v>0</v>
      </c>
      <c r="K33" s="576">
        <v>17</v>
      </c>
      <c r="L33" s="577" t="s">
        <v>893</v>
      </c>
      <c r="M33" s="577" t="s">
        <v>130</v>
      </c>
      <c r="N33" s="577" t="s">
        <v>130</v>
      </c>
      <c r="O33" s="577" t="s">
        <v>127</v>
      </c>
      <c r="P33" s="577" t="s">
        <v>893</v>
      </c>
      <c r="Q33" s="577" t="s">
        <v>131</v>
      </c>
      <c r="R33" s="577" t="s">
        <v>113</v>
      </c>
      <c r="S33" s="577" t="s">
        <v>71</v>
      </c>
      <c r="T33" s="577" t="s">
        <v>113</v>
      </c>
      <c r="U33" s="577" t="s">
        <v>113</v>
      </c>
      <c r="V33" s="577" t="s">
        <v>113</v>
      </c>
      <c r="W33" s="577" t="s">
        <v>110</v>
      </c>
      <c r="X33" s="577" t="s">
        <v>91</v>
      </c>
      <c r="Y33" s="577" t="s">
        <v>110</v>
      </c>
      <c r="AA33" s="455"/>
      <c r="AB33" s="92"/>
    </row>
    <row r="34" spans="1:35" x14ac:dyDescent="0.25">
      <c r="A34" s="524"/>
      <c r="B34" s="495" t="s">
        <v>677</v>
      </c>
      <c r="C34" s="493"/>
      <c r="D34" s="494"/>
      <c r="E34" s="575"/>
      <c r="F34" s="575"/>
      <c r="G34" s="575"/>
      <c r="H34" s="575"/>
      <c r="I34" s="575"/>
      <c r="J34" s="575"/>
      <c r="K34" s="575"/>
      <c r="L34" s="269"/>
      <c r="M34" s="269"/>
      <c r="N34" s="269"/>
      <c r="O34" s="2"/>
      <c r="P34" s="2"/>
      <c r="Q34" s="269"/>
      <c r="R34" s="269"/>
      <c r="S34" s="269"/>
      <c r="T34" s="269"/>
      <c r="U34" s="269"/>
      <c r="V34" s="269"/>
      <c r="W34" s="2"/>
      <c r="X34" s="2"/>
      <c r="Y34" s="2"/>
      <c r="Z34" s="455"/>
      <c r="AA34" s="92"/>
    </row>
    <row r="35" spans="1:35" x14ac:dyDescent="0.25">
      <c r="A35" s="524"/>
      <c r="B35" s="495" t="s">
        <v>678</v>
      </c>
      <c r="C35" s="493"/>
      <c r="D35" s="494"/>
      <c r="E35" s="575"/>
      <c r="F35" s="575"/>
      <c r="G35" s="575"/>
      <c r="H35" s="575"/>
      <c r="I35" s="575"/>
      <c r="J35" s="575"/>
      <c r="K35" s="575"/>
      <c r="L35" s="269"/>
      <c r="M35" s="269"/>
      <c r="N35" s="269"/>
      <c r="O35" s="2"/>
      <c r="P35" s="2"/>
      <c r="Q35" s="269"/>
      <c r="R35" s="269"/>
      <c r="S35" s="269"/>
      <c r="T35" s="269"/>
      <c r="U35" s="269"/>
      <c r="V35" s="269"/>
      <c r="W35" s="2"/>
      <c r="X35" s="2"/>
      <c r="Y35" s="2"/>
      <c r="Z35" s="455"/>
      <c r="AA35" s="92"/>
    </row>
    <row r="36" spans="1:35" ht="15.75" thickBot="1" x14ac:dyDescent="0.3">
      <c r="A36" s="524"/>
      <c r="B36" s="496" t="s">
        <v>797</v>
      </c>
      <c r="C36" s="493"/>
      <c r="D36" s="494"/>
      <c r="E36" s="575"/>
      <c r="F36" s="575"/>
      <c r="G36" s="575"/>
      <c r="H36" s="575"/>
      <c r="I36" s="575"/>
      <c r="J36" s="575"/>
      <c r="K36" s="575"/>
      <c r="L36" s="269"/>
      <c r="M36" s="269"/>
      <c r="N36" s="269"/>
      <c r="O36" s="2"/>
      <c r="P36" s="2"/>
      <c r="Q36" s="269"/>
      <c r="R36" s="269"/>
      <c r="S36" s="269"/>
      <c r="T36" s="269"/>
      <c r="U36" s="269"/>
      <c r="V36" s="269"/>
      <c r="W36" s="2"/>
      <c r="X36" s="2"/>
      <c r="Y36" s="2"/>
      <c r="Z36" s="455"/>
      <c r="AA36" s="92"/>
    </row>
    <row r="37" spans="1:35" s="5" customFormat="1" ht="23.25" thickBot="1" x14ac:dyDescent="0.3">
      <c r="A37" s="759" t="s">
        <v>562</v>
      </c>
      <c r="B37" s="587" t="s">
        <v>899</v>
      </c>
      <c r="C37" s="490" t="s">
        <v>821</v>
      </c>
      <c r="D37" s="491"/>
      <c r="E37" s="317" t="s">
        <v>698</v>
      </c>
      <c r="F37" s="597" t="s">
        <v>65</v>
      </c>
      <c r="G37" s="597" t="s">
        <v>921</v>
      </c>
      <c r="H37" s="590" t="s">
        <v>62</v>
      </c>
      <c r="I37" s="590"/>
      <c r="J37" s="318" t="s">
        <v>926</v>
      </c>
      <c r="K37" s="615" t="s">
        <v>355</v>
      </c>
      <c r="L37" s="618" t="s">
        <v>920</v>
      </c>
      <c r="M37" s="609" t="s">
        <v>68</v>
      </c>
      <c r="N37" s="609" t="s">
        <v>67</v>
      </c>
      <c r="O37" s="610" t="s">
        <v>66</v>
      </c>
      <c r="P37" s="609" t="s">
        <v>823</v>
      </c>
      <c r="Q37" s="612" t="s">
        <v>0</v>
      </c>
      <c r="R37" s="766" t="s">
        <v>2</v>
      </c>
      <c r="S37" s="767"/>
      <c r="T37" s="611" t="s">
        <v>1</v>
      </c>
      <c r="U37" s="610" t="s">
        <v>62</v>
      </c>
      <c r="V37" s="611" t="s">
        <v>64</v>
      </c>
      <c r="W37" s="613" t="s">
        <v>61</v>
      </c>
      <c r="X37" s="614" t="s">
        <v>63</v>
      </c>
      <c r="Y37" s="611" t="s">
        <v>57</v>
      </c>
      <c r="Z37"/>
    </row>
    <row r="38" spans="1:35" s="5" customFormat="1" ht="15.75" thickBot="1" x14ac:dyDescent="0.3">
      <c r="A38" s="760"/>
      <c r="B38" s="492" t="s">
        <v>122</v>
      </c>
      <c r="C38" s="493" t="s">
        <v>821</v>
      </c>
      <c r="D38" s="578"/>
      <c r="E38" s="504"/>
      <c r="F38" s="616"/>
      <c r="G38"/>
      <c r="H38"/>
      <c r="I38"/>
      <c r="J38" s="482"/>
      <c r="K38" s="608"/>
      <c r="L38" s="617">
        <f>HYPERLINK("https://eu1.salesforce.com/"&amp;E38,F38)</f>
        <v>0</v>
      </c>
      <c r="M38" s="604"/>
      <c r="N38" s="604"/>
      <c r="O38" s="605"/>
      <c r="P38" s="674">
        <v>1234567.8899999999</v>
      </c>
      <c r="Q38" s="674">
        <v>1234567.8899999999</v>
      </c>
      <c r="R38" s="768"/>
      <c r="S38" s="769"/>
      <c r="T38" s="606"/>
      <c r="U38" s="617">
        <f>HYPERLINK("https://eu1.salesforce.com/"&amp;G38,H38)</f>
        <v>0</v>
      </c>
      <c r="V38" s="607"/>
      <c r="W38" s="607"/>
      <c r="X38" s="607"/>
      <c r="Y38" s="607"/>
    </row>
    <row r="39" spans="1:35" x14ac:dyDescent="0.25">
      <c r="A39" s="760"/>
      <c r="B39" s="495" t="s">
        <v>676</v>
      </c>
      <c r="C39" s="493"/>
      <c r="D39" s="494"/>
      <c r="E39" s="575">
        <v>0.5</v>
      </c>
      <c r="F39" s="575"/>
      <c r="J39" s="575">
        <v>0.5</v>
      </c>
      <c r="K39" s="575">
        <v>17</v>
      </c>
      <c r="L39" s="269" t="s">
        <v>893</v>
      </c>
      <c r="M39" s="269" t="s">
        <v>130</v>
      </c>
      <c r="N39" s="269" t="s">
        <v>113</v>
      </c>
      <c r="O39" s="269" t="s">
        <v>111</v>
      </c>
      <c r="P39" s="269" t="s">
        <v>976</v>
      </c>
      <c r="Q39" s="269" t="s">
        <v>976</v>
      </c>
      <c r="R39" s="269" t="s">
        <v>894</v>
      </c>
      <c r="S39" s="269"/>
      <c r="T39" s="269" t="s">
        <v>113</v>
      </c>
      <c r="U39" s="269" t="s">
        <v>128</v>
      </c>
      <c r="V39" s="269" t="s">
        <v>128</v>
      </c>
      <c r="W39" s="269" t="s">
        <v>976</v>
      </c>
      <c r="X39" s="269" t="s">
        <v>91</v>
      </c>
      <c r="Y39" s="269" t="s">
        <v>110</v>
      </c>
      <c r="AA39" s="455"/>
      <c r="AB39" s="92"/>
    </row>
    <row r="40" spans="1:35" x14ac:dyDescent="0.25">
      <c r="A40" s="760"/>
      <c r="B40" s="495" t="s">
        <v>677</v>
      </c>
      <c r="C40" s="493"/>
      <c r="D40" s="494"/>
      <c r="E40" s="575">
        <v>1</v>
      </c>
      <c r="F40" s="575">
        <v>9</v>
      </c>
      <c r="G40" s="575">
        <v>25</v>
      </c>
      <c r="H40" s="482">
        <v>25</v>
      </c>
      <c r="I40" s="482"/>
      <c r="J40" s="575" t="s">
        <v>925</v>
      </c>
      <c r="K40" s="575">
        <v>19</v>
      </c>
      <c r="L40" s="269"/>
      <c r="M40" s="269" t="s">
        <v>126</v>
      </c>
      <c r="N40" s="269" t="s">
        <v>112</v>
      </c>
      <c r="O40" s="269" t="s">
        <v>128</v>
      </c>
      <c r="P40" s="269" t="s">
        <v>113</v>
      </c>
      <c r="Q40" s="269" t="s">
        <v>111</v>
      </c>
      <c r="R40" s="269" t="s">
        <v>811</v>
      </c>
      <c r="S40" s="269"/>
      <c r="T40" s="269" t="s">
        <v>893</v>
      </c>
      <c r="U40" s="269"/>
      <c r="V40" s="269" t="s">
        <v>895</v>
      </c>
      <c r="W40" s="269" t="s">
        <v>897</v>
      </c>
      <c r="X40" s="269" t="s">
        <v>898</v>
      </c>
      <c r="Y40" s="269" t="s">
        <v>896</v>
      </c>
      <c r="AD40" s="456"/>
      <c r="AE40" s="456"/>
      <c r="AF40" s="456"/>
      <c r="AG40" s="456"/>
      <c r="AH40" s="456"/>
    </row>
    <row r="41" spans="1:35" x14ac:dyDescent="0.25">
      <c r="A41" s="760"/>
      <c r="B41" s="495" t="s">
        <v>678</v>
      </c>
      <c r="C41" s="493"/>
      <c r="D41" s="494"/>
      <c r="E41" s="575"/>
      <c r="F41" s="575"/>
      <c r="G41" s="575" t="s">
        <v>922</v>
      </c>
      <c r="H41" t="s">
        <v>924</v>
      </c>
      <c r="J41" s="575"/>
      <c r="K41" s="591" t="s">
        <v>914</v>
      </c>
      <c r="L41" s="2"/>
      <c r="M41" s="2"/>
      <c r="N41" s="2"/>
      <c r="O41" s="2"/>
      <c r="P41" s="2"/>
      <c r="Q41" s="2"/>
      <c r="R41" s="2"/>
      <c r="S41" s="2"/>
      <c r="T41" s="2"/>
      <c r="U41" s="2"/>
      <c r="V41" s="2"/>
      <c r="W41" s="2"/>
      <c r="X41" s="2"/>
      <c r="Y41" s="2"/>
      <c r="AD41" s="456"/>
      <c r="AE41" s="456"/>
      <c r="AF41" s="456"/>
      <c r="AG41" s="456"/>
      <c r="AH41" s="456"/>
    </row>
    <row r="42" spans="1:35" ht="15.75" thickBot="1" x14ac:dyDescent="0.3">
      <c r="A42" s="761"/>
      <c r="B42" s="496" t="s">
        <v>797</v>
      </c>
      <c r="C42" s="499"/>
      <c r="D42" s="500"/>
      <c r="E42" s="584"/>
      <c r="F42" s="584"/>
      <c r="G42" s="584" t="s">
        <v>923</v>
      </c>
      <c r="J42" s="584" t="s">
        <v>927</v>
      </c>
      <c r="K42" s="584"/>
      <c r="L42" s="2"/>
      <c r="M42" s="2"/>
      <c r="N42" s="2"/>
      <c r="O42" s="2"/>
      <c r="P42" s="2"/>
      <c r="Q42" s="2"/>
      <c r="R42" s="2"/>
      <c r="S42" s="2"/>
      <c r="T42" s="2"/>
      <c r="U42" s="2"/>
      <c r="V42" s="2"/>
      <c r="W42" s="2"/>
      <c r="AB42" s="456"/>
      <c r="AC42" s="456"/>
      <c r="AD42" s="456"/>
      <c r="AE42" s="456"/>
      <c r="AF42" s="456"/>
    </row>
    <row r="43" spans="1:35" s="5" customFormat="1" ht="30.75" thickBot="1" x14ac:dyDescent="0.3">
      <c r="A43" s="759" t="s">
        <v>136</v>
      </c>
      <c r="B43" s="588" t="s">
        <v>900</v>
      </c>
      <c r="C43" s="490" t="s">
        <v>821</v>
      </c>
      <c r="D43" s="491"/>
      <c r="E43" s="511" t="s">
        <v>699</v>
      </c>
      <c r="F43" s="511"/>
      <c r="G43" s="511"/>
      <c r="H43" s="512" t="s">
        <v>833</v>
      </c>
      <c r="I43" s="512"/>
      <c r="J43" s="513" t="s">
        <v>600</v>
      </c>
      <c r="K43" s="602"/>
      <c r="L43" s="673" t="s">
        <v>832</v>
      </c>
      <c r="M43" s="620" t="s">
        <v>826</v>
      </c>
      <c r="N43" s="621" t="s">
        <v>831</v>
      </c>
      <c r="O43" s="621" t="s">
        <v>827</v>
      </c>
      <c r="P43" s="622" t="s">
        <v>828</v>
      </c>
      <c r="Q43" s="622" t="s">
        <v>829</v>
      </c>
      <c r="R43" s="770" t="s">
        <v>830</v>
      </c>
      <c r="S43" s="771"/>
      <c r="T43" s="673" t="s">
        <v>910</v>
      </c>
      <c r="W43" s="673" t="s">
        <v>912</v>
      </c>
      <c r="X43" s="514"/>
    </row>
    <row r="44" spans="1:35" s="5" customFormat="1" ht="15.75" thickBot="1" x14ac:dyDescent="0.3">
      <c r="A44" s="760"/>
      <c r="B44" s="492" t="s">
        <v>122</v>
      </c>
      <c r="C44" s="493" t="s">
        <v>928</v>
      </c>
      <c r="D44" s="623">
        <f>E38</f>
        <v>0</v>
      </c>
      <c r="H44" s="624"/>
      <c r="I44" s="624"/>
      <c r="J44" s="625"/>
      <c r="K44" s="601"/>
      <c r="L44" s="626"/>
      <c r="M44" s="628"/>
      <c r="N44" s="627"/>
      <c r="O44" s="627"/>
      <c r="P44" s="627"/>
      <c r="Q44" s="628"/>
      <c r="R44" s="772"/>
      <c r="S44" s="773"/>
      <c r="T44" s="629"/>
      <c r="W44" s="676"/>
      <c r="X44" s="514"/>
    </row>
    <row r="45" spans="1:35" x14ac:dyDescent="0.25">
      <c r="A45" s="760"/>
      <c r="B45" s="495" t="s">
        <v>676</v>
      </c>
      <c r="C45" s="493"/>
      <c r="D45" s="494"/>
      <c r="E45" s="328">
        <v>0.5</v>
      </c>
      <c r="F45" s="328"/>
      <c r="G45" s="328"/>
      <c r="H45" s="328">
        <v>0.5</v>
      </c>
      <c r="I45" s="328"/>
      <c r="J45" s="328">
        <v>0.5</v>
      </c>
      <c r="K45" s="575"/>
      <c r="L45" s="501">
        <v>14</v>
      </c>
      <c r="M45" s="501">
        <v>10</v>
      </c>
      <c r="N45" s="501">
        <v>10</v>
      </c>
      <c r="O45" s="501">
        <v>10</v>
      </c>
      <c r="P45" s="501">
        <v>30</v>
      </c>
      <c r="Q45" s="501">
        <v>10</v>
      </c>
      <c r="R45" s="501">
        <v>40</v>
      </c>
      <c r="S45" s="501"/>
      <c r="T45" s="501">
        <v>26</v>
      </c>
      <c r="W45" s="269" t="s">
        <v>976</v>
      </c>
      <c r="X45" s="482"/>
    </row>
    <row r="46" spans="1:35" x14ac:dyDescent="0.25">
      <c r="A46" s="760"/>
      <c r="B46" s="495" t="s">
        <v>677</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60"/>
      <c r="B47" s="495" t="s">
        <v>678</v>
      </c>
      <c r="C47" s="493"/>
      <c r="D47" s="494"/>
      <c r="E47" s="482"/>
      <c r="K47"/>
      <c r="L47" s="482"/>
      <c r="M47" s="482"/>
      <c r="N47" s="482"/>
      <c r="O47" s="482"/>
      <c r="P47" s="482"/>
      <c r="Q47" s="482"/>
      <c r="R47" s="482"/>
      <c r="S47" s="482"/>
      <c r="T47" s="482"/>
      <c r="W47" s="482"/>
      <c r="X47" s="482"/>
    </row>
    <row r="48" spans="1:35" s="1" customFormat="1" ht="15.75" thickBot="1" x14ac:dyDescent="0.3">
      <c r="A48" s="761"/>
      <c r="B48" s="496" t="s">
        <v>797</v>
      </c>
      <c r="C48" s="497"/>
      <c r="D48" s="498"/>
      <c r="E48" s="586" t="s">
        <v>902</v>
      </c>
      <c r="F48" s="586"/>
      <c r="G48"/>
      <c r="H48"/>
      <c r="I48"/>
      <c r="J48" s="2"/>
      <c r="K48" s="584"/>
      <c r="L48" s="586" t="s">
        <v>903</v>
      </c>
      <c r="M48" s="586" t="s">
        <v>904</v>
      </c>
      <c r="N48" s="586" t="s">
        <v>905</v>
      </c>
      <c r="O48" s="586" t="s">
        <v>906</v>
      </c>
      <c r="P48" s="586" t="s">
        <v>907</v>
      </c>
      <c r="Q48" s="586" t="s">
        <v>908</v>
      </c>
      <c r="R48" s="586" t="s">
        <v>909</v>
      </c>
      <c r="S48" s="501"/>
      <c r="T48" s="586" t="s">
        <v>911</v>
      </c>
      <c r="W48" s="586" t="s">
        <v>913</v>
      </c>
      <c r="X48" s="502"/>
      <c r="Y48" s="12"/>
      <c r="Z48"/>
      <c r="AA48"/>
      <c r="AB48"/>
      <c r="AC48"/>
      <c r="AD48"/>
      <c r="AE48"/>
      <c r="AF48"/>
      <c r="AG48"/>
      <c r="AH48"/>
      <c r="AI48"/>
    </row>
    <row r="49" spans="1:36" ht="30.75" thickBot="1" x14ac:dyDescent="0.3">
      <c r="A49" s="759" t="s">
        <v>574</v>
      </c>
      <c r="B49" s="589" t="s">
        <v>915</v>
      </c>
      <c r="C49" s="490" t="s">
        <v>821</v>
      </c>
      <c r="D49" s="491"/>
      <c r="E49" s="318" t="s">
        <v>157</v>
      </c>
      <c r="F49" s="318" t="s">
        <v>916</v>
      </c>
      <c r="G49" s="318" t="s">
        <v>819</v>
      </c>
      <c r="H49" s="510" t="s">
        <v>62</v>
      </c>
      <c r="I49" s="510"/>
      <c r="J49" s="508" t="s">
        <v>600</v>
      </c>
      <c r="K49" s="603"/>
      <c r="L49" s="762" t="s">
        <v>819</v>
      </c>
      <c r="M49" s="763"/>
      <c r="N49" s="667" t="s">
        <v>824</v>
      </c>
      <c r="O49" s="503" t="s">
        <v>977</v>
      </c>
      <c r="P49" s="503" t="s">
        <v>822</v>
      </c>
      <c r="Q49" s="503" t="s">
        <v>825</v>
      </c>
      <c r="R49" s="503" t="s">
        <v>918</v>
      </c>
      <c r="S49" s="503" t="s">
        <v>917</v>
      </c>
      <c r="T49" s="503" t="s">
        <v>1</v>
      </c>
      <c r="U49" s="503" t="s">
        <v>689</v>
      </c>
      <c r="V49" s="503" t="s">
        <v>599</v>
      </c>
      <c r="W49" s="503" t="s">
        <v>834</v>
      </c>
      <c r="X49" s="503" t="s">
        <v>368</v>
      </c>
      <c r="Y49" s="145"/>
      <c r="Z49" s="145"/>
      <c r="AA49" s="145"/>
    </row>
    <row r="50" spans="1:36" ht="15.75" thickBot="1" x14ac:dyDescent="0.3">
      <c r="A50" s="760"/>
      <c r="B50" s="492" t="s">
        <v>122</v>
      </c>
      <c r="C50" s="630" t="str">
        <f>IF(LEN(J38)=0,"",J38)</f>
        <v/>
      </c>
      <c r="D50" s="594">
        <v>1</v>
      </c>
      <c r="F50" s="506"/>
      <c r="G50" s="328"/>
      <c r="H50" s="509"/>
      <c r="I50" s="509"/>
      <c r="J50" s="507"/>
      <c r="K50" s="632" t="s">
        <v>931</v>
      </c>
      <c r="L50" s="764">
        <f>HYPERLINK("https://eu1.salesforce.com/"&amp;F50,G50)</f>
        <v>0</v>
      </c>
      <c r="M50" s="765"/>
      <c r="N50" s="1"/>
      <c r="O50" s="1"/>
      <c r="P50" s="675"/>
      <c r="Q50" s="1"/>
      <c r="R50" s="1"/>
      <c r="S50" s="1"/>
      <c r="T50" s="1"/>
      <c r="U50" s="1"/>
      <c r="V50" s="1"/>
      <c r="W50" s="145"/>
      <c r="X50" s="145"/>
      <c r="Y50" s="145"/>
      <c r="Z50" s="145"/>
      <c r="AA50" s="145"/>
    </row>
    <row r="51" spans="1:36" x14ac:dyDescent="0.25">
      <c r="A51" s="760"/>
      <c r="B51" s="495" t="s">
        <v>676</v>
      </c>
      <c r="C51" s="493"/>
      <c r="D51" s="494"/>
      <c r="E51" s="328">
        <v>0.5</v>
      </c>
      <c r="F51" s="328"/>
      <c r="G51" s="328"/>
      <c r="H51" s="328">
        <v>0.5</v>
      </c>
      <c r="I51" s="328"/>
      <c r="J51" s="328">
        <v>0.5</v>
      </c>
      <c r="K51" s="575"/>
      <c r="L51" s="595" t="s">
        <v>893</v>
      </c>
      <c r="M51" s="595"/>
      <c r="N51" s="595" t="s">
        <v>113</v>
      </c>
      <c r="O51" s="595"/>
      <c r="P51" s="269" t="s">
        <v>1026</v>
      </c>
      <c r="Q51" s="269" t="s">
        <v>1027</v>
      </c>
      <c r="R51" s="595"/>
      <c r="S51" s="595"/>
      <c r="T51" s="595" t="s">
        <v>113</v>
      </c>
      <c r="U51" s="595" t="s">
        <v>113</v>
      </c>
      <c r="V51" s="595" t="s">
        <v>128</v>
      </c>
      <c r="W51" s="595" t="s">
        <v>128</v>
      </c>
      <c r="X51" s="595" t="s">
        <v>128</v>
      </c>
      <c r="AA51" s="92"/>
      <c r="AC51" s="455"/>
      <c r="AD51" s="92"/>
    </row>
    <row r="52" spans="1:36" x14ac:dyDescent="0.25">
      <c r="A52" s="760"/>
      <c r="B52" s="495" t="s">
        <v>677</v>
      </c>
      <c r="C52" s="493" t="s">
        <v>70</v>
      </c>
      <c r="D52" s="592" t="s">
        <v>128</v>
      </c>
      <c r="E52" s="585" t="s">
        <v>929</v>
      </c>
      <c r="F52" s="482" t="s">
        <v>70</v>
      </c>
      <c r="G52" s="482">
        <v>3</v>
      </c>
      <c r="H52" s="501"/>
      <c r="I52" s="501"/>
      <c r="J52" s="501"/>
      <c r="K52" s="501"/>
      <c r="L52" s="482"/>
      <c r="M52" s="482"/>
      <c r="N52" s="501" t="s">
        <v>839</v>
      </c>
      <c r="O52" s="501">
        <v>26</v>
      </c>
      <c r="P52" s="501" t="s">
        <v>131</v>
      </c>
      <c r="Q52" s="482" t="s">
        <v>129</v>
      </c>
      <c r="R52" s="482" t="s">
        <v>919</v>
      </c>
      <c r="S52" s="595" t="s">
        <v>111</v>
      </c>
      <c r="T52" s="501" t="s">
        <v>113</v>
      </c>
      <c r="U52" s="598"/>
      <c r="V52" s="598"/>
      <c r="W52" s="598"/>
      <c r="X52" s="598"/>
      <c r="Y52" s="599"/>
      <c r="AF52" s="456"/>
      <c r="AG52" s="456"/>
      <c r="AH52" s="456"/>
      <c r="AI52" s="456"/>
      <c r="AJ52" s="456"/>
    </row>
    <row r="53" spans="1:36" ht="45" x14ac:dyDescent="0.25">
      <c r="A53" s="760"/>
      <c r="B53" s="495" t="s">
        <v>678</v>
      </c>
      <c r="C53" s="493"/>
      <c r="D53" s="494"/>
      <c r="E53" s="593" t="s">
        <v>983</v>
      </c>
      <c r="K53" s="631" t="s">
        <v>930</v>
      </c>
      <c r="L53" s="631" t="s">
        <v>930</v>
      </c>
      <c r="M53" s="596"/>
      <c r="N53" s="596"/>
      <c r="O53" s="596"/>
      <c r="T53" s="596"/>
      <c r="AF53" s="456"/>
      <c r="AG53" s="456"/>
      <c r="AH53" s="456"/>
      <c r="AI53" s="456"/>
      <c r="AJ53" s="456"/>
    </row>
    <row r="54" spans="1:36" ht="15.75" thickBot="1" x14ac:dyDescent="0.3">
      <c r="A54" s="761"/>
      <c r="B54" s="496" t="s">
        <v>797</v>
      </c>
      <c r="C54" s="499"/>
      <c r="D54" s="498"/>
      <c r="E54" s="119"/>
      <c r="H54" s="584"/>
      <c r="I54" s="584"/>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2012-12-27T21:17:30Z</dcterms:modified>
</cp:coreProperties>
</file>