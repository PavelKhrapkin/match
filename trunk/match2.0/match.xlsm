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1339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Process!$A$4:$O$130</definedName>
    <definedName name="_xlnm._FilterDatabase" localSheetId="2" hidden="1">We!$A$1:$I$1</definedName>
    <definedName name="Acc1C_MyCol" comment="2.11.12 Acc1C_MyCol 1C.xlsm колонка -- для связки Организаций 1С с SFacc">Header!$B$34:$B$39</definedName>
    <definedName name="Acc1C_Summary" comment="25.8.13 Acc1C_Summary --пятка списка Организаций 1С">Header!$A$42:$I$43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Header!$B$17:$AA$22</definedName>
    <definedName name="HDR_1C_Contract_Summary" comment="11.9.12 HDR_1C_Contract_Summary">Header!$A$26:$W$31</definedName>
    <definedName name="HDR_1C_Payment_MyCol" comment="11.9.12 HDR_1C_Payment_MyCol">Header!$B$5:$AL$10</definedName>
    <definedName name="HDR_1C_Payment_Summary" comment="11.9.12 HDR_1C_Payment_Summary">Header!$A$13:$AC$13</definedName>
    <definedName name="HDR_A_SN_1" comment="11.8.13 шаблон для Registered SN из ADSKfrSF">Header!$B$195:$C$200</definedName>
    <definedName name="HDR_A_SN_2" comment="Sheet_для_загрузки_output.csv_с_SN_из_License_Inquiry_PartnerCenter.Autodesk">Header!$B$203:$R$209</definedName>
    <definedName name="HDR_A_SN_3" comment="16.08.13 HDR_A_SN_3 - Sheet для Upsert данных по SN Autodesk в SF -- SN_UPDATE">Header!$B$211:$R$217</definedName>
    <definedName name="HDR_AccntUpd" comment="18.6.12 HDR_AccntUpd шапка изменений Организаций SF, включая связь с 1С">Header!$A$165:$N$165</definedName>
    <definedName name="HDR_AdAcc" comment="11.6.12 - Шапка полей новой Организации">Header!$A$162:$V$162</definedName>
    <definedName name="HDR_BTOlog" comment="7.4.13 HDR_BTOlog шапка для журнала писем БТО">Header!$B$187:$N$192</definedName>
    <definedName name="HDR_ContractUpdate">Header!$A$156:$B$156</definedName>
    <definedName name="HDR_ContrLnk" comment="18.3.12 шапка для листа C_ContrLnk - связка Договора с Проектом">Header!$A$156:$B$156</definedName>
    <definedName name="HDR_DicAcc" comment="19.6.12 HDR_AccDic - шапка Словаря Организаций">Header!$A$168:$C$169</definedName>
    <definedName name="HDR_NewContract" comment="25.3.12 HDR_NewContract - шапка &quot;голубого&quot; листа в NewContract">Header!$B$132:$V$136</definedName>
    <definedName name="HDR_NewOpp" comment="28.10.12 HDR_NewOpp - создание Проектов SF. Они записываются в файл OppInsert.csv и загружаются в SF Data Loader'ом">Header!$C$140:$N$145</definedName>
    <definedName name="HDR_NewOppByPaidContr">Header!$C$148:$N$153</definedName>
    <definedName name="HDR_NewOrder" comment="25.4.12 HDR_NewOrder - шапка для новых Заказов">Header!$B$172:$N$177</definedName>
    <definedName name="HDR_NewPayment" comment="26.9.12  занесение Платежей в SF. Они записываются в файл Payment.csv и загружаются в SF Data Loader'ом">Header!$B$116:$J$121</definedName>
    <definedName name="HDR_NewSN" comment="6.6.12 шапки для занесения новыз SN в SF -- 2PASS">Header!$A$184:$C$184</definedName>
    <definedName name="HDR_P_ADSKlink" comment="14/5/12 новые связи Платежей и Контрактов ADSK">Header!$A$181:$C$181</definedName>
    <definedName name="HDR_PaidBalky" comment="23/1/2003">Header!$B$124:$J$129</definedName>
    <definedName name="HDR_PaymentUpd" comment="11.3.12 Update Платежа - связывание существующего Платежа с Договором">Header!$A$159:$B$159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Header!$C$140:$L$140</definedName>
    <definedName name="OppTypeRng" comment="22.3.12">We!$A$52:$D$65</definedName>
    <definedName name="Orders_MyCol" comment="1.10.12 Orders_MyCol  - шаблон для колонок листа Заказов">Header!$B$80:$AK$85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Header!$C$49:$D$54</definedName>
    <definedName name="SF_Summary" comment="14.7.12 SF_Summary SFDC.xlsm SF  -- пятка. Фильтрует обороты CSIT">Header!$A$57:$F$58</definedName>
    <definedName name="SFD_MyCol" comment="4.11.12 SFD_MyCol SFDC.xlsm SFD формулы -- для связки с Договорами 1С">Header!$C$62:$D$67</definedName>
    <definedName name="SFD_Summary" comment="14.7.12 SF_Summary SFDC.xlsm SFD  -- пятка">Header!$A$71</definedName>
    <definedName name="Stock_MyCol" comment="1.10.12 Stock_MyCol  - шаблон для колонок листа Stock">Header!$C$96:$Y$101</definedName>
    <definedName name="Team">We!$A$16:$E$43</definedName>
    <definedName name="TOCmatch" comment="11.7.12 TOCmatch - Оглавление по всем отчетам в базе данных" localSheetId="1">Process!$A$128:$L$131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3" i="6" l="1"/>
  <c r="F43" i="6" l="1"/>
  <c r="K45" i="3" l="1"/>
  <c r="K44" i="3"/>
  <c r="K43" i="3"/>
  <c r="K42" i="3" l="1"/>
  <c r="C31" i="3" l="1"/>
  <c r="C30" i="3" l="1"/>
  <c r="S31" i="3"/>
  <c r="L31" i="3" l="1"/>
  <c r="K30" i="3"/>
  <c r="K28" i="3"/>
  <c r="N26" i="3"/>
  <c r="N25" i="3"/>
  <c r="N19" i="3"/>
  <c r="L18" i="3"/>
  <c r="M16" i="3"/>
  <c r="L16" i="3"/>
  <c r="N11" i="3"/>
  <c r="N8" i="3"/>
  <c r="M8" i="3"/>
  <c r="L8" i="3"/>
  <c r="K14" i="3"/>
  <c r="K17" i="3" s="1"/>
  <c r="K6" i="3"/>
  <c r="K34" i="3" l="1"/>
  <c r="L30" i="3"/>
  <c r="K18" i="3"/>
  <c r="K29" i="3"/>
  <c r="K33" i="3"/>
  <c r="K31" i="3"/>
  <c r="K15" i="3"/>
  <c r="K32" i="3"/>
  <c r="Y13" i="6"/>
  <c r="R13" i="6"/>
  <c r="AA13" i="6" s="1"/>
  <c r="C20" i="3" l="1"/>
  <c r="C12" i="3" l="1"/>
  <c r="K12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197" i="6"/>
  <c r="C1197" i="6"/>
  <c r="J1196" i="6"/>
  <c r="C1196" i="6"/>
  <c r="J1195" i="6"/>
  <c r="C1195" i="6"/>
  <c r="J1194" i="6"/>
  <c r="C1194" i="6"/>
  <c r="V1193" i="6"/>
  <c r="U1193" i="6"/>
  <c r="C119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F253" i="6"/>
  <c r="E253" i="6"/>
  <c r="D253" i="6"/>
  <c r="C253" i="6"/>
  <c r="AT252" i="6"/>
  <c r="AG252" i="6"/>
  <c r="T252" i="6"/>
  <c r="G252" i="6"/>
  <c r="AU252" i="6" s="1"/>
  <c r="AT251" i="6"/>
  <c r="AG251" i="6"/>
  <c r="T251" i="6"/>
  <c r="G251" i="6"/>
  <c r="AT250" i="6"/>
  <c r="AG250" i="6"/>
  <c r="T250" i="6"/>
  <c r="G250" i="6"/>
  <c r="AU250" i="6" s="1"/>
  <c r="AT249" i="6"/>
  <c r="AG249" i="6"/>
  <c r="T249" i="6"/>
  <c r="G249" i="6"/>
  <c r="AT248" i="6"/>
  <c r="AG248" i="6"/>
  <c r="T248" i="6"/>
  <c r="G248" i="6"/>
  <c r="AU248" i="6" s="1"/>
  <c r="AT247" i="6"/>
  <c r="AG247" i="6"/>
  <c r="T247" i="6"/>
  <c r="G247" i="6"/>
  <c r="AT246" i="6"/>
  <c r="AG246" i="6"/>
  <c r="T246" i="6"/>
  <c r="G246" i="6"/>
  <c r="AU246" i="6" s="1"/>
  <c r="AT245" i="6"/>
  <c r="AG245" i="6"/>
  <c r="T245" i="6"/>
  <c r="G245" i="6"/>
  <c r="AT244" i="6"/>
  <c r="AG244" i="6"/>
  <c r="T244" i="6"/>
  <c r="G244" i="6"/>
  <c r="AU244" i="6" s="1"/>
  <c r="AT243" i="6"/>
  <c r="AG243" i="6"/>
  <c r="T243" i="6"/>
  <c r="G243" i="6"/>
  <c r="AT242" i="6"/>
  <c r="AG242" i="6"/>
  <c r="T242" i="6"/>
  <c r="G242" i="6"/>
  <c r="AU242" i="6" s="1"/>
  <c r="AT241" i="6"/>
  <c r="AG241" i="6"/>
  <c r="T241" i="6"/>
  <c r="G241" i="6"/>
  <c r="AT240" i="6"/>
  <c r="AG240" i="6"/>
  <c r="T240" i="6"/>
  <c r="G240" i="6"/>
  <c r="AU240" i="6" s="1"/>
  <c r="AT239" i="6"/>
  <c r="AG239" i="6"/>
  <c r="T239" i="6"/>
  <c r="G239" i="6"/>
  <c r="AU239" i="6" s="1"/>
  <c r="AT238" i="6"/>
  <c r="AG238" i="6"/>
  <c r="T238" i="6"/>
  <c r="G238" i="6"/>
  <c r="AU238" i="6" s="1"/>
  <c r="AT237" i="6"/>
  <c r="AG237" i="6"/>
  <c r="T237" i="6"/>
  <c r="G237" i="6"/>
  <c r="AU237" i="6" s="1"/>
  <c r="AT236" i="6"/>
  <c r="AG236" i="6"/>
  <c r="T236" i="6"/>
  <c r="G236" i="6"/>
  <c r="AU236" i="6" s="1"/>
  <c r="AT235" i="6"/>
  <c r="AG235" i="6"/>
  <c r="T235" i="6"/>
  <c r="G235" i="6"/>
  <c r="AT234" i="6"/>
  <c r="AG234" i="6"/>
  <c r="T234" i="6"/>
  <c r="G234" i="6"/>
  <c r="AU234" i="6" s="1"/>
  <c r="AT233" i="6"/>
  <c r="AG233" i="6"/>
  <c r="T233" i="6"/>
  <c r="G233" i="6"/>
  <c r="AT232" i="6"/>
  <c r="AG232" i="6"/>
  <c r="T232" i="6"/>
  <c r="G232" i="6"/>
  <c r="AT231" i="6"/>
  <c r="AG231" i="6"/>
  <c r="T231" i="6"/>
  <c r="G231" i="6"/>
  <c r="AT230" i="6"/>
  <c r="AG230" i="6"/>
  <c r="T230" i="6"/>
  <c r="G230" i="6"/>
  <c r="AT229" i="6"/>
  <c r="AG229" i="6"/>
  <c r="T229" i="6"/>
  <c r="G229" i="6"/>
  <c r="AT228" i="6"/>
  <c r="AG228" i="6"/>
  <c r="T228" i="6"/>
  <c r="G228" i="6"/>
  <c r="AT227" i="6"/>
  <c r="AG227" i="6"/>
  <c r="T227" i="6"/>
  <c r="G227" i="6"/>
  <c r="AT226" i="6"/>
  <c r="AG226" i="6"/>
  <c r="T226" i="6"/>
  <c r="G226" i="6"/>
  <c r="AT225" i="6"/>
  <c r="AG225" i="6"/>
  <c r="T225" i="6"/>
  <c r="G225" i="6"/>
  <c r="AT224" i="6"/>
  <c r="AG224" i="6"/>
  <c r="T224" i="6"/>
  <c r="G224" i="6"/>
  <c r="AT223" i="6"/>
  <c r="AG223" i="6"/>
  <c r="T223" i="6"/>
  <c r="G223" i="6"/>
  <c r="AT222" i="6"/>
  <c r="AG222" i="6"/>
  <c r="T222" i="6"/>
  <c r="G222" i="6"/>
  <c r="AT221" i="6"/>
  <c r="AG221" i="6"/>
  <c r="T221" i="6"/>
  <c r="G221" i="6"/>
  <c r="AT220" i="6"/>
  <c r="AG220" i="6"/>
  <c r="T220" i="6"/>
  <c r="G220" i="6"/>
  <c r="L188" i="6"/>
  <c r="G180" i="6"/>
  <c r="C180" i="6"/>
  <c r="I107" i="6"/>
  <c r="F89" i="6"/>
  <c r="F81" i="6"/>
  <c r="I77" i="6"/>
  <c r="F64" i="6"/>
  <c r="F67" i="6" s="1"/>
  <c r="D63" i="6"/>
  <c r="C63" i="6"/>
  <c r="F58" i="6"/>
  <c r="A58" i="6" s="1"/>
  <c r="F57" i="6"/>
  <c r="D50" i="6"/>
  <c r="J30" i="6"/>
  <c r="C30" i="6"/>
  <c r="J29" i="6"/>
  <c r="C29" i="6"/>
  <c r="J28" i="6"/>
  <c r="C28" i="6"/>
  <c r="J27" i="6"/>
  <c r="C27" i="6"/>
  <c r="V26" i="6"/>
  <c r="U26" i="6"/>
  <c r="T26" i="6"/>
  <c r="J1193" i="6" s="1"/>
  <c r="J26" i="6"/>
  <c r="C26" i="6"/>
  <c r="I18" i="6"/>
  <c r="G18" i="6"/>
  <c r="F18" i="6"/>
  <c r="AB13" i="6"/>
  <c r="AC13" i="6" s="1"/>
  <c r="F6" i="6"/>
  <c r="C6" i="6"/>
  <c r="M62" i="4"/>
  <c r="M63" i="4" s="1"/>
  <c r="M58" i="4"/>
  <c r="M59" i="4" s="1"/>
  <c r="P57" i="4"/>
  <c r="P61" i="4" s="1"/>
  <c r="M56" i="4"/>
  <c r="C140" i="3"/>
  <c r="F122" i="3"/>
  <c r="K122" i="3" s="1"/>
  <c r="C122" i="3"/>
  <c r="C121" i="3"/>
  <c r="C119" i="3"/>
  <c r="K118" i="3"/>
  <c r="K121" i="3"/>
  <c r="K115" i="3"/>
  <c r="C115" i="3"/>
  <c r="K114" i="3"/>
  <c r="C114" i="3"/>
  <c r="C113" i="3"/>
  <c r="K112" i="3"/>
  <c r="K111" i="3"/>
  <c r="F110" i="3"/>
  <c r="C110" i="3"/>
  <c r="F109" i="3"/>
  <c r="F108" i="3"/>
  <c r="C108" i="3"/>
  <c r="H107" i="3"/>
  <c r="G107" i="3"/>
  <c r="F107" i="3"/>
  <c r="K106" i="3"/>
  <c r="K113" i="3" s="1"/>
  <c r="F104" i="3"/>
  <c r="K104" i="3" s="1"/>
  <c r="C104" i="3"/>
  <c r="C102" i="3"/>
  <c r="L101" i="3"/>
  <c r="K102" i="3" s="1"/>
  <c r="K101" i="3"/>
  <c r="G101" i="3"/>
  <c r="C98" i="3"/>
  <c r="F98" i="3"/>
  <c r="K98" i="3" s="1"/>
  <c r="C94" i="3"/>
  <c r="K94" i="3"/>
  <c r="C87" i="3"/>
  <c r="F87" i="3"/>
  <c r="H86" i="3" s="1"/>
  <c r="C86" i="3"/>
  <c r="C83" i="3"/>
  <c r="F83" i="3"/>
  <c r="K83" i="3" s="1"/>
  <c r="C82" i="3"/>
  <c r="K82" i="3"/>
  <c r="F79" i="3"/>
  <c r="K79" i="3" s="1"/>
  <c r="C79" i="3"/>
  <c r="C78" i="3"/>
  <c r="F75" i="3"/>
  <c r="K75" i="3" s="1"/>
  <c r="C75" i="3"/>
  <c r="C74" i="3"/>
  <c r="K74" i="3"/>
  <c r="K71" i="3"/>
  <c r="C71" i="3"/>
  <c r="H70" i="3"/>
  <c r="C70" i="3"/>
  <c r="K70" i="3"/>
  <c r="G70" i="3" s="1"/>
  <c r="C67" i="3"/>
  <c r="C66" i="3"/>
  <c r="K65" i="3"/>
  <c r="K66" i="3"/>
  <c r="L56" i="3"/>
  <c r="F56" i="3"/>
  <c r="C56" i="3"/>
  <c r="C54" i="3"/>
  <c r="K140" i="3"/>
  <c r="C50" i="3"/>
  <c r="C49" i="3"/>
  <c r="K49" i="3"/>
  <c r="F45" i="3"/>
  <c r="F44" i="3"/>
  <c r="F43" i="3"/>
  <c r="F39" i="3"/>
  <c r="C39" i="3"/>
  <c r="C38" i="3"/>
  <c r="C37" i="3"/>
  <c r="F30" i="3"/>
  <c r="C26" i="3"/>
  <c r="C25" i="3"/>
  <c r="C24" i="3"/>
  <c r="K24" i="3"/>
  <c r="C19" i="3"/>
  <c r="C18" i="3"/>
  <c r="C17" i="3"/>
  <c r="C16" i="3"/>
  <c r="K11" i="3"/>
  <c r="C11" i="3"/>
  <c r="K10" i="3"/>
  <c r="C10" i="3"/>
  <c r="K9" i="3"/>
  <c r="C9" i="3"/>
  <c r="K8" i="3"/>
  <c r="C8" i="3"/>
  <c r="K7" i="3"/>
  <c r="I41" i="2"/>
  <c r="I29" i="2"/>
  <c r="I23" i="2"/>
  <c r="H22" i="2"/>
  <c r="H21" i="2"/>
  <c r="H20" i="2"/>
  <c r="H19" i="2"/>
  <c r="H18" i="2"/>
  <c r="H17" i="2"/>
  <c r="H16" i="2"/>
  <c r="H15" i="2"/>
  <c r="H14" i="2"/>
  <c r="AU226" i="6" l="1"/>
  <c r="AU235" i="6"/>
  <c r="AU251" i="6"/>
  <c r="AU222" i="6"/>
  <c r="AU224" i="6"/>
  <c r="AU221" i="6"/>
  <c r="AU223" i="6"/>
  <c r="AU225" i="6"/>
  <c r="AU228" i="6"/>
  <c r="C1198" i="6"/>
  <c r="D1197" i="6" s="1"/>
  <c r="T253" i="6"/>
  <c r="AU227" i="6"/>
  <c r="AU229" i="6"/>
  <c r="AU231" i="6"/>
  <c r="AU233" i="6"/>
  <c r="G253" i="6"/>
  <c r="AT253" i="6"/>
  <c r="AU241" i="6"/>
  <c r="AG253" i="6"/>
  <c r="AU230" i="6"/>
  <c r="AU232" i="6"/>
  <c r="AU243" i="6"/>
  <c r="AU245" i="6"/>
  <c r="AU247" i="6"/>
  <c r="AU249" i="6"/>
  <c r="AU220" i="6"/>
  <c r="K77" i="3"/>
  <c r="K78" i="3" s="1"/>
  <c r="K20" i="3"/>
  <c r="K19" i="3"/>
  <c r="K56" i="3"/>
  <c r="K16" i="3"/>
  <c r="J1198" i="6"/>
  <c r="L1194" i="6" s="1"/>
  <c r="D1193" i="6"/>
  <c r="C31" i="6"/>
  <c r="D26" i="6" s="1"/>
  <c r="J31" i="6"/>
  <c r="L26" i="6" s="1"/>
  <c r="K25" i="3"/>
  <c r="K48" i="3"/>
  <c r="K50" i="3" s="1"/>
  <c r="K53" i="3"/>
  <c r="K23" i="3"/>
  <c r="K54" i="3"/>
  <c r="K26" i="3"/>
  <c r="K87" i="3"/>
  <c r="AU253" i="6" l="1"/>
  <c r="D1194" i="6"/>
  <c r="D1196" i="6"/>
  <c r="D1195" i="6"/>
  <c r="L1193" i="6"/>
  <c r="L1196" i="6"/>
  <c r="L1197" i="6"/>
  <c r="L1195" i="6"/>
  <c r="L27" i="6"/>
  <c r="L29" i="6"/>
  <c r="L30" i="6"/>
  <c r="L28" i="6"/>
  <c r="D28" i="6"/>
  <c r="D30" i="6"/>
  <c r="D29" i="6"/>
  <c r="D27" i="6"/>
  <c r="F42" i="6" s="1"/>
  <c r="A57" i="6" s="1"/>
  <c r="A71" i="6" s="1"/>
  <c r="H43" i="6" l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<sst xmlns="http://schemas.openxmlformats.org/spreadsheetml/2006/main" count="2969" uniqueCount="1291">
  <si>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</si>
  <si>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</si>
  <si>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</si>
  <si>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</si>
  <si>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</si>
  <si>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</si>
  <si>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</si>
  <si>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</si>
  <si>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</si>
  <si>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</si>
  <si>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</si>
  <si>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</si>
  <si>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</si>
  <si>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</si>
  <si>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</si>
  <si>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</si>
  <si>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</si>
  <si>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</si>
  <si>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</si>
  <si>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</si>
  <si>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</si>
  <si>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</si>
  <si>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</si>
  <si>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</si>
  <si>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</si>
  <si>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</si>
  <si>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</si>
  <si>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</si>
  <si>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</si>
  <si>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</si>
  <si>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</si>
  <si>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</si>
  <si>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</si>
  <si>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</si>
  <si>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</si>
  <si>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</si>
  <si>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</si>
  <si>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</si>
  <si>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</si>
  <si>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</si>
  <si>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</si>
  <si>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</si>
  <si>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</si>
  <si>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</si>
  <si>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</si>
  <si>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</si>
  <si>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</si>
  <si>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</si>
  <si>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</si>
  <si>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</si>
  <si>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</si>
  <si>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</si>
  <si>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</si>
  <si>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</si>
  <si>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</si>
  <si>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</si>
  <si>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</si>
  <si>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</si>
  <si>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</si>
  <si>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</si>
  <si>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</si>
  <si>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</si>
  <si>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</si>
  <si>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</si>
  <si>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</si>
  <si>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</si>
  <si>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</si>
  <si>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</si>
  <si>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</si>
  <si>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</si>
  <si>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</si>
  <si>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</si>
  <si>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</si>
  <si>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</si>
  <si>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</si>
  <si>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</si>
  <si>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</si>
  <si>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</si>
  <si>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</si>
  <si>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</si>
  <si>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</si>
  <si>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</si>
  <si>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</si>
  <si>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</si>
  <si>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</si>
  <si>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</si>
  <si>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</si>
  <si>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</si>
  <si>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</si>
  <si>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</si>
  <si>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</si>
  <si>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</si>
  <si>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</si>
  <si>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</si>
  <si>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</si>
  <si>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</si>
  <si>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</si>
  <si>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</si>
  <si>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</si>
  <si>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</si>
  <si>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</si>
  <si>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</si>
  <si>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</si>
  <si>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</si>
  <si>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</si>
  <si>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</si>
  <si>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</si>
  <si>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</si>
  <si>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</si>
  <si>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</si>
  <si>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</si>
  <si>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</si>
  <si>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</si>
  <si>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</si>
  <si>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</si>
  <si>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</si>
  <si>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</si>
  <si>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</si>
  <si>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</si>
  <si>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</si>
  <si>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</si>
  <si>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</si>
  <si>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</si>
  <si>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</si>
  <si>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</si>
  <si>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</si>
  <si>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</si>
  <si>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</si>
  <si>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</si>
  <si>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</si>
  <si>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</si>
  <si>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</si>
  <si>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</si>
  <si>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</si>
  <si>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</si>
  <si>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</si>
  <si>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</si>
  <si>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</si>
  <si>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</si>
  <si>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</si>
  <si>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</si>
  <si>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</si>
  <si>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</si>
  <si>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</si>
  <si>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</si>
  <si>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</si>
  <si>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</si>
  <si>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</si>
  <si>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</si>
  <si>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</si>
  <si>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</si>
  <si>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</si>
  <si>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</si>
  <si>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</si>
  <si>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</si>
  <si>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</si>
  <si>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</si>
  <si>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</si>
  <si>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</si>
  <si>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</si>
  <si>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</si>
  <si>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</si>
  <si>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</si>
  <si>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</si>
  <si>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</si>
  <si>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</si>
  <si>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</si>
  <si>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</si>
  <si>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</si>
  <si>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</si>
  <si>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</si>
  <si>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</si>
  <si>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</si>
  <si>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</si>
  <si>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</si>
  <si>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</si>
  <si>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</si>
  <si>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</si>
  <si>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</si>
  <si>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</si>
  <si>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</si>
  <si>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</si>
  <si>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</si>
  <si>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</si>
  <si>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</si>
  <si>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</si>
  <si>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</si>
  <si>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</si>
  <si>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</si>
  <si>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</si>
  <si>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</si>
  <si>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</si>
  <si>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</si>
  <si>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</si>
  <si>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</si>
  <si>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</si>
  <si>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</si>
  <si>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PaidHandling</t>
  </si>
  <si>
    <t>LOAD_1C_P/PaymentPaint</t>
  </si>
  <si>
    <t>PaymentPaid</t>
  </si>
  <si>
    <t>P_Paid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</si>
  <si>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</si>
  <si>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</si>
  <si>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</si>
  <si>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</si>
  <si>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</si>
  <si>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</si>
  <si>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</si>
  <si>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</si>
  <si>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</si>
  <si>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</si>
  <si>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</si>
  <si>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</si>
  <si>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</si>
  <si>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</si>
  <si>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</si>
  <si>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</si>
  <si>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</si>
  <si>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</si>
  <si>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</si>
  <si>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</si>
  <si>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</si>
  <si>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</si>
  <si>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</si>
  <si>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</si>
  <si>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</si>
  <si>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</si>
  <si>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</si>
  <si>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</si>
  <si>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</si>
  <si>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</si>
  <si>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</si>
  <si>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</si>
  <si>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</si>
  <si>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</si>
  <si>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</si>
  <si>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</si>
  <si>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</si>
  <si>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</si>
  <si>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</si>
  <si>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</si>
  <si>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</si>
  <si>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</si>
  <si>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</si>
  <si>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</si>
  <si>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</si>
  <si>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</si>
  <si>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</si>
  <si>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</si>
  <si>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</si>
  <si>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</si>
  <si>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</si>
  <si>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</si>
  <si>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</si>
  <si>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</si>
  <si>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</si>
  <si>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</si>
  <si>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</si>
  <si>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</si>
  <si>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</si>
  <si>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</si>
  <si>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</si>
  <si>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</si>
  <si>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</si>
  <si>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</si>
  <si>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</si>
  <si>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</si>
  <si>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</si>
  <si>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</si>
  <si>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</si>
  <si>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</si>
  <si>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</si>
  <si>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</si>
  <si>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</si>
  <si>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</si>
  <si>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</si>
  <si>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</si>
  <si>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</si>
  <si>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</si>
  <si>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</si>
  <si>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</si>
  <si>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</si>
  <si>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</si>
  <si>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</si>
  <si>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</si>
  <si>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</si>
  <si>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</si>
  <si>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</si>
  <si>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</si>
  <si>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</si>
  <si>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</si>
  <si>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</si>
  <si>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</si>
  <si>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</si>
  <si>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</si>
  <si>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</si>
  <si>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</si>
  <si>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</si>
  <si>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</si>
  <si>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</si>
  <si>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</si>
  <si>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</si>
  <si>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</si>
  <si>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</si>
  <si>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</si>
  <si>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</si>
  <si>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</si>
  <si>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</si>
  <si>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</si>
  <si>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</si>
  <si>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</si>
  <si>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</si>
  <si>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</si>
  <si>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</si>
  <si>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</si>
  <si>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</si>
  <si>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</si>
  <si>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</si>
  <si>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</si>
  <si>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</si>
  <si>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</si>
  <si>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</si>
  <si>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</si>
  <si>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</si>
  <si>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</si>
  <si>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</si>
  <si>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</si>
  <si>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</si>
  <si>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</si>
  <si>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</si>
  <si>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</si>
  <si>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</si>
  <si>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</si>
  <si>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</si>
  <si>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</si>
  <si>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</si>
  <si>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</si>
  <si>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</si>
  <si>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</si>
  <si>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</si>
  <si>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</si>
  <si>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</si>
  <si>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</si>
  <si>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</si>
  <si>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</si>
  <si>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</si>
  <si>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</si>
  <si>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</si>
  <si>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</si>
  <si>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</si>
  <si>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</si>
  <si>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</si>
  <si>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</si>
  <si>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</si>
  <si>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</si>
  <si>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</si>
  <si>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</si>
  <si>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</si>
  <si>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</si>
  <si>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</si>
  <si>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</si>
  <si>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</si>
  <si>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</si>
  <si>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</si>
  <si>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</si>
  <si>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</si>
  <si>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</si>
  <si>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</si>
  <si>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</si>
  <si>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</si>
  <si>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</si>
  <si>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</si>
  <si>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</si>
  <si>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</si>
  <si>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</si>
  <si>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</si>
  <si>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</si>
  <si>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</si>
  <si>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</si>
  <si>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</si>
  <si>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</si>
  <si>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</si>
  <si>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</si>
  <si>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</si>
  <si>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</si>
  <si>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</si>
  <si>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</si>
  <si>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</si>
  <si>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</si>
  <si>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</si>
  <si>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</si>
  <si>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</si>
  <si>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</si>
  <si>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</si>
  <si>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</si>
  <si>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</si>
  <si>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</si>
  <si>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</si>
  <si>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</si>
  <si>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</si>
  <si>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</si>
  <si>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</si>
  <si>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</si>
  <si>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</si>
  <si>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</si>
  <si>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</si>
  <si>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</si>
  <si>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</si>
  <si>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</si>
  <si>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</si>
  <si>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</si>
  <si>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</si>
  <si>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</si>
  <si>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</si>
  <si>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</si>
  <si>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</si>
  <si>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</si>
  <si>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</si>
  <si>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</si>
  <si>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</si>
  <si>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</si>
  <si>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</si>
  <si>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</si>
  <si>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</si>
  <si>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</si>
  <si>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</si>
  <si>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</si>
  <si>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</si>
  <si>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</si>
  <si>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</si>
  <si>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</si>
  <si>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</si>
  <si>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</si>
  <si>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</si>
  <si>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</si>
  <si>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</si>
  <si>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</si>
  <si>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</si>
  <si>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</si>
  <si>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</si>
  <si>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</si>
  <si>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</si>
  <si>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</si>
  <si>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</si>
  <si>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</si>
  <si>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</si>
  <si>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</si>
  <si>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</si>
  <si>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</si>
  <si>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</si>
  <si>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</si>
  <si>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</si>
  <si>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</si>
  <si>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</si>
  <si>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</si>
  <si>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</si>
  <si>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</si>
  <si>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</si>
  <si>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</si>
  <si>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</si>
  <si>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</si>
  <si>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</si>
  <si>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</si>
  <si>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</si>
  <si>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</si>
  <si>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</si>
  <si>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</si>
  <si>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</si>
  <si>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</si>
  <si>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</si>
  <si>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</si>
  <si>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</si>
  <si>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</si>
  <si>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</si>
  <si>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</si>
  <si>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</si>
  <si>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</si>
  <si>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</si>
  <si>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</si>
  <si>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</si>
  <si>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</si>
  <si>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</si>
  <si>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</si>
  <si>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</si>
  <si>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</si>
  <si>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</si>
  <si>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</si>
  <si>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</si>
  <si>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</si>
  <si>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</si>
  <si>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</si>
  <si>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</si>
  <si>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</si>
  <si>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</si>
  <si>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</si>
  <si>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</si>
  <si>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</si>
  <si>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</si>
  <si>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</si>
  <si>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</si>
  <si>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</si>
  <si>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</si>
  <si>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</si>
  <si>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</si>
  <si>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</si>
  <si>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</si>
  <si>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</si>
  <si>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</si>
  <si>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</si>
  <si>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</si>
  <si>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</si>
  <si>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</si>
  <si>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</si>
  <si>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</si>
  <si>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</si>
  <si>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</si>
  <si>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</si>
  <si>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</si>
  <si>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</si>
  <si>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</si>
  <si>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</si>
  <si>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</si>
  <si>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</si>
  <si>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</si>
  <si>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</si>
  <si>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</si>
  <si>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</si>
  <si>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</si>
  <si>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</si>
  <si>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</si>
  <si>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</si>
  <si>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</si>
  <si>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</si>
  <si>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</si>
  <si>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</si>
  <si>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</si>
  <si>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</si>
  <si>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</si>
  <si>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</si>
  <si>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</si>
  <si>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</si>
  <si>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</si>
  <si>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</si>
  <si>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</si>
  <si>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</si>
  <si>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</si>
  <si>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</si>
  <si>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</si>
  <si>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</si>
  <si>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</si>
  <si>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</si>
  <si>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</si>
  <si>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</si>
  <si>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</si>
  <si>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</si>
  <si>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</si>
  <si>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</si>
  <si>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</si>
  <si>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</si>
  <si>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</si>
  <si>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</si>
  <si>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</si>
  <si>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</si>
  <si>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</si>
  <si>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</si>
  <si>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</si>
  <si>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</si>
  <si>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</si>
  <si>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</si>
  <si>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</si>
  <si>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</si>
  <si>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</si>
  <si>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</si>
  <si>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</si>
  <si>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</si>
  <si>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</si>
  <si>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</si>
  <si>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</si>
  <si>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</si>
  <si>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</si>
  <si>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</si>
  <si>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</si>
  <si>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</si>
  <si>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</si>
  <si>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</si>
  <si>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</si>
  <si>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</si>
  <si>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</si>
  <si>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</si>
  <si>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</si>
  <si>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</si>
  <si>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</si>
  <si>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</si>
  <si>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</si>
  <si>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</si>
  <si>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</si>
  <si>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</si>
  <si>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</si>
  <si>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</si>
  <si>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</si>
  <si>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</si>
  <si>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</si>
  <si>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</si>
  <si>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</si>
  <si>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</si>
  <si>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</si>
  <si>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</si>
  <si>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</si>
  <si>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</si>
  <si>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</si>
  <si>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</si>
  <si>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</si>
  <si>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</si>
  <si>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</si>
  <si>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</si>
  <si>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</si>
  <si>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</si>
  <si>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</si>
  <si>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</si>
  <si>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</si>
  <si>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</si>
  <si>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</si>
  <si>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</si>
  <si>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</si>
  <si>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</si>
  <si>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</si>
  <si>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</si>
  <si>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</si>
  <si>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</si>
  <si>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</si>
  <si>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</si>
  <si>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</si>
  <si>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</si>
  <si>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</si>
  <si>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</si>
  <si>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</si>
  <si>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</si>
  <si>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</si>
  <si>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</si>
  <si>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</si>
  <si>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</si>
  <si>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</si>
  <si>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</si>
  <si>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</si>
  <si>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</si>
  <si>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</si>
  <si>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</si>
  <si>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</si>
  <si>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</si>
  <si>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</si>
  <si>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</si>
  <si>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</si>
  <si>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</si>
  <si>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</si>
  <si>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</si>
  <si>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</si>
  <si>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</si>
  <si>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</si>
  <si>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</si>
  <si>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</si>
  <si>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</si>
  <si>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</si>
  <si>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</si>
  <si>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</si>
  <si>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</si>
  <si>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</si>
  <si>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</si>
  <si>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</si>
  <si>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</si>
  <si>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</si>
  <si>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</si>
  <si>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</si>
  <si>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</si>
  <si>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</si>
  <si>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</si>
  <si>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</si>
  <si>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</si>
  <si>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</si>
  <si>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</si>
  <si>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</si>
  <si>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</si>
  <si>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</si>
  <si>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</si>
  <si>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</si>
  <si>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</si>
  <si>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</si>
  <si>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</si>
  <si>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</si>
  <si>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</si>
  <si>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</si>
  <si>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</si>
  <si>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</si>
  <si>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</si>
  <si>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</si>
  <si>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</si>
  <si>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</si>
  <si>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</si>
  <si>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</si>
  <si>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</si>
  <si>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</si>
  <si>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</si>
  <si>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</si>
  <si>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</si>
  <si>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</si>
  <si>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</si>
  <si>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</si>
  <si>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</si>
  <si>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</si>
  <si>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</si>
  <si>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</si>
  <si>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</si>
  <si>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</si>
  <si>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</si>
  <si>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</si>
  <si>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</si>
  <si>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</si>
  <si>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</si>
  <si>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</si>
  <si>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</si>
  <si>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</si>
  <si>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</si>
  <si>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</si>
  <si>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</si>
  <si>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</si>
  <si>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</si>
  <si>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</si>
  <si>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</si>
  <si>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</si>
  <si>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</si>
  <si>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</si>
  <si>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</si>
  <si>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</si>
  <si>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</si>
  <si>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</si>
  <si>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</si>
  <si>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</si>
  <si>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</si>
  <si>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</si>
  <si>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</si>
  <si>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</si>
  <si>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</si>
  <si>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</si>
  <si>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</si>
  <si>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</si>
  <si>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</si>
  <si>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</si>
  <si>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</si>
  <si>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</si>
  <si>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</si>
  <si>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</si>
  <si>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</si>
  <si>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</si>
  <si>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</si>
  <si>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</si>
  <si>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</si>
  <si>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</si>
  <si>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</si>
  <si>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</si>
  <si>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</si>
  <si>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</si>
  <si>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</si>
  <si>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</si>
  <si>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</si>
  <si>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</si>
  <si>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</si>
  <si>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</si>
  <si>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</si>
  <si>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</si>
  <si>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</si>
  <si>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</si>
  <si>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</si>
  <si>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</si>
  <si>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</si>
  <si>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</si>
  <si>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</si>
  <si>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</si>
  <si>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</si>
  <si>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</si>
  <si>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</si>
  <si>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</si>
  <si>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</si>
  <si>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</si>
  <si>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</si>
  <si>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</si>
  <si>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</si>
  <si>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</si>
  <si>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</si>
  <si>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</si>
  <si>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</si>
  <si>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</si>
  <si>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</si>
  <si>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</si>
  <si>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</si>
  <si>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</si>
  <si>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</si>
  <si>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</si>
  <si>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</si>
  <si>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</si>
  <si>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</si>
  <si>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</si>
  <si>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</si>
  <si>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</si>
  <si>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</si>
  <si>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</si>
  <si>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</si>
  <si>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</si>
  <si>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</si>
  <si>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</si>
  <si>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</si>
  <si>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</si>
  <si>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</si>
  <si>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</si>
  <si>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</si>
  <si>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</si>
  <si>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</si>
  <si>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</si>
  <si>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</si>
  <si>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</si>
  <si>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</si>
  <si>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</si>
  <si>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</si>
  <si>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</si>
  <si>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</si>
  <si>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</si>
  <si>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</si>
  <si>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</si>
  <si>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</si>
  <si>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</si>
  <si>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</si>
  <si>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</si>
  <si>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</si>
  <si>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</si>
  <si>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</si>
  <si>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</si>
  <si>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</si>
  <si>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</si>
  <si>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</si>
  <si>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</si>
  <si>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</si>
  <si>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</si>
  <si>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</si>
  <si>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</si>
  <si>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</si>
  <si>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</si>
  <si>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</si>
  <si>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</si>
  <si>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</si>
  <si>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</si>
  <si>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</si>
  <si>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</si>
  <si>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</si>
  <si>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</si>
  <si>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</si>
  <si>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</si>
  <si>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</si>
  <si>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</si>
  <si>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</si>
  <si>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</si>
  <si>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</si>
  <si>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</si>
  <si>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</si>
  <si>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</si>
  <si>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</si>
  <si>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</si>
  <si>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</si>
  <si>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</si>
  <si>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</si>
  <si>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</si>
  <si>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</si>
  <si>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</si>
  <si>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</si>
  <si>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</si>
  <si>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</si>
  <si>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</si>
  <si>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</si>
  <si>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</si>
  <si>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</si>
  <si>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</si>
  <si>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</si>
  <si>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</si>
  <si>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</si>
  <si>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</si>
  <si>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</si>
  <si>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</si>
  <si>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</si>
  <si>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</si>
  <si>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</si>
  <si>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</si>
  <si>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</si>
  <si>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</si>
  <si>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</si>
  <si>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</si>
  <si>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</si>
  <si>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</si>
  <si>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</si>
  <si>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</si>
  <si>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</si>
  <si>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</si>
  <si>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</si>
  <si>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</si>
  <si>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</si>
  <si>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</si>
  <si>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</si>
  <si>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</si>
  <si>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</si>
  <si>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</si>
  <si>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</si>
  <si>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</si>
  <si>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</si>
  <si>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</si>
  <si>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</si>
  <si>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</si>
  <si>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</si>
  <si>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</si>
  <si>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</si>
  <si>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</si>
  <si>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</si>
  <si>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</si>
  <si>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</si>
  <si>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</si>
  <si>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</si>
  <si>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</si>
  <si>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</si>
  <si>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</si>
  <si>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</si>
  <si>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</si>
  <si>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</si>
  <si>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</si>
  <si>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</si>
  <si>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</si>
  <si>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</si>
  <si>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</si>
  <si>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</si>
  <si>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</si>
  <si>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</si>
  <si>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</si>
  <si>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</si>
  <si>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</si>
  <si>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</si>
  <si>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</si>
  <si>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</si>
  <si>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</si>
  <si>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</si>
  <si>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</si>
  <si>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</si>
  <si>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</si>
  <si>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</si>
  <si>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</si>
  <si>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</si>
  <si>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</si>
  <si>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</si>
  <si>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</si>
  <si>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</si>
  <si>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</si>
  <si>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</si>
  <si>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</si>
  <si>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</si>
  <si>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</si>
  <si>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</si>
  <si>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</si>
  <si>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</si>
  <si>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</si>
  <si>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</si>
  <si>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</si>
  <si>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</si>
  <si>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</si>
  <si>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</si>
  <si>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</si>
  <si>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</si>
  <si>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</si>
  <si>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</si>
  <si>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</si>
  <si>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</si>
  <si>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</si>
  <si>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</si>
  <si>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</si>
  <si>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</si>
  <si>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</si>
  <si>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</si>
  <si>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</si>
  <si>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</si>
  <si>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</si>
  <si>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</si>
  <si>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</si>
  <si>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</si>
  <si>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</si>
  <si>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</si>
  <si>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</si>
  <si>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</si>
  <si>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</si>
  <si>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</si>
  <si>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</si>
  <si>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</si>
  <si>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</si>
  <si>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</si>
  <si>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</si>
  <si>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</si>
  <si>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</si>
  <si>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</si>
  <si>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</si>
  <si>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</si>
  <si>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</si>
  <si>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</si>
  <si>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</si>
  <si>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</si>
  <si>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</si>
  <si>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30.12.12 NewOppByContract по Платежам  - создание Проектов SF. Они записываются в файл OppInsert.csv и загружаются в SF Data Loader'ом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</si>
  <si>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</si>
  <si>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</si>
  <si>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</si>
  <si>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</si>
  <si>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</si>
  <si>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</si>
  <si>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</si>
  <si>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</si>
  <si>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</si>
  <si>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</si>
  <si>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</si>
  <si>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</si>
  <si>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</si>
  <si>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t>EmptyBuddy/3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</si>
  <si>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</si>
  <si>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</si>
  <si>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</si>
  <si>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</si>
  <si>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</si>
  <si>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</si>
  <si>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</si>
  <si>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</si>
  <si>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</si>
  <si>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</si>
  <si>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</si>
  <si>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</si>
  <si>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</si>
  <si>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</si>
  <si>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</si>
  <si>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</si>
  <si>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</si>
  <si>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</si>
  <si>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</si>
  <si>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</si>
  <si>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</si>
  <si>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</si>
  <si>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</si>
  <si>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</si>
  <si>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</si>
  <si>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</si>
  <si>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</si>
  <si>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</si>
  <si>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</si>
  <si>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</si>
  <si>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</si>
  <si>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</si>
  <si>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</si>
  <si>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</si>
  <si>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</si>
  <si>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</si>
  <si>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</si>
  <si>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</si>
  <si>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</si>
  <si>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</si>
  <si>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</si>
  <si>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</si>
  <si>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</si>
  <si>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</si>
  <si>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</si>
  <si>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</si>
  <si>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</si>
  <si>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</si>
  <si>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</si>
  <si>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</si>
  <si>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</si>
  <si>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</si>
  <si>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</si>
  <si>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</si>
  <si>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</si>
  <si>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</si>
  <si>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</si>
  <si>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</si>
  <si>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</si>
  <si>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</si>
  <si>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</si>
  <si>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</si>
  <si>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</si>
  <si>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</si>
  <si>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</si>
  <si>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</si>
  <si>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</si>
  <si>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</si>
  <si>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</si>
  <si>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</si>
  <si>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</si>
  <si>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</si>
  <si>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</si>
  <si>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</si>
  <si>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</si>
  <si>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</si>
  <si>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</si>
  <si>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</si>
  <si>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</si>
  <si>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</si>
  <si>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</si>
  <si>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</si>
  <si>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</si>
  <si>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</si>
  <si>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</si>
  <si>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</si>
  <si>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</si>
  <si>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</si>
  <si>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</si>
  <si>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</si>
  <si>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</si>
  <si>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</si>
  <si>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</si>
  <si>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</si>
  <si>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</si>
  <si>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</si>
  <si>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</si>
  <si>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</si>
  <si>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</si>
  <si>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</si>
  <si>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</si>
  <si>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</si>
  <si>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</si>
  <si>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</si>
  <si>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</si>
  <si>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</si>
  <si>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</si>
  <si>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</si>
  <si>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</si>
  <si>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</si>
  <si>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</si>
  <si>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</si>
  <si>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</si>
  <si>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</si>
  <si>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</si>
  <si>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</si>
  <si>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</si>
  <si>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</si>
  <si>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</si>
  <si>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</si>
  <si>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</si>
  <si>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</si>
  <si>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</si>
  <si>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</si>
  <si>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</si>
  <si>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</si>
  <si>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</si>
  <si>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</si>
  <si>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</si>
  <si>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</si>
  <si>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</si>
  <si>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</si>
  <si>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</si>
  <si>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</si>
  <si>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</si>
  <si>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</si>
  <si>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</si>
  <si>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</si>
  <si>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</si>
  <si>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</si>
  <si>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</si>
  <si>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</si>
  <si>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</si>
  <si>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</si>
  <si>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</si>
  <si>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</si>
  <si>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</si>
  <si>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</si>
  <si>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</si>
  <si>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</si>
  <si>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</si>
  <si>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</si>
  <si>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</si>
  <si>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</si>
  <si>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</si>
  <si>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</si>
  <si>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</si>
  <si>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</si>
  <si>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</si>
  <si>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</si>
  <si>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</si>
  <si>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</si>
  <si>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</si>
  <si>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</si>
  <si>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</si>
  <si>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</si>
  <si>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</si>
  <si>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</si>
  <si>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</si>
  <si>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</si>
  <si>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</si>
  <si>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</si>
  <si>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</si>
  <si>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</si>
  <si>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</si>
  <si>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</si>
  <si>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</si>
  <si>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</si>
  <si>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</si>
  <si>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</si>
  <si>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</si>
  <si>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MoveToMatch: В файл 'SFDC.xlsx' загружен новый отчет 'SFopp'; EOL=3531 строк, в прежнем 3529_x000D_
Это ПОЛНЫЙ документ.</t>
  </si>
  <si>
    <t>&lt;! ERROR !&gt; MoveToMatch:  не дата в ячейке ToDate='  .  .  '_x000D_
Входной документ P1Cpart.xlsx</t>
  </si>
  <si>
    <t>MoveToMatch: В файл '1C.xlsx' загружен новый отчет 'Платежи'; EOL=102 строк, в прежнем 5756_x000D_
Это изменяемая ЧАСТЬ данных.</t>
  </si>
  <si>
    <t>adapt profile: total = 1,10_x000D_
By steps =  0,25 0,00 0,20 0,03 0,00 0,00 0,00 0,00 0,00 0,00 0,00 0,00 0,00 0,00 0,00 0,00 0,00 0,00 0,00 0,00 0,00 0,00 0,00 0,00 0,00 0,00 0,00 0,00 0,00 0,01 0,12 0,05 0,07 0,07 0,06 0,10 0,11</t>
  </si>
  <si>
    <t>MoveToMatch: В файл '1C.xlsx' загружен новый отчет 'Платежи'; EOL=24 строк, в прежнем 5756_x000D_
Это изменяемая ЧАСТЬ данных.</t>
  </si>
  <si>
    <t>adapt profile: total = 3,95_x000D_
By steps =  0,09 0,00 0,11 0,50 0,00 0,00 0,00 0,00 0,00 0,00 0,00 0,00 0,00 0,00 0,00 0,00 0,00 0,00 0,00 0,00 0,00 0,00 0,00 0,00 0,00 0,00 0,00 0,00 0,00 0,01 0,02 0,29 0,66 0,72 0,72 0,73 0,07</t>
  </si>
  <si>
    <t>MoveToMatch: В файл 'SFDC.xlsx' загружен новый отчет 'SF'; EOL=4854 строк, в прежнем 4845_x000D_
Это ПОЛНЫЙ документ.</t>
  </si>
  <si>
    <t>adapt profile: total = 7,61_x000D_
By steps =  6,71 0,03</t>
  </si>
  <si>
    <t>adapt profile: total = 38,49_x000D_
By steps =  3,55 0,03 8,78 2,31 0,04 0,01 0,02 0,01 0,01 0,01 0,01 0,01 0,01 0,01 0,01 0,01 0,01 0,01 0,01 0,01 0,01 0,01 0,01 0,01 0,01 0,01 0,01 0,01 0,00 0,56 2,90 2,72 2,65 2,66 2,64 4,15 4,08</t>
  </si>
  <si>
    <t>MoveToMatch: В файл '1C.xlsx' загружен новый отчет 'Договоры'; EOL=45 строк, в прежнем 1380_x000D_
Это изменяемая ЧАСТЬ данных.</t>
  </si>
  <si>
    <t>adapt profile: total = 0,10_x000D_
By steps =  0,03 0,03 0,01 0,00 0,00 0,00 0,01 0,00 0,00 0,00 0,00 0,00 0,00 0,00 0,00 0,00 0,00 0,00 0,00 0,00 0,00 0,00 0,00 0,00 0,00 0,00</t>
  </si>
  <si>
    <t>MoveToMatch: В файл '1C.xlsx' загружен новый отчет 'Платежи'; EOL=24 строк, в прежнем 5770_x000D_
Это изменяемая ЧАСТЬ данных.</t>
  </si>
  <si>
    <t>adapt profile: total = 3,99_x000D_
By steps =  0,07 0,00 0,09 0,55 0,00 0,00 0,00 0,00 0,00 0,00 0,00 0,00 0,00 0,00 0,00 0,00 0,00 0,00 0,00 0,00 0,00 0,00 0,00 0,00 0,00 0,00 0,00 0,00 0,00 0,01 0,02 0,30 0,65 0,73 0,73 0,75 0,07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</si>
  <si>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</si>
  <si>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</si>
  <si>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</si>
  <si>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</si>
  <si>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</si>
  <si>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</si>
  <si>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</si>
  <si>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</si>
  <si>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t>MoveToMatch: В файл '1C.xlsx' загружен новый отчет 'Платежи'; EOL=12 строк, в прежнем 5770_x000D_
Это изменяемая ЧАСТЬ данных.</t>
  </si>
  <si>
    <t>adapt profile: total = 0,13_x000D_
By steps =  0,02 0,00 0,03 0,00 0,00 0,00 0,00 0,00 0,00 0,00 0,00 0,00 0,00 0,00 0,00 0,00 0,00 0,00 0,00 0,00 0,00 0,00 0,00 0,00 0,00 0,00 0,00 0,00 0,00 0,00 0,02 0,01 0,01 0,01 0,01 0,01 0,01</t>
  </si>
  <si>
    <t>MoveToMatch: В файл '1C.xlsx' загружен новый отчет 'Договоры'; EOL=8 строк, в прежнем 1395_x000D_
Это изменяемая ЧАСТЬ данных.</t>
  </si>
  <si>
    <t>adapt profile: total = 0,01_x000D_
By steps =  0,01 0,00 0,00 0,00 0,00 0,00 0,00 0,00 0,00 0,00 0,00 0,00 0,00 0,00 0,00 0,00 0,00 0,00 0,00 0,00 0,00 0,00 0,00 0,00 0,00 0,00</t>
  </si>
  <si>
    <t>MoveToMatch: В файл '1C.xlsx' загружен новый отчет 'Договоры'; EOL=8 строк, в прежнем 8_x000D_
Это изменяемая ЧАСТЬ данных.</t>
  </si>
  <si>
    <t>adapt profile: total = 0,02_x000D_
By steps =  0,01 0,00 0,00 0,00 0,00 0,00 0,00 0,00 0,00 0,00 0,00 0,00 0,00 0,00 0,00 0,00 0,00 0,00 0,00 0,00 0,00 0,00 0,00 0,00 0,00 0,00</t>
  </si>
  <si>
    <t>MoveToMatch: В файл '1C.xlsx' загружен новый отчет 'Платежи'; EOL=17 строк, в прежнем 5778_x000D_
Это изменяемая ЧАСТЬ данных.</t>
  </si>
  <si>
    <t>ВНИМАНИЕ:Это файл базы данных match! Его не надо загружать.</t>
  </si>
  <si>
    <t>MoveToMatch: В файл '1C.xlsx' загружен новый отчет 'Платежи'; EOL=17 строк, в прежнем 17_x000D_
Это изменяемая ЧАСТЬ данных.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</si>
  <si>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</si>
  <si>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adapt profile: total = 3,02_x000D_
By steps =  0,07 0,00 0,07 0,37 0,00 0,00 0,00 0,00 0,00 0,00 0,00 0,00 0,00 0,00 0,00 0,00 0,00 0,00 0,00 0,00 0,00 0,00 0,00 0,00 0,00 0,00 0,00 0,00 0,00 0,07 0,08 0,37 0,43 0,49 0,50 0,52 0,04</t>
  </si>
  <si>
    <t>adapt profile: total = 49,47_x000D_
By steps =  12,27 0,03 9,41 2,52 0,00 0,00 0,00 0,03 0,02 0,03 0,03 0,00 0,02 0,00 0,03 0,00 0,00 0,02 0,00 0,00 0,00 0,00 0,05 0,02 0,00 0,00 0,00 0,02 0,00 0,69 3,23 2,80 2,77 2,78 2,94 4,16 4,23</t>
  </si>
  <si>
    <t>SF_Paint</t>
  </si>
  <si>
    <t>MoveToMatch: В файл 'SFDC.xlsx' загружен новый отчет 'SF'; EOL=4854 строк, в прежнем 4854_x000D_
Это ПОЛНЫЙ документ.</t>
  </si>
  <si>
    <t>adapt profile: total = 85,07_x000D_
By steps =  14,66 0,04 12,02 10,37 0,04 0,01 0,02 0,01 0,02 0,01 0,00 0,03 0,00 0,02 0,01 0,03 0,01 0,01 0,02 0,01 0,02 0,01 0,01 0,01 0,01 0,00 0,01 0,00 0,01 0,63 2,92 6,02 8,75 10,11 8,57 4,80 4,88</t>
  </si>
  <si>
    <t>MoveToMatch: В файл '1C.xlsx' загружен новый отчет 'Платежи'; EOL=22 строк, в прежнем 5778_x000D_
Это изменяемая ЧАСТЬ данных.</t>
  </si>
  <si>
    <t>adapt profile: total = 9,08_x000D_
By steps =  0,02 0,00 1,20 1,88 0,00 0,00 0,00 0,00 0,00 0,00 0,00 0,00 0,00 0,00 0,00 0,00 0,00 0,00 0,00 0,00 0,00 0,00 0,00 0,00 0,00 0,00 0,00 0,00 0,00 0,00 0,00 1,45 1,48 1,81 1,23 0,00 0,00</t>
  </si>
  <si>
    <t>MoveToMatch: В файл '1C.xlsx' загружен новый отчет 'Платежи'; EOL=10 строк, в прежнем 5778_x000D_
Это изменяемая ЧАСТЬ данных.</t>
  </si>
  <si>
    <t>adapt profile: total = 4,36_x000D_
By steps =  0,02 0,00 0,39 0,81 0,00 0,00 0,00 0,00 0,00 0,00 0,00 0,00 0,00 0,00 0,00 0,00 0,00 0,00 0,00 0,00 0,00 0,00 0,00 0,00 0,00 0,00 0,00 0,00 0,00 0,19 0,19 0,47 0,64 0,83 0,83 0,00 0,00</t>
  </si>
  <si>
    <t>ВНИМАНИЕ:&lt;&gt; Процесс LOAD_SF перед выполнением Шага ProcStart</t>
  </si>
  <si>
    <t>&lt;! ERROR !&gt; ToStep: Обращение к несуществующему Шагу ProcStart Процесса LOAD_1C_P</t>
  </si>
  <si>
    <t>ВНИМАНИЕ:&lt;&gt; Процесс LOAD_SF перед выполнением Шага Adapt</t>
  </si>
  <si>
    <t>adapt profile: total = 7,40_x000D_
By steps =  7,17 0,02</t>
  </si>
  <si>
    <t>ВНИМАНИЕ:&lt;&gt; Процесс LOAD_SF перед выполнением Шага DateSort</t>
  </si>
  <si>
    <t>ВНИМАНИЕ:&lt;&gt; Процесс LOAD_SF перед выполнением Шага SF_Paint</t>
  </si>
  <si>
    <t>adapt profile: total = 62,77_x000D_
By steps =  14,23 0,08 10,45 4,10 0,05 0,02 0,03 0,02 0,05 0,00 0,00 0,03 0,01 0,03 0,00 0,00 0,00 0,03 0,00 0,02 0,02 0,02 0,03 0,02 0,02 0,02 0,02 0,00 0,02 0,48 3,31 3,86 4,81 4,98 4,48 5,86 4,27</t>
  </si>
  <si>
    <t>adapt profile: total = 20,82_x000D_
By steps =  19,59 0,06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</si>
  <si>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</si>
  <si>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</si>
  <si>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</si>
  <si>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</si>
  <si>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</si>
  <si>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</si>
  <si>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</si>
  <si>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</si>
  <si>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ВНИМАНИЕ:&lt;&gt; Процесс LOAD_SFacc перед выполнением Шага SFaccSplit</t>
  </si>
  <si>
    <t>MoveToMatch: В файл 'SFDC.xlsx' загружен новый отчет 'SFacc'; EOL=4438 строк, в прежнем 4425_x000D_
Это ПОЛНЫЙ документ.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</si>
  <si>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</si>
  <si>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EOL=4438 строк, в прежнем 4438_x000D_
Это ПОЛНЫЙ документ.</t>
  </si>
  <si>
    <t>ВНИМАНИЕ:&lt;&gt; Процесс LOAD_SFacc перед выполнением Шага ProcStart</t>
  </si>
  <si>
    <t>adapt profile: total = 102,98_x000D_
By steps =  16,71 0,03 20,87 3,91 0,02 0,01 0,01 0,02 0,01 0,01 0,02 0,01 0,02 0,03 0,04 0,01 0,00 0,01 0,03 0,00 0,00 0,01 0,02 0,02 0,04 0,02 0,01 0,00 0,02 0,82 3,16 4,19 6,05 6,91 6,40 18,40 13,16</t>
  </si>
  <si>
    <t>&lt;! ERROR !&gt; WrTOC&gt; Не найден Штамп в Документе 'Process'_x000D_
_x000D_
Этот Документ надо загрузить в match заново или _x000D_
исправить параметры в TOCmatch.</t>
  </si>
  <si>
    <t>adapt profile: total = 6,39_x000D_
By steps =  1,07 3,66 0,49 0,00 0,00 0,00 0,77 0,00 0,00 0,01 0,00 0,00 0,00 0,00 0,00 0,00 0,00 0,00 0,01 0,00 0,00 0,00 0,00 0,00 0,01 0,00</t>
  </si>
  <si>
    <t>adapt profile: total = 33,25_x000D_
By steps =  32,48</t>
  </si>
  <si>
    <t>MoveToMatch: В файл '1C.xlsx' загружен новый отчет 'Список клиентов 1C'; EOL=1309 строк, в прежнем 1772_x000D_
Это ПОЛНЫЙ документ.</t>
  </si>
  <si>
    <t>0 /3</t>
  </si>
  <si>
    <t>MoveToMatch: В файл '1C.xlsx' загружен новый отчет 'Список клиентов 1C'; EOL=1309 строк, в прежнем 1309_x000D_
Это ПОЛНЫЙ документ.</t>
  </si>
  <si>
    <t>Список клиентов 1С на 26.08.13</t>
  </si>
  <si>
    <t>Рассматриваются документы с даты 01.01.09 по дату 26.08.13</t>
  </si>
  <si>
    <t>MoveToMatch: В файл '1C.xlsx' загружен новый отчет 'Список клиентов 1C'; EOL=1309 строк, в прежнем 1306_x000D_
Это ПОЛНЫЙ документ.</t>
  </si>
  <si>
    <t>adapt profile: total = 1,54_x000D_
By steps =  1,36</t>
  </si>
  <si>
    <t>adapt profile: total = 3,76_x000D_
By steps =  3,49</t>
  </si>
  <si>
    <t>adapt profile: total = 4,00_x000D_
By steps =  3,69</t>
  </si>
  <si>
    <t>adapt profile: total = 14,75_x000D_
By steps =  14,12</t>
  </si>
  <si>
    <t>adapt profile: total = 3,21_x000D_
By steps =  2,93</t>
  </si>
  <si>
    <t>adapt profile: total = 3,07_x000D_
By steps =  2,84</t>
  </si>
  <si>
    <t>adapt profile: total = 2,78_x000D_
By steps =  2,51</t>
  </si>
  <si>
    <t>adapt profile: total = 0,86_x000D_
By steps =  0,82</t>
  </si>
  <si>
    <t>adapt profile: total = 2,83_x000D_
By steps =  2,58</t>
  </si>
  <si>
    <t>adapt profile: total = 0,75_x000D_
By steps =  0,71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</si>
  <si>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</si>
  <si>
    <t>adapt profile: total = 1,98_x000D_
By steps =  1,79</t>
  </si>
  <si>
    <t>adapt profile: total = 2,15_x000D_
By steps =  2,09 0,01</t>
  </si>
  <si>
    <t>&lt;! ERROR !&gt; GetRep&gt; Не найден Штамп в Документе 'TOCmatch'_x000D_
_x000D_
Этот Документ надо загрузить в match заново или _x000D_
исправить параметры в TOCmatch.</t>
  </si>
  <si>
    <t>-1</t>
  </si>
  <si>
    <t>&lt;! ERROR !&gt; MoveToMatch: Не найден Штамп_x000D_
Входной документ SF.xlsx</t>
  </si>
  <si>
    <t>MoveToMatch: В файл 'SFDC.xlsx' загружен новый отчет 'SF'; EOL=4858 строк, в прежнем 4854_x000D_
Это ПОЛНЫЙ документ.</t>
  </si>
  <si>
    <t>&lt;! ERROR !&gt; WrTOC&gt; Не найден Штамп в Документе '&lt;пусто&gt;'_x000D_
_x000D_
Этот Документ надо загрузить в match заново или _x000D_
исправить параметры в TOCmatch.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</si>
</sst>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3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</cellStyleXfs>
  <cellXfs count="919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65" fontId="1" fillId="0" borderId="3" xfId="1" applyNumberFormat="1" applyFill="1" applyBorder="1" applyAlignment="1">
      <alignment horizontal="center"/>
    </xf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5" fontId="1" fillId="4" borderId="5" xfId="1" applyNumberFormat="1" applyFill="1" applyBorder="1"/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1" fillId="0" borderId="16" xfId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56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49" fontId="0" fillId="20" borderId="0" xfId="1" applyNumberFormat="1" applyFont="1" applyFill="1" applyAlignment="1">
      <alignment horizontal="center" vertical="center"/>
    </xf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20" borderId="3" xfId="1" applyNumberFormat="1" applyFont="1" applyFill="1" applyBorder="1" applyAlignment="1">
      <alignment horizontal="center" vertical="center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0" fontId="63" fillId="0" borderId="0" xfId="42" applyFont="1"/>
    <xf numFmtId="0" fontId="66" fillId="0" borderId="0" xfId="42" applyFont="1"/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49" fontId="0" fillId="5" borderId="0" xfId="1" applyNumberFormat="1" applyFont="1" applyFill="1" applyAlignment="1">
      <alignment horizontal="center"/>
    </xf>
    <xf numFmtId="49" fontId="0" fillId="0" borderId="0" xfId="1" applyNumberFormat="1" applyFont="1" applyFill="1" applyAlignment="1">
      <alignment horizontal="center"/>
    </xf>
    <xf numFmtId="49" fontId="0" fillId="0" borderId="0" xfId="1" applyNumberFormat="1" applyFont="1" applyFill="1" applyAlignment="1">
      <alignment horizontal="center" vertical="center"/>
    </xf>
    <xf numFmtId="164" fontId="1" fillId="0" borderId="0" xfId="1" applyFill="1" applyAlignment="1">
      <alignment wrapText="1"/>
    </xf>
  </cellXfs>
  <cellStyles count="43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138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138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6" sqref="C6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41514.120439814818</v>
      </c>
      <c r="C1" s="3" t="s">
        <v>0</v>
      </c>
      <c r="J1" s="4" t="s">
        <v>1</v>
      </c>
      <c r="K1" s="5"/>
      <c r="L1" s="6"/>
      <c r="M1" s="6"/>
      <c r="N1" s="6"/>
      <c r="O1" s="884" t="s">
        <v>2</v>
      </c>
      <c r="P1" s="886" t="s">
        <v>1222</v>
      </c>
      <c r="Q1" s="886" t="s">
        <v>1221</v>
      </c>
      <c r="R1" s="888" t="s">
        <v>3</v>
      </c>
      <c r="S1" s="888" t="s">
        <v>4</v>
      </c>
      <c r="V1" s="888" t="s">
        <v>1216</v>
      </c>
      <c r="W1" s="888" t="s">
        <v>1217</v>
      </c>
      <c r="X1" s="888" t="s">
        <v>1218</v>
      </c>
      <c r="Y1" s="888" t="s">
        <v>1219</v>
      </c>
      <c r="Z1" s="888" t="s">
        <v>1220</v>
      </c>
    </row>
    <row r="2" spans="1:27" ht="29.25" customHeight="1" x14ac:dyDescent="0.25">
      <c r="O2" s="885"/>
      <c r="P2" s="887"/>
      <c r="Q2" s="887"/>
      <c r="R2" s="887"/>
      <c r="S2" s="887"/>
      <c r="V2" s="887"/>
      <c r="W2" s="887"/>
      <c r="X2" s="887"/>
      <c r="Y2" s="887"/>
      <c r="Z2" s="887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885"/>
      <c r="W3" s="885"/>
      <c r="X3" s="885"/>
      <c r="Y3" s="885"/>
      <c r="Z3" s="885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915" t="s">
        <v>1287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41511.945740740739</v>
      </c>
      <c r="B8" s="22" t="s">
        <v>32</v>
      </c>
      <c r="C8" s="23">
        <v>5778</v>
      </c>
      <c r="D8" s="23">
        <v>5</v>
      </c>
      <c r="E8" s="23">
        <v>2</v>
      </c>
      <c r="F8" s="2" t="s">
        <v>33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41117</v>
      </c>
      <c r="O8" s="29" t="s">
        <v>29</v>
      </c>
      <c r="P8" s="30" t="s">
        <v>171</v>
      </c>
      <c r="Q8" s="30" t="s">
        <v>172</v>
      </c>
      <c r="R8" s="30">
        <v>40057</v>
      </c>
      <c r="S8" s="30">
        <v>41508</v>
      </c>
      <c r="T8" s="22" t="s">
        <v>38</v>
      </c>
      <c r="V8" s="27">
        <v>2</v>
      </c>
      <c r="W8" s="27" t="s">
        <v>7</v>
      </c>
      <c r="X8" s="27">
        <v>2</v>
      </c>
      <c r="Y8" s="30">
        <v>41115</v>
      </c>
      <c r="Z8" s="30">
        <v>41121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41512.00037037037</v>
      </c>
      <c r="B10" s="2" t="s">
        <v>41</v>
      </c>
      <c r="C10" s="41">
        <v>1402</v>
      </c>
      <c r="D10" s="42">
        <v>8</v>
      </c>
      <c r="E10" s="41" t="s">
        <v>42</v>
      </c>
      <c r="F10" s="2" t="s">
        <v>33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41510</v>
      </c>
      <c r="O10" s="47" t="s">
        <v>29</v>
      </c>
      <c r="P10" s="861" t="s">
        <v>175</v>
      </c>
      <c r="Q10" s="198" t="s">
        <v>176</v>
      </c>
      <c r="R10" s="48">
        <v>40058</v>
      </c>
      <c r="S10" s="48">
        <v>41508</v>
      </c>
      <c r="T10" s="2" t="s">
        <v>46</v>
      </c>
      <c r="V10" s="17">
        <v>2</v>
      </c>
      <c r="W10" s="17" t="s">
        <v>7</v>
      </c>
      <c r="X10" s="17">
        <v>4</v>
      </c>
      <c r="Y10" s="38">
        <v>41508</v>
      </c>
      <c r="Z10" s="38">
        <v>41508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41512.166307870371</v>
      </c>
      <c r="B12" s="2" t="s">
        <v>49</v>
      </c>
      <c r="C12" s="41">
        <v>1306</v>
      </c>
      <c r="D12" s="41">
        <v>1</v>
      </c>
      <c r="E12" s="877" t="s">
        <v>1268</v>
      </c>
      <c r="F12" s="2" t="s">
        <v>67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41512</v>
      </c>
      <c r="O12" s="47" t="s">
        <v>29</v>
      </c>
      <c r="P12" s="861" t="s">
        <v>1256</v>
      </c>
      <c r="Q12" s="862" t="s">
        <v>1255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41514.120439814818</v>
      </c>
      <c r="B14" s="22" t="s">
        <v>58</v>
      </c>
      <c r="C14" s="23">
        <v>4858</v>
      </c>
      <c r="D14" s="23">
        <v>2</v>
      </c>
      <c r="E14" s="23">
        <v>6</v>
      </c>
      <c r="F14" s="22" t="s">
        <v>67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55">
        <v>41514.046527777777</v>
      </c>
      <c r="O14" s="29"/>
      <c r="P14" s="29" t="s">
        <v>181</v>
      </c>
      <c r="Q14" s="29" t="s">
        <v>182</v>
      </c>
      <c r="T14" s="22" t="s">
        <v>180</v>
      </c>
      <c r="Y14" s="56"/>
      <c r="Z14" s="56"/>
      <c r="AA14" s="56"/>
    </row>
    <row r="15" spans="1:27" ht="15.75" customHeight="1" x14ac:dyDescent="0.25">
      <c r="A15" s="64">
        <v>41507.005069444444</v>
      </c>
      <c r="B15" s="2" t="s">
        <v>63</v>
      </c>
      <c r="C15" s="41">
        <v>1145</v>
      </c>
      <c r="D15" s="42">
        <v>2</v>
      </c>
      <c r="E15" s="42">
        <v>6</v>
      </c>
      <c r="F15" s="2" t="s">
        <v>59</v>
      </c>
      <c r="G15" s="33" t="s">
        <v>60</v>
      </c>
      <c r="H15" s="2" t="str">
        <f t="shared" si="0"/>
        <v>SFDC.xlsx</v>
      </c>
      <c r="I15" s="57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8">
        <v>41507.00277777778</v>
      </c>
      <c r="O15" s="47"/>
      <c r="P15" s="2" t="s">
        <v>185</v>
      </c>
      <c r="Q15" s="47" t="s">
        <v>186</v>
      </c>
      <c r="T15" s="32" t="s">
        <v>184</v>
      </c>
      <c r="V15" s="32"/>
      <c r="W15" s="32"/>
      <c r="X15" s="32"/>
      <c r="Y15" s="32"/>
      <c r="Z15" s="32"/>
      <c r="AA15" s="60"/>
    </row>
    <row r="16" spans="1:27" ht="15.75" x14ac:dyDescent="0.3">
      <c r="A16" s="12">
        <v>41509.046377314815</v>
      </c>
      <c r="B16" s="2" t="s">
        <v>65</v>
      </c>
      <c r="C16" s="41">
        <v>3531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7" t="s">
        <v>65</v>
      </c>
      <c r="J16" s="61" t="s">
        <v>68</v>
      </c>
      <c r="K16" s="45" t="s">
        <v>31</v>
      </c>
      <c r="L16" s="40">
        <v>2</v>
      </c>
      <c r="M16" s="40">
        <v>1</v>
      </c>
      <c r="N16" s="58">
        <v>41509.004861111112</v>
      </c>
      <c r="O16" s="47"/>
      <c r="Q16" s="47"/>
      <c r="V16" s="32"/>
      <c r="W16" s="32"/>
      <c r="X16" s="32"/>
      <c r="Y16" s="32"/>
      <c r="Z16" s="32"/>
      <c r="AA16" s="60"/>
    </row>
    <row r="17" spans="1:27" ht="15.75" x14ac:dyDescent="0.3">
      <c r="A17" s="12">
        <v>41511.809050925927</v>
      </c>
      <c r="B17" s="2" t="s">
        <v>69</v>
      </c>
      <c r="C17" s="41">
        <v>4439</v>
      </c>
      <c r="D17" s="42" t="s">
        <v>66</v>
      </c>
      <c r="E17" s="42">
        <v>6</v>
      </c>
      <c r="F17" s="2" t="s">
        <v>1257</v>
      </c>
      <c r="G17" s="33" t="s">
        <v>60</v>
      </c>
      <c r="H17" s="2" t="str">
        <f t="shared" si="0"/>
        <v>SFDC.xlsx</v>
      </c>
      <c r="I17" s="57" t="s">
        <v>69</v>
      </c>
      <c r="J17" s="62" t="s">
        <v>69</v>
      </c>
      <c r="K17" s="45" t="s">
        <v>31</v>
      </c>
      <c r="L17" s="40">
        <v>2</v>
      </c>
      <c r="M17" s="40">
        <v>1</v>
      </c>
      <c r="N17" s="58">
        <v>41511.73541666667</v>
      </c>
      <c r="O17" s="47"/>
      <c r="Q17" s="47"/>
      <c r="T17" s="2" t="s">
        <v>188</v>
      </c>
      <c r="V17" s="32"/>
      <c r="W17" s="32"/>
      <c r="X17" s="32"/>
      <c r="Y17" s="32"/>
      <c r="Z17" s="32"/>
      <c r="AA17" s="60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7" t="s">
        <v>70</v>
      </c>
      <c r="J18" s="62" t="s">
        <v>71</v>
      </c>
      <c r="K18" s="45" t="s">
        <v>31</v>
      </c>
      <c r="L18" s="40">
        <v>2</v>
      </c>
      <c r="M18" s="40">
        <v>1</v>
      </c>
      <c r="N18" s="58">
        <v>41506.960416666669</v>
      </c>
      <c r="O18" s="47"/>
      <c r="Q18" s="47"/>
      <c r="V18" s="32"/>
      <c r="W18" s="32"/>
      <c r="X18" s="32"/>
      <c r="Y18" s="32"/>
      <c r="Z18" s="32"/>
      <c r="AA18" s="60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7" t="s">
        <v>72</v>
      </c>
      <c r="J19" s="63" t="s">
        <v>74</v>
      </c>
      <c r="K19" s="45" t="s">
        <v>31</v>
      </c>
      <c r="L19" s="40">
        <v>2</v>
      </c>
      <c r="M19" s="40">
        <v>1</v>
      </c>
      <c r="N19" s="58">
        <v>41499.544444444444</v>
      </c>
      <c r="O19" s="47"/>
      <c r="Q19" s="47"/>
      <c r="V19" s="32"/>
      <c r="W19" s="32"/>
      <c r="X19" s="32"/>
      <c r="Y19" s="32"/>
      <c r="Z19" s="59"/>
      <c r="AA19" s="60"/>
    </row>
    <row r="20" spans="1:27" ht="15.75" x14ac:dyDescent="0.3">
      <c r="A20" s="64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7" t="s">
        <v>75</v>
      </c>
      <c r="J20" s="63" t="s">
        <v>76</v>
      </c>
      <c r="K20" s="45" t="s">
        <v>31</v>
      </c>
      <c r="L20" s="40">
        <v>2</v>
      </c>
      <c r="M20" s="40">
        <v>1</v>
      </c>
      <c r="N20" s="58">
        <v>41469.551388888889</v>
      </c>
      <c r="O20" s="47"/>
      <c r="Q20" s="47"/>
      <c r="Y20" s="60"/>
      <c r="Z20" s="60"/>
      <c r="AA20" s="60"/>
    </row>
    <row r="21" spans="1:27" ht="15.75" x14ac:dyDescent="0.3">
      <c r="A21" s="64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7" t="s">
        <v>77</v>
      </c>
      <c r="J21" s="65" t="s">
        <v>79</v>
      </c>
      <c r="K21" s="45" t="s">
        <v>31</v>
      </c>
      <c r="L21" s="40">
        <v>2</v>
      </c>
      <c r="M21" s="40">
        <v>1</v>
      </c>
      <c r="N21" s="58">
        <v>41469.549305555556</v>
      </c>
      <c r="O21" s="47"/>
      <c r="Q21" s="47"/>
      <c r="Y21" s="60"/>
      <c r="Z21" s="60"/>
      <c r="AA21" s="60"/>
    </row>
    <row r="22" spans="1:27" ht="15.75" x14ac:dyDescent="0.3">
      <c r="A22" s="12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6" t="s">
        <v>80</v>
      </c>
      <c r="J22" s="67" t="s">
        <v>82</v>
      </c>
      <c r="K22" s="68" t="s">
        <v>31</v>
      </c>
      <c r="L22" s="40">
        <v>2</v>
      </c>
      <c r="M22" s="40">
        <v>1</v>
      </c>
      <c r="N22" s="69">
        <v>41504.054166666669</v>
      </c>
      <c r="O22" s="70"/>
      <c r="P22" s="71"/>
      <c r="Q22" s="70"/>
      <c r="R22" s="71"/>
      <c r="S22" s="71"/>
      <c r="Y22" s="60"/>
      <c r="Z22" s="60"/>
      <c r="AA22" s="60"/>
    </row>
    <row r="23" spans="1:27" s="22" customFormat="1" x14ac:dyDescent="0.25">
      <c r="A23" s="72">
        <v>41369.796909722223</v>
      </c>
      <c r="B23" s="22" t="s">
        <v>83</v>
      </c>
      <c r="C23" s="73">
        <v>9955</v>
      </c>
      <c r="D23" s="73" t="s">
        <v>84</v>
      </c>
      <c r="E23" s="73" t="s">
        <v>66</v>
      </c>
      <c r="F23" s="22" t="s">
        <v>85</v>
      </c>
      <c r="G23" s="74">
        <v>10</v>
      </c>
      <c r="H23" s="22" t="s">
        <v>86</v>
      </c>
      <c r="I23" s="75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6">
        <v>41349.908078703702</v>
      </c>
      <c r="O23" s="37" t="s">
        <v>29</v>
      </c>
      <c r="P23" s="39"/>
      <c r="Q23" s="77" t="s">
        <v>88</v>
      </c>
      <c r="R23" s="78"/>
      <c r="S23" s="39"/>
      <c r="T23" s="22" t="s">
        <v>89</v>
      </c>
      <c r="Y23" s="56"/>
      <c r="Z23" s="56"/>
      <c r="AA23" s="56"/>
    </row>
    <row r="24" spans="1:27" s="32" customFormat="1" x14ac:dyDescent="0.25">
      <c r="A24" s="79"/>
      <c r="C24" s="80"/>
      <c r="D24" s="80"/>
      <c r="E24" s="80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1"/>
      <c r="O24" s="37" t="s">
        <v>29</v>
      </c>
      <c r="Q24" s="37"/>
      <c r="R24" s="78"/>
    </row>
    <row r="25" spans="1:27" s="32" customFormat="1" x14ac:dyDescent="0.25">
      <c r="A25" s="79"/>
      <c r="C25" s="80"/>
      <c r="D25" s="80"/>
      <c r="E25" s="80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1"/>
      <c r="O25" s="37" t="s">
        <v>29</v>
      </c>
      <c r="Q25" s="37"/>
      <c r="R25" s="78"/>
    </row>
    <row r="26" spans="1:27" s="32" customFormat="1" x14ac:dyDescent="0.25">
      <c r="A26" s="79"/>
      <c r="C26" s="80"/>
      <c r="D26" s="80"/>
      <c r="E26" s="80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1"/>
      <c r="O26" s="37" t="s">
        <v>29</v>
      </c>
      <c r="Q26" s="37"/>
      <c r="R26" s="78"/>
    </row>
    <row r="27" spans="1:27" s="32" customFormat="1" x14ac:dyDescent="0.25">
      <c r="A27" s="79"/>
      <c r="C27" s="80"/>
      <c r="D27" s="80"/>
      <c r="E27" s="80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1"/>
      <c r="O27" s="37" t="s">
        <v>29</v>
      </c>
      <c r="Q27" s="37"/>
      <c r="R27" s="78"/>
    </row>
    <row r="28" spans="1:27" s="83" customFormat="1" x14ac:dyDescent="0.25">
      <c r="A28" s="82"/>
      <c r="C28" s="84"/>
      <c r="D28" s="84"/>
      <c r="E28" s="84"/>
      <c r="I28" s="39"/>
      <c r="J28" s="85" t="s">
        <v>98</v>
      </c>
      <c r="K28" s="86" t="s">
        <v>31</v>
      </c>
      <c r="L28" s="87" t="s">
        <v>62</v>
      </c>
      <c r="M28" s="87" t="s">
        <v>99</v>
      </c>
      <c r="N28" s="88"/>
      <c r="O28" s="89"/>
      <c r="Q28" s="89"/>
      <c r="R28" s="90"/>
    </row>
    <row r="29" spans="1:27" s="92" customFormat="1" x14ac:dyDescent="0.25">
      <c r="A29" s="91">
        <v>41506.983391203707</v>
      </c>
      <c r="B29" s="92" t="s">
        <v>100</v>
      </c>
      <c r="C29" s="93">
        <v>339</v>
      </c>
      <c r="D29" s="94">
        <v>8</v>
      </c>
      <c r="E29" s="94">
        <v>19</v>
      </c>
      <c r="F29" s="92" t="s">
        <v>101</v>
      </c>
      <c r="G29" s="94">
        <v>10</v>
      </c>
      <c r="H29" s="92" t="s">
        <v>86</v>
      </c>
      <c r="I29" s="95" t="str">
        <f>B29</f>
        <v>Заказы</v>
      </c>
      <c r="J29" s="96" t="s">
        <v>102</v>
      </c>
      <c r="K29" s="97" t="s">
        <v>31</v>
      </c>
      <c r="L29" s="98" t="s">
        <v>62</v>
      </c>
      <c r="M29" s="98" t="s">
        <v>103</v>
      </c>
      <c r="N29" s="99">
        <v>41463.504687499997</v>
      </c>
      <c r="O29" s="92" t="s">
        <v>29</v>
      </c>
      <c r="P29" s="100"/>
      <c r="Q29" s="101" t="s">
        <v>104</v>
      </c>
      <c r="R29" s="32"/>
      <c r="S29" s="32"/>
      <c r="T29" s="92" t="s">
        <v>105</v>
      </c>
    </row>
    <row r="30" spans="1:27" s="32" customFormat="1" x14ac:dyDescent="0.25">
      <c r="A30" s="102"/>
      <c r="C30" s="80"/>
      <c r="J30" s="34" t="s">
        <v>106</v>
      </c>
      <c r="K30" s="35" t="s">
        <v>31</v>
      </c>
      <c r="L30" s="17" t="s">
        <v>62</v>
      </c>
      <c r="M30" s="17" t="s">
        <v>107</v>
      </c>
      <c r="N30" s="81"/>
      <c r="O30" s="32" t="s">
        <v>29</v>
      </c>
      <c r="P30" s="103"/>
    </row>
    <row r="31" spans="1:27" x14ac:dyDescent="0.25">
      <c r="A31" s="104"/>
      <c r="C31" s="105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1"/>
      <c r="O31" s="2" t="s">
        <v>29</v>
      </c>
      <c r="P31" s="103"/>
    </row>
    <row r="32" spans="1:27" x14ac:dyDescent="0.25">
      <c r="A32" s="104"/>
      <c r="C32" s="105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1"/>
      <c r="O32" s="2" t="s">
        <v>29</v>
      </c>
      <c r="P32" s="103"/>
    </row>
    <row r="33" spans="1:20" x14ac:dyDescent="0.25">
      <c r="A33" s="104"/>
      <c r="C33" s="105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1"/>
      <c r="P33" s="103"/>
    </row>
    <row r="34" spans="1:20" s="92" customFormat="1" x14ac:dyDescent="0.25">
      <c r="A34" s="106">
        <v>41370.590057870373</v>
      </c>
      <c r="B34" s="92" t="s">
        <v>113</v>
      </c>
      <c r="C34" s="93" t="s">
        <v>114</v>
      </c>
      <c r="F34" s="92" t="s">
        <v>67</v>
      </c>
      <c r="G34" s="94">
        <v>10</v>
      </c>
      <c r="H34" s="92" t="s">
        <v>86</v>
      </c>
      <c r="I34" s="107" t="s">
        <v>113</v>
      </c>
      <c r="J34" s="96" t="s">
        <v>115</v>
      </c>
      <c r="K34" s="97" t="s">
        <v>23</v>
      </c>
      <c r="L34" s="98">
        <v>2</v>
      </c>
      <c r="M34" s="98">
        <v>1</v>
      </c>
      <c r="N34" s="99">
        <v>41370.585509259261</v>
      </c>
      <c r="O34" s="29" t="s">
        <v>29</v>
      </c>
      <c r="P34" s="100"/>
      <c r="T34" s="92" t="s">
        <v>229</v>
      </c>
    </row>
    <row r="35" spans="1:20" s="32" customFormat="1" x14ac:dyDescent="0.25">
      <c r="A35" s="102"/>
      <c r="C35" s="80"/>
      <c r="J35" s="34" t="s">
        <v>116</v>
      </c>
      <c r="K35" s="35" t="s">
        <v>23</v>
      </c>
      <c r="L35" s="17">
        <v>3</v>
      </c>
      <c r="M35" s="17">
        <v>1</v>
      </c>
      <c r="N35" s="81"/>
      <c r="O35" s="2" t="s">
        <v>29</v>
      </c>
      <c r="P35" s="103"/>
    </row>
    <row r="36" spans="1:20" s="32" customFormat="1" x14ac:dyDescent="0.25">
      <c r="A36" s="102"/>
      <c r="C36" s="80"/>
      <c r="J36" s="34" t="s">
        <v>117</v>
      </c>
      <c r="K36" s="35" t="s">
        <v>23</v>
      </c>
      <c r="L36" s="17">
        <v>4</v>
      </c>
      <c r="M36" s="17">
        <v>1</v>
      </c>
      <c r="N36" s="81"/>
      <c r="P36" s="103"/>
    </row>
    <row r="37" spans="1:20" s="22" customFormat="1" x14ac:dyDescent="0.25">
      <c r="A37" s="21"/>
      <c r="B37" s="22" t="s">
        <v>118</v>
      </c>
      <c r="C37" s="73" t="s">
        <v>119</v>
      </c>
      <c r="D37" s="73" t="s">
        <v>120</v>
      </c>
      <c r="E37" s="73"/>
      <c r="F37" s="108"/>
      <c r="H37" s="22" t="s">
        <v>121</v>
      </c>
      <c r="I37" s="109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6"/>
      <c r="O37" s="29" t="s">
        <v>29</v>
      </c>
      <c r="Q37" s="29"/>
      <c r="R37" s="110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1" customFormat="1" x14ac:dyDescent="0.25">
      <c r="A40" s="111"/>
      <c r="C40" s="112"/>
      <c r="J40" s="113" t="s">
        <v>127</v>
      </c>
      <c r="K40" s="68" t="s">
        <v>31</v>
      </c>
      <c r="L40" s="114">
        <v>3</v>
      </c>
      <c r="M40" s="114">
        <v>21</v>
      </c>
    </row>
    <row r="41" spans="1:20" s="116" customFormat="1" x14ac:dyDescent="0.25">
      <c r="A41" s="115">
        <v>0</v>
      </c>
      <c r="B41" s="116" t="s">
        <v>128</v>
      </c>
      <c r="C41" s="117">
        <v>1</v>
      </c>
      <c r="D41" s="117"/>
      <c r="E41" s="117"/>
      <c r="H41" s="116" t="s">
        <v>129</v>
      </c>
      <c r="I41" s="118" t="str">
        <f>B41</f>
        <v>DicAcc</v>
      </c>
      <c r="J41" s="119"/>
      <c r="K41" s="120" t="s">
        <v>130</v>
      </c>
      <c r="L41" s="121"/>
      <c r="M41" s="121"/>
      <c r="N41" s="122">
        <v>41237.062407407408</v>
      </c>
      <c r="O41" s="123"/>
      <c r="P41" s="116" t="s">
        <v>131</v>
      </c>
      <c r="Q41" s="123"/>
      <c r="R41" s="124"/>
    </row>
    <row r="42" spans="1:20" s="126" customFormat="1" x14ac:dyDescent="0.25">
      <c r="A42" s="125">
        <v>0</v>
      </c>
      <c r="B42" s="126" t="s">
        <v>132</v>
      </c>
      <c r="C42" s="127">
        <v>76</v>
      </c>
      <c r="D42" s="127"/>
      <c r="E42" s="127"/>
      <c r="F42" s="126" t="s">
        <v>133</v>
      </c>
      <c r="H42" s="126" t="s">
        <v>129</v>
      </c>
      <c r="I42" s="128" t="s">
        <v>132</v>
      </c>
      <c r="J42" s="129"/>
      <c r="K42" s="130" t="s">
        <v>130</v>
      </c>
      <c r="L42" s="131"/>
      <c r="M42" s="131"/>
      <c r="N42" s="132">
        <v>41410.834999999999</v>
      </c>
      <c r="O42" s="133"/>
      <c r="P42" s="126" t="s">
        <v>134</v>
      </c>
      <c r="Q42" s="133"/>
      <c r="R42" s="134"/>
    </row>
    <row r="43" spans="1:20" s="32" customFormat="1" x14ac:dyDescent="0.25">
      <c r="A43" s="135">
        <v>41507.012986111113</v>
      </c>
      <c r="B43" s="32" t="s">
        <v>135</v>
      </c>
      <c r="C43" s="80">
        <v>16</v>
      </c>
      <c r="D43" s="80"/>
      <c r="E43" s="80"/>
      <c r="F43" s="32" t="s">
        <v>136</v>
      </c>
      <c r="H43" s="32" t="s">
        <v>129</v>
      </c>
      <c r="I43" s="136" t="s">
        <v>135</v>
      </c>
      <c r="J43" s="34"/>
      <c r="K43" s="35" t="s">
        <v>130</v>
      </c>
      <c r="L43" s="17"/>
      <c r="M43" s="17"/>
      <c r="N43" s="81">
        <v>41507.01290509259</v>
      </c>
      <c r="O43" s="37"/>
      <c r="P43" s="32" t="s">
        <v>137</v>
      </c>
      <c r="Q43" s="37"/>
      <c r="R43" s="78"/>
    </row>
    <row r="44" spans="1:20" s="32" customFormat="1" x14ac:dyDescent="0.25">
      <c r="A44" s="135">
        <v>41507.017268518517</v>
      </c>
      <c r="B44" s="32" t="s">
        <v>138</v>
      </c>
      <c r="C44" s="80">
        <v>2</v>
      </c>
      <c r="D44" s="80"/>
      <c r="E44" s="80"/>
      <c r="F44" s="32" t="s">
        <v>136</v>
      </c>
      <c r="H44" s="32" t="s">
        <v>129</v>
      </c>
      <c r="I44" s="136" t="s">
        <v>138</v>
      </c>
      <c r="J44" s="34"/>
      <c r="K44" s="35" t="s">
        <v>130</v>
      </c>
      <c r="L44" s="17"/>
      <c r="M44" s="17"/>
      <c r="N44" s="81">
        <v>41507.017245370371</v>
      </c>
      <c r="O44" s="37"/>
      <c r="P44" s="32" t="s">
        <v>139</v>
      </c>
      <c r="Q44" s="37"/>
      <c r="R44" s="78"/>
    </row>
    <row r="45" spans="1:20" s="32" customFormat="1" x14ac:dyDescent="0.25">
      <c r="A45" s="135">
        <v>41344.979027777779</v>
      </c>
      <c r="B45" s="32" t="s">
        <v>140</v>
      </c>
      <c r="C45" s="80">
        <v>1</v>
      </c>
      <c r="D45" s="80"/>
      <c r="E45" s="80"/>
      <c r="F45" s="32" t="s">
        <v>101</v>
      </c>
      <c r="H45" s="32" t="s">
        <v>129</v>
      </c>
      <c r="I45" s="136" t="s">
        <v>140</v>
      </c>
      <c r="J45" s="34"/>
      <c r="K45" s="35" t="s">
        <v>130</v>
      </c>
      <c r="L45" s="17"/>
      <c r="M45" s="17"/>
      <c r="N45" s="81">
        <v>41344.97896990741</v>
      </c>
      <c r="O45" s="37"/>
      <c r="P45" s="32" t="s">
        <v>141</v>
      </c>
      <c r="Q45" s="37"/>
      <c r="R45" s="78"/>
    </row>
    <row r="46" spans="1:20" s="32" customFormat="1" x14ac:dyDescent="0.25">
      <c r="A46" s="79"/>
      <c r="B46" s="32" t="s">
        <v>142</v>
      </c>
      <c r="C46" s="80" t="s">
        <v>60</v>
      </c>
      <c r="D46" s="80"/>
      <c r="E46" s="80"/>
      <c r="H46" s="32" t="s">
        <v>129</v>
      </c>
      <c r="I46" s="136" t="s">
        <v>142</v>
      </c>
      <c r="J46" s="34"/>
      <c r="K46" s="35" t="s">
        <v>130</v>
      </c>
      <c r="L46" s="17"/>
      <c r="M46" s="17"/>
      <c r="N46" s="81"/>
      <c r="O46" s="37"/>
      <c r="P46" s="137"/>
      <c r="Q46" s="138"/>
      <c r="R46" s="139"/>
      <c r="S46" s="137"/>
      <c r="T46" s="137"/>
    </row>
    <row r="47" spans="1:20" s="32" customFormat="1" x14ac:dyDescent="0.25">
      <c r="A47" s="135">
        <v>41430.738321759258</v>
      </c>
      <c r="B47" s="32" t="s">
        <v>143</v>
      </c>
      <c r="C47" s="80">
        <v>1</v>
      </c>
      <c r="D47" s="80"/>
      <c r="E47" s="80"/>
      <c r="F47" s="32" t="s">
        <v>136</v>
      </c>
      <c r="H47" s="32" t="s">
        <v>129</v>
      </c>
      <c r="I47" s="136" t="s">
        <v>143</v>
      </c>
      <c r="J47" s="34"/>
      <c r="K47" s="35" t="s">
        <v>130</v>
      </c>
      <c r="L47" s="17"/>
      <c r="M47" s="17"/>
      <c r="N47" s="81">
        <v>41430.73814814815</v>
      </c>
      <c r="O47" s="140"/>
      <c r="P47" s="39" t="s">
        <v>144</v>
      </c>
      <c r="Q47" s="140"/>
      <c r="R47" s="78"/>
      <c r="S47" s="39"/>
      <c r="T47" s="39"/>
    </row>
    <row r="48" spans="1:20" s="142" customFormat="1" x14ac:dyDescent="0.25">
      <c r="A48" s="141"/>
      <c r="B48" s="142" t="s">
        <v>145</v>
      </c>
      <c r="C48" s="143" t="s">
        <v>146</v>
      </c>
      <c r="D48" s="143"/>
      <c r="E48" s="143"/>
      <c r="H48" s="142" t="s">
        <v>129</v>
      </c>
      <c r="I48" s="144" t="s">
        <v>147</v>
      </c>
      <c r="J48" s="145"/>
      <c r="K48" s="146" t="s">
        <v>130</v>
      </c>
      <c r="L48" s="147"/>
      <c r="M48" s="147"/>
      <c r="N48" s="148"/>
      <c r="O48" s="149"/>
      <c r="P48" s="150" t="s">
        <v>148</v>
      </c>
      <c r="Q48" s="151"/>
      <c r="R48" s="152"/>
      <c r="S48" s="150"/>
      <c r="T48" s="150"/>
    </row>
    <row r="49" spans="1:20" s="154" customFormat="1" x14ac:dyDescent="0.25">
      <c r="A49" s="153">
        <v>41499.705324074072</v>
      </c>
      <c r="B49" s="154" t="s">
        <v>149</v>
      </c>
      <c r="C49" s="155">
        <v>804</v>
      </c>
      <c r="D49" s="155"/>
      <c r="E49" s="155"/>
      <c r="F49" s="154" t="s">
        <v>101</v>
      </c>
      <c r="H49" s="154" t="s">
        <v>129</v>
      </c>
      <c r="I49" s="156" t="s">
        <v>149</v>
      </c>
      <c r="J49" s="157"/>
      <c r="K49" s="158" t="s">
        <v>130</v>
      </c>
      <c r="L49" s="159"/>
      <c r="M49" s="159"/>
      <c r="N49" s="160">
        <v>41499.704513888886</v>
      </c>
      <c r="O49" s="161"/>
      <c r="P49" s="162" t="s">
        <v>150</v>
      </c>
      <c r="Q49" s="163"/>
      <c r="R49" s="164"/>
      <c r="S49" s="162"/>
      <c r="T49" s="162"/>
    </row>
    <row r="50" spans="1:20" s="32" customFormat="1" x14ac:dyDescent="0.25">
      <c r="A50" s="135">
        <v>41502.225682870368</v>
      </c>
      <c r="B50" s="32" t="s">
        <v>151</v>
      </c>
      <c r="C50" s="80">
        <v>2</v>
      </c>
      <c r="D50" s="80"/>
      <c r="E50" s="80"/>
      <c r="F50" s="32" t="s">
        <v>152</v>
      </c>
      <c r="H50" s="32" t="s">
        <v>129</v>
      </c>
      <c r="I50" s="165" t="s">
        <v>151</v>
      </c>
      <c r="J50" s="34"/>
      <c r="K50" s="35" t="s">
        <v>130</v>
      </c>
      <c r="L50" s="17"/>
      <c r="M50" s="17"/>
      <c r="N50" s="81">
        <v>41502.225682870368</v>
      </c>
      <c r="O50" s="37"/>
      <c r="P50" s="162" t="s">
        <v>153</v>
      </c>
      <c r="Q50" s="163"/>
      <c r="R50" s="139"/>
      <c r="S50" s="137"/>
      <c r="T50" s="137"/>
    </row>
    <row r="51" spans="1:20" s="142" customFormat="1" x14ac:dyDescent="0.25">
      <c r="A51" s="166">
        <v>41502.225682870368</v>
      </c>
      <c r="B51" s="142" t="s">
        <v>154</v>
      </c>
      <c r="C51" s="143">
        <v>794</v>
      </c>
      <c r="D51" s="143"/>
      <c r="E51" s="143"/>
      <c r="F51" s="142" t="s">
        <v>155</v>
      </c>
      <c r="H51" s="142" t="s">
        <v>129</v>
      </c>
      <c r="I51" s="167" t="s">
        <v>154</v>
      </c>
      <c r="J51" s="145"/>
      <c r="K51" s="146" t="s">
        <v>130</v>
      </c>
      <c r="L51" s="147"/>
      <c r="M51" s="147"/>
      <c r="N51" s="148">
        <v>41502.225682870368</v>
      </c>
      <c r="O51" s="149"/>
      <c r="P51" s="137" t="s">
        <v>156</v>
      </c>
      <c r="Q51" s="138"/>
      <c r="R51" s="152"/>
      <c r="S51" s="150"/>
      <c r="T51" s="150"/>
    </row>
    <row r="52" spans="1:20" s="71" customFormat="1" x14ac:dyDescent="0.25">
      <c r="A52" s="168"/>
      <c r="B52" s="71" t="s">
        <v>157</v>
      </c>
      <c r="C52" s="169" t="s">
        <v>158</v>
      </c>
      <c r="D52" s="169"/>
      <c r="E52" s="169"/>
      <c r="H52" s="71" t="s">
        <v>129</v>
      </c>
      <c r="I52" s="170" t="s">
        <v>157</v>
      </c>
      <c r="J52" s="113"/>
      <c r="K52" s="68" t="s">
        <v>130</v>
      </c>
      <c r="L52" s="114"/>
      <c r="M52" s="114"/>
      <c r="N52" s="171"/>
      <c r="O52" s="70"/>
      <c r="P52" s="71" t="s">
        <v>159</v>
      </c>
      <c r="Q52" s="70"/>
      <c r="R52" s="172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41"/>
  <sheetViews>
    <sheetView tabSelected="1" zoomScale="90" zoomScaleNormal="90" workbookViewId="0">
      <pane ySplit="1" topLeftCell="A2" activePane="bottomLeft" state="frozen"/>
      <selection pane="bottomLeft" activeCell="B55" sqref="B55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3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41513.964236111111</v>
      </c>
      <c r="C1" s="3" t="s">
        <v>160</v>
      </c>
      <c r="D1" s="3"/>
      <c r="G1" s="174" t="s">
        <v>180</v>
      </c>
      <c r="H1" s="174"/>
      <c r="I1" s="174" t="s">
        <v>85</v>
      </c>
    </row>
    <row r="2" spans="1:15" ht="15" customHeight="1" thickBot="1" x14ac:dyDescent="0.35">
      <c r="B2" s="3"/>
    </row>
    <row r="3" spans="1:15" ht="15.75" customHeight="1" x14ac:dyDescent="0.25">
      <c r="E3" s="889" t="s">
        <v>161</v>
      </c>
      <c r="F3" s="891" t="s">
        <v>162</v>
      </c>
      <c r="G3" s="892"/>
      <c r="H3" s="892"/>
      <c r="I3" s="892"/>
      <c r="J3" s="893"/>
      <c r="K3" s="891" t="s">
        <v>163</v>
      </c>
      <c r="L3" s="892"/>
      <c r="M3" s="892"/>
      <c r="N3" s="892"/>
      <c r="O3" s="893"/>
    </row>
    <row r="4" spans="1:15" s="8" customFormat="1" ht="15.75" thickBot="1" x14ac:dyDescent="0.3">
      <c r="B4" s="9" t="s">
        <v>164</v>
      </c>
      <c r="C4" s="8" t="s">
        <v>165</v>
      </c>
      <c r="E4" s="890"/>
      <c r="F4" s="175">
        <v>1</v>
      </c>
      <c r="G4" s="176" t="s">
        <v>166</v>
      </c>
      <c r="H4" s="176" t="s">
        <v>167</v>
      </c>
      <c r="I4" s="176" t="s">
        <v>168</v>
      </c>
      <c r="J4" s="177" t="s">
        <v>60</v>
      </c>
      <c r="K4" s="175">
        <v>1</v>
      </c>
      <c r="L4" s="176" t="s">
        <v>166</v>
      </c>
      <c r="M4" s="176" t="s">
        <v>167</v>
      </c>
      <c r="N4" s="176" t="s">
        <v>168</v>
      </c>
      <c r="O4" s="177" t="s">
        <v>60</v>
      </c>
    </row>
    <row r="5" spans="1:15" s="8" customFormat="1" ht="6" customHeight="1" x14ac:dyDescent="0.25">
      <c r="A5" s="178"/>
      <c r="B5" s="179" t="s">
        <v>67</v>
      </c>
      <c r="C5" s="178"/>
      <c r="D5" s="178"/>
      <c r="E5" s="180"/>
      <c r="F5" s="181"/>
      <c r="G5" s="182"/>
      <c r="H5" s="182"/>
      <c r="I5" s="182"/>
      <c r="J5" s="183"/>
      <c r="K5" s="181"/>
      <c r="L5" s="182"/>
      <c r="M5" s="182"/>
      <c r="N5" s="182"/>
      <c r="O5" s="183"/>
    </row>
    <row r="6" spans="1:15" s="186" customFormat="1" x14ac:dyDescent="0.25">
      <c r="B6" s="916" t="s">
        <v>169</v>
      </c>
      <c r="E6" s="187"/>
      <c r="F6" s="188" t="s">
        <v>38</v>
      </c>
      <c r="G6" s="189"/>
      <c r="H6" s="189"/>
      <c r="I6" s="189"/>
      <c r="J6" s="190"/>
      <c r="K6" s="191" t="str">
        <f>TOCmatch!B8</f>
        <v>Платежи</v>
      </c>
      <c r="L6" s="189"/>
      <c r="M6" s="189"/>
      <c r="N6" s="189"/>
      <c r="O6" s="190"/>
    </row>
    <row r="7" spans="1:15" s="186" customFormat="1" outlineLevel="1" x14ac:dyDescent="0.25">
      <c r="A7" s="192">
        <v>41511.52611111111</v>
      </c>
      <c r="B7" s="193" t="s">
        <v>85</v>
      </c>
      <c r="C7" s="194" t="s">
        <v>67</v>
      </c>
      <c r="D7" s="195"/>
      <c r="E7" s="196" t="s">
        <v>170</v>
      </c>
      <c r="F7" s="197"/>
      <c r="G7" s="198"/>
      <c r="H7" s="199"/>
      <c r="I7" s="199"/>
      <c r="J7" s="200"/>
      <c r="K7" s="201" t="str">
        <f>K6</f>
        <v>Платежи</v>
      </c>
      <c r="O7" s="200"/>
    </row>
    <row r="8" spans="1:15" s="186" customFormat="1" outlineLevel="1" x14ac:dyDescent="0.25">
      <c r="A8" s="257">
        <v>41511.909733796296</v>
      </c>
      <c r="B8" s="195" t="s">
        <v>101</v>
      </c>
      <c r="C8" s="258" t="str">
        <f>B7</f>
        <v>InsMyCol</v>
      </c>
      <c r="D8" s="195"/>
      <c r="E8" s="196" t="s">
        <v>174</v>
      </c>
      <c r="F8" s="197"/>
      <c r="G8" s="198"/>
      <c r="H8" s="199"/>
      <c r="I8" s="199"/>
      <c r="J8" s="200"/>
      <c r="K8" s="201" t="str">
        <f>K6</f>
        <v>Платежи</v>
      </c>
      <c r="L8" s="202" t="str">
        <f>TOCmatch!B17</f>
        <v>SFacc</v>
      </c>
      <c r="M8" s="202" t="str">
        <f>TOCmatch!B14</f>
        <v>SF</v>
      </c>
      <c r="N8" s="202" t="str">
        <f>TOCmatch!B21</f>
        <v>SF_PA</v>
      </c>
      <c r="O8" s="200"/>
    </row>
    <row r="9" spans="1:15" s="186" customFormat="1" outlineLevel="1" x14ac:dyDescent="0.25">
      <c r="A9" s="257">
        <v>41511.909907407404</v>
      </c>
      <c r="B9" s="195" t="s">
        <v>59</v>
      </c>
      <c r="C9" s="258" t="str">
        <f>B8</f>
        <v>Adapt</v>
      </c>
      <c r="D9" s="195"/>
      <c r="E9" s="196" t="s">
        <v>174</v>
      </c>
      <c r="F9" s="863">
        <v>7</v>
      </c>
      <c r="G9" s="203"/>
      <c r="H9" s="199"/>
      <c r="I9" s="199"/>
      <c r="J9" s="200"/>
      <c r="K9" s="201" t="str">
        <f>K6</f>
        <v>Платежи</v>
      </c>
      <c r="L9" s="204"/>
      <c r="M9" s="199"/>
      <c r="N9" s="204"/>
      <c r="O9" s="200"/>
    </row>
    <row r="10" spans="1:15" s="189" customFormat="1" outlineLevel="1" x14ac:dyDescent="0.25">
      <c r="A10" s="333">
        <v>41511.944212962961</v>
      </c>
      <c r="B10" s="260" t="s">
        <v>173</v>
      </c>
      <c r="C10" s="258" t="str">
        <f>B9</f>
        <v>DateSort</v>
      </c>
      <c r="D10" s="207"/>
      <c r="E10" s="208" t="s">
        <v>174</v>
      </c>
      <c r="F10" s="201"/>
      <c r="G10" s="199"/>
      <c r="H10" s="199"/>
      <c r="I10" s="199"/>
      <c r="J10" s="200"/>
      <c r="K10" s="201" t="str">
        <f>K6</f>
        <v>Платежи</v>
      </c>
      <c r="L10" s="204"/>
      <c r="M10" s="199"/>
      <c r="N10" s="204"/>
      <c r="O10" s="200"/>
    </row>
    <row r="11" spans="1:15" outlineLevel="1" x14ac:dyDescent="0.25">
      <c r="A11" s="257">
        <v>41511.945671296293</v>
      </c>
      <c r="B11" s="195" t="s">
        <v>50</v>
      </c>
      <c r="C11" s="267" t="str">
        <f>B10</f>
        <v>PaymentPaint</v>
      </c>
      <c r="D11" s="207"/>
      <c r="E11" s="210" t="s">
        <v>174</v>
      </c>
      <c r="G11" s="204"/>
      <c r="H11" s="211"/>
      <c r="I11" s="211"/>
      <c r="J11" s="212"/>
      <c r="K11" s="201" t="str">
        <f>K6</f>
        <v>Платежи</v>
      </c>
      <c r="L11" s="204"/>
      <c r="M11" s="204"/>
      <c r="N11" s="202" t="str">
        <f>TOCmatch!B17</f>
        <v>SFacc</v>
      </c>
      <c r="O11" s="212"/>
    </row>
    <row r="12" spans="1:15" outlineLevel="1" x14ac:dyDescent="0.25">
      <c r="A12" s="257">
        <v>41511.945740740739</v>
      </c>
      <c r="B12" s="917" t="s">
        <v>1215</v>
      </c>
      <c r="C12" s="267" t="str">
        <f>B11</f>
        <v>AccPaint</v>
      </c>
      <c r="D12" s="207"/>
      <c r="E12" s="210" t="s">
        <v>174</v>
      </c>
      <c r="G12" s="204"/>
      <c r="H12" s="211"/>
      <c r="I12" s="211"/>
      <c r="J12" s="212"/>
      <c r="K12" s="201" t="str">
        <f>K6</f>
        <v>Платежи</v>
      </c>
      <c r="L12" s="204"/>
      <c r="M12" s="204"/>
      <c r="N12" s="204"/>
      <c r="O12" s="212"/>
    </row>
    <row r="13" spans="1:15" s="222" customFormat="1" outlineLevel="1" x14ac:dyDescent="0.25">
      <c r="A13" s="261">
        <v>41509.164409722223</v>
      </c>
      <c r="B13" s="215" t="s">
        <v>33</v>
      </c>
      <c r="C13" s="262"/>
      <c r="D13" s="215"/>
      <c r="E13" s="216"/>
      <c r="F13" s="217"/>
      <c r="G13" s="218"/>
      <c r="H13" s="218"/>
      <c r="I13" s="218"/>
      <c r="J13" s="219"/>
      <c r="K13" s="220"/>
      <c r="L13" s="221"/>
      <c r="M13" s="218"/>
      <c r="N13" s="221"/>
      <c r="O13" s="219"/>
    </row>
    <row r="14" spans="1:15" s="186" customFormat="1" x14ac:dyDescent="0.25">
      <c r="A14" s="223"/>
      <c r="B14" s="224" t="s">
        <v>169</v>
      </c>
      <c r="C14" s="225"/>
      <c r="D14" s="226"/>
      <c r="E14" s="227" t="s">
        <v>174</v>
      </c>
      <c r="F14" s="228" t="s">
        <v>46</v>
      </c>
      <c r="G14" s="226"/>
      <c r="H14" s="226"/>
      <c r="I14" s="226"/>
      <c r="J14" s="229"/>
      <c r="K14" s="230" t="str">
        <f>TOCmatch!B10</f>
        <v>Договоры</v>
      </c>
      <c r="L14" s="231"/>
      <c r="M14" s="226"/>
      <c r="N14" s="231"/>
      <c r="O14" s="229"/>
    </row>
    <row r="15" spans="1:15" s="32" customFormat="1" outlineLevel="1" x14ac:dyDescent="0.25">
      <c r="A15" s="192">
        <v>41510.319606481484</v>
      </c>
      <c r="B15" s="193" t="s">
        <v>85</v>
      </c>
      <c r="C15" s="194" t="s">
        <v>67</v>
      </c>
      <c r="D15" s="195"/>
      <c r="E15" s="196" t="s">
        <v>170</v>
      </c>
      <c r="F15" s="197"/>
      <c r="G15" s="198"/>
      <c r="H15" s="199"/>
      <c r="I15" s="199"/>
      <c r="J15" s="212"/>
      <c r="K15" s="201" t="str">
        <f>K14</f>
        <v>Договоры</v>
      </c>
      <c r="N15" s="211"/>
      <c r="O15" s="212"/>
    </row>
    <row r="16" spans="1:15" s="32" customFormat="1" outlineLevel="1" x14ac:dyDescent="0.25">
      <c r="A16" s="192">
        <v>41511.996388888889</v>
      </c>
      <c r="B16" s="193" t="s">
        <v>101</v>
      </c>
      <c r="C16" s="194" t="str">
        <f>B15</f>
        <v>InsMyCol</v>
      </c>
      <c r="D16" s="195"/>
      <c r="E16" s="196" t="s">
        <v>170</v>
      </c>
      <c r="F16" s="197"/>
      <c r="J16" s="212"/>
      <c r="K16" s="201" t="str">
        <f>K14</f>
        <v>Договоры</v>
      </c>
      <c r="L16" s="202" t="str">
        <f>TOCmatch!B17</f>
        <v>SFacc</v>
      </c>
      <c r="M16" s="202" t="str">
        <f>TOCmatch!B15</f>
        <v>SFD</v>
      </c>
      <c r="N16" s="211"/>
      <c r="O16" s="212"/>
    </row>
    <row r="17" spans="1:19" s="32" customFormat="1" outlineLevel="1" x14ac:dyDescent="0.25">
      <c r="A17" s="205">
        <v>41511.999849537038</v>
      </c>
      <c r="B17" s="193" t="s">
        <v>59</v>
      </c>
      <c r="C17" s="194" t="str">
        <f>B16</f>
        <v>Adapt</v>
      </c>
      <c r="D17" s="195"/>
      <c r="E17" s="196" t="s">
        <v>170</v>
      </c>
      <c r="F17" s="863">
        <v>12</v>
      </c>
      <c r="G17" s="203"/>
      <c r="H17" s="211"/>
      <c r="I17" s="211"/>
      <c r="J17" s="212"/>
      <c r="K17" s="201" t="str">
        <f>K14</f>
        <v>Договоры</v>
      </c>
      <c r="L17" s="211"/>
      <c r="M17" s="211"/>
      <c r="N17" s="211"/>
      <c r="O17" s="212"/>
    </row>
    <row r="18" spans="1:19" s="32" customFormat="1" outlineLevel="1" x14ac:dyDescent="0.25">
      <c r="A18" s="205">
        <v>41512.000208333331</v>
      </c>
      <c r="B18" s="206" t="s">
        <v>178</v>
      </c>
      <c r="C18" s="194" t="str">
        <f>B17</f>
        <v>DateSort</v>
      </c>
      <c r="D18" s="207"/>
      <c r="E18" s="233" t="s">
        <v>170</v>
      </c>
      <c r="F18" s="234"/>
      <c r="G18" s="211"/>
      <c r="H18" s="211"/>
      <c r="I18" s="211"/>
      <c r="J18" s="212"/>
      <c r="K18" s="201" t="str">
        <f>K14</f>
        <v>Договоры</v>
      </c>
      <c r="L18" s="202" t="str">
        <f>TOCmatch!B15</f>
        <v>SFD</v>
      </c>
      <c r="N18" s="211"/>
      <c r="O18" s="212"/>
    </row>
    <row r="19" spans="1:19" outlineLevel="1" x14ac:dyDescent="0.25">
      <c r="A19" s="192">
        <v>41512.000347222223</v>
      </c>
      <c r="B19" s="193" t="s">
        <v>50</v>
      </c>
      <c r="C19" s="194" t="str">
        <f>B18</f>
        <v>ContractPaint</v>
      </c>
      <c r="D19" s="207"/>
      <c r="E19" s="235" t="s">
        <v>170</v>
      </c>
      <c r="F19" s="232"/>
      <c r="G19" s="204"/>
      <c r="H19" s="211"/>
      <c r="I19" s="211"/>
      <c r="J19" s="212"/>
      <c r="K19" s="201" t="str">
        <f>K14</f>
        <v>Договоры</v>
      </c>
      <c r="L19" s="204"/>
      <c r="M19" s="204"/>
      <c r="N19" s="202" t="str">
        <f>TOCmatch!B17</f>
        <v>SFacc</v>
      </c>
      <c r="O19" s="212"/>
    </row>
    <row r="20" spans="1:19" outlineLevel="1" x14ac:dyDescent="0.25">
      <c r="A20" s="192">
        <v>41512.00037037037</v>
      </c>
      <c r="B20" s="860" t="s">
        <v>1215</v>
      </c>
      <c r="C20" s="209" t="str">
        <f>B19</f>
        <v>AccPaint</v>
      </c>
      <c r="D20" s="207"/>
      <c r="E20" s="210" t="s">
        <v>170</v>
      </c>
      <c r="G20" s="204"/>
      <c r="H20" s="211"/>
      <c r="I20" s="211"/>
      <c r="J20" s="212"/>
      <c r="K20" s="201" t="str">
        <f>K14</f>
        <v>Договоры</v>
      </c>
      <c r="L20" s="204"/>
      <c r="M20" s="204"/>
      <c r="N20" s="204"/>
      <c r="O20" s="212"/>
    </row>
    <row r="21" spans="1:19" s="222" customFormat="1" outlineLevel="1" x14ac:dyDescent="0.25">
      <c r="A21" s="213">
        <v>41509.162106481483</v>
      </c>
      <c r="B21" s="214" t="s">
        <v>33</v>
      </c>
      <c r="C21" s="262"/>
      <c r="D21" s="215"/>
      <c r="E21" s="216" t="s">
        <v>174</v>
      </c>
      <c r="F21" s="217"/>
      <c r="G21" s="218"/>
      <c r="H21" s="218"/>
      <c r="I21" s="218"/>
      <c r="J21" s="219"/>
      <c r="K21" s="220"/>
      <c r="L21" s="221"/>
      <c r="M21" s="218"/>
      <c r="N21" s="221"/>
      <c r="O21" s="219"/>
    </row>
    <row r="22" spans="1:19" s="186" customFormat="1" x14ac:dyDescent="0.25">
      <c r="A22" s="223"/>
      <c r="B22" s="224" t="s">
        <v>169</v>
      </c>
      <c r="C22" s="225"/>
      <c r="D22" s="226"/>
      <c r="E22" s="227"/>
      <c r="F22" s="236" t="s">
        <v>55</v>
      </c>
      <c r="G22" s="226"/>
      <c r="H22" s="226"/>
      <c r="I22" s="226"/>
      <c r="J22" s="229"/>
      <c r="K22" s="230" t="s">
        <v>49</v>
      </c>
      <c r="L22" s="231"/>
      <c r="M22" s="226"/>
      <c r="N22" s="231"/>
      <c r="O22" s="229"/>
    </row>
    <row r="23" spans="1:19" s="186" customFormat="1" outlineLevel="1" x14ac:dyDescent="0.25">
      <c r="A23" s="192">
        <v>41512.167847222219</v>
      </c>
      <c r="B23" s="193" t="s">
        <v>179</v>
      </c>
      <c r="C23" s="194" t="s">
        <v>67</v>
      </c>
      <c r="D23" s="207"/>
      <c r="E23" s="196" t="s">
        <v>170</v>
      </c>
      <c r="F23" s="232"/>
      <c r="G23" s="203"/>
      <c r="H23" s="199"/>
      <c r="I23" s="199"/>
      <c r="J23" s="200"/>
      <c r="K23" s="201" t="str">
        <f>K22</f>
        <v>Список клиентов 1C</v>
      </c>
      <c r="L23" s="204"/>
      <c r="M23" s="199"/>
      <c r="N23" s="204"/>
      <c r="O23" s="200"/>
    </row>
    <row r="24" spans="1:19" s="32" customFormat="1" outlineLevel="1" x14ac:dyDescent="0.25">
      <c r="A24" s="192">
        <v>41512.168958333335</v>
      </c>
      <c r="B24" s="193" t="s">
        <v>85</v>
      </c>
      <c r="C24" s="237" t="str">
        <f>B23</f>
        <v>Acc1C_Bottom</v>
      </c>
      <c r="D24" s="195"/>
      <c r="E24" s="196" t="s">
        <v>170</v>
      </c>
      <c r="F24" s="201"/>
      <c r="G24" s="204"/>
      <c r="H24" s="199"/>
      <c r="I24" s="199"/>
      <c r="J24" s="212"/>
      <c r="K24" s="201" t="str">
        <f>K22</f>
        <v>Список клиентов 1C</v>
      </c>
      <c r="L24" s="211"/>
      <c r="M24" s="211"/>
      <c r="O24" s="212"/>
    </row>
    <row r="25" spans="1:19" s="32" customFormat="1" outlineLevel="1" x14ac:dyDescent="0.25">
      <c r="A25" s="192">
        <v>41512.169791666667</v>
      </c>
      <c r="B25" s="193" t="s">
        <v>101</v>
      </c>
      <c r="C25" s="237" t="str">
        <f>B24</f>
        <v>InsMyCol</v>
      </c>
      <c r="D25" s="195"/>
      <c r="E25" s="196" t="s">
        <v>170</v>
      </c>
      <c r="F25" s="201"/>
      <c r="G25" s="204"/>
      <c r="H25" s="199"/>
      <c r="I25" s="199"/>
      <c r="J25" s="212"/>
      <c r="K25" s="201" t="str">
        <f>K22</f>
        <v>Список клиентов 1C</v>
      </c>
      <c r="L25" s="211"/>
      <c r="M25" s="211"/>
      <c r="N25" s="202" t="str">
        <f>TOCmatch!B17</f>
        <v>SFacc</v>
      </c>
      <c r="O25" s="212"/>
    </row>
    <row r="26" spans="1:19" outlineLevel="1" x14ac:dyDescent="0.25">
      <c r="A26" s="192">
        <v>41512.171620370369</v>
      </c>
      <c r="B26" s="193" t="s">
        <v>50</v>
      </c>
      <c r="C26" s="237" t="str">
        <f>B25</f>
        <v>Adapt</v>
      </c>
      <c r="D26" s="207"/>
      <c r="E26" s="235" t="s">
        <v>170</v>
      </c>
      <c r="F26" s="201"/>
      <c r="G26" s="204"/>
      <c r="H26" s="211"/>
      <c r="I26" s="211"/>
      <c r="J26" s="212"/>
      <c r="K26" s="201" t="str">
        <f>K22</f>
        <v>Список клиентов 1C</v>
      </c>
      <c r="L26" s="204"/>
      <c r="M26" s="204"/>
      <c r="N26" s="202" t="str">
        <f>TOCmatch!B17</f>
        <v>SFacc</v>
      </c>
      <c r="O26" s="212"/>
    </row>
    <row r="27" spans="1:19" s="245" customFormat="1" ht="15.75" outlineLevel="1" thickBot="1" x14ac:dyDescent="0.3">
      <c r="A27" s="880">
        <v>41507.01185185185</v>
      </c>
      <c r="B27" s="881" t="s">
        <v>33</v>
      </c>
      <c r="C27" s="875"/>
      <c r="D27" s="238"/>
      <c r="E27" s="239" t="s">
        <v>170</v>
      </c>
      <c r="F27" s="240"/>
      <c r="G27" s="241"/>
      <c r="H27" s="241"/>
      <c r="I27" s="241"/>
      <c r="J27" s="242"/>
      <c r="K27" s="243"/>
      <c r="L27" s="244"/>
      <c r="M27" s="241"/>
      <c r="N27" s="244"/>
      <c r="O27" s="242"/>
    </row>
    <row r="28" spans="1:19" s="186" customFormat="1" ht="15.75" thickTop="1" x14ac:dyDescent="0.25">
      <c r="A28" s="272"/>
      <c r="B28" s="273" t="s">
        <v>169</v>
      </c>
      <c r="C28" s="274"/>
      <c r="D28" s="249"/>
      <c r="E28" s="250" t="s">
        <v>174</v>
      </c>
      <c r="F28" s="251" t="s">
        <v>180</v>
      </c>
      <c r="G28" s="249"/>
      <c r="H28" s="249"/>
      <c r="I28" s="249"/>
      <c r="J28" s="252"/>
      <c r="K28" s="253" t="str">
        <f>TOCmatch!B14</f>
        <v>SF</v>
      </c>
      <c r="L28" s="254"/>
      <c r="M28" s="249"/>
      <c r="N28" s="254"/>
      <c r="O28" s="252"/>
    </row>
    <row r="29" spans="1:19" outlineLevel="1" x14ac:dyDescent="0.25">
      <c r="A29" s="257">
        <v>41511.587175925924</v>
      </c>
      <c r="B29" s="195" t="s">
        <v>85</v>
      </c>
      <c r="C29" s="258" t="s">
        <v>67</v>
      </c>
      <c r="D29" s="195"/>
      <c r="E29" s="196" t="s">
        <v>174</v>
      </c>
      <c r="F29" s="201"/>
      <c r="G29" s="204"/>
      <c r="H29" s="211"/>
      <c r="I29" s="211"/>
      <c r="J29" s="255"/>
      <c r="K29" s="201" t="str">
        <f>K28</f>
        <v>SF</v>
      </c>
      <c r="L29" s="211"/>
      <c r="M29" s="211"/>
      <c r="N29" s="211"/>
      <c r="O29" s="255"/>
    </row>
    <row r="30" spans="1:19" outlineLevel="1" x14ac:dyDescent="0.25">
      <c r="A30" s="257">
        <v>41511.643101851849</v>
      </c>
      <c r="B30" s="260" t="s">
        <v>183</v>
      </c>
      <c r="C30" s="39" t="str">
        <f>B29</f>
        <v>InsMyCol</v>
      </c>
      <c r="D30" s="207"/>
      <c r="E30" s="235" t="s">
        <v>174</v>
      </c>
      <c r="F30" s="201" t="str">
        <f>F6</f>
        <v>LOAD_1C_P</v>
      </c>
      <c r="G30" s="204"/>
      <c r="H30" s="211"/>
      <c r="I30" s="211"/>
      <c r="J30" s="255"/>
      <c r="K30" s="201" t="str">
        <f>TOCmatch!B8</f>
        <v>Платежи</v>
      </c>
      <c r="L30" s="211" t="str">
        <f>K28</f>
        <v>SF</v>
      </c>
      <c r="M30" s="211"/>
      <c r="N30" s="211"/>
      <c r="O30" s="255"/>
    </row>
    <row r="31" spans="1:19" outlineLevel="1" x14ac:dyDescent="0.25">
      <c r="A31" s="257">
        <v>41511.65289351852</v>
      </c>
      <c r="B31" s="195" t="s">
        <v>101</v>
      </c>
      <c r="C31" s="918" t="str">
        <f>B30</f>
        <v>ProcStart</v>
      </c>
      <c r="D31" s="211"/>
      <c r="E31" s="235" t="s">
        <v>174</v>
      </c>
      <c r="F31" s="201"/>
      <c r="G31" s="204"/>
      <c r="H31" s="211"/>
      <c r="I31" s="211"/>
      <c r="J31" s="255"/>
      <c r="K31" s="201" t="str">
        <f>K28</f>
        <v>SF</v>
      </c>
      <c r="L31" s="211" t="str">
        <f>TOCmatch!B8</f>
        <v>Платежи</v>
      </c>
      <c r="M31" s="211"/>
      <c r="N31" s="211"/>
      <c r="O31" s="255"/>
      <c r="S31" s="2" t="str">
        <f>B29 &amp; ", " &amp; F6 &amp; "/" &amp; B12</f>
        <v>InsMyCol, LOAD_1C_P/MergeReps</v>
      </c>
    </row>
    <row r="32" spans="1:19" outlineLevel="1" x14ac:dyDescent="0.25">
      <c r="A32" s="257">
        <v>41511.652905092589</v>
      </c>
      <c r="B32" s="195" t="s">
        <v>59</v>
      </c>
      <c r="C32" s="258"/>
      <c r="D32" s="195"/>
      <c r="E32" s="196" t="s">
        <v>174</v>
      </c>
      <c r="F32" s="864">
        <v>5</v>
      </c>
      <c r="G32" s="204"/>
      <c r="H32" s="211"/>
      <c r="I32" s="211"/>
      <c r="J32" s="212"/>
      <c r="K32" s="201" t="str">
        <f>K28</f>
        <v>SF</v>
      </c>
      <c r="L32" s="211"/>
      <c r="M32" s="211"/>
      <c r="N32" s="211"/>
      <c r="O32" s="212"/>
    </row>
    <row r="33" spans="1:15" outlineLevel="1" x14ac:dyDescent="0.25">
      <c r="A33" s="257">
        <v>41511.654467592591</v>
      </c>
      <c r="B33" s="917" t="s">
        <v>1235</v>
      </c>
      <c r="C33" s="258"/>
      <c r="D33" s="195"/>
      <c r="E33" s="196" t="s">
        <v>174</v>
      </c>
      <c r="F33" s="259"/>
      <c r="G33" s="204"/>
      <c r="H33" s="211"/>
      <c r="I33" s="211"/>
      <c r="J33" s="212"/>
      <c r="K33" s="201" t="str">
        <f>K28</f>
        <v>SF</v>
      </c>
      <c r="L33" s="211"/>
      <c r="M33" s="211"/>
      <c r="N33" s="211"/>
      <c r="O33" s="212"/>
    </row>
    <row r="34" spans="1:15" s="222" customFormat="1" outlineLevel="1" x14ac:dyDescent="0.25">
      <c r="A34" s="261">
        <v>41509.160416666666</v>
      </c>
      <c r="B34" s="215" t="s">
        <v>33</v>
      </c>
      <c r="C34" s="262"/>
      <c r="D34" s="215"/>
      <c r="E34" s="216" t="s">
        <v>174</v>
      </c>
      <c r="F34" s="217"/>
      <c r="G34" s="218"/>
      <c r="H34" s="218"/>
      <c r="I34" s="218"/>
      <c r="J34" s="219"/>
      <c r="K34" s="220" t="str">
        <f>K28</f>
        <v>SF</v>
      </c>
      <c r="L34" s="221"/>
      <c r="M34" s="218"/>
      <c r="N34" s="221"/>
      <c r="O34" s="219"/>
    </row>
    <row r="35" spans="1:15" s="186" customFormat="1" x14ac:dyDescent="0.25">
      <c r="A35" s="223"/>
      <c r="B35" s="224" t="s">
        <v>169</v>
      </c>
      <c r="C35" s="225"/>
      <c r="D35" s="226"/>
      <c r="E35" s="227" t="s">
        <v>174</v>
      </c>
      <c r="F35" s="228" t="s">
        <v>184</v>
      </c>
      <c r="G35" s="226"/>
      <c r="H35" s="226"/>
      <c r="I35" s="226"/>
      <c r="J35" s="229"/>
      <c r="K35" s="230" t="s">
        <v>63</v>
      </c>
      <c r="L35" s="231"/>
      <c r="M35" s="226"/>
      <c r="N35" s="231"/>
      <c r="O35" s="229"/>
    </row>
    <row r="36" spans="1:15" outlineLevel="1" x14ac:dyDescent="0.25">
      <c r="A36" s="192">
        <v>41507.004999999997</v>
      </c>
      <c r="B36" s="193" t="s">
        <v>85</v>
      </c>
      <c r="C36" s="194" t="s">
        <v>67</v>
      </c>
      <c r="D36" s="195"/>
      <c r="E36" s="196" t="s">
        <v>170</v>
      </c>
      <c r="F36" s="201"/>
      <c r="G36" s="204"/>
      <c r="H36" s="211"/>
      <c r="I36" s="211"/>
      <c r="J36" s="255"/>
      <c r="K36" s="256" t="s">
        <v>63</v>
      </c>
      <c r="M36" s="211"/>
      <c r="N36" s="211"/>
      <c r="O36" s="255"/>
    </row>
    <row r="37" spans="1:15" outlineLevel="1" x14ac:dyDescent="0.25">
      <c r="A37" s="192">
        <v>41513.964224537034</v>
      </c>
      <c r="B37" s="193" t="s">
        <v>101</v>
      </c>
      <c r="C37" s="194" t="str">
        <f>B36</f>
        <v>InsMyCol</v>
      </c>
      <c r="D37" s="195"/>
      <c r="E37" s="196" t="s">
        <v>170</v>
      </c>
      <c r="F37" s="201"/>
      <c r="G37" s="204"/>
      <c r="H37" s="211"/>
      <c r="I37" s="211"/>
      <c r="J37" s="255"/>
      <c r="K37" s="256" t="s">
        <v>63</v>
      </c>
      <c r="L37" s="207" t="s">
        <v>41</v>
      </c>
      <c r="M37" s="211"/>
      <c r="N37" s="202" t="s">
        <v>69</v>
      </c>
      <c r="O37" s="255"/>
    </row>
    <row r="38" spans="1:15" outlineLevel="1" x14ac:dyDescent="0.25">
      <c r="A38" s="192">
        <v>41513.964236111111</v>
      </c>
      <c r="B38" s="193" t="s">
        <v>59</v>
      </c>
      <c r="C38" s="194" t="str">
        <f>B37</f>
        <v>Adapt</v>
      </c>
      <c r="D38" s="195"/>
      <c r="E38" s="196" t="s">
        <v>170</v>
      </c>
      <c r="F38" s="874">
        <v>8</v>
      </c>
      <c r="G38" s="204"/>
      <c r="H38" s="211"/>
      <c r="I38" s="211"/>
      <c r="J38" s="212"/>
      <c r="K38" s="256" t="s">
        <v>63</v>
      </c>
      <c r="L38" s="211"/>
      <c r="M38" s="211"/>
      <c r="N38" s="211"/>
      <c r="O38" s="212"/>
    </row>
    <row r="39" spans="1:15" outlineLevel="1" x14ac:dyDescent="0.25">
      <c r="A39" s="257">
        <v>41507.005196759259</v>
      </c>
      <c r="B39" s="260" t="s">
        <v>183</v>
      </c>
      <c r="C39" s="39" t="str">
        <f>B38</f>
        <v>DateSort</v>
      </c>
      <c r="D39" s="207"/>
      <c r="E39" s="235" t="s">
        <v>174</v>
      </c>
      <c r="F39" s="201" t="str">
        <f>F14</f>
        <v>LOAD_1C_DOG</v>
      </c>
      <c r="G39" s="204"/>
      <c r="H39" s="211"/>
      <c r="I39" s="211"/>
      <c r="J39" s="255"/>
      <c r="K39" s="256" t="s">
        <v>41</v>
      </c>
      <c r="L39" s="211"/>
      <c r="M39" s="211"/>
      <c r="N39" s="211"/>
      <c r="O39" s="255"/>
    </row>
    <row r="40" spans="1:15" s="222" customFormat="1" outlineLevel="1" x14ac:dyDescent="0.25">
      <c r="A40" s="213">
        <v>41507.005196759259</v>
      </c>
      <c r="B40" s="214" t="s">
        <v>33</v>
      </c>
      <c r="C40" s="262"/>
      <c r="D40" s="215"/>
      <c r="E40" s="216" t="s">
        <v>170</v>
      </c>
      <c r="F40" s="217"/>
      <c r="G40" s="218"/>
      <c r="H40" s="218"/>
      <c r="I40" s="218"/>
      <c r="J40" s="219"/>
      <c r="K40" s="220"/>
      <c r="L40" s="221"/>
      <c r="M40" s="218"/>
      <c r="N40" s="221"/>
      <c r="O40" s="219"/>
    </row>
    <row r="41" spans="1:15" s="186" customFormat="1" x14ac:dyDescent="0.25">
      <c r="A41" s="223"/>
      <c r="B41" s="876" t="s">
        <v>169</v>
      </c>
      <c r="C41" s="225"/>
      <c r="D41" s="226"/>
      <c r="E41" s="227" t="s">
        <v>174</v>
      </c>
      <c r="F41" s="228" t="s">
        <v>188</v>
      </c>
      <c r="G41" s="226"/>
      <c r="H41" s="226"/>
      <c r="I41" s="226"/>
      <c r="J41" s="229"/>
      <c r="K41" s="230" t="s">
        <v>69</v>
      </c>
      <c r="L41" s="231"/>
      <c r="M41" s="226"/>
      <c r="N41" s="231"/>
      <c r="O41" s="229"/>
    </row>
    <row r="42" spans="1:15" s="186" customFormat="1" outlineLevel="1" x14ac:dyDescent="0.25">
      <c r="A42" s="205">
        <v>41511.808900462966</v>
      </c>
      <c r="B42" s="873" t="s">
        <v>1257</v>
      </c>
      <c r="C42" s="872"/>
      <c r="D42" s="199"/>
      <c r="E42" s="208" t="s">
        <v>170</v>
      </c>
      <c r="F42" s="874">
        <v>2</v>
      </c>
      <c r="G42" s="199"/>
      <c r="H42" s="199"/>
      <c r="I42" s="199"/>
      <c r="J42" s="200"/>
      <c r="K42" s="201" t="str">
        <f>K41</f>
        <v>SFacc</v>
      </c>
      <c r="L42" s="204"/>
      <c r="M42" s="199"/>
      <c r="N42" s="204"/>
      <c r="O42" s="200"/>
    </row>
    <row r="43" spans="1:15" outlineLevel="1" x14ac:dyDescent="0.25">
      <c r="A43" s="192">
        <v>41511.983425925922</v>
      </c>
      <c r="B43" s="193" t="s">
        <v>183</v>
      </c>
      <c r="C43" s="194"/>
      <c r="D43" s="207"/>
      <c r="E43" s="235" t="s">
        <v>170</v>
      </c>
      <c r="F43" s="201" t="str">
        <f>F6</f>
        <v>LOAD_1C_P</v>
      </c>
      <c r="G43" s="204"/>
      <c r="H43" s="211"/>
      <c r="I43" s="211"/>
      <c r="J43" s="212"/>
      <c r="K43" s="201" t="str">
        <f>K41</f>
        <v>SFacc</v>
      </c>
      <c r="L43" s="204"/>
      <c r="M43" s="204"/>
      <c r="N43" s="211"/>
      <c r="O43" s="212"/>
    </row>
    <row r="44" spans="1:15" outlineLevel="1" x14ac:dyDescent="0.25">
      <c r="A44" s="257">
        <v>41507.011805555558</v>
      </c>
      <c r="B44" s="195" t="s">
        <v>183</v>
      </c>
      <c r="C44" s="258"/>
      <c r="D44" s="207"/>
      <c r="E44" s="235" t="s">
        <v>174</v>
      </c>
      <c r="F44" s="201" t="str">
        <f>F14</f>
        <v>LOAD_1C_DOG</v>
      </c>
      <c r="G44" s="204"/>
      <c r="H44" s="211"/>
      <c r="I44" s="211"/>
      <c r="J44" s="212"/>
      <c r="K44" s="201" t="str">
        <f>K41</f>
        <v>SFacc</v>
      </c>
      <c r="L44" s="204"/>
      <c r="M44" s="204"/>
      <c r="N44" s="211"/>
      <c r="O44" s="212"/>
    </row>
    <row r="45" spans="1:15" outlineLevel="1" x14ac:dyDescent="0.25">
      <c r="A45" s="257">
        <v>41507.01185185185</v>
      </c>
      <c r="B45" s="195" t="s">
        <v>183</v>
      </c>
      <c r="C45" s="258"/>
      <c r="D45" s="207"/>
      <c r="E45" s="235" t="s">
        <v>174</v>
      </c>
      <c r="F45" s="201" t="str">
        <f>F22</f>
        <v>LOAD_1C_ACC</v>
      </c>
      <c r="G45" s="204"/>
      <c r="H45" s="211"/>
      <c r="I45" s="211"/>
      <c r="J45" s="212"/>
      <c r="K45" s="201" t="str">
        <f>K41</f>
        <v>SFacc</v>
      </c>
      <c r="L45" s="204"/>
      <c r="M45" s="204"/>
      <c r="N45" s="211"/>
      <c r="O45" s="212"/>
    </row>
    <row r="46" spans="1:15" s="245" customFormat="1" ht="15.75" outlineLevel="1" thickBot="1" x14ac:dyDescent="0.3">
      <c r="A46" s="301">
        <v>41507.01185185185</v>
      </c>
      <c r="B46" s="238" t="s">
        <v>33</v>
      </c>
      <c r="C46" s="875"/>
      <c r="D46" s="238"/>
      <c r="E46" s="239" t="s">
        <v>170</v>
      </c>
      <c r="F46" s="240"/>
      <c r="G46" s="241"/>
      <c r="H46" s="241"/>
      <c r="I46" s="241"/>
      <c r="J46" s="242"/>
      <c r="K46" s="243"/>
      <c r="L46" s="244"/>
      <c r="M46" s="241"/>
      <c r="N46" s="244"/>
      <c r="O46" s="242"/>
    </row>
    <row r="47" spans="1:15" s="186" customFormat="1" ht="16.5" thickTop="1" thickBot="1" x14ac:dyDescent="0.3">
      <c r="B47" s="105" t="s">
        <v>169</v>
      </c>
      <c r="E47" s="187"/>
      <c r="F47" s="188" t="s">
        <v>105</v>
      </c>
      <c r="G47" s="189"/>
      <c r="H47" s="189"/>
      <c r="I47" s="189"/>
      <c r="J47" s="190"/>
      <c r="K47" s="191" t="s">
        <v>100</v>
      </c>
      <c r="L47" s="189"/>
      <c r="M47" s="189"/>
      <c r="N47" s="189"/>
      <c r="O47" s="190"/>
    </row>
    <row r="48" spans="1:15" s="186" customFormat="1" ht="15.75" hidden="1" outlineLevel="1" thickBot="1" x14ac:dyDescent="0.3">
      <c r="A48" s="192">
        <v>41473.017916666664</v>
      </c>
      <c r="B48" s="193" t="s">
        <v>189</v>
      </c>
      <c r="C48" s="194" t="s">
        <v>67</v>
      </c>
      <c r="D48" s="195"/>
      <c r="E48" s="196" t="s">
        <v>170</v>
      </c>
      <c r="F48" s="266" t="s">
        <v>190</v>
      </c>
      <c r="G48" s="203"/>
      <c r="H48" s="199"/>
      <c r="I48" s="199"/>
      <c r="J48" s="200"/>
      <c r="K48" s="201" t="str">
        <f>K47</f>
        <v>Заказы</v>
      </c>
      <c r="L48" s="204"/>
      <c r="M48" s="199"/>
      <c r="N48" s="204"/>
      <c r="O48" s="200"/>
    </row>
    <row r="49" spans="1:15" s="186" customFormat="1" ht="15.75" hidden="1" outlineLevel="1" thickBot="1" x14ac:dyDescent="0.3">
      <c r="A49" s="192">
        <v>41473.017928240741</v>
      </c>
      <c r="B49" s="193" t="s">
        <v>85</v>
      </c>
      <c r="C49" s="209" t="str">
        <f>B48</f>
        <v>RowDel</v>
      </c>
      <c r="D49" s="195"/>
      <c r="E49" s="196" t="s">
        <v>170</v>
      </c>
      <c r="F49" s="201" t="s">
        <v>191</v>
      </c>
      <c r="G49" s="198"/>
      <c r="H49" s="199"/>
      <c r="I49" s="199"/>
      <c r="J49" s="200"/>
      <c r="K49" s="201" t="str">
        <f>K47</f>
        <v>Заказы</v>
      </c>
      <c r="L49" s="204"/>
      <c r="M49" s="199"/>
      <c r="N49" s="204"/>
      <c r="O49" s="200"/>
    </row>
    <row r="50" spans="1:15" s="186" customFormat="1" ht="15.75" hidden="1" outlineLevel="1" thickBot="1" x14ac:dyDescent="0.3">
      <c r="A50" s="257">
        <v>41506.983391203707</v>
      </c>
      <c r="B50" s="195" t="s">
        <v>101</v>
      </c>
      <c r="C50" s="267" t="str">
        <f>B49</f>
        <v>InsMyCol</v>
      </c>
      <c r="D50" s="195"/>
      <c r="E50" s="196" t="s">
        <v>174</v>
      </c>
      <c r="F50" s="188" t="s">
        <v>191</v>
      </c>
      <c r="G50" s="203"/>
      <c r="H50" s="203"/>
      <c r="I50" s="203"/>
      <c r="J50" s="268"/>
      <c r="K50" s="201" t="str">
        <f>K48</f>
        <v>Заказы</v>
      </c>
      <c r="L50" s="204" t="s">
        <v>32</v>
      </c>
      <c r="M50" s="199"/>
      <c r="N50" s="202" t="s">
        <v>80</v>
      </c>
      <c r="O50" s="200"/>
    </row>
    <row r="51" spans="1:15" s="222" customFormat="1" ht="15.75" hidden="1" outlineLevel="1" thickBot="1" x14ac:dyDescent="0.3">
      <c r="A51" s="261">
        <v>41506.983391203707</v>
      </c>
      <c r="B51" s="215" t="s">
        <v>33</v>
      </c>
      <c r="C51" s="262"/>
      <c r="D51" s="215"/>
      <c r="E51" s="216" t="s">
        <v>170</v>
      </c>
      <c r="F51" s="217"/>
      <c r="G51" s="218"/>
      <c r="H51" s="218"/>
      <c r="I51" s="218"/>
      <c r="J51" s="219"/>
      <c r="K51" s="220"/>
      <c r="L51" s="221"/>
      <c r="M51" s="218"/>
      <c r="N51" s="221"/>
      <c r="O51" s="219"/>
    </row>
    <row r="52" spans="1:15" s="186" customFormat="1" ht="16.5" collapsed="1" thickTop="1" thickBot="1" x14ac:dyDescent="0.3">
      <c r="A52" s="184"/>
      <c r="B52" s="185" t="s">
        <v>169</v>
      </c>
      <c r="C52" s="184"/>
      <c r="E52" s="269" t="s">
        <v>66</v>
      </c>
      <c r="F52" s="188" t="s">
        <v>89</v>
      </c>
      <c r="G52" s="189"/>
      <c r="H52" s="189"/>
      <c r="I52" s="189"/>
      <c r="J52" s="190"/>
      <c r="K52" s="191" t="s">
        <v>83</v>
      </c>
      <c r="L52" s="189"/>
      <c r="M52" s="189"/>
      <c r="N52" s="189"/>
      <c r="O52" s="190"/>
    </row>
    <row r="53" spans="1:15" s="186" customFormat="1" ht="15.75" hidden="1" outlineLevel="1" thickTop="1" x14ac:dyDescent="0.25">
      <c r="A53" s="192">
        <v>41369.796759259261</v>
      </c>
      <c r="B53" s="193" t="s">
        <v>189</v>
      </c>
      <c r="C53" s="194" t="s">
        <v>67</v>
      </c>
      <c r="D53" s="195"/>
      <c r="E53" s="196" t="s">
        <v>170</v>
      </c>
      <c r="F53" s="266" t="s">
        <v>192</v>
      </c>
      <c r="G53" s="203"/>
      <c r="H53" s="199"/>
      <c r="I53" s="199"/>
      <c r="J53" s="200"/>
      <c r="K53" s="270" t="str">
        <f>K52</f>
        <v>Склад</v>
      </c>
      <c r="L53" s="204"/>
      <c r="M53" s="199"/>
      <c r="N53" s="204"/>
      <c r="O53" s="200"/>
    </row>
    <row r="54" spans="1:15" s="186" customFormat="1" ht="15.75" hidden="1" outlineLevel="1" thickTop="1" x14ac:dyDescent="0.25">
      <c r="A54" s="192">
        <v>41369.796909722223</v>
      </c>
      <c r="B54" s="193" t="s">
        <v>85</v>
      </c>
      <c r="C54" s="209" t="str">
        <f>B53</f>
        <v>RowDel</v>
      </c>
      <c r="D54" s="195"/>
      <c r="E54" s="196" t="s">
        <v>170</v>
      </c>
      <c r="F54" s="201" t="s">
        <v>193</v>
      </c>
      <c r="G54" s="203"/>
      <c r="H54" s="199"/>
      <c r="I54" s="199"/>
      <c r="J54" s="200"/>
      <c r="K54" s="201" t="str">
        <f>K52</f>
        <v>Склад</v>
      </c>
      <c r="L54" s="204"/>
      <c r="M54" s="199"/>
      <c r="N54" s="204"/>
      <c r="O54" s="200"/>
    </row>
    <row r="55" spans="1:15" s="186" customFormat="1" ht="16.5" collapsed="1" thickTop="1" thickBot="1" x14ac:dyDescent="0.3">
      <c r="A55" s="257"/>
      <c r="B55" s="195" t="s">
        <v>194</v>
      </c>
      <c r="C55" s="271"/>
      <c r="D55" s="195"/>
      <c r="E55" s="196" t="s">
        <v>174</v>
      </c>
      <c r="F55" s="266" t="s">
        <v>170</v>
      </c>
      <c r="G55" s="203" t="s">
        <v>195</v>
      </c>
      <c r="H55" s="199"/>
      <c r="I55" s="199"/>
      <c r="J55" s="200"/>
      <c r="K55" s="201"/>
      <c r="L55" s="204"/>
      <c r="M55" s="199"/>
      <c r="N55" s="204"/>
      <c r="O55" s="200"/>
    </row>
    <row r="56" spans="1:15" s="186" customFormat="1" ht="15.75" hidden="1" outlineLevel="1" thickBot="1" x14ac:dyDescent="0.3">
      <c r="A56" s="257">
        <v>41249.044224537036</v>
      </c>
      <c r="B56" s="195" t="s">
        <v>101</v>
      </c>
      <c r="C56" s="267" t="str">
        <f>B54</f>
        <v>InsMyCol</v>
      </c>
      <c r="D56" s="195"/>
      <c r="E56" s="196" t="s">
        <v>174</v>
      </c>
      <c r="F56" s="188" t="str">
        <f>F54</f>
        <v>Stock_MyCol</v>
      </c>
      <c r="G56" s="203"/>
      <c r="H56" s="199"/>
      <c r="I56" s="199"/>
      <c r="J56" s="200"/>
      <c r="K56" s="201" t="str">
        <f>K52</f>
        <v>Склад</v>
      </c>
      <c r="L56" s="204" t="str">
        <f>L140</f>
        <v>Платежи</v>
      </c>
      <c r="M56" s="199"/>
      <c r="N56" s="202" t="s">
        <v>58</v>
      </c>
      <c r="O56" s="200"/>
    </row>
    <row r="57" spans="1:15" s="222" customFormat="1" ht="15.75" hidden="1" outlineLevel="1" thickBot="1" x14ac:dyDescent="0.3">
      <c r="A57" s="261"/>
      <c r="B57" s="215" t="s">
        <v>33</v>
      </c>
      <c r="C57" s="262"/>
      <c r="D57" s="215"/>
      <c r="E57" s="216" t="s">
        <v>174</v>
      </c>
      <c r="F57" s="217"/>
      <c r="G57" s="218"/>
      <c r="H57" s="218"/>
      <c r="I57" s="218"/>
      <c r="J57" s="219"/>
      <c r="K57" s="220"/>
      <c r="L57" s="221"/>
      <c r="M57" s="218"/>
      <c r="N57" s="221"/>
      <c r="O57" s="219"/>
    </row>
    <row r="58" spans="1:15" s="186" customFormat="1" ht="15.75" collapsed="1" thickTop="1" x14ac:dyDescent="0.25">
      <c r="A58" s="272"/>
      <c r="B58" s="273" t="s">
        <v>169</v>
      </c>
      <c r="C58" s="274"/>
      <c r="D58" s="249"/>
      <c r="E58" s="250" t="s">
        <v>174</v>
      </c>
      <c r="F58" s="251" t="s">
        <v>196</v>
      </c>
      <c r="G58" s="249"/>
      <c r="H58" s="249"/>
      <c r="I58" s="249"/>
      <c r="J58" s="252"/>
      <c r="K58" s="275" t="s">
        <v>32</v>
      </c>
      <c r="L58" s="254"/>
      <c r="M58" s="249"/>
      <c r="N58" s="254"/>
      <c r="O58" s="252"/>
    </row>
    <row r="59" spans="1:15" s="186" customFormat="1" x14ac:dyDescent="0.25">
      <c r="A59" s="276"/>
      <c r="B59" s="195" t="s">
        <v>194</v>
      </c>
      <c r="C59" s="271"/>
      <c r="D59" s="195"/>
      <c r="E59" s="196"/>
      <c r="F59" s="266" t="s">
        <v>170</v>
      </c>
      <c r="G59" s="203"/>
      <c r="H59" s="199"/>
      <c r="I59" s="199"/>
      <c r="J59" s="200"/>
      <c r="K59" s="201"/>
      <c r="L59" s="204"/>
      <c r="M59" s="199"/>
      <c r="N59" s="204"/>
      <c r="O59" s="200"/>
    </row>
    <row r="60" spans="1:15" ht="30" x14ac:dyDescent="0.25">
      <c r="A60" s="276"/>
      <c r="B60" s="260" t="s">
        <v>197</v>
      </c>
      <c r="C60" s="258" t="s">
        <v>198</v>
      </c>
      <c r="D60" s="207"/>
      <c r="E60" s="235" t="s">
        <v>174</v>
      </c>
      <c r="F60" s="201"/>
      <c r="G60" s="204"/>
      <c r="H60" s="211"/>
      <c r="I60" s="211"/>
      <c r="J60" s="255"/>
      <c r="K60" s="256" t="s">
        <v>32</v>
      </c>
      <c r="L60" s="211"/>
      <c r="M60" s="211"/>
      <c r="N60" s="211"/>
      <c r="O60" s="255"/>
    </row>
    <row r="61" spans="1:15" x14ac:dyDescent="0.25">
      <c r="A61" s="276"/>
      <c r="B61" s="260" t="s">
        <v>136</v>
      </c>
      <c r="C61" s="277" t="s">
        <v>199</v>
      </c>
      <c r="D61" s="207"/>
      <c r="E61" s="235"/>
      <c r="F61" s="201" t="s">
        <v>200</v>
      </c>
      <c r="G61" s="204" t="s">
        <v>201</v>
      </c>
      <c r="H61" s="211" t="s">
        <v>202</v>
      </c>
      <c r="I61" s="211" t="s">
        <v>203</v>
      </c>
      <c r="J61" s="255"/>
      <c r="K61" s="256"/>
      <c r="L61" s="211"/>
      <c r="M61" s="211"/>
      <c r="N61" s="211"/>
      <c r="O61" s="255"/>
    </row>
    <row r="62" spans="1:15" s="222" customFormat="1" ht="15.75" thickBot="1" x14ac:dyDescent="0.3">
      <c r="A62" s="261"/>
      <c r="B62" s="215" t="s">
        <v>33</v>
      </c>
      <c r="C62" s="262"/>
      <c r="D62" s="215"/>
      <c r="E62" s="216" t="s">
        <v>174</v>
      </c>
      <c r="F62" s="217"/>
      <c r="G62" s="218"/>
      <c r="H62" s="218"/>
      <c r="I62" s="218"/>
      <c r="J62" s="219"/>
      <c r="K62" s="220"/>
      <c r="L62" s="221"/>
      <c r="M62" s="218"/>
      <c r="N62" s="221"/>
      <c r="O62" s="219"/>
    </row>
    <row r="63" spans="1:15" s="186" customFormat="1" ht="16.5" thickTop="1" thickBot="1" x14ac:dyDescent="0.3">
      <c r="A63" s="257"/>
      <c r="B63" s="195" t="s">
        <v>169</v>
      </c>
      <c r="C63" s="278"/>
      <c r="D63" s="279"/>
      <c r="E63" s="269" t="s">
        <v>66</v>
      </c>
      <c r="F63" s="280" t="s">
        <v>204</v>
      </c>
      <c r="G63" s="199"/>
      <c r="H63" s="199"/>
      <c r="I63" s="199"/>
      <c r="J63" s="200"/>
      <c r="K63" s="191" t="s">
        <v>32</v>
      </c>
      <c r="L63" s="204"/>
      <c r="M63" s="199"/>
      <c r="N63" s="204"/>
      <c r="O63" s="200"/>
    </row>
    <row r="64" spans="1:15" s="186" customFormat="1" ht="15.75" thickTop="1" x14ac:dyDescent="0.25">
      <c r="A64" s="257"/>
      <c r="B64" s="195" t="s">
        <v>194</v>
      </c>
      <c r="C64" s="271"/>
      <c r="D64" s="195"/>
      <c r="E64" s="196" t="s">
        <v>174</v>
      </c>
      <c r="F64" s="266" t="s">
        <v>170</v>
      </c>
      <c r="G64" s="203"/>
      <c r="H64" s="199"/>
      <c r="I64" s="199"/>
      <c r="J64" s="200"/>
      <c r="K64" s="201"/>
      <c r="L64" s="204"/>
      <c r="M64" s="199"/>
      <c r="N64" s="204"/>
      <c r="O64" s="200"/>
    </row>
    <row r="65" spans="1:16" s="186" customFormat="1" x14ac:dyDescent="0.25">
      <c r="A65" s="192">
        <v>41260.062905092593</v>
      </c>
      <c r="B65" s="193" t="s">
        <v>205</v>
      </c>
      <c r="C65" s="281"/>
      <c r="D65" s="279"/>
      <c r="E65" s="196" t="s">
        <v>170</v>
      </c>
      <c r="F65" s="282" t="s">
        <v>135</v>
      </c>
      <c r="G65" s="199"/>
      <c r="H65" s="199"/>
      <c r="I65" s="199"/>
      <c r="J65" s="200"/>
      <c r="K65" s="282" t="str">
        <f>F65</f>
        <v>NewPayment</v>
      </c>
      <c r="L65" s="204"/>
      <c r="M65" s="199"/>
      <c r="N65" s="204"/>
      <c r="O65" s="200"/>
    </row>
    <row r="66" spans="1:16" s="186" customFormat="1" x14ac:dyDescent="0.25">
      <c r="A66" s="257"/>
      <c r="B66" s="195" t="s">
        <v>206</v>
      </c>
      <c r="C66" s="283" t="str">
        <f>B65</f>
        <v>NewSheet</v>
      </c>
      <c r="D66" s="195"/>
      <c r="E66" s="196" t="s">
        <v>174</v>
      </c>
      <c r="F66" s="266"/>
      <c r="G66" s="203"/>
      <c r="H66" s="199"/>
      <c r="I66" s="199"/>
      <c r="J66" s="200"/>
      <c r="K66" s="201" t="str">
        <f>K63</f>
        <v>Платежи</v>
      </c>
      <c r="L66" s="202" t="s">
        <v>65</v>
      </c>
      <c r="M66" s="199"/>
      <c r="N66" s="204"/>
      <c r="O66" s="200"/>
    </row>
    <row r="67" spans="1:16" s="186" customFormat="1" x14ac:dyDescent="0.25">
      <c r="A67" s="257"/>
      <c r="B67" s="260" t="s">
        <v>136</v>
      </c>
      <c r="C67" s="283" t="str">
        <f>B66</f>
        <v>NewPaidOpp</v>
      </c>
      <c r="D67" s="195"/>
      <c r="E67" s="196" t="s">
        <v>174</v>
      </c>
      <c r="F67" s="282" t="s">
        <v>135</v>
      </c>
      <c r="G67" s="204" t="s">
        <v>207</v>
      </c>
      <c r="H67" s="211" t="s">
        <v>208</v>
      </c>
      <c r="I67" s="211" t="s">
        <v>209</v>
      </c>
      <c r="J67" s="200"/>
      <c r="K67" s="201"/>
      <c r="L67" s="204"/>
      <c r="M67" s="199"/>
      <c r="N67" s="204"/>
      <c r="O67" s="200"/>
    </row>
    <row r="68" spans="1:16" s="222" customFormat="1" ht="15.75" thickBot="1" x14ac:dyDescent="0.3">
      <c r="A68" s="261"/>
      <c r="B68" s="215" t="s">
        <v>33</v>
      </c>
      <c r="C68" s="262">
        <v>224</v>
      </c>
      <c r="D68" s="215"/>
      <c r="E68" s="216" t="s">
        <v>174</v>
      </c>
      <c r="F68" s="217"/>
      <c r="G68" s="218"/>
      <c r="H68" s="218"/>
      <c r="I68" s="218"/>
      <c r="J68" s="219"/>
      <c r="K68" s="220"/>
      <c r="L68" s="221"/>
      <c r="M68" s="218"/>
      <c r="N68" s="221"/>
      <c r="O68" s="219"/>
    </row>
    <row r="69" spans="1:16" s="186" customFormat="1" ht="16.5" thickTop="1" thickBot="1" x14ac:dyDescent="0.3">
      <c r="A69" s="257"/>
      <c r="B69" s="195" t="s">
        <v>169</v>
      </c>
      <c r="C69" s="278"/>
      <c r="D69" s="279"/>
      <c r="E69" s="269" t="s">
        <v>66</v>
      </c>
      <c r="F69" s="280" t="s">
        <v>210</v>
      </c>
      <c r="G69" s="199"/>
      <c r="H69" s="199"/>
      <c r="I69" s="199"/>
      <c r="J69" s="200"/>
      <c r="K69" s="191" t="s">
        <v>32</v>
      </c>
      <c r="L69" s="204"/>
      <c r="M69" s="199"/>
      <c r="N69" s="204"/>
      <c r="O69" s="200"/>
      <c r="P69" s="284"/>
    </row>
    <row r="70" spans="1:16" s="186" customFormat="1" ht="15.75" thickTop="1" x14ac:dyDescent="0.25">
      <c r="A70" s="257">
        <v>41506.038622685184</v>
      </c>
      <c r="B70" s="195" t="s">
        <v>101</v>
      </c>
      <c r="C70" s="285" t="str">
        <f>F6&amp;"/"&amp;B10</f>
        <v>LOAD_1C_P/PaymentPaint</v>
      </c>
      <c r="D70" s="195"/>
      <c r="E70" s="196" t="s">
        <v>174</v>
      </c>
      <c r="F70" s="286" t="s">
        <v>211</v>
      </c>
      <c r="G70" s="287" t="str">
        <f>K70</f>
        <v>Платежи</v>
      </c>
      <c r="H70" s="288" t="str">
        <f>F71</f>
        <v>NewPayment</v>
      </c>
      <c r="I70" s="199"/>
      <c r="J70" s="200"/>
      <c r="K70" s="201" t="str">
        <f>K69</f>
        <v>Платежи</v>
      </c>
      <c r="L70" s="202" t="s">
        <v>65</v>
      </c>
      <c r="N70" s="204"/>
      <c r="O70" s="200"/>
      <c r="P70" s="284"/>
    </row>
    <row r="71" spans="1:16" s="186" customFormat="1" x14ac:dyDescent="0.25">
      <c r="A71" s="257">
        <v>41506.038622685184</v>
      </c>
      <c r="B71" s="260" t="s">
        <v>136</v>
      </c>
      <c r="C71" s="283" t="str">
        <f>B70</f>
        <v>Adapt</v>
      </c>
      <c r="D71" s="195"/>
      <c r="E71" s="196" t="s">
        <v>174</v>
      </c>
      <c r="F71" s="282" t="s">
        <v>135</v>
      </c>
      <c r="G71" s="204" t="s">
        <v>207</v>
      </c>
      <c r="H71" s="211" t="s">
        <v>208</v>
      </c>
      <c r="I71" s="211" t="s">
        <v>209</v>
      </c>
      <c r="J71" s="200"/>
      <c r="K71" s="282" t="str">
        <f>F71</f>
        <v>NewPayment</v>
      </c>
      <c r="M71" s="199"/>
      <c r="N71" s="204"/>
      <c r="O71" s="200"/>
      <c r="P71" s="284"/>
    </row>
    <row r="72" spans="1:16" s="222" customFormat="1" ht="15.75" thickBot="1" x14ac:dyDescent="0.3">
      <c r="A72" s="261">
        <v>41506.038634259261</v>
      </c>
      <c r="B72" s="215" t="s">
        <v>33</v>
      </c>
      <c r="C72" s="289">
        <v>67</v>
      </c>
      <c r="D72" s="215"/>
      <c r="E72" s="208" t="s">
        <v>170</v>
      </c>
      <c r="F72" s="217"/>
      <c r="G72" s="218"/>
      <c r="H72" s="218"/>
      <c r="I72" s="218"/>
      <c r="J72" s="219"/>
      <c r="K72" s="220"/>
      <c r="L72" s="221"/>
      <c r="M72" s="218"/>
      <c r="N72" s="221"/>
      <c r="O72" s="219"/>
      <c r="P72" s="290"/>
    </row>
    <row r="73" spans="1:16" s="186" customFormat="1" ht="16.5" thickTop="1" thickBot="1" x14ac:dyDescent="0.3">
      <c r="A73" s="257"/>
      <c r="B73" s="195" t="s">
        <v>169</v>
      </c>
      <c r="C73" s="278"/>
      <c r="D73" s="279"/>
      <c r="E73" s="269" t="s">
        <v>66</v>
      </c>
      <c r="F73" s="280" t="s">
        <v>212</v>
      </c>
      <c r="G73" s="199"/>
      <c r="H73" s="199"/>
      <c r="I73" s="199"/>
      <c r="J73" s="200"/>
      <c r="K73" s="191" t="s">
        <v>32</v>
      </c>
      <c r="L73" s="204"/>
      <c r="M73" s="199"/>
      <c r="N73" s="204"/>
      <c r="O73" s="200"/>
    </row>
    <row r="74" spans="1:16" s="186" customFormat="1" ht="15.75" thickTop="1" x14ac:dyDescent="0.25">
      <c r="A74" s="257">
        <v>41507.012986111113</v>
      </c>
      <c r="B74" s="195" t="s">
        <v>213</v>
      </c>
      <c r="C74" s="285" t="str">
        <f>F6&amp;"/"&amp;B10</f>
        <v>LOAD_1C_P/PaymentPaint</v>
      </c>
      <c r="D74" s="195"/>
      <c r="E74" s="196" t="s">
        <v>174</v>
      </c>
      <c r="F74" s="282" t="s">
        <v>135</v>
      </c>
      <c r="G74" s="203"/>
      <c r="H74" s="199"/>
      <c r="I74" s="199"/>
      <c r="J74" s="200"/>
      <c r="K74" s="201" t="str">
        <f>K73</f>
        <v>Платежи</v>
      </c>
      <c r="L74" s="202" t="s">
        <v>63</v>
      </c>
      <c r="M74" s="202" t="s">
        <v>65</v>
      </c>
      <c r="N74" s="204"/>
      <c r="O74" s="200"/>
    </row>
    <row r="75" spans="1:16" s="186" customFormat="1" x14ac:dyDescent="0.25">
      <c r="A75" s="257">
        <v>41507.012986111113</v>
      </c>
      <c r="B75" s="260" t="s">
        <v>136</v>
      </c>
      <c r="C75" s="283" t="str">
        <f>B74</f>
        <v>PaidContr</v>
      </c>
      <c r="D75" s="195"/>
      <c r="E75" s="196" t="s">
        <v>174</v>
      </c>
      <c r="F75" s="291" t="str">
        <f>F74</f>
        <v>NewPayment</v>
      </c>
      <c r="G75" s="204" t="s">
        <v>207</v>
      </c>
      <c r="H75" s="211" t="s">
        <v>208</v>
      </c>
      <c r="I75" s="211" t="s">
        <v>209</v>
      </c>
      <c r="J75" s="200"/>
      <c r="K75" s="282" t="str">
        <f>F75</f>
        <v>NewPayment</v>
      </c>
      <c r="M75" s="199"/>
      <c r="N75" s="204"/>
      <c r="O75" s="200"/>
    </row>
    <row r="76" spans="1:16" s="222" customFormat="1" ht="15.75" thickBot="1" x14ac:dyDescent="0.3">
      <c r="A76" s="261">
        <v>41507.012986111113</v>
      </c>
      <c r="B76" s="215" t="s">
        <v>33</v>
      </c>
      <c r="C76" s="289">
        <v>15</v>
      </c>
      <c r="D76" s="215"/>
      <c r="E76" s="208" t="s">
        <v>170</v>
      </c>
      <c r="F76" s="217"/>
      <c r="G76" s="218"/>
      <c r="H76" s="218"/>
      <c r="I76" s="218"/>
      <c r="J76" s="219"/>
      <c r="K76" s="220"/>
      <c r="L76" s="221"/>
      <c r="M76" s="218"/>
      <c r="N76" s="221"/>
      <c r="O76" s="219"/>
    </row>
    <row r="77" spans="1:16" s="186" customFormat="1" ht="16.5" thickTop="1" thickBot="1" x14ac:dyDescent="0.3">
      <c r="A77" s="257"/>
      <c r="B77" s="195" t="s">
        <v>169</v>
      </c>
      <c r="C77" s="278"/>
      <c r="D77" s="279"/>
      <c r="E77" s="269" t="s">
        <v>66</v>
      </c>
      <c r="F77" s="292" t="s">
        <v>214</v>
      </c>
      <c r="G77" s="199"/>
      <c r="H77" s="199"/>
      <c r="I77" s="199"/>
      <c r="J77" s="200"/>
      <c r="K77" s="191" t="str">
        <f>K14</f>
        <v>Договоры</v>
      </c>
      <c r="L77" s="204"/>
      <c r="M77" s="199"/>
      <c r="N77" s="204"/>
      <c r="O77" s="200"/>
    </row>
    <row r="78" spans="1:16" s="186" customFormat="1" ht="15.75" thickTop="1" x14ac:dyDescent="0.25">
      <c r="A78" s="257">
        <v>41507.017268518517</v>
      </c>
      <c r="B78" s="195" t="s">
        <v>43</v>
      </c>
      <c r="C78" s="285" t="str">
        <f>F14&amp;"/"&amp;B15</f>
        <v>LOAD_1C_DOG/InsMyCol</v>
      </c>
      <c r="D78" s="195"/>
      <c r="E78" s="196" t="s">
        <v>174</v>
      </c>
      <c r="F78" s="282" t="s">
        <v>138</v>
      </c>
      <c r="G78" s="203"/>
      <c r="H78" s="199"/>
      <c r="I78" s="199"/>
      <c r="J78" s="200"/>
      <c r="K78" s="201" t="str">
        <f>K77</f>
        <v>Договоры</v>
      </c>
      <c r="L78" s="202" t="s">
        <v>63</v>
      </c>
      <c r="M78" s="202" t="s">
        <v>69</v>
      </c>
      <c r="N78" s="204"/>
      <c r="O78" s="200"/>
    </row>
    <row r="79" spans="1:16" s="186" customFormat="1" x14ac:dyDescent="0.25">
      <c r="A79" s="257">
        <v>41507.017268518517</v>
      </c>
      <c r="B79" s="260" t="s">
        <v>136</v>
      </c>
      <c r="C79" s="283" t="str">
        <f>B78</f>
        <v>NewContr</v>
      </c>
      <c r="D79" s="195"/>
      <c r="E79" s="196" t="s">
        <v>174</v>
      </c>
      <c r="F79" s="291" t="str">
        <f>F78</f>
        <v>NewContract</v>
      </c>
      <c r="G79" s="204" t="s">
        <v>207</v>
      </c>
      <c r="H79" s="211" t="s">
        <v>215</v>
      </c>
      <c r="I79" s="211" t="s">
        <v>216</v>
      </c>
      <c r="J79" s="200"/>
      <c r="K79" s="282" t="str">
        <f>F79</f>
        <v>NewContract</v>
      </c>
      <c r="M79" s="199"/>
      <c r="N79" s="204"/>
      <c r="O79" s="200"/>
    </row>
    <row r="80" spans="1:16" s="222" customFormat="1" ht="15.75" thickBot="1" x14ac:dyDescent="0.3">
      <c r="A80" s="261">
        <v>41507.017268518517</v>
      </c>
      <c r="B80" s="215" t="s">
        <v>33</v>
      </c>
      <c r="C80" s="289">
        <v>1</v>
      </c>
      <c r="D80" s="215"/>
      <c r="E80" s="216" t="s">
        <v>170</v>
      </c>
      <c r="F80" s="217"/>
      <c r="G80" s="218"/>
      <c r="H80" s="218"/>
      <c r="I80" s="218"/>
      <c r="J80" s="219"/>
      <c r="K80" s="220"/>
      <c r="L80" s="221"/>
      <c r="M80" s="218"/>
      <c r="N80" s="221"/>
      <c r="O80" s="219"/>
    </row>
    <row r="81" spans="1:16" s="186" customFormat="1" ht="16.5" thickTop="1" thickBot="1" x14ac:dyDescent="0.3">
      <c r="A81" s="257"/>
      <c r="B81" s="195" t="s">
        <v>169</v>
      </c>
      <c r="C81" s="278"/>
      <c r="D81" s="279"/>
      <c r="E81" s="269" t="s">
        <v>66</v>
      </c>
      <c r="F81" s="292" t="s">
        <v>217</v>
      </c>
      <c r="G81" s="199"/>
      <c r="H81" s="199"/>
      <c r="I81" s="199"/>
      <c r="J81" s="200"/>
      <c r="K81" s="191" t="s">
        <v>100</v>
      </c>
      <c r="L81" s="204"/>
      <c r="M81" s="199"/>
      <c r="N81" s="204"/>
      <c r="O81" s="200"/>
      <c r="P81" s="294"/>
    </row>
    <row r="82" spans="1:16" s="186" customFormat="1" ht="15.75" thickTop="1" x14ac:dyDescent="0.25">
      <c r="A82" s="257">
        <v>41430.738321759258</v>
      </c>
      <c r="B82" s="195" t="s">
        <v>143</v>
      </c>
      <c r="C82" s="285" t="str">
        <f>F47&amp;"/"&amp;B50</f>
        <v>LOAD_Order/Adapt</v>
      </c>
      <c r="D82" s="195"/>
      <c r="E82" s="196" t="s">
        <v>174</v>
      </c>
      <c r="F82" s="282" t="s">
        <v>143</v>
      </c>
      <c r="G82" s="203"/>
      <c r="H82" s="199"/>
      <c r="I82" s="199"/>
      <c r="J82" s="200"/>
      <c r="K82" s="201" t="str">
        <f>K81</f>
        <v>Заказы</v>
      </c>
      <c r="L82" s="24" t="s">
        <v>32</v>
      </c>
      <c r="M82" s="202" t="s">
        <v>80</v>
      </c>
      <c r="N82" s="202" t="s">
        <v>58</v>
      </c>
      <c r="O82" s="200"/>
      <c r="P82" s="294"/>
    </row>
    <row r="83" spans="1:16" s="186" customFormat="1" x14ac:dyDescent="0.25">
      <c r="A83" s="257">
        <v>41430.738321759258</v>
      </c>
      <c r="B83" s="260" t="s">
        <v>136</v>
      </c>
      <c r="C83" s="283" t="str">
        <f>B82</f>
        <v>NewOrder</v>
      </c>
      <c r="D83" s="195"/>
      <c r="E83" s="196" t="s">
        <v>174</v>
      </c>
      <c r="F83" s="291" t="str">
        <f>F82</f>
        <v>NewOrder</v>
      </c>
      <c r="G83" s="204" t="s">
        <v>207</v>
      </c>
      <c r="H83" s="211" t="s">
        <v>218</v>
      </c>
      <c r="I83" s="211" t="s">
        <v>219</v>
      </c>
      <c r="J83" s="200"/>
      <c r="K83" s="282" t="str">
        <f>F83</f>
        <v>NewOrder</v>
      </c>
      <c r="M83" s="199"/>
      <c r="N83" s="204"/>
      <c r="O83" s="200"/>
      <c r="P83" s="294"/>
    </row>
    <row r="84" spans="1:16" s="222" customFormat="1" ht="15.75" thickBot="1" x14ac:dyDescent="0.3">
      <c r="A84" s="261"/>
      <c r="B84" s="215" t="s">
        <v>33</v>
      </c>
      <c r="C84" s="289">
        <v>0</v>
      </c>
      <c r="D84" s="215"/>
      <c r="E84" s="216" t="s">
        <v>174</v>
      </c>
      <c r="F84" s="217"/>
      <c r="G84" s="218"/>
      <c r="H84" s="218"/>
      <c r="I84" s="218"/>
      <c r="J84" s="219"/>
      <c r="K84" s="220"/>
      <c r="L84" s="221"/>
      <c r="M84" s="218"/>
      <c r="N84" s="221"/>
      <c r="O84" s="219"/>
      <c r="P84" s="295"/>
    </row>
    <row r="85" spans="1:16" s="186" customFormat="1" ht="16.5" thickTop="1" thickBot="1" x14ac:dyDescent="0.3">
      <c r="A85" s="257"/>
      <c r="B85" s="195" t="s">
        <v>169</v>
      </c>
      <c r="C85" s="278"/>
      <c r="D85" s="279"/>
      <c r="E85" s="269" t="s">
        <v>66</v>
      </c>
      <c r="F85" s="292" t="s">
        <v>220</v>
      </c>
      <c r="G85" s="199"/>
      <c r="H85" s="199"/>
      <c r="I85" s="199"/>
      <c r="J85" s="200"/>
      <c r="K85" s="191" t="s">
        <v>32</v>
      </c>
      <c r="L85" s="204"/>
      <c r="M85" s="199"/>
      <c r="N85" s="204"/>
      <c r="O85" s="200"/>
      <c r="P85" s="296"/>
    </row>
    <row r="86" spans="1:16" s="186" customFormat="1" ht="30.75" thickTop="1" x14ac:dyDescent="0.25">
      <c r="A86" s="257">
        <v>41344.979027777779</v>
      </c>
      <c r="B86" s="195" t="s">
        <v>101</v>
      </c>
      <c r="C86" s="297" t="str">
        <f>F77&amp;"/"&amp;B79</f>
        <v>HANDL_NewContract/WrCSV</v>
      </c>
      <c r="D86" s="195"/>
      <c r="E86" s="196" t="s">
        <v>174</v>
      </c>
      <c r="F86" s="298" t="s">
        <v>221</v>
      </c>
      <c r="G86" s="283" t="s">
        <v>32</v>
      </c>
      <c r="H86" s="299" t="str">
        <f>F87</f>
        <v>NewOpp</v>
      </c>
      <c r="I86" s="199"/>
      <c r="J86" s="200"/>
      <c r="K86" s="282" t="s">
        <v>140</v>
      </c>
      <c r="L86" s="204" t="s">
        <v>32</v>
      </c>
      <c r="M86" s="202" t="s">
        <v>63</v>
      </c>
      <c r="N86" s="202" t="s">
        <v>65</v>
      </c>
      <c r="O86" s="200"/>
      <c r="P86" s="296"/>
    </row>
    <row r="87" spans="1:16" s="186" customFormat="1" x14ac:dyDescent="0.25">
      <c r="A87" s="257">
        <v>41344.938113425924</v>
      </c>
      <c r="B87" s="260" t="s">
        <v>136</v>
      </c>
      <c r="C87" s="283" t="str">
        <f>B86</f>
        <v>Adapt</v>
      </c>
      <c r="D87" s="195"/>
      <c r="E87" s="196" t="s">
        <v>174</v>
      </c>
      <c r="F87" s="291" t="str">
        <f>K86</f>
        <v>NewOpp</v>
      </c>
      <c r="G87" s="204" t="s">
        <v>207</v>
      </c>
      <c r="H87" s="211" t="s">
        <v>222</v>
      </c>
      <c r="I87" s="211" t="s">
        <v>223</v>
      </c>
      <c r="J87" s="200"/>
      <c r="K87" s="282" t="str">
        <f>F87</f>
        <v>NewOpp</v>
      </c>
      <c r="M87" s="199"/>
      <c r="N87" s="204"/>
      <c r="O87" s="200"/>
      <c r="P87" s="296"/>
    </row>
    <row r="88" spans="1:16" s="222" customFormat="1" x14ac:dyDescent="0.25">
      <c r="A88" s="261"/>
      <c r="B88" s="215" t="s">
        <v>33</v>
      </c>
      <c r="C88" s="289">
        <v>217</v>
      </c>
      <c r="D88" s="215"/>
      <c r="E88" s="216" t="s">
        <v>174</v>
      </c>
      <c r="F88" s="217"/>
      <c r="G88" s="218"/>
      <c r="H88" s="218"/>
      <c r="I88" s="218"/>
      <c r="J88" s="219"/>
      <c r="K88" s="220"/>
      <c r="L88" s="221"/>
      <c r="M88" s="218"/>
      <c r="N88" s="221"/>
      <c r="O88" s="219"/>
      <c r="P88" s="300"/>
    </row>
    <row r="89" spans="1:16" s="186" customFormat="1" x14ac:dyDescent="0.25">
      <c r="A89" s="192"/>
      <c r="B89" s="193" t="s">
        <v>169</v>
      </c>
      <c r="C89" s="281"/>
      <c r="D89" s="279"/>
      <c r="E89" s="196" t="s">
        <v>174</v>
      </c>
      <c r="F89" s="280" t="s">
        <v>224</v>
      </c>
      <c r="G89" s="199"/>
      <c r="H89" s="199"/>
      <c r="I89" s="199"/>
      <c r="J89" s="200"/>
      <c r="K89" s="191" t="s">
        <v>41</v>
      </c>
      <c r="L89" s="204"/>
      <c r="M89" s="199"/>
      <c r="N89" s="204"/>
      <c r="O89" s="200"/>
    </row>
    <row r="90" spans="1:16" x14ac:dyDescent="0.25">
      <c r="A90" s="276"/>
      <c r="B90" s="260" t="s">
        <v>225</v>
      </c>
      <c r="C90" s="258" t="s">
        <v>43</v>
      </c>
      <c r="D90" s="207"/>
      <c r="E90" s="235" t="s">
        <v>174</v>
      </c>
      <c r="F90" s="201"/>
      <c r="G90" s="204"/>
      <c r="H90" s="211"/>
      <c r="I90" s="211"/>
      <c r="J90" s="255"/>
      <c r="K90" s="256" t="s">
        <v>41</v>
      </c>
      <c r="L90" s="211"/>
      <c r="M90" s="211"/>
      <c r="N90" s="211"/>
      <c r="O90" s="255"/>
    </row>
    <row r="91" spans="1:16" x14ac:dyDescent="0.25">
      <c r="A91" s="276"/>
      <c r="B91" s="260" t="s">
        <v>136</v>
      </c>
      <c r="C91" s="277" t="s">
        <v>225</v>
      </c>
      <c r="D91" s="207"/>
      <c r="E91" s="235"/>
      <c r="F91" s="201" t="s">
        <v>226</v>
      </c>
      <c r="G91" s="204" t="s">
        <v>201</v>
      </c>
      <c r="H91" s="211" t="s">
        <v>202</v>
      </c>
      <c r="I91" s="211" t="s">
        <v>203</v>
      </c>
      <c r="J91" s="255"/>
      <c r="K91" s="256"/>
      <c r="L91" s="211"/>
      <c r="M91" s="211"/>
      <c r="N91" s="211"/>
      <c r="O91" s="255"/>
    </row>
    <row r="92" spans="1:16" s="245" customFormat="1" ht="15.75" thickBot="1" x14ac:dyDescent="0.3">
      <c r="A92" s="301"/>
      <c r="B92" s="238" t="s">
        <v>33</v>
      </c>
      <c r="C92" s="301"/>
      <c r="D92" s="238"/>
      <c r="E92" s="239" t="s">
        <v>174</v>
      </c>
      <c r="F92" s="240"/>
      <c r="G92" s="241"/>
      <c r="H92" s="241"/>
      <c r="I92" s="241"/>
      <c r="J92" s="242"/>
      <c r="K92" s="243"/>
      <c r="L92" s="244"/>
      <c r="M92" s="241"/>
      <c r="N92" s="244"/>
      <c r="O92" s="242"/>
    </row>
    <row r="93" spans="1:16" s="186" customFormat="1" ht="16.5" thickTop="1" thickBot="1" x14ac:dyDescent="0.3">
      <c r="A93" s="257"/>
      <c r="B93" s="195" t="s">
        <v>169</v>
      </c>
      <c r="C93" s="278"/>
      <c r="D93" s="279"/>
      <c r="E93" s="269" t="s">
        <v>66</v>
      </c>
      <c r="F93" s="280" t="s">
        <v>227</v>
      </c>
      <c r="G93" s="199"/>
      <c r="H93" s="199"/>
      <c r="I93" s="199"/>
      <c r="J93" s="200"/>
      <c r="K93" s="191" t="s">
        <v>49</v>
      </c>
      <c r="L93" s="204"/>
      <c r="M93" s="199"/>
      <c r="N93" s="204"/>
      <c r="O93" s="200"/>
    </row>
    <row r="94" spans="1:16" ht="15.75" thickTop="1" x14ac:dyDescent="0.25">
      <c r="A94" s="257">
        <v>41237.062696759262</v>
      </c>
      <c r="B94" s="260" t="s">
        <v>228</v>
      </c>
      <c r="C94" s="39" t="str">
        <f>F22&amp;"/"&amp;B24</f>
        <v>LOAD_1C_ACC/InsMyCol</v>
      </c>
      <c r="D94" s="207"/>
      <c r="E94" s="235" t="s">
        <v>174</v>
      </c>
      <c r="F94" s="201" t="s">
        <v>128</v>
      </c>
      <c r="G94" s="204"/>
      <c r="H94" s="211"/>
      <c r="I94" s="211"/>
      <c r="J94" s="255"/>
      <c r="K94" s="2" t="str">
        <f>K93</f>
        <v>Список клиентов 1C</v>
      </c>
      <c r="L94" s="211"/>
      <c r="M94" s="211"/>
      <c r="N94" s="202" t="s">
        <v>69</v>
      </c>
      <c r="O94" s="255"/>
    </row>
    <row r="95" spans="1:16" s="222" customFormat="1" ht="15.75" thickBot="1" x14ac:dyDescent="0.3">
      <c r="A95" s="261"/>
      <c r="B95" s="215" t="s">
        <v>33</v>
      </c>
      <c r="C95" s="262"/>
      <c r="D95" s="215"/>
      <c r="E95" s="216" t="s">
        <v>174</v>
      </c>
      <c r="F95" s="217"/>
      <c r="G95" s="218"/>
      <c r="H95" s="218"/>
      <c r="I95" s="218"/>
      <c r="J95" s="219"/>
      <c r="K95" s="220"/>
      <c r="L95" s="221"/>
      <c r="M95" s="218"/>
      <c r="N95" s="221"/>
      <c r="O95" s="219"/>
    </row>
    <row r="96" spans="1:16" s="186" customFormat="1" ht="16.5" thickTop="1" thickBot="1" x14ac:dyDescent="0.3">
      <c r="A96" s="257"/>
      <c r="B96" s="195" t="s">
        <v>169</v>
      </c>
      <c r="C96" s="278"/>
      <c r="D96" s="279"/>
      <c r="E96" s="269" t="s">
        <v>66</v>
      </c>
      <c r="F96" s="280" t="s">
        <v>229</v>
      </c>
      <c r="G96" s="199"/>
      <c r="H96" s="199"/>
      <c r="I96" s="199"/>
      <c r="J96" s="200"/>
      <c r="K96" s="191" t="s">
        <v>113</v>
      </c>
      <c r="L96" s="204"/>
      <c r="M96" s="199"/>
      <c r="N96" s="204"/>
      <c r="O96" s="200"/>
      <c r="P96" s="302"/>
    </row>
    <row r="97" spans="1:16" ht="15.75" thickTop="1" x14ac:dyDescent="0.25">
      <c r="A97" s="257">
        <v>41410.835046296299</v>
      </c>
      <c r="B97" s="260" t="s">
        <v>230</v>
      </c>
      <c r="C97" s="39" t="s">
        <v>67</v>
      </c>
      <c r="D97" s="207"/>
      <c r="E97" s="235" t="s">
        <v>174</v>
      </c>
      <c r="F97" s="303" t="s">
        <v>132</v>
      </c>
      <c r="G97" s="204"/>
      <c r="H97" s="211"/>
      <c r="I97" s="211"/>
      <c r="J97" s="255"/>
      <c r="K97" s="95" t="s">
        <v>100</v>
      </c>
      <c r="L97" s="304" t="s">
        <v>113</v>
      </c>
      <c r="M97" s="202" t="s">
        <v>80</v>
      </c>
      <c r="N97" s="202" t="s">
        <v>72</v>
      </c>
      <c r="O97" s="255"/>
      <c r="P97" s="305"/>
    </row>
    <row r="98" spans="1:16" s="186" customFormat="1" x14ac:dyDescent="0.25">
      <c r="A98" s="257"/>
      <c r="B98" s="260" t="s">
        <v>136</v>
      </c>
      <c r="C98" s="283" t="str">
        <f>B97</f>
        <v>BTO_Mail_track</v>
      </c>
      <c r="D98" s="195"/>
      <c r="E98" s="196" t="s">
        <v>174</v>
      </c>
      <c r="F98" s="303" t="str">
        <f>F97</f>
        <v>BTOlog</v>
      </c>
      <c r="G98" s="204" t="s">
        <v>207</v>
      </c>
      <c r="H98" s="211" t="s">
        <v>231</v>
      </c>
      <c r="I98" s="211" t="s">
        <v>232</v>
      </c>
      <c r="J98" s="200"/>
      <c r="K98" s="303" t="str">
        <f>F98</f>
        <v>BTOlog</v>
      </c>
      <c r="M98" s="199"/>
      <c r="N98" s="204"/>
      <c r="O98" s="200"/>
      <c r="P98" s="305"/>
    </row>
    <row r="99" spans="1:16" s="222" customFormat="1" ht="15.75" thickBot="1" x14ac:dyDescent="0.3">
      <c r="A99" s="261"/>
      <c r="B99" s="215" t="s">
        <v>33</v>
      </c>
      <c r="C99" s="262"/>
      <c r="D99" s="215"/>
      <c r="E99" s="216" t="s">
        <v>174</v>
      </c>
      <c r="F99" s="217"/>
      <c r="G99" s="218"/>
      <c r="H99" s="218"/>
      <c r="I99" s="218"/>
      <c r="J99" s="219"/>
      <c r="K99" s="220"/>
      <c r="L99" s="221"/>
      <c r="M99" s="218"/>
      <c r="N99" s="221"/>
      <c r="O99" s="219"/>
      <c r="P99" s="306"/>
    </row>
    <row r="100" spans="1:16" s="186" customFormat="1" ht="16.5" thickTop="1" thickBot="1" x14ac:dyDescent="0.3">
      <c r="A100" s="192"/>
      <c r="B100" s="193" t="s">
        <v>169</v>
      </c>
      <c r="C100" s="281"/>
      <c r="D100" s="279"/>
      <c r="E100" s="269" t="s">
        <v>66</v>
      </c>
      <c r="F100" s="280" t="s">
        <v>233</v>
      </c>
      <c r="G100" s="199"/>
      <c r="H100" s="199"/>
      <c r="I100" s="199"/>
      <c r="J100" s="200"/>
      <c r="K100" s="191" t="s">
        <v>72</v>
      </c>
      <c r="L100" s="204"/>
      <c r="M100" s="199"/>
      <c r="N100" s="204"/>
      <c r="O100" s="200"/>
      <c r="P100" s="307"/>
    </row>
    <row r="101" spans="1:16" ht="15.75" thickTop="1" x14ac:dyDescent="0.25">
      <c r="A101" s="192">
        <v>41499.705324074072</v>
      </c>
      <c r="B101" s="206" t="s">
        <v>101</v>
      </c>
      <c r="C101" s="237"/>
      <c r="D101" s="207"/>
      <c r="E101" s="235" t="s">
        <v>170</v>
      </c>
      <c r="F101" s="308" t="s">
        <v>150</v>
      </c>
      <c r="G101" s="309" t="str">
        <f>K100</f>
        <v>ADSKfrSF</v>
      </c>
      <c r="H101" s="310" t="s">
        <v>149</v>
      </c>
      <c r="J101" s="255"/>
      <c r="K101" s="310" t="str">
        <f>H101</f>
        <v>A_SN_1</v>
      </c>
      <c r="L101" s="57" t="str">
        <f>K100</f>
        <v>ADSKfrSF</v>
      </c>
      <c r="N101" s="204"/>
      <c r="O101" s="255"/>
      <c r="P101" s="311"/>
    </row>
    <row r="102" spans="1:16" x14ac:dyDescent="0.25">
      <c r="A102" s="192">
        <v>41502.225694444445</v>
      </c>
      <c r="B102" s="206" t="s">
        <v>73</v>
      </c>
      <c r="C102" s="237" t="str">
        <f>B101</f>
        <v>Adapt</v>
      </c>
      <c r="D102" s="207"/>
      <c r="E102" s="235" t="s">
        <v>170</v>
      </c>
      <c r="F102" s="312"/>
      <c r="G102" s="204"/>
      <c r="H102" s="211"/>
      <c r="I102" s="211"/>
      <c r="J102" s="255"/>
      <c r="K102" s="57" t="str">
        <f>L101</f>
        <v>ADSKfrSF</v>
      </c>
      <c r="L102" s="310" t="s">
        <v>151</v>
      </c>
      <c r="M102" s="310" t="s">
        <v>154</v>
      </c>
      <c r="N102" s="204"/>
      <c r="O102" s="255"/>
      <c r="P102" s="311"/>
    </row>
    <row r="103" spans="1:16" s="186" customFormat="1" x14ac:dyDescent="0.25">
      <c r="A103" s="257"/>
      <c r="B103" s="195" t="s">
        <v>194</v>
      </c>
      <c r="C103" s="271"/>
      <c r="D103" s="195"/>
      <c r="E103" s="196" t="s">
        <v>174</v>
      </c>
      <c r="F103" s="266" t="s">
        <v>170</v>
      </c>
      <c r="G103" s="203"/>
      <c r="H103" s="199"/>
      <c r="I103" s="199"/>
      <c r="J103" s="200"/>
      <c r="K103" s="201"/>
      <c r="L103" s="204"/>
      <c r="M103" s="199"/>
      <c r="N103" s="204"/>
      <c r="O103" s="200"/>
      <c r="P103" s="307"/>
    </row>
    <row r="104" spans="1:16" s="186" customFormat="1" x14ac:dyDescent="0.25">
      <c r="A104" s="257"/>
      <c r="B104" s="260" t="s">
        <v>136</v>
      </c>
      <c r="C104" s="283" t="str">
        <f>B101</f>
        <v>Adapt</v>
      </c>
      <c r="D104" s="195"/>
      <c r="E104" s="196" t="s">
        <v>174</v>
      </c>
      <c r="F104" s="312" t="str">
        <f>M102</f>
        <v>A_SN_3</v>
      </c>
      <c r="G104" s="204" t="s">
        <v>207</v>
      </c>
      <c r="H104" s="313" t="s">
        <v>231</v>
      </c>
      <c r="I104" s="313" t="s">
        <v>232</v>
      </c>
      <c r="J104" s="200"/>
      <c r="K104" s="312" t="str">
        <f>F104</f>
        <v>A_SN_3</v>
      </c>
      <c r="M104" s="199"/>
      <c r="N104" s="204"/>
      <c r="O104" s="200"/>
      <c r="P104" s="311"/>
    </row>
    <row r="105" spans="1:16" s="222" customFormat="1" ht="15.75" thickBot="1" x14ac:dyDescent="0.3">
      <c r="A105" s="261"/>
      <c r="B105" s="215" t="s">
        <v>33</v>
      </c>
      <c r="C105" s="262"/>
      <c r="D105" s="215"/>
      <c r="E105" s="216" t="s">
        <v>174</v>
      </c>
      <c r="F105" s="217"/>
      <c r="G105" s="218"/>
      <c r="H105" s="218"/>
      <c r="I105" s="218"/>
      <c r="J105" s="219"/>
      <c r="K105" s="220"/>
      <c r="L105" s="221"/>
      <c r="M105" s="218"/>
      <c r="N105" s="221"/>
      <c r="O105" s="219"/>
      <c r="P105" s="314"/>
    </row>
    <row r="106" spans="1:16" s="317" customFormat="1" ht="16.5" thickTop="1" thickBot="1" x14ac:dyDescent="0.3">
      <c r="A106" s="246">
        <v>41201.045671296299</v>
      </c>
      <c r="B106" s="247" t="s">
        <v>169</v>
      </c>
      <c r="C106" s="248"/>
      <c r="D106" s="249"/>
      <c r="E106" s="315" t="s">
        <v>66</v>
      </c>
      <c r="F106" s="316" t="s">
        <v>234</v>
      </c>
      <c r="G106" s="249"/>
      <c r="H106" s="249"/>
      <c r="I106" s="249"/>
      <c r="J106" s="252"/>
      <c r="K106" s="275" t="str">
        <f>K6</f>
        <v>Платежи</v>
      </c>
      <c r="L106" s="254"/>
      <c r="M106" s="249"/>
      <c r="N106" s="254"/>
      <c r="O106" s="252"/>
    </row>
    <row r="107" spans="1:16" s="186" customFormat="1" ht="16.5" thickTop="1" thickBot="1" x14ac:dyDescent="0.3">
      <c r="A107" s="192">
        <v>41289.96565972222</v>
      </c>
      <c r="B107" s="206" t="s">
        <v>235</v>
      </c>
      <c r="C107" s="318"/>
      <c r="D107" s="195"/>
      <c r="E107" s="210" t="s">
        <v>170</v>
      </c>
      <c r="F107" s="201" t="str">
        <f>F77</f>
        <v>HANDL_NewContract</v>
      </c>
      <c r="G107" s="319" t="str">
        <f>F106</f>
        <v>WP_PaidOpp</v>
      </c>
      <c r="H107" s="319" t="str">
        <f>B113</f>
        <v>WP_Paid</v>
      </c>
      <c r="I107" s="320">
        <v>7</v>
      </c>
      <c r="J107" s="200"/>
      <c r="K107" s="201"/>
      <c r="L107" s="204"/>
      <c r="M107" s="199"/>
      <c r="N107" s="204"/>
      <c r="O107" s="200"/>
    </row>
    <row r="108" spans="1:16" s="186" customFormat="1" x14ac:dyDescent="0.25">
      <c r="A108" s="192">
        <v>41289.96565972222</v>
      </c>
      <c r="B108" s="193" t="s">
        <v>236</v>
      </c>
      <c r="C108" s="293" t="str">
        <f>B107</f>
        <v>ProcReset</v>
      </c>
      <c r="D108" s="195"/>
      <c r="E108" s="196" t="s">
        <v>170</v>
      </c>
      <c r="F108" s="321">
        <f>C80</f>
        <v>1</v>
      </c>
      <c r="G108" s="203"/>
      <c r="H108" s="199"/>
      <c r="I108" s="199"/>
      <c r="J108" s="200"/>
      <c r="K108" s="201"/>
      <c r="L108" s="204"/>
      <c r="M108" s="199"/>
      <c r="N108" s="204"/>
      <c r="O108" s="200"/>
    </row>
    <row r="109" spans="1:16" s="186" customFormat="1" x14ac:dyDescent="0.25">
      <c r="A109" s="192">
        <v>41289.965682870374</v>
      </c>
      <c r="B109" s="206" t="s">
        <v>235</v>
      </c>
      <c r="C109" s="318"/>
      <c r="D109" s="195"/>
      <c r="E109" s="210" t="s">
        <v>170</v>
      </c>
      <c r="F109" s="201" t="str">
        <f>F73</f>
        <v>HANDL_PaidContr</v>
      </c>
      <c r="G109" s="203"/>
      <c r="H109" s="199"/>
      <c r="I109" s="199"/>
      <c r="J109" s="200"/>
      <c r="K109" s="201"/>
      <c r="L109" s="204"/>
      <c r="M109" s="199"/>
      <c r="N109" s="204"/>
      <c r="O109" s="200"/>
    </row>
    <row r="110" spans="1:16" s="186" customFormat="1" x14ac:dyDescent="0.25">
      <c r="A110" s="257"/>
      <c r="B110" s="195" t="s">
        <v>236</v>
      </c>
      <c r="C110" s="283" t="str">
        <f>B108</f>
        <v>CheckProc0</v>
      </c>
      <c r="D110" s="195"/>
      <c r="E110" s="196" t="s">
        <v>174</v>
      </c>
      <c r="F110" s="322">
        <f>C76</f>
        <v>15</v>
      </c>
      <c r="G110" s="203"/>
      <c r="H110" s="199"/>
      <c r="I110" s="199"/>
      <c r="J110" s="200"/>
      <c r="K110" s="201"/>
      <c r="L110" s="204"/>
      <c r="M110" s="199"/>
      <c r="N110" s="204"/>
      <c r="O110" s="200"/>
    </row>
    <row r="111" spans="1:16" s="186" customFormat="1" x14ac:dyDescent="0.25">
      <c r="A111" s="257"/>
      <c r="B111" s="195" t="s">
        <v>205</v>
      </c>
      <c r="C111" s="278"/>
      <c r="D111" s="279"/>
      <c r="E111" s="196" t="s">
        <v>174</v>
      </c>
      <c r="F111" s="282" t="s">
        <v>140</v>
      </c>
      <c r="G111" s="199"/>
      <c r="H111" s="199"/>
      <c r="I111" s="199"/>
      <c r="J111" s="200"/>
      <c r="K111" s="282" t="str">
        <f>F111</f>
        <v>NewOpp</v>
      </c>
      <c r="L111" s="204"/>
      <c r="M111" s="199"/>
      <c r="N111" s="204"/>
      <c r="O111" s="200"/>
    </row>
    <row r="112" spans="1:16" s="186" customFormat="1" x14ac:dyDescent="0.25">
      <c r="A112" s="257"/>
      <c r="B112" s="195" t="s">
        <v>205</v>
      </c>
      <c r="C112" s="278"/>
      <c r="D112" s="279"/>
      <c r="E112" s="196" t="s">
        <v>174</v>
      </c>
      <c r="F112" s="282" t="s">
        <v>135</v>
      </c>
      <c r="G112" s="199"/>
      <c r="H112" s="199"/>
      <c r="I112" s="199"/>
      <c r="J112" s="200"/>
      <c r="K112" s="282" t="str">
        <f>F112</f>
        <v>NewPayment</v>
      </c>
      <c r="L112" s="204"/>
      <c r="M112" s="199"/>
      <c r="N112" s="204"/>
      <c r="O112" s="200"/>
    </row>
    <row r="113" spans="1:15" s="186" customFormat="1" ht="15.75" thickBot="1" x14ac:dyDescent="0.3">
      <c r="A113" s="323"/>
      <c r="B113" s="324" t="s">
        <v>237</v>
      </c>
      <c r="C113" s="325" t="str">
        <f>B108</f>
        <v>CheckProc0</v>
      </c>
      <c r="D113" s="324"/>
      <c r="E113" s="326" t="s">
        <v>174</v>
      </c>
      <c r="F113" s="327" t="s">
        <v>238</v>
      </c>
      <c r="G113" s="328" t="s">
        <v>174</v>
      </c>
      <c r="H113" s="329"/>
      <c r="I113" s="329"/>
      <c r="J113" s="330"/>
      <c r="K113" s="331" t="str">
        <f>K106</f>
        <v>Платежи</v>
      </c>
      <c r="L113" s="332" t="s">
        <v>69</v>
      </c>
      <c r="M113" s="332" t="s">
        <v>65</v>
      </c>
      <c r="N113" s="332" t="s">
        <v>63</v>
      </c>
      <c r="O113" s="330"/>
    </row>
    <row r="114" spans="1:15" s="186" customFormat="1" ht="15.75" thickTop="1" x14ac:dyDescent="0.25">
      <c r="A114" s="257"/>
      <c r="B114" s="260" t="s">
        <v>136</v>
      </c>
      <c r="C114" s="283" t="str">
        <f>B113</f>
        <v>WP_Paid</v>
      </c>
      <c r="D114" s="195"/>
      <c r="E114" s="196" t="s">
        <v>174</v>
      </c>
      <c r="F114" s="282" t="s">
        <v>140</v>
      </c>
      <c r="G114" s="204" t="s">
        <v>207</v>
      </c>
      <c r="H114" s="211" t="s">
        <v>222</v>
      </c>
      <c r="I114" s="211" t="s">
        <v>223</v>
      </c>
      <c r="J114" s="200"/>
      <c r="K114" s="282" t="str">
        <f>F114</f>
        <v>NewOpp</v>
      </c>
      <c r="L114" s="204"/>
      <c r="M114" s="199"/>
      <c r="N114" s="204"/>
      <c r="O114" s="200"/>
    </row>
    <row r="115" spans="1:15" s="186" customFormat="1" x14ac:dyDescent="0.25">
      <c r="A115" s="257"/>
      <c r="B115" s="260" t="s">
        <v>136</v>
      </c>
      <c r="C115" s="283" t="str">
        <f>B113</f>
        <v>WP_Paid</v>
      </c>
      <c r="D115" s="195"/>
      <c r="E115" s="196" t="s">
        <v>174</v>
      </c>
      <c r="F115" s="282" t="s">
        <v>135</v>
      </c>
      <c r="G115" s="204" t="s">
        <v>207</v>
      </c>
      <c r="H115" s="211" t="s">
        <v>208</v>
      </c>
      <c r="I115" s="211" t="s">
        <v>209</v>
      </c>
      <c r="J115" s="200"/>
      <c r="K115" s="282" t="str">
        <f>F115</f>
        <v>NewPayment</v>
      </c>
      <c r="L115" s="204"/>
      <c r="M115" s="199"/>
      <c r="N115" s="204"/>
      <c r="O115" s="200"/>
    </row>
    <row r="116" spans="1:15" s="189" customFormat="1" x14ac:dyDescent="0.25">
      <c r="A116" s="333"/>
      <c r="B116" s="260" t="s">
        <v>33</v>
      </c>
      <c r="C116" s="334">
        <v>0</v>
      </c>
      <c r="D116" s="260"/>
      <c r="E116" s="208" t="s">
        <v>174</v>
      </c>
      <c r="F116" s="335"/>
      <c r="G116" s="199"/>
      <c r="H116" s="199"/>
      <c r="I116" s="199"/>
      <c r="J116" s="200"/>
      <c r="K116" s="201"/>
      <c r="L116" s="204"/>
      <c r="M116" s="199"/>
      <c r="N116" s="204"/>
      <c r="O116" s="200"/>
    </row>
    <row r="117" spans="1:15" s="339" customFormat="1" ht="15.75" thickBot="1" x14ac:dyDescent="0.3">
      <c r="A117" s="263">
        <v>41201.045671296299</v>
      </c>
      <c r="B117" s="264" t="s">
        <v>169</v>
      </c>
      <c r="C117" s="265"/>
      <c r="D117" s="226"/>
      <c r="E117" s="336" t="s">
        <v>66</v>
      </c>
      <c r="F117" s="337" t="s">
        <v>239</v>
      </c>
      <c r="G117" s="226"/>
      <c r="H117" s="226"/>
      <c r="I117" s="226"/>
      <c r="J117" s="229"/>
      <c r="K117" s="338" t="s">
        <v>32</v>
      </c>
      <c r="L117" s="231"/>
      <c r="M117" s="226"/>
      <c r="N117" s="231"/>
      <c r="O117" s="229"/>
    </row>
    <row r="118" spans="1:15" s="186" customFormat="1" ht="15.75" thickTop="1" x14ac:dyDescent="0.25">
      <c r="A118" s="192">
        <v>41218.822870370372</v>
      </c>
      <c r="B118" s="193" t="s">
        <v>205</v>
      </c>
      <c r="C118" s="281"/>
      <c r="D118" s="279"/>
      <c r="E118" s="196"/>
      <c r="F118" s="282" t="s">
        <v>142</v>
      </c>
      <c r="G118" s="199"/>
      <c r="H118" s="199"/>
      <c r="I118" s="199"/>
      <c r="J118" s="200"/>
      <c r="K118" s="282" t="str">
        <f>F118</f>
        <v>NewAcc</v>
      </c>
      <c r="L118" s="204"/>
      <c r="M118" s="199"/>
      <c r="N118" s="204"/>
      <c r="O118" s="200"/>
    </row>
    <row r="119" spans="1:15" s="186" customFormat="1" x14ac:dyDescent="0.25">
      <c r="A119" s="192"/>
      <c r="B119" s="193" t="s">
        <v>240</v>
      </c>
      <c r="C119" s="283" t="str">
        <f>B118</f>
        <v>NewSheet</v>
      </c>
      <c r="D119" s="279"/>
      <c r="E119" s="196"/>
      <c r="F119" s="340"/>
      <c r="G119" s="199"/>
      <c r="H119" s="199"/>
      <c r="I119" s="199"/>
      <c r="J119" s="200"/>
      <c r="K119" s="282"/>
      <c r="L119" s="204"/>
      <c r="M119" s="199"/>
      <c r="N119" s="204"/>
      <c r="O119" s="200"/>
    </row>
    <row r="120" spans="1:15" s="186" customFormat="1" x14ac:dyDescent="0.25">
      <c r="A120" s="257"/>
      <c r="B120" s="195" t="s">
        <v>194</v>
      </c>
      <c r="C120" s="271"/>
      <c r="D120" s="195"/>
      <c r="E120" s="196" t="s">
        <v>174</v>
      </c>
      <c r="F120" s="266" t="s">
        <v>66</v>
      </c>
      <c r="G120" s="203" t="s">
        <v>195</v>
      </c>
      <c r="H120" s="199"/>
      <c r="I120" s="199"/>
      <c r="J120" s="200"/>
      <c r="K120" s="201"/>
      <c r="L120" s="204"/>
      <c r="M120" s="199"/>
      <c r="N120" s="204"/>
      <c r="O120" s="200"/>
    </row>
    <row r="121" spans="1:15" s="186" customFormat="1" ht="15.75" thickBot="1" x14ac:dyDescent="0.3">
      <c r="A121" s="323">
        <v>41218.824293981481</v>
      </c>
      <c r="B121" s="324" t="s">
        <v>237</v>
      </c>
      <c r="C121" s="325" t="str">
        <f>B119</f>
        <v>SFaccDicBuild</v>
      </c>
      <c r="D121" s="324"/>
      <c r="E121" s="326" t="s">
        <v>174</v>
      </c>
      <c r="F121" s="327" t="s">
        <v>241</v>
      </c>
      <c r="G121" s="341"/>
      <c r="H121" s="329"/>
      <c r="I121" s="329"/>
      <c r="J121" s="330"/>
      <c r="K121" s="331" t="str">
        <f>K117</f>
        <v>Платежи</v>
      </c>
      <c r="L121" s="332">
        <v>0</v>
      </c>
      <c r="M121" s="332">
        <v>0</v>
      </c>
      <c r="N121" s="332">
        <v>0</v>
      </c>
      <c r="O121" s="330"/>
    </row>
    <row r="122" spans="1:15" s="186" customFormat="1" ht="15.75" thickTop="1" x14ac:dyDescent="0.25">
      <c r="A122" s="257">
        <v>41218.824293981481</v>
      </c>
      <c r="B122" s="260" t="s">
        <v>136</v>
      </c>
      <c r="C122" s="283" t="str">
        <f>B121</f>
        <v>WP_Paid</v>
      </c>
      <c r="D122" s="195"/>
      <c r="E122" s="196" t="s">
        <v>174</v>
      </c>
      <c r="F122" s="282" t="str">
        <f>F118</f>
        <v>NewAcc</v>
      </c>
      <c r="G122" s="204" t="s">
        <v>207</v>
      </c>
      <c r="H122" s="211" t="s">
        <v>222</v>
      </c>
      <c r="I122" s="211" t="s">
        <v>223</v>
      </c>
      <c r="J122" s="200"/>
      <c r="K122" s="282" t="str">
        <f>F122</f>
        <v>NewAcc</v>
      </c>
      <c r="L122" s="204"/>
      <c r="M122" s="199"/>
      <c r="N122" s="204"/>
      <c r="O122" s="200"/>
    </row>
    <row r="123" spans="1:15" s="222" customFormat="1" x14ac:dyDescent="0.25">
      <c r="A123" s="261"/>
      <c r="B123" s="215" t="s">
        <v>33</v>
      </c>
      <c r="C123" s="262">
        <v>5</v>
      </c>
      <c r="D123" s="215"/>
      <c r="E123" s="216" t="s">
        <v>174</v>
      </c>
      <c r="F123" s="217"/>
      <c r="G123" s="218"/>
      <c r="H123" s="218"/>
      <c r="I123" s="218"/>
      <c r="J123" s="219"/>
      <c r="K123" s="220"/>
      <c r="L123" s="221"/>
      <c r="M123" s="218"/>
      <c r="N123" s="221"/>
      <c r="O123" s="219"/>
    </row>
    <row r="124" spans="1:15" s="186" customFormat="1" x14ac:dyDescent="0.25">
      <c r="A124" s="257"/>
      <c r="B124" s="195" t="s">
        <v>169</v>
      </c>
      <c r="C124" s="278"/>
      <c r="D124" s="279"/>
      <c r="E124" s="196" t="s">
        <v>174</v>
      </c>
      <c r="F124" s="280" t="s">
        <v>242</v>
      </c>
      <c r="G124" s="199"/>
      <c r="H124" s="199"/>
      <c r="I124" s="199"/>
      <c r="J124" s="200"/>
      <c r="K124" s="191" t="s">
        <v>32</v>
      </c>
      <c r="L124" s="204"/>
      <c r="M124" s="199"/>
      <c r="N124" s="204"/>
      <c r="O124" s="200"/>
    </row>
    <row r="125" spans="1:15" s="186" customFormat="1" x14ac:dyDescent="0.25">
      <c r="A125" s="276"/>
      <c r="B125" s="195" t="s">
        <v>194</v>
      </c>
      <c r="C125" s="271"/>
      <c r="D125" s="195"/>
      <c r="E125" s="196"/>
      <c r="F125" s="266" t="s">
        <v>170</v>
      </c>
      <c r="G125" s="203"/>
      <c r="H125" s="199"/>
      <c r="I125" s="199"/>
      <c r="J125" s="200"/>
      <c r="K125" s="201"/>
      <c r="L125" s="204"/>
      <c r="M125" s="199"/>
      <c r="N125" s="204"/>
      <c r="O125" s="200"/>
    </row>
    <row r="126" spans="1:15" ht="30" x14ac:dyDescent="0.25">
      <c r="A126" s="276"/>
      <c r="B126" s="260" t="s">
        <v>243</v>
      </c>
      <c r="C126" s="258" t="s">
        <v>198</v>
      </c>
      <c r="D126" s="207"/>
      <c r="E126" s="235" t="s">
        <v>174</v>
      </c>
      <c r="F126" s="201"/>
      <c r="G126" s="204"/>
      <c r="H126" s="211"/>
      <c r="I126" s="211"/>
      <c r="J126" s="255"/>
      <c r="K126" s="256" t="s">
        <v>32</v>
      </c>
      <c r="L126" s="211" t="s">
        <v>65</v>
      </c>
      <c r="M126" s="211"/>
      <c r="N126" s="211"/>
      <c r="O126" s="255"/>
    </row>
    <row r="127" spans="1:15" s="222" customFormat="1" x14ac:dyDescent="0.25">
      <c r="A127" s="261"/>
      <c r="B127" s="215" t="s">
        <v>33</v>
      </c>
      <c r="C127" s="262"/>
      <c r="D127" s="215"/>
      <c r="E127" s="216" t="s">
        <v>174</v>
      </c>
      <c r="F127" s="217"/>
      <c r="G127" s="218"/>
      <c r="H127" s="218"/>
      <c r="I127" s="218"/>
      <c r="J127" s="219"/>
      <c r="K127" s="220"/>
      <c r="L127" s="221"/>
      <c r="M127" s="218"/>
      <c r="N127" s="221"/>
      <c r="O127" s="219"/>
    </row>
    <row r="128" spans="1:15" s="22" customFormat="1" x14ac:dyDescent="0.25">
      <c r="A128" s="342"/>
      <c r="B128" s="343" t="s">
        <v>119</v>
      </c>
      <c r="C128" s="344" t="s">
        <v>120</v>
      </c>
      <c r="D128" s="264"/>
      <c r="E128" s="345"/>
      <c r="F128" s="346"/>
      <c r="G128" s="347"/>
      <c r="H128" s="347"/>
      <c r="I128" s="347"/>
      <c r="J128" s="348"/>
      <c r="K128" s="346" t="s">
        <v>244</v>
      </c>
      <c r="L128" s="347"/>
      <c r="M128" s="347"/>
      <c r="N128" s="347"/>
      <c r="O128" s="348"/>
    </row>
    <row r="129" spans="1:15" x14ac:dyDescent="0.25">
      <c r="A129" s="349"/>
      <c r="B129" s="350">
        <v>1043</v>
      </c>
      <c r="C129" s="351"/>
      <c r="D129" s="207"/>
      <c r="E129" s="196"/>
      <c r="F129" s="259"/>
      <c r="G129" s="211"/>
      <c r="H129" s="211"/>
      <c r="I129" s="211"/>
      <c r="J129" s="212"/>
      <c r="K129" s="259" t="s">
        <v>244</v>
      </c>
      <c r="L129" s="211"/>
      <c r="M129" s="211"/>
      <c r="N129" s="211"/>
      <c r="O129" s="212"/>
    </row>
    <row r="130" spans="1:15" s="22" customFormat="1" ht="15.75" thickBot="1" x14ac:dyDescent="0.3">
      <c r="A130" s="76"/>
      <c r="B130" s="352" t="s">
        <v>119</v>
      </c>
      <c r="C130" s="353" t="s">
        <v>120</v>
      </c>
      <c r="D130" s="73"/>
      <c r="E130" s="354"/>
      <c r="F130" s="355"/>
      <c r="G130" s="356"/>
      <c r="H130" s="356"/>
      <c r="I130" s="356"/>
      <c r="J130" s="357"/>
      <c r="K130" s="355" t="s">
        <v>121</v>
      </c>
      <c r="L130" s="356"/>
      <c r="M130" s="356"/>
      <c r="N130" s="356"/>
      <c r="O130" s="357"/>
    </row>
    <row r="131" spans="1:15" x14ac:dyDescent="0.25">
      <c r="A131" s="41"/>
    </row>
    <row r="132" spans="1:15" s="186" customFormat="1" x14ac:dyDescent="0.25">
      <c r="A132" s="257"/>
      <c r="B132" s="195" t="s">
        <v>194</v>
      </c>
      <c r="C132" s="271"/>
      <c r="D132" s="195"/>
      <c r="E132" s="196" t="s">
        <v>174</v>
      </c>
      <c r="F132" s="266" t="s">
        <v>66</v>
      </c>
      <c r="G132" s="203" t="s">
        <v>195</v>
      </c>
      <c r="H132" s="199"/>
      <c r="I132" s="199"/>
      <c r="J132" s="200"/>
      <c r="K132" s="201"/>
      <c r="L132" s="204"/>
      <c r="M132" s="199"/>
      <c r="N132" s="204"/>
      <c r="O132" s="200"/>
    </row>
    <row r="134" spans="1:15" ht="45" hidden="1" outlineLevel="1" x14ac:dyDescent="0.25">
      <c r="A134" s="257">
        <v>41217.705717592595</v>
      </c>
      <c r="B134" s="195" t="s">
        <v>245</v>
      </c>
      <c r="C134" s="258" t="s">
        <v>246</v>
      </c>
      <c r="D134" s="211"/>
      <c r="E134" s="235" t="s">
        <v>174</v>
      </c>
      <c r="F134" s="266" t="s">
        <v>63</v>
      </c>
      <c r="G134" s="204" t="s">
        <v>41</v>
      </c>
      <c r="H134" s="203" t="s">
        <v>166</v>
      </c>
      <c r="I134" s="203" t="s">
        <v>187</v>
      </c>
      <c r="J134" s="255"/>
      <c r="L134" s="202" t="s">
        <v>63</v>
      </c>
      <c r="M134" s="211"/>
      <c r="N134" s="211"/>
      <c r="O134" s="255"/>
    </row>
    <row r="135" spans="1:15" collapsed="1" x14ac:dyDescent="0.25"/>
    <row r="137" spans="1:15" s="32" customFormat="1" hidden="1" outlineLevel="1" x14ac:dyDescent="0.25">
      <c r="A137" s="257">
        <v>41217.684374999997</v>
      </c>
      <c r="B137" s="195" t="s">
        <v>85</v>
      </c>
      <c r="C137" s="258" t="s">
        <v>67</v>
      </c>
      <c r="D137" s="195"/>
      <c r="E137" s="196" t="s">
        <v>174</v>
      </c>
      <c r="F137" s="197" t="s">
        <v>175</v>
      </c>
      <c r="G137" s="198" t="s">
        <v>176</v>
      </c>
      <c r="H137" s="199"/>
      <c r="I137" s="199"/>
      <c r="J137" s="212"/>
      <c r="K137" s="201">
        <v>0</v>
      </c>
      <c r="L137" s="202" t="s">
        <v>69</v>
      </c>
      <c r="M137" s="202" t="s">
        <v>63</v>
      </c>
      <c r="N137" s="211"/>
      <c r="O137" s="212"/>
    </row>
    <row r="138" spans="1:15" collapsed="1" x14ac:dyDescent="0.25"/>
    <row r="140" spans="1:15" s="32" customFormat="1" hidden="1" outlineLevel="1" x14ac:dyDescent="0.25">
      <c r="A140" s="257">
        <v>41227.065937500003</v>
      </c>
      <c r="B140" s="195" t="s">
        <v>247</v>
      </c>
      <c r="C140" s="267" t="str">
        <f>B54</f>
        <v>InsMyCol</v>
      </c>
      <c r="D140" s="195"/>
      <c r="E140" s="196" t="s">
        <v>174</v>
      </c>
      <c r="F140" s="266" t="s">
        <v>187</v>
      </c>
      <c r="G140" s="203" t="s">
        <v>60</v>
      </c>
      <c r="H140" s="203" t="s">
        <v>248</v>
      </c>
      <c r="I140" s="203" t="s">
        <v>249</v>
      </c>
      <c r="J140" s="268"/>
      <c r="K140" s="270" t="str">
        <f>K52</f>
        <v>Склад</v>
      </c>
      <c r="L140" s="204" t="s">
        <v>32</v>
      </c>
      <c r="M140" s="211"/>
      <c r="N140" s="186"/>
      <c r="O140" s="200"/>
    </row>
    <row r="141" spans="1:15" collapsed="1" x14ac:dyDescent="0.25"/>
  </sheetData>
  <autoFilter ref="A4:O130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360" customWidth="1"/>
    <col min="2" max="2" width="20.85546875" style="364" customWidth="1"/>
    <col min="3" max="3" width="30.28515625" style="360" customWidth="1"/>
    <col min="4" max="4" width="17.5703125" style="360" customWidth="1"/>
    <col min="5" max="5" width="32.7109375" style="360" customWidth="1"/>
    <col min="6" max="6" width="22.85546875" style="361" customWidth="1"/>
    <col min="7" max="7" width="16.28515625" style="362" hidden="1" customWidth="1"/>
    <col min="8" max="10" width="0" style="360" hidden="1" customWidth="1"/>
    <col min="11" max="11" width="13" style="360" hidden="1" customWidth="1"/>
    <col min="12" max="12" width="0" style="360" hidden="1" customWidth="1"/>
    <col min="13" max="13" width="19.42578125" style="360" customWidth="1"/>
    <col min="14" max="15" width="18.42578125" style="360" customWidth="1"/>
    <col min="16" max="16" width="19.140625" style="360" customWidth="1"/>
    <col min="17" max="16384" width="9.140625" style="360"/>
  </cols>
  <sheetData>
    <row r="1" spans="1:7" x14ac:dyDescent="0.25">
      <c r="A1" s="358" t="s">
        <v>250</v>
      </c>
      <c r="B1" s="359" t="s">
        <v>251</v>
      </c>
    </row>
    <row r="2" spans="1:7" x14ac:dyDescent="0.25">
      <c r="A2" s="363" t="s">
        <v>252</v>
      </c>
      <c r="B2" s="364" t="s">
        <v>253</v>
      </c>
    </row>
    <row r="3" spans="1:7" x14ac:dyDescent="0.25">
      <c r="A3" s="363" t="s">
        <v>254</v>
      </c>
      <c r="B3" s="365" t="s">
        <v>255</v>
      </c>
      <c r="C3" s="366" t="s">
        <v>256</v>
      </c>
    </row>
    <row r="4" spans="1:7" x14ac:dyDescent="0.25">
      <c r="A4" s="363" t="s">
        <v>257</v>
      </c>
      <c r="B4" s="364" t="s">
        <v>258</v>
      </c>
    </row>
    <row r="5" spans="1:7" x14ac:dyDescent="0.25">
      <c r="A5" s="366" t="s">
        <v>259</v>
      </c>
      <c r="B5" s="365" t="s">
        <v>260</v>
      </c>
    </row>
    <row r="6" spans="1:7" x14ac:dyDescent="0.25">
      <c r="A6" s="366" t="s">
        <v>261</v>
      </c>
      <c r="B6" s="365" t="s">
        <v>262</v>
      </c>
    </row>
    <row r="7" spans="1:7" x14ac:dyDescent="0.25">
      <c r="A7" s="366"/>
      <c r="B7" s="367"/>
    </row>
    <row r="8" spans="1:7" x14ac:dyDescent="0.25">
      <c r="A8" s="366" t="s">
        <v>263</v>
      </c>
      <c r="B8" s="367"/>
    </row>
    <row r="9" spans="1:7" x14ac:dyDescent="0.25">
      <c r="A9" s="358" t="s">
        <v>264</v>
      </c>
      <c r="B9" s="359" t="s">
        <v>265</v>
      </c>
    </row>
    <row r="10" spans="1:7" x14ac:dyDescent="0.25">
      <c r="A10" s="363" t="s">
        <v>266</v>
      </c>
      <c r="B10" s="364" t="s">
        <v>267</v>
      </c>
    </row>
    <row r="11" spans="1:7" x14ac:dyDescent="0.25">
      <c r="A11" s="363" t="s">
        <v>268</v>
      </c>
      <c r="B11" s="364" t="s">
        <v>269</v>
      </c>
    </row>
    <row r="12" spans="1:7" x14ac:dyDescent="0.25">
      <c r="A12" s="363" t="s">
        <v>270</v>
      </c>
      <c r="B12" s="364" t="s">
        <v>267</v>
      </c>
    </row>
    <row r="13" spans="1:7" x14ac:dyDescent="0.25">
      <c r="A13" s="366" t="s">
        <v>271</v>
      </c>
      <c r="B13" s="365" t="s">
        <v>272</v>
      </c>
    </row>
    <row r="14" spans="1:7" x14ac:dyDescent="0.25">
      <c r="A14" s="366" t="s">
        <v>273</v>
      </c>
      <c r="B14" s="365" t="s">
        <v>274</v>
      </c>
    </row>
    <row r="15" spans="1:7" x14ac:dyDescent="0.25">
      <c r="A15" s="366"/>
      <c r="B15" s="367"/>
    </row>
    <row r="16" spans="1:7" x14ac:dyDescent="0.25">
      <c r="A16" s="368" t="s">
        <v>275</v>
      </c>
      <c r="B16" s="359" t="s">
        <v>276</v>
      </c>
      <c r="C16" s="368" t="s">
        <v>277</v>
      </c>
      <c r="D16" s="368" t="s">
        <v>278</v>
      </c>
      <c r="E16" s="368" t="s">
        <v>279</v>
      </c>
      <c r="F16" s="369" t="s">
        <v>280</v>
      </c>
      <c r="G16" s="370" t="s">
        <v>281</v>
      </c>
    </row>
    <row r="17" spans="1:7" x14ac:dyDescent="0.25">
      <c r="A17" s="371" t="s">
        <v>282</v>
      </c>
      <c r="B17" s="372" t="s">
        <v>283</v>
      </c>
      <c r="C17" s="373" t="s">
        <v>284</v>
      </c>
      <c r="D17" s="374" t="s">
        <v>285</v>
      </c>
      <c r="E17" s="375" t="s">
        <v>286</v>
      </c>
      <c r="F17" s="376" t="s">
        <v>287</v>
      </c>
      <c r="G17" s="362">
        <v>0</v>
      </c>
    </row>
    <row r="18" spans="1:7" ht="50.25" customHeight="1" x14ac:dyDescent="0.25">
      <c r="A18" s="377" t="s">
        <v>288</v>
      </c>
      <c r="B18" s="378" t="s">
        <v>289</v>
      </c>
      <c r="C18" s="379" t="s">
        <v>290</v>
      </c>
      <c r="D18" s="374" t="s">
        <v>291</v>
      </c>
      <c r="E18" s="380" t="s">
        <v>292</v>
      </c>
      <c r="F18" s="381" t="s">
        <v>293</v>
      </c>
      <c r="G18" s="382">
        <v>0</v>
      </c>
    </row>
    <row r="19" spans="1:7" x14ac:dyDescent="0.25">
      <c r="A19" s="371" t="s">
        <v>294</v>
      </c>
      <c r="B19" s="372"/>
      <c r="C19" s="373" t="s">
        <v>284</v>
      </c>
      <c r="D19" s="374" t="s">
        <v>285</v>
      </c>
      <c r="E19" s="380"/>
      <c r="F19" s="383" t="s">
        <v>295</v>
      </c>
      <c r="G19" s="382">
        <v>1</v>
      </c>
    </row>
    <row r="20" spans="1:7" x14ac:dyDescent="0.25">
      <c r="A20" s="371" t="s">
        <v>296</v>
      </c>
      <c r="B20" s="372" t="s">
        <v>297</v>
      </c>
      <c r="C20" s="373" t="s">
        <v>298</v>
      </c>
      <c r="D20" s="360" t="s">
        <v>299</v>
      </c>
      <c r="E20" s="373"/>
      <c r="F20" s="376" t="s">
        <v>300</v>
      </c>
      <c r="G20" s="362">
        <v>0</v>
      </c>
    </row>
    <row r="21" spans="1:7" x14ac:dyDescent="0.25">
      <c r="A21" s="371" t="s">
        <v>301</v>
      </c>
      <c r="B21" s="372" t="s">
        <v>302</v>
      </c>
      <c r="C21" s="373" t="s">
        <v>303</v>
      </c>
      <c r="D21" s="360" t="s">
        <v>304</v>
      </c>
      <c r="E21" s="373"/>
      <c r="F21" s="384" t="s">
        <v>305</v>
      </c>
      <c r="G21" s="362">
        <v>0</v>
      </c>
    </row>
    <row r="22" spans="1:7" x14ac:dyDescent="0.25">
      <c r="A22" s="371" t="s">
        <v>306</v>
      </c>
      <c r="B22" s="372" t="s">
        <v>307</v>
      </c>
      <c r="C22" s="373" t="s">
        <v>308</v>
      </c>
      <c r="D22" s="360" t="s">
        <v>309</v>
      </c>
      <c r="E22" s="373" t="s">
        <v>310</v>
      </c>
      <c r="F22" s="384" t="s">
        <v>311</v>
      </c>
      <c r="G22" s="362">
        <v>0</v>
      </c>
    </row>
    <row r="23" spans="1:7" x14ac:dyDescent="0.25">
      <c r="A23" s="371" t="s">
        <v>312</v>
      </c>
      <c r="B23" s="372" t="s">
        <v>313</v>
      </c>
      <c r="C23" s="373" t="s">
        <v>314</v>
      </c>
      <c r="D23" s="360" t="s">
        <v>315</v>
      </c>
      <c r="E23" s="373" t="s">
        <v>316</v>
      </c>
      <c r="F23" s="384" t="s">
        <v>317</v>
      </c>
      <c r="G23" s="362">
        <v>0</v>
      </c>
    </row>
    <row r="24" spans="1:7" x14ac:dyDescent="0.25">
      <c r="A24" s="371" t="s">
        <v>318</v>
      </c>
      <c r="B24" s="378" t="s">
        <v>319</v>
      </c>
      <c r="C24" s="385" t="s">
        <v>320</v>
      </c>
      <c r="D24" s="375" t="s">
        <v>321</v>
      </c>
      <c r="E24" s="375"/>
      <c r="F24" s="384" t="s">
        <v>322</v>
      </c>
      <c r="G24" s="362">
        <v>0</v>
      </c>
    </row>
    <row r="25" spans="1:7" x14ac:dyDescent="0.25">
      <c r="A25" s="371" t="s">
        <v>323</v>
      </c>
      <c r="B25" s="372" t="s">
        <v>324</v>
      </c>
      <c r="C25" s="373" t="s">
        <v>325</v>
      </c>
      <c r="D25" s="360" t="s">
        <v>326</v>
      </c>
      <c r="E25" s="373" t="s">
        <v>316</v>
      </c>
      <c r="F25" s="384" t="s">
        <v>327</v>
      </c>
      <c r="G25" s="362">
        <v>0</v>
      </c>
    </row>
    <row r="26" spans="1:7" x14ac:dyDescent="0.25">
      <c r="A26" s="371" t="s">
        <v>328</v>
      </c>
      <c r="B26" s="386"/>
      <c r="C26" s="373" t="s">
        <v>329</v>
      </c>
      <c r="D26" s="360" t="s">
        <v>330</v>
      </c>
      <c r="E26" s="373"/>
      <c r="F26" s="384" t="s">
        <v>331</v>
      </c>
      <c r="G26" s="362">
        <v>0</v>
      </c>
    </row>
    <row r="27" spans="1:7" x14ac:dyDescent="0.25">
      <c r="A27" s="371" t="s">
        <v>332</v>
      </c>
      <c r="B27" s="372" t="s">
        <v>333</v>
      </c>
      <c r="C27" s="373" t="s">
        <v>334</v>
      </c>
      <c r="D27" s="360" t="s">
        <v>335</v>
      </c>
      <c r="E27" s="373" t="s">
        <v>336</v>
      </c>
      <c r="F27" s="384" t="s">
        <v>337</v>
      </c>
      <c r="G27" s="362">
        <v>0</v>
      </c>
    </row>
    <row r="28" spans="1:7" x14ac:dyDescent="0.25">
      <c r="A28" s="371" t="s">
        <v>338</v>
      </c>
      <c r="B28" s="386"/>
      <c r="C28" s="373" t="s">
        <v>339</v>
      </c>
      <c r="D28" s="360" t="s">
        <v>340</v>
      </c>
      <c r="E28" s="387" t="s">
        <v>336</v>
      </c>
      <c r="F28" s="384" t="s">
        <v>341</v>
      </c>
      <c r="G28" s="362">
        <v>0</v>
      </c>
    </row>
    <row r="29" spans="1:7" x14ac:dyDescent="0.25">
      <c r="A29" s="371" t="s">
        <v>342</v>
      </c>
      <c r="B29" s="372" t="s">
        <v>343</v>
      </c>
      <c r="C29" s="373" t="s">
        <v>344</v>
      </c>
      <c r="D29" s="375" t="s">
        <v>345</v>
      </c>
      <c r="E29" s="375" t="s">
        <v>346</v>
      </c>
      <c r="F29" s="384" t="s">
        <v>347</v>
      </c>
      <c r="G29" s="362">
        <v>0</v>
      </c>
    </row>
    <row r="30" spans="1:7" x14ac:dyDescent="0.25">
      <c r="A30" s="371" t="s">
        <v>348</v>
      </c>
      <c r="B30" s="372" t="s">
        <v>349</v>
      </c>
      <c r="C30" s="373" t="s">
        <v>316</v>
      </c>
      <c r="D30" s="360" t="s">
        <v>350</v>
      </c>
      <c r="E30" s="373" t="s">
        <v>316</v>
      </c>
      <c r="F30" s="384" t="s">
        <v>351</v>
      </c>
      <c r="G30" s="362">
        <v>0</v>
      </c>
    </row>
    <row r="31" spans="1:7" ht="30" x14ac:dyDescent="0.25">
      <c r="A31" s="377" t="s">
        <v>352</v>
      </c>
      <c r="B31" s="378" t="s">
        <v>353</v>
      </c>
      <c r="C31" s="379" t="s">
        <v>354</v>
      </c>
      <c r="D31" s="374" t="s">
        <v>355</v>
      </c>
      <c r="E31" s="380" t="s">
        <v>356</v>
      </c>
      <c r="F31" s="381" t="s">
        <v>357</v>
      </c>
      <c r="G31" s="362">
        <v>0</v>
      </c>
    </row>
    <row r="32" spans="1:7" x14ac:dyDescent="0.25">
      <c r="A32" s="371" t="s">
        <v>310</v>
      </c>
      <c r="B32" s="372" t="s">
        <v>358</v>
      </c>
      <c r="C32" s="373" t="s">
        <v>290</v>
      </c>
      <c r="D32" s="360" t="s">
        <v>291</v>
      </c>
      <c r="E32" s="373" t="s">
        <v>359</v>
      </c>
      <c r="F32" s="384" t="s">
        <v>360</v>
      </c>
      <c r="G32" s="362">
        <v>0</v>
      </c>
    </row>
    <row r="33" spans="1:17" x14ac:dyDescent="0.25">
      <c r="A33" s="371" t="s">
        <v>361</v>
      </c>
      <c r="B33" s="372" t="s">
        <v>358</v>
      </c>
      <c r="C33" s="373" t="s">
        <v>290</v>
      </c>
      <c r="D33" s="360" t="s">
        <v>291</v>
      </c>
      <c r="E33" s="375"/>
      <c r="F33" s="384" t="s">
        <v>362</v>
      </c>
      <c r="G33" s="362">
        <v>0</v>
      </c>
    </row>
    <row r="34" spans="1:17" x14ac:dyDescent="0.25">
      <c r="A34" s="371" t="s">
        <v>363</v>
      </c>
      <c r="B34" s="378" t="s">
        <v>364</v>
      </c>
      <c r="C34" s="373" t="s">
        <v>365</v>
      </c>
      <c r="D34" s="360" t="s">
        <v>366</v>
      </c>
      <c r="E34" s="375"/>
      <c r="F34" s="384" t="s">
        <v>322</v>
      </c>
      <c r="G34" s="362">
        <v>0</v>
      </c>
    </row>
    <row r="35" spans="1:17" x14ac:dyDescent="0.25">
      <c r="A35" s="371" t="s">
        <v>367</v>
      </c>
      <c r="B35" s="378" t="s">
        <v>368</v>
      </c>
      <c r="C35" s="385" t="s">
        <v>320</v>
      </c>
      <c r="D35" s="375" t="s">
        <v>321</v>
      </c>
      <c r="E35" s="375"/>
      <c r="F35" s="384" t="s">
        <v>322</v>
      </c>
      <c r="G35" s="362">
        <v>0</v>
      </c>
    </row>
    <row r="36" spans="1:17" x14ac:dyDescent="0.25">
      <c r="A36" s="371" t="s">
        <v>369</v>
      </c>
      <c r="B36" s="372" t="s">
        <v>370</v>
      </c>
      <c r="C36" s="373" t="s">
        <v>371</v>
      </c>
      <c r="D36" s="360" t="s">
        <v>372</v>
      </c>
      <c r="E36" s="375"/>
      <c r="F36" s="384" t="s">
        <v>373</v>
      </c>
      <c r="G36" s="362">
        <v>0</v>
      </c>
    </row>
    <row r="37" spans="1:17" x14ac:dyDescent="0.25">
      <c r="A37" s="371" t="s">
        <v>374</v>
      </c>
      <c r="B37" s="372" t="s">
        <v>375</v>
      </c>
      <c r="C37" s="373" t="s">
        <v>284</v>
      </c>
      <c r="D37" s="360" t="s">
        <v>285</v>
      </c>
      <c r="E37" s="375"/>
      <c r="F37" s="384" t="s">
        <v>376</v>
      </c>
      <c r="G37" s="362">
        <v>1</v>
      </c>
    </row>
    <row r="38" spans="1:17" x14ac:dyDescent="0.25">
      <c r="A38" s="371" t="s">
        <v>377</v>
      </c>
      <c r="B38" s="372" t="s">
        <v>378</v>
      </c>
      <c r="C38" s="373" t="s">
        <v>284</v>
      </c>
      <c r="D38" s="374" t="s">
        <v>285</v>
      </c>
      <c r="E38" s="375"/>
      <c r="F38" s="384" t="s">
        <v>362</v>
      </c>
      <c r="G38" s="362">
        <v>0</v>
      </c>
    </row>
    <row r="39" spans="1:17" x14ac:dyDescent="0.25">
      <c r="A39" s="371" t="s">
        <v>336</v>
      </c>
      <c r="B39" s="372" t="s">
        <v>379</v>
      </c>
      <c r="C39" s="373" t="s">
        <v>339</v>
      </c>
      <c r="D39" s="360" t="s">
        <v>340</v>
      </c>
      <c r="E39" s="375"/>
      <c r="F39" s="384" t="s">
        <v>380</v>
      </c>
      <c r="G39" s="362">
        <v>0</v>
      </c>
    </row>
    <row r="40" spans="1:17" x14ac:dyDescent="0.25">
      <c r="A40" s="371" t="s">
        <v>381</v>
      </c>
      <c r="B40" s="372" t="s">
        <v>382</v>
      </c>
      <c r="C40" s="373" t="s">
        <v>383</v>
      </c>
      <c r="D40" s="360" t="s">
        <v>384</v>
      </c>
      <c r="E40" s="373"/>
      <c r="F40" s="384" t="s">
        <v>385</v>
      </c>
      <c r="G40" s="362">
        <v>0</v>
      </c>
    </row>
    <row r="41" spans="1:17" x14ac:dyDescent="0.25">
      <c r="A41" s="371" t="s">
        <v>386</v>
      </c>
      <c r="B41" s="372" t="s">
        <v>387</v>
      </c>
      <c r="C41" s="373" t="s">
        <v>316</v>
      </c>
      <c r="D41" s="360" t="s">
        <v>350</v>
      </c>
      <c r="E41" s="375"/>
      <c r="F41" s="384" t="s">
        <v>388</v>
      </c>
      <c r="G41" s="362">
        <v>0</v>
      </c>
    </row>
    <row r="42" spans="1:17" x14ac:dyDescent="0.25">
      <c r="A42" s="371" t="s">
        <v>389</v>
      </c>
      <c r="B42" s="372" t="s">
        <v>390</v>
      </c>
      <c r="C42" s="373" t="s">
        <v>391</v>
      </c>
      <c r="D42" s="360" t="s">
        <v>392</v>
      </c>
      <c r="E42" s="375"/>
      <c r="F42" s="384" t="s">
        <v>393</v>
      </c>
      <c r="G42" s="362">
        <v>0</v>
      </c>
    </row>
    <row r="43" spans="1:17" x14ac:dyDescent="0.25">
      <c r="A43" s="371" t="s">
        <v>344</v>
      </c>
      <c r="B43" s="372"/>
      <c r="C43" s="373" t="s">
        <v>344</v>
      </c>
      <c r="D43" s="375" t="s">
        <v>345</v>
      </c>
      <c r="E43" s="375"/>
      <c r="F43" s="376"/>
      <c r="G43" s="362">
        <v>0</v>
      </c>
    </row>
    <row r="45" spans="1:17" x14ac:dyDescent="0.25">
      <c r="A45" s="368" t="s">
        <v>394</v>
      </c>
      <c r="B45" s="359" t="s">
        <v>395</v>
      </c>
      <c r="C45" s="368" t="s">
        <v>396</v>
      </c>
    </row>
    <row r="46" spans="1:17" ht="15" customHeight="1" x14ac:dyDescent="0.25">
      <c r="A46" s="388" t="s">
        <v>397</v>
      </c>
      <c r="B46" s="364" t="s">
        <v>398</v>
      </c>
      <c r="C46" s="364">
        <v>1</v>
      </c>
      <c r="Q46" s="375"/>
    </row>
    <row r="47" spans="1:17" x14ac:dyDescent="0.25">
      <c r="A47" s="388" t="s">
        <v>399</v>
      </c>
      <c r="B47" s="364" t="s">
        <v>400</v>
      </c>
      <c r="C47" s="365" t="s">
        <v>401</v>
      </c>
      <c r="M47" s="364"/>
      <c r="N47" s="365"/>
      <c r="O47" s="364"/>
      <c r="P47" s="364"/>
      <c r="Q47" s="365"/>
    </row>
    <row r="48" spans="1:17" x14ac:dyDescent="0.25">
      <c r="A48" s="388" t="s">
        <v>402</v>
      </c>
      <c r="B48" s="364" t="s">
        <v>403</v>
      </c>
      <c r="C48" s="365" t="s">
        <v>404</v>
      </c>
    </row>
    <row r="49" spans="1:17" x14ac:dyDescent="0.25">
      <c r="H49" s="894" t="s">
        <v>405</v>
      </c>
      <c r="I49" s="895"/>
      <c r="J49" s="895"/>
      <c r="K49" s="896"/>
      <c r="L49" s="375"/>
    </row>
    <row r="50" spans="1:17" ht="15.75" x14ac:dyDescent="0.25">
      <c r="A50" s="375" t="s">
        <v>406</v>
      </c>
      <c r="H50" s="389"/>
      <c r="I50" s="390"/>
      <c r="J50" s="390"/>
      <c r="K50" s="391"/>
      <c r="L50" s="375"/>
      <c r="M50" s="897" t="s">
        <v>405</v>
      </c>
      <c r="N50" s="898"/>
      <c r="O50" s="898"/>
      <c r="P50" s="898"/>
      <c r="Q50" s="899"/>
    </row>
    <row r="51" spans="1:17" ht="30" x14ac:dyDescent="0.25">
      <c r="A51" s="375" t="s">
        <v>407</v>
      </c>
      <c r="B51" s="365" t="s">
        <v>408</v>
      </c>
      <c r="C51" s="392" t="s">
        <v>409</v>
      </c>
      <c r="D51" s="392" t="s">
        <v>410</v>
      </c>
      <c r="E51" s="393" t="s">
        <v>411</v>
      </c>
      <c r="F51" s="394" t="s">
        <v>412</v>
      </c>
      <c r="G51" s="395" t="s">
        <v>413</v>
      </c>
      <c r="H51" s="396" t="s">
        <v>414</v>
      </c>
      <c r="I51" s="396" t="s">
        <v>415</v>
      </c>
      <c r="J51" s="396" t="s">
        <v>416</v>
      </c>
      <c r="K51" s="397" t="s">
        <v>417</v>
      </c>
      <c r="M51" s="398" t="s">
        <v>418</v>
      </c>
      <c r="N51" s="399" t="s">
        <v>413</v>
      </c>
      <c r="O51" s="399" t="s">
        <v>419</v>
      </c>
      <c r="P51" s="399" t="s">
        <v>416</v>
      </c>
      <c r="Q51" s="400" t="s">
        <v>417</v>
      </c>
    </row>
    <row r="52" spans="1:17" ht="15.75" x14ac:dyDescent="0.3">
      <c r="A52" s="375" t="s">
        <v>420</v>
      </c>
      <c r="B52" s="401" t="s">
        <v>421</v>
      </c>
      <c r="C52" s="387" t="s">
        <v>422</v>
      </c>
      <c r="D52" s="402" t="s">
        <v>420</v>
      </c>
      <c r="E52" s="403" t="s">
        <v>420</v>
      </c>
      <c r="F52" s="376" t="s">
        <v>423</v>
      </c>
      <c r="G52" s="395" t="s">
        <v>424</v>
      </c>
      <c r="H52" s="375" t="s">
        <v>413</v>
      </c>
      <c r="I52" s="375" t="s">
        <v>425</v>
      </c>
      <c r="J52" s="375"/>
      <c r="M52" s="375" t="s">
        <v>426</v>
      </c>
      <c r="N52" s="375" t="s">
        <v>424</v>
      </c>
      <c r="O52" s="375" t="s">
        <v>419</v>
      </c>
      <c r="P52" s="375" t="s">
        <v>427</v>
      </c>
    </row>
    <row r="53" spans="1:17" ht="45" x14ac:dyDescent="0.3">
      <c r="A53" s="375" t="s">
        <v>362</v>
      </c>
      <c r="B53" s="401" t="s">
        <v>428</v>
      </c>
      <c r="C53" s="387" t="s">
        <v>422</v>
      </c>
      <c r="D53" s="402" t="s">
        <v>362</v>
      </c>
      <c r="E53" s="403" t="s">
        <v>429</v>
      </c>
      <c r="F53" s="376" t="s">
        <v>430</v>
      </c>
      <c r="G53" s="395" t="s">
        <v>431</v>
      </c>
      <c r="H53" s="375" t="s">
        <v>413</v>
      </c>
      <c r="I53" s="375" t="s">
        <v>425</v>
      </c>
      <c r="J53" s="375"/>
      <c r="M53" s="404" t="s">
        <v>432</v>
      </c>
      <c r="N53" s="404" t="s">
        <v>433</v>
      </c>
      <c r="O53" s="404"/>
      <c r="P53" s="404" t="s">
        <v>434</v>
      </c>
    </row>
    <row r="54" spans="1:17" ht="15.75" x14ac:dyDescent="0.3">
      <c r="A54" s="375" t="s">
        <v>435</v>
      </c>
      <c r="B54" s="401" t="s">
        <v>436</v>
      </c>
      <c r="C54" s="387" t="s">
        <v>422</v>
      </c>
      <c r="D54" s="402" t="s">
        <v>435</v>
      </c>
      <c r="E54" s="403" t="s">
        <v>437</v>
      </c>
      <c r="F54" s="376" t="s">
        <v>423</v>
      </c>
      <c r="G54" s="362" t="b">
        <v>1</v>
      </c>
      <c r="M54" s="405"/>
      <c r="N54" s="404" t="s">
        <v>438</v>
      </c>
      <c r="O54" s="405"/>
      <c r="P54" s="405"/>
    </row>
    <row r="55" spans="1:17" ht="15.75" x14ac:dyDescent="0.3">
      <c r="A55" s="375" t="s">
        <v>439</v>
      </c>
      <c r="B55" s="401" t="s">
        <v>440</v>
      </c>
      <c r="C55" s="387" t="s">
        <v>422</v>
      </c>
      <c r="D55" s="402" t="s">
        <v>439</v>
      </c>
      <c r="E55" s="403" t="s">
        <v>441</v>
      </c>
      <c r="F55" s="376" t="s">
        <v>442</v>
      </c>
      <c r="H55" s="375" t="s">
        <v>413</v>
      </c>
      <c r="I55" s="375" t="s">
        <v>425</v>
      </c>
      <c r="J55" s="375"/>
      <c r="M55" s="405"/>
      <c r="N55" s="405"/>
      <c r="O55" s="405"/>
      <c r="P55" s="404" t="s">
        <v>443</v>
      </c>
    </row>
    <row r="56" spans="1:17" ht="15.75" x14ac:dyDescent="0.3">
      <c r="A56" s="375" t="s">
        <v>444</v>
      </c>
      <c r="B56" s="401" t="s">
        <v>445</v>
      </c>
      <c r="C56" s="387" t="s">
        <v>422</v>
      </c>
      <c r="D56" s="402" t="s">
        <v>444</v>
      </c>
      <c r="E56" s="403" t="s">
        <v>441</v>
      </c>
      <c r="F56" s="376" t="s">
        <v>442</v>
      </c>
      <c r="G56" s="395" t="s">
        <v>446</v>
      </c>
      <c r="H56" s="375" t="s">
        <v>413</v>
      </c>
      <c r="I56" s="375" t="s">
        <v>425</v>
      </c>
      <c r="J56" s="375"/>
      <c r="M56" s="405" t="str">
        <f>N54</f>
        <v>$.*</v>
      </c>
      <c r="N56" s="405"/>
      <c r="O56" s="405"/>
      <c r="P56" s="405"/>
    </row>
    <row r="57" spans="1:17" ht="15.75" x14ac:dyDescent="0.3">
      <c r="A57" s="375" t="s">
        <v>447</v>
      </c>
      <c r="B57" s="401" t="s">
        <v>448</v>
      </c>
      <c r="C57" s="402" t="s">
        <v>447</v>
      </c>
      <c r="D57" s="402" t="s">
        <v>449</v>
      </c>
      <c r="E57" s="403" t="s">
        <v>450</v>
      </c>
      <c r="F57" s="376" t="s">
        <v>442</v>
      </c>
      <c r="K57" s="375" t="s">
        <v>451</v>
      </c>
      <c r="M57" s="405"/>
      <c r="N57" s="405"/>
      <c r="O57" s="405"/>
      <c r="P57" s="404" t="str">
        <f>N54</f>
        <v>$.*</v>
      </c>
    </row>
    <row r="58" spans="1:17" x14ac:dyDescent="0.25">
      <c r="A58" s="375" t="s">
        <v>452</v>
      </c>
      <c r="B58" s="401" t="s">
        <v>453</v>
      </c>
      <c r="C58" s="387" t="s">
        <v>422</v>
      </c>
      <c r="D58" s="406" t="s">
        <v>454</v>
      </c>
      <c r="E58" s="403" t="s">
        <v>455</v>
      </c>
      <c r="F58" s="376" t="s">
        <v>430</v>
      </c>
      <c r="G58" s="395" t="s">
        <v>446</v>
      </c>
      <c r="H58" s="375" t="s">
        <v>413</v>
      </c>
      <c r="I58" s="375" t="s">
        <v>425</v>
      </c>
      <c r="J58" s="375"/>
      <c r="M58" s="405" t="str">
        <f>N54</f>
        <v>$.*</v>
      </c>
      <c r="N58" s="405"/>
      <c r="O58" s="405"/>
      <c r="P58" s="405"/>
    </row>
    <row r="59" spans="1:17" ht="15.75" x14ac:dyDescent="0.3">
      <c r="A59" s="375" t="s">
        <v>331</v>
      </c>
      <c r="B59" s="401" t="s">
        <v>456</v>
      </c>
      <c r="C59" s="387" t="s">
        <v>422</v>
      </c>
      <c r="D59" s="402" t="s">
        <v>331</v>
      </c>
      <c r="E59" s="403" t="s">
        <v>450</v>
      </c>
      <c r="F59" s="376" t="s">
        <v>442</v>
      </c>
      <c r="G59" s="395" t="s">
        <v>446</v>
      </c>
      <c r="H59" s="375" t="s">
        <v>413</v>
      </c>
      <c r="I59" s="375" t="s">
        <v>425</v>
      </c>
      <c r="J59" s="375"/>
      <c r="M59" s="405" t="str">
        <f>M58</f>
        <v>$.*</v>
      </c>
      <c r="N59" s="405"/>
      <c r="O59" s="405"/>
      <c r="P59" s="405"/>
    </row>
    <row r="60" spans="1:17" ht="191.25" x14ac:dyDescent="0.3">
      <c r="A60" s="375" t="s">
        <v>457</v>
      </c>
      <c r="B60" s="407" t="s">
        <v>458</v>
      </c>
      <c r="C60" s="402" t="s">
        <v>457</v>
      </c>
      <c r="D60" s="402" t="s">
        <v>459</v>
      </c>
      <c r="E60" s="403" t="s">
        <v>450</v>
      </c>
      <c r="F60" s="376" t="s">
        <v>442</v>
      </c>
      <c r="K60" s="375" t="s">
        <v>460</v>
      </c>
      <c r="M60" s="404" t="s">
        <v>461</v>
      </c>
      <c r="N60" s="405"/>
      <c r="O60" s="405"/>
      <c r="P60" s="404" t="s">
        <v>462</v>
      </c>
    </row>
    <row r="61" spans="1:17" ht="15.75" x14ac:dyDescent="0.3">
      <c r="A61" s="375" t="s">
        <v>416</v>
      </c>
      <c r="B61" s="401" t="s">
        <v>463</v>
      </c>
      <c r="C61" s="387" t="s">
        <v>464</v>
      </c>
      <c r="D61" s="402"/>
      <c r="E61" s="403"/>
      <c r="F61" s="376"/>
      <c r="G61" s="395"/>
      <c r="H61" s="375"/>
      <c r="I61" s="375"/>
      <c r="J61" s="375"/>
      <c r="K61" s="375" t="s">
        <v>451</v>
      </c>
      <c r="M61" s="405"/>
      <c r="N61" s="405"/>
      <c r="O61" s="405"/>
      <c r="P61" s="405" t="str">
        <f>P57</f>
        <v>$.*</v>
      </c>
    </row>
    <row r="62" spans="1:17" ht="15.75" x14ac:dyDescent="0.3">
      <c r="A62" s="375" t="s">
        <v>341</v>
      </c>
      <c r="B62" s="401" t="s">
        <v>465</v>
      </c>
      <c r="C62" s="402" t="s">
        <v>466</v>
      </c>
      <c r="D62" s="387" t="s">
        <v>467</v>
      </c>
      <c r="E62" s="403" t="s">
        <v>450</v>
      </c>
      <c r="F62" s="376" t="s">
        <v>442</v>
      </c>
      <c r="I62" s="375"/>
      <c r="J62" s="375"/>
      <c r="K62" s="360" t="s">
        <v>341</v>
      </c>
      <c r="L62" s="375"/>
      <c r="M62" s="408" t="str">
        <f>N54</f>
        <v>$.*</v>
      </c>
      <c r="N62" s="404" t="s">
        <v>468</v>
      </c>
      <c r="O62" s="405"/>
      <c r="P62" s="405"/>
    </row>
    <row r="63" spans="1:17" ht="15.75" x14ac:dyDescent="0.3">
      <c r="A63" s="375" t="s">
        <v>300</v>
      </c>
      <c r="B63" s="401" t="s">
        <v>469</v>
      </c>
      <c r="C63" s="387" t="s">
        <v>422</v>
      </c>
      <c r="D63" s="402" t="s">
        <v>300</v>
      </c>
      <c r="E63" s="403" t="s">
        <v>300</v>
      </c>
      <c r="F63" s="376" t="s">
        <v>423</v>
      </c>
      <c r="G63" s="395" t="s">
        <v>446</v>
      </c>
      <c r="H63" s="375" t="s">
        <v>413</v>
      </c>
      <c r="I63" s="375" t="s">
        <v>425</v>
      </c>
      <c r="J63" s="375"/>
      <c r="M63" s="405" t="str">
        <f>M62</f>
        <v>$.*</v>
      </c>
      <c r="N63" s="405"/>
      <c r="O63" s="405"/>
      <c r="P63" s="405"/>
    </row>
    <row r="64" spans="1:17" ht="15.75" x14ac:dyDescent="0.3">
      <c r="A64" s="375" t="s">
        <v>385</v>
      </c>
      <c r="B64" s="401" t="s">
        <v>385</v>
      </c>
      <c r="C64" s="387" t="s">
        <v>422</v>
      </c>
      <c r="D64" s="402" t="s">
        <v>385</v>
      </c>
      <c r="E64" s="403" t="s">
        <v>450</v>
      </c>
      <c r="F64" s="376" t="s">
        <v>442</v>
      </c>
      <c r="G64" s="395" t="s">
        <v>446</v>
      </c>
      <c r="H64" s="375" t="s">
        <v>413</v>
      </c>
      <c r="I64" s="375" t="s">
        <v>425</v>
      </c>
      <c r="J64" s="375"/>
      <c r="M64" s="404" t="s">
        <v>470</v>
      </c>
      <c r="N64" s="404" t="s">
        <v>471</v>
      </c>
      <c r="O64" s="405"/>
      <c r="P64" s="405"/>
    </row>
    <row r="65" spans="1:17" x14ac:dyDescent="0.25">
      <c r="A65" s="409" t="s">
        <v>287</v>
      </c>
      <c r="B65" s="401" t="s">
        <v>472</v>
      </c>
      <c r="C65" s="387"/>
      <c r="D65" s="406"/>
      <c r="E65" s="403"/>
      <c r="F65" s="376"/>
      <c r="M65" s="404" t="s">
        <v>473</v>
      </c>
      <c r="N65" s="404" t="s">
        <v>473</v>
      </c>
      <c r="O65" s="405"/>
      <c r="P65" s="404" t="s">
        <v>473</v>
      </c>
    </row>
    <row r="66" spans="1:17" x14ac:dyDescent="0.25">
      <c r="C66" s="387"/>
      <c r="D66" s="387" t="s">
        <v>474</v>
      </c>
      <c r="E66" s="403" t="s">
        <v>450</v>
      </c>
      <c r="F66" s="376" t="s">
        <v>442</v>
      </c>
      <c r="M66" s="405"/>
      <c r="N66" s="405"/>
      <c r="O66" s="405"/>
      <c r="P66" s="405"/>
    </row>
    <row r="67" spans="1:17" x14ac:dyDescent="0.25">
      <c r="C67" s="387"/>
      <c r="D67" s="387" t="s">
        <v>475</v>
      </c>
      <c r="E67" s="403" t="s">
        <v>450</v>
      </c>
      <c r="F67" s="376" t="s">
        <v>442</v>
      </c>
      <c r="M67" s="405"/>
      <c r="N67" s="405"/>
      <c r="O67" s="405"/>
      <c r="P67" s="405"/>
    </row>
    <row r="68" spans="1:17" x14ac:dyDescent="0.25">
      <c r="C68" s="387"/>
      <c r="D68" s="387" t="s">
        <v>476</v>
      </c>
      <c r="E68" s="403"/>
      <c r="F68" s="376"/>
      <c r="M68" s="405"/>
      <c r="N68" s="405"/>
      <c r="O68" s="405"/>
      <c r="P68" s="405"/>
    </row>
    <row r="69" spans="1:17" x14ac:dyDescent="0.25">
      <c r="A69" s="375"/>
      <c r="C69" s="387"/>
      <c r="D69" s="387" t="s">
        <v>477</v>
      </c>
      <c r="E69" s="403" t="s">
        <v>450</v>
      </c>
      <c r="F69" s="376" t="s">
        <v>442</v>
      </c>
      <c r="M69" s="405"/>
      <c r="N69" s="405"/>
      <c r="O69" s="405"/>
      <c r="P69" s="405"/>
    </row>
    <row r="70" spans="1:17" x14ac:dyDescent="0.25">
      <c r="C70" s="406"/>
      <c r="D70" s="387" t="s">
        <v>478</v>
      </c>
      <c r="E70" s="403" t="s">
        <v>450</v>
      </c>
      <c r="F70" s="376" t="s">
        <v>442</v>
      </c>
      <c r="M70" s="405"/>
      <c r="N70" s="405"/>
      <c r="O70" s="405"/>
      <c r="P70" s="405"/>
    </row>
    <row r="71" spans="1:17" x14ac:dyDescent="0.25">
      <c r="A71" s="375" t="s">
        <v>479</v>
      </c>
      <c r="C71" s="406"/>
      <c r="D71" s="387"/>
      <c r="F71" s="376"/>
      <c r="Q71" s="375" t="s">
        <v>480</v>
      </c>
    </row>
    <row r="72" spans="1:17" x14ac:dyDescent="0.25">
      <c r="A72" s="375" t="s">
        <v>451</v>
      </c>
      <c r="B72" s="372" t="s">
        <v>481</v>
      </c>
      <c r="C72" s="406"/>
      <c r="D72" s="387"/>
      <c r="F72" s="376"/>
      <c r="Q72" s="410" t="s">
        <v>425</v>
      </c>
    </row>
    <row r="73" spans="1:17" x14ac:dyDescent="0.25">
      <c r="A73" s="375" t="s">
        <v>413</v>
      </c>
      <c r="B73" s="372" t="s">
        <v>482</v>
      </c>
      <c r="C73" s="406"/>
      <c r="D73" s="387"/>
      <c r="F73" s="376"/>
      <c r="Q73" s="410" t="s">
        <v>413</v>
      </c>
    </row>
    <row r="74" spans="1:17" x14ac:dyDescent="0.25">
      <c r="A74" s="375"/>
      <c r="B74" s="372"/>
      <c r="C74" s="406"/>
      <c r="D74" s="387"/>
      <c r="F74" s="376"/>
      <c r="Q74" s="410" t="s">
        <v>416</v>
      </c>
    </row>
    <row r="75" spans="1:17" x14ac:dyDescent="0.25">
      <c r="A75" s="375"/>
      <c r="B75" s="406"/>
      <c r="C75" s="406"/>
      <c r="D75" s="387"/>
      <c r="F75" s="376"/>
      <c r="Q75" s="410" t="s">
        <v>341</v>
      </c>
    </row>
    <row r="76" spans="1:17" x14ac:dyDescent="0.25">
      <c r="A76" s="375"/>
      <c r="B76" s="406"/>
      <c r="C76" s="406"/>
      <c r="D76" s="387"/>
      <c r="F76" s="376"/>
      <c r="Q76" s="410" t="s">
        <v>460</v>
      </c>
    </row>
    <row r="77" spans="1:17" x14ac:dyDescent="0.25">
      <c r="A77" s="375"/>
      <c r="B77" s="406"/>
      <c r="C77" s="406"/>
      <c r="D77" s="387"/>
      <c r="F77" s="376"/>
    </row>
    <row r="78" spans="1:17" x14ac:dyDescent="0.25">
      <c r="C78" s="406"/>
      <c r="D78" s="387"/>
      <c r="F78" s="376"/>
    </row>
    <row r="79" spans="1:17" x14ac:dyDescent="0.25">
      <c r="A79" s="411" t="s">
        <v>483</v>
      </c>
    </row>
    <row r="80" spans="1:17" x14ac:dyDescent="0.25">
      <c r="A80" s="375" t="s">
        <v>484</v>
      </c>
    </row>
    <row r="81" spans="1:7" x14ac:dyDescent="0.25">
      <c r="A81" s="375" t="s">
        <v>485</v>
      </c>
    </row>
    <row r="82" spans="1:7" x14ac:dyDescent="0.25">
      <c r="A82" s="375" t="s">
        <v>486</v>
      </c>
      <c r="B82" s="365" t="s">
        <v>170</v>
      </c>
    </row>
    <row r="83" spans="1:7" x14ac:dyDescent="0.25">
      <c r="A83" s="375" t="s">
        <v>487</v>
      </c>
      <c r="B83" s="364">
        <v>1</v>
      </c>
    </row>
    <row r="84" spans="1:7" x14ac:dyDescent="0.25">
      <c r="A84" s="375" t="s">
        <v>488</v>
      </c>
      <c r="B84" s="364">
        <v>1</v>
      </c>
    </row>
    <row r="85" spans="1:7" x14ac:dyDescent="0.25">
      <c r="A85" s="375" t="s">
        <v>489</v>
      </c>
      <c r="B85" s="364">
        <v>1</v>
      </c>
    </row>
    <row r="86" spans="1:7" x14ac:dyDescent="0.25">
      <c r="A86" s="375" t="s">
        <v>490</v>
      </c>
    </row>
    <row r="87" spans="1:7" x14ac:dyDescent="0.25">
      <c r="A87" s="375" t="s">
        <v>491</v>
      </c>
    </row>
    <row r="88" spans="1:7" x14ac:dyDescent="0.25">
      <c r="A88" s="375" t="s">
        <v>492</v>
      </c>
      <c r="B88" s="365" t="s">
        <v>170</v>
      </c>
    </row>
    <row r="89" spans="1:7" x14ac:dyDescent="0.25">
      <c r="A89" s="375" t="s">
        <v>493</v>
      </c>
      <c r="F89" s="360"/>
      <c r="G89" s="360"/>
    </row>
    <row r="90" spans="1:7" x14ac:dyDescent="0.25">
      <c r="A90" s="375" t="s">
        <v>494</v>
      </c>
      <c r="F90" s="360"/>
      <c r="G90" s="360"/>
    </row>
    <row r="91" spans="1:7" x14ac:dyDescent="0.25">
      <c r="A91" s="375" t="s">
        <v>495</v>
      </c>
      <c r="F91" s="360"/>
      <c r="G91" s="360"/>
    </row>
    <row r="92" spans="1:7" x14ac:dyDescent="0.25">
      <c r="A92" s="375" t="s">
        <v>496</v>
      </c>
      <c r="F92" s="360"/>
      <c r="G92" s="360"/>
    </row>
    <row r="93" spans="1:7" x14ac:dyDescent="0.25">
      <c r="A93" s="375" t="s">
        <v>497</v>
      </c>
      <c r="B93" s="364">
        <v>1</v>
      </c>
      <c r="F93" s="360"/>
      <c r="G93" s="360"/>
    </row>
    <row r="94" spans="1:7" x14ac:dyDescent="0.25">
      <c r="A94" s="375" t="s">
        <v>498</v>
      </c>
      <c r="B94" s="364">
        <v>1</v>
      </c>
      <c r="F94" s="360"/>
      <c r="G94" s="360"/>
    </row>
    <row r="95" spans="1:7" x14ac:dyDescent="0.25">
      <c r="A95" s="375" t="s">
        <v>499</v>
      </c>
      <c r="F95" s="360"/>
      <c r="G95" s="360"/>
    </row>
    <row r="96" spans="1:7" x14ac:dyDescent="0.25">
      <c r="A96" s="375" t="s">
        <v>500</v>
      </c>
      <c r="F96" s="360"/>
      <c r="G96" s="360"/>
    </row>
    <row r="97" spans="1:7" x14ac:dyDescent="0.25">
      <c r="A97" s="375" t="s">
        <v>501</v>
      </c>
      <c r="F97" s="360"/>
      <c r="G97" s="360"/>
    </row>
    <row r="98" spans="1:7" x14ac:dyDescent="0.25">
      <c r="A98" s="375" t="s">
        <v>502</v>
      </c>
      <c r="F98" s="360"/>
      <c r="G98" s="360"/>
    </row>
    <row r="99" spans="1:7" x14ac:dyDescent="0.25">
      <c r="A99" s="375" t="s">
        <v>503</v>
      </c>
      <c r="B99" s="364">
        <v>1</v>
      </c>
      <c r="F99" s="360"/>
      <c r="G99" s="360"/>
    </row>
    <row r="100" spans="1:7" x14ac:dyDescent="0.25">
      <c r="A100" s="375" t="s">
        <v>504</v>
      </c>
      <c r="B100" s="364">
        <v>1</v>
      </c>
      <c r="F100" s="360"/>
      <c r="G100" s="360"/>
    </row>
    <row r="101" spans="1:7" x14ac:dyDescent="0.25">
      <c r="A101" s="375" t="s">
        <v>505</v>
      </c>
      <c r="F101" s="360"/>
      <c r="G101" s="360"/>
    </row>
    <row r="102" spans="1:7" x14ac:dyDescent="0.25">
      <c r="A102" s="375" t="s">
        <v>506</v>
      </c>
      <c r="B102" s="364">
        <v>1</v>
      </c>
      <c r="F102" s="360"/>
      <c r="G102" s="360"/>
    </row>
    <row r="103" spans="1:7" x14ac:dyDescent="0.25">
      <c r="A103" s="375" t="s">
        <v>507</v>
      </c>
      <c r="F103" s="360"/>
      <c r="G103" s="360"/>
    </row>
    <row r="104" spans="1:7" x14ac:dyDescent="0.25">
      <c r="A104" s="375" t="s">
        <v>508</v>
      </c>
      <c r="B104" s="364">
        <v>1</v>
      </c>
      <c r="F104" s="360"/>
      <c r="G104" s="360"/>
    </row>
    <row r="105" spans="1:7" x14ac:dyDescent="0.25">
      <c r="A105" s="375" t="s">
        <v>509</v>
      </c>
      <c r="B105" s="364">
        <v>1</v>
      </c>
      <c r="F105" s="360"/>
      <c r="G105" s="360"/>
    </row>
    <row r="106" spans="1:7" x14ac:dyDescent="0.25">
      <c r="A106" s="375" t="s">
        <v>510</v>
      </c>
      <c r="F106" s="360"/>
      <c r="G106" s="360"/>
    </row>
    <row r="107" spans="1:7" x14ac:dyDescent="0.25">
      <c r="A107" s="375" t="s">
        <v>511</v>
      </c>
      <c r="F107" s="360"/>
      <c r="G107" s="360"/>
    </row>
    <row r="108" spans="1:7" x14ac:dyDescent="0.25">
      <c r="A108" s="375" t="s">
        <v>512</v>
      </c>
      <c r="F108" s="360"/>
      <c r="G108" s="360"/>
    </row>
    <row r="109" spans="1:7" x14ac:dyDescent="0.25">
      <c r="A109" s="375" t="s">
        <v>513</v>
      </c>
      <c r="F109" s="360"/>
      <c r="G109" s="360"/>
    </row>
    <row r="110" spans="1:7" x14ac:dyDescent="0.25">
      <c r="A110" s="375" t="s">
        <v>514</v>
      </c>
      <c r="F110" s="360"/>
      <c r="G110" s="360"/>
    </row>
    <row r="111" spans="1:7" x14ac:dyDescent="0.25">
      <c r="A111" s="375" t="s">
        <v>515</v>
      </c>
      <c r="F111" s="360"/>
      <c r="G111" s="360"/>
    </row>
    <row r="112" spans="1:7" x14ac:dyDescent="0.25">
      <c r="A112" s="375" t="s">
        <v>516</v>
      </c>
      <c r="B112" s="364">
        <v>1</v>
      </c>
      <c r="F112" s="360"/>
      <c r="G112" s="360"/>
    </row>
    <row r="113" spans="1:7" x14ac:dyDescent="0.25">
      <c r="A113" s="375" t="s">
        <v>517</v>
      </c>
      <c r="F113" s="360"/>
      <c r="G113" s="360"/>
    </row>
    <row r="114" spans="1:7" x14ac:dyDescent="0.25">
      <c r="A114" s="375" t="s">
        <v>518</v>
      </c>
      <c r="F114" s="360"/>
      <c r="G114" s="360"/>
    </row>
    <row r="115" spans="1:7" x14ac:dyDescent="0.25">
      <c r="A115" s="375" t="s">
        <v>519</v>
      </c>
      <c r="F115" s="360"/>
      <c r="G115" s="360"/>
    </row>
    <row r="116" spans="1:7" x14ac:dyDescent="0.25">
      <c r="A116" s="375" t="s">
        <v>520</v>
      </c>
      <c r="B116" s="364">
        <v>1</v>
      </c>
      <c r="F116" s="360"/>
      <c r="G116" s="360"/>
    </row>
    <row r="117" spans="1:7" x14ac:dyDescent="0.25">
      <c r="A117" s="375" t="s">
        <v>521</v>
      </c>
      <c r="F117" s="360"/>
      <c r="G117" s="360"/>
    </row>
    <row r="118" spans="1:7" x14ac:dyDescent="0.25">
      <c r="A118" s="375" t="s">
        <v>522</v>
      </c>
      <c r="F118" s="360"/>
      <c r="G118" s="360"/>
    </row>
    <row r="119" spans="1:7" x14ac:dyDescent="0.25">
      <c r="A119" s="375" t="s">
        <v>523</v>
      </c>
      <c r="F119" s="360"/>
      <c r="G119" s="360"/>
    </row>
    <row r="120" spans="1:7" x14ac:dyDescent="0.25">
      <c r="A120" s="375" t="s">
        <v>524</v>
      </c>
      <c r="F120" s="360"/>
      <c r="G120" s="360"/>
    </row>
    <row r="121" spans="1:7" x14ac:dyDescent="0.25">
      <c r="A121" s="375" t="s">
        <v>525</v>
      </c>
      <c r="B121" s="364">
        <v>1</v>
      </c>
      <c r="F121" s="360"/>
      <c r="G121" s="360"/>
    </row>
    <row r="122" spans="1:7" x14ac:dyDescent="0.25">
      <c r="A122" s="375" t="s">
        <v>526</v>
      </c>
      <c r="B122" s="364">
        <v>1</v>
      </c>
      <c r="F122" s="360"/>
      <c r="G122" s="360"/>
    </row>
    <row r="123" spans="1:7" x14ac:dyDescent="0.25">
      <c r="A123" s="375" t="s">
        <v>527</v>
      </c>
      <c r="F123" s="360"/>
      <c r="G123" s="360"/>
    </row>
    <row r="124" spans="1:7" x14ac:dyDescent="0.25">
      <c r="A124" s="375" t="s">
        <v>528</v>
      </c>
      <c r="F124" s="360"/>
      <c r="G124" s="360"/>
    </row>
    <row r="125" spans="1:7" x14ac:dyDescent="0.25">
      <c r="A125" s="375" t="s">
        <v>529</v>
      </c>
      <c r="F125" s="360"/>
      <c r="G125" s="360"/>
    </row>
    <row r="126" spans="1:7" x14ac:dyDescent="0.25">
      <c r="A126" s="375" t="s">
        <v>530</v>
      </c>
      <c r="B126" s="364">
        <v>1</v>
      </c>
      <c r="F126" s="360"/>
      <c r="G126" s="360"/>
    </row>
    <row r="127" spans="1:7" x14ac:dyDescent="0.25">
      <c r="A127" s="375" t="s">
        <v>531</v>
      </c>
      <c r="F127" s="360"/>
      <c r="G127" s="360"/>
    </row>
    <row r="128" spans="1:7" x14ac:dyDescent="0.25">
      <c r="A128" s="375" t="s">
        <v>532</v>
      </c>
      <c r="F128" s="360"/>
      <c r="G128" s="360"/>
    </row>
    <row r="129" spans="1:7" x14ac:dyDescent="0.25">
      <c r="A129" s="375" t="s">
        <v>533</v>
      </c>
      <c r="B129" s="364">
        <v>1</v>
      </c>
      <c r="F129" s="360"/>
      <c r="G129" s="360"/>
    </row>
    <row r="130" spans="1:7" x14ac:dyDescent="0.25">
      <c r="A130" s="375" t="s">
        <v>534</v>
      </c>
      <c r="F130" s="360"/>
      <c r="G130" s="360"/>
    </row>
    <row r="131" spans="1:7" x14ac:dyDescent="0.25">
      <c r="A131" s="375" t="s">
        <v>535</v>
      </c>
      <c r="F131" s="360"/>
      <c r="G131" s="360"/>
    </row>
    <row r="132" spans="1:7" x14ac:dyDescent="0.25">
      <c r="A132" s="375" t="s">
        <v>536</v>
      </c>
      <c r="F132" s="360"/>
      <c r="G132" s="360"/>
    </row>
    <row r="133" spans="1:7" x14ac:dyDescent="0.25">
      <c r="A133" s="375" t="s">
        <v>537</v>
      </c>
      <c r="F133" s="360"/>
      <c r="G133" s="360"/>
    </row>
    <row r="134" spans="1:7" x14ac:dyDescent="0.25">
      <c r="A134" s="375" t="s">
        <v>538</v>
      </c>
      <c r="B134" s="364">
        <v>1</v>
      </c>
      <c r="F134" s="360"/>
      <c r="G134" s="360"/>
    </row>
    <row r="135" spans="1:7" x14ac:dyDescent="0.25">
      <c r="A135" s="375" t="s">
        <v>539</v>
      </c>
      <c r="B135" s="364">
        <v>1</v>
      </c>
      <c r="F135" s="360"/>
      <c r="G135" s="360"/>
    </row>
    <row r="136" spans="1:7" x14ac:dyDescent="0.25">
      <c r="A136" s="375" t="s">
        <v>540</v>
      </c>
      <c r="F136" s="360"/>
      <c r="G136" s="360"/>
    </row>
    <row r="137" spans="1:7" x14ac:dyDescent="0.25">
      <c r="A137" s="375" t="s">
        <v>541</v>
      </c>
      <c r="B137" s="364">
        <v>1</v>
      </c>
      <c r="F137" s="360"/>
      <c r="G137" s="360"/>
    </row>
    <row r="138" spans="1:7" x14ac:dyDescent="0.25">
      <c r="A138" s="375" t="s">
        <v>542</v>
      </c>
      <c r="F138" s="360"/>
      <c r="G138" s="360"/>
    </row>
    <row r="139" spans="1:7" x14ac:dyDescent="0.25">
      <c r="A139" s="375" t="s">
        <v>543</v>
      </c>
      <c r="B139" s="364">
        <v>1</v>
      </c>
      <c r="F139" s="360"/>
      <c r="G139" s="360"/>
    </row>
    <row r="140" spans="1:7" x14ac:dyDescent="0.25">
      <c r="A140" s="375" t="s">
        <v>544</v>
      </c>
      <c r="F140" s="360"/>
      <c r="G140" s="360"/>
    </row>
    <row r="141" spans="1:7" x14ac:dyDescent="0.25">
      <c r="A141" s="375" t="s">
        <v>545</v>
      </c>
      <c r="F141" s="360"/>
      <c r="G141" s="360"/>
    </row>
    <row r="142" spans="1:7" x14ac:dyDescent="0.25">
      <c r="A142" s="375" t="s">
        <v>546</v>
      </c>
      <c r="F142" s="360"/>
      <c r="G142" s="360"/>
    </row>
    <row r="143" spans="1:7" x14ac:dyDescent="0.25">
      <c r="A143" s="375" t="s">
        <v>547</v>
      </c>
      <c r="F143" s="360"/>
      <c r="G143" s="360"/>
    </row>
    <row r="144" spans="1:7" x14ac:dyDescent="0.25">
      <c r="A144" s="375" t="s">
        <v>548</v>
      </c>
      <c r="F144" s="360"/>
      <c r="G144" s="360"/>
    </row>
    <row r="145" spans="1:7" x14ac:dyDescent="0.25">
      <c r="A145" s="375" t="s">
        <v>549</v>
      </c>
      <c r="F145" s="360"/>
      <c r="G145" s="360"/>
    </row>
    <row r="146" spans="1:7" x14ac:dyDescent="0.25">
      <c r="A146" s="375" t="s">
        <v>550</v>
      </c>
      <c r="B146" s="364">
        <v>1</v>
      </c>
      <c r="F146" s="360"/>
      <c r="G146" s="360"/>
    </row>
    <row r="147" spans="1:7" x14ac:dyDescent="0.25">
      <c r="A147" s="375" t="s">
        <v>551</v>
      </c>
      <c r="B147" s="364">
        <v>1</v>
      </c>
      <c r="F147" s="360"/>
      <c r="G147" s="360"/>
    </row>
    <row r="148" spans="1:7" x14ac:dyDescent="0.25">
      <c r="A148" s="375" t="s">
        <v>552</v>
      </c>
      <c r="F148" s="360"/>
      <c r="G148" s="360"/>
    </row>
    <row r="149" spans="1:7" x14ac:dyDescent="0.25">
      <c r="A149" s="375" t="s">
        <v>553</v>
      </c>
      <c r="B149" s="364">
        <v>1</v>
      </c>
      <c r="F149" s="360"/>
      <c r="G149" s="360"/>
    </row>
    <row r="150" spans="1:7" x14ac:dyDescent="0.25">
      <c r="A150" s="375" t="s">
        <v>554</v>
      </c>
      <c r="B150" s="365" t="s">
        <v>170</v>
      </c>
      <c r="F150" s="360"/>
      <c r="G150" s="360"/>
    </row>
    <row r="151" spans="1:7" x14ac:dyDescent="0.25">
      <c r="A151" s="375" t="s">
        <v>555</v>
      </c>
      <c r="F151" s="360"/>
      <c r="G151" s="360"/>
    </row>
    <row r="152" spans="1:7" x14ac:dyDescent="0.25">
      <c r="A152" s="375" t="s">
        <v>556</v>
      </c>
      <c r="B152" s="364">
        <v>1</v>
      </c>
      <c r="F152" s="360"/>
      <c r="G152" s="360"/>
    </row>
    <row r="153" spans="1:7" x14ac:dyDescent="0.25">
      <c r="A153" s="375" t="s">
        <v>557</v>
      </c>
      <c r="F153" s="360"/>
      <c r="G153" s="360"/>
    </row>
    <row r="154" spans="1:7" x14ac:dyDescent="0.25">
      <c r="A154" s="375" t="s">
        <v>558</v>
      </c>
      <c r="F154" s="360"/>
      <c r="G154" s="360"/>
    </row>
    <row r="155" spans="1:7" x14ac:dyDescent="0.25">
      <c r="A155" s="375" t="s">
        <v>559</v>
      </c>
      <c r="F155" s="360"/>
      <c r="G155" s="360"/>
    </row>
    <row r="156" spans="1:7" x14ac:dyDescent="0.25">
      <c r="A156" s="375" t="s">
        <v>560</v>
      </c>
      <c r="F156" s="360"/>
      <c r="G156" s="360"/>
    </row>
    <row r="157" spans="1:7" x14ac:dyDescent="0.25">
      <c r="A157" s="375" t="s">
        <v>561</v>
      </c>
      <c r="F157" s="360"/>
      <c r="G157" s="360"/>
    </row>
    <row r="158" spans="1:7" x14ac:dyDescent="0.25">
      <c r="A158" s="375" t="s">
        <v>562</v>
      </c>
      <c r="B158" s="365" t="s">
        <v>170</v>
      </c>
      <c r="F158" s="360"/>
      <c r="G158" s="360"/>
    </row>
    <row r="159" spans="1:7" x14ac:dyDescent="0.25">
      <c r="A159" s="375" t="s">
        <v>563</v>
      </c>
      <c r="F159" s="360"/>
      <c r="G159" s="360"/>
    </row>
    <row r="160" spans="1:7" x14ac:dyDescent="0.25">
      <c r="A160" s="375" t="s">
        <v>564</v>
      </c>
      <c r="F160" s="360"/>
      <c r="G160" s="360"/>
    </row>
    <row r="161" spans="1:7" x14ac:dyDescent="0.25">
      <c r="A161" s="375" t="s">
        <v>565</v>
      </c>
      <c r="F161" s="360"/>
      <c r="G161" s="360"/>
    </row>
    <row r="162" spans="1:7" x14ac:dyDescent="0.25">
      <c r="A162" s="375" t="s">
        <v>566</v>
      </c>
      <c r="B162" s="364">
        <v>1</v>
      </c>
      <c r="F162" s="360"/>
      <c r="G162" s="360"/>
    </row>
    <row r="163" spans="1:7" x14ac:dyDescent="0.25">
      <c r="A163" s="375" t="s">
        <v>567</v>
      </c>
      <c r="B163" s="364">
        <v>1</v>
      </c>
      <c r="F163" s="360"/>
      <c r="G163" s="360"/>
    </row>
    <row r="164" spans="1:7" x14ac:dyDescent="0.25">
      <c r="A164" s="375" t="s">
        <v>568</v>
      </c>
      <c r="F164" s="360"/>
      <c r="G164" s="360"/>
    </row>
    <row r="165" spans="1:7" x14ac:dyDescent="0.25">
      <c r="A165" s="375" t="s">
        <v>569</v>
      </c>
      <c r="F165" s="360"/>
      <c r="G165" s="360"/>
    </row>
    <row r="166" spans="1:7" x14ac:dyDescent="0.25">
      <c r="A166" s="375" t="s">
        <v>570</v>
      </c>
      <c r="F166" s="360"/>
      <c r="G166" s="360"/>
    </row>
    <row r="167" spans="1:7" x14ac:dyDescent="0.25">
      <c r="A167" s="375" t="s">
        <v>571</v>
      </c>
      <c r="B167" s="365" t="s">
        <v>170</v>
      </c>
      <c r="F167" s="360"/>
      <c r="G167" s="360"/>
    </row>
    <row r="168" spans="1:7" x14ac:dyDescent="0.25">
      <c r="F168" s="360"/>
      <c r="G168" s="360"/>
    </row>
    <row r="169" spans="1:7" x14ac:dyDescent="0.25">
      <c r="A169" s="412" t="s">
        <v>572</v>
      </c>
      <c r="F169" s="360"/>
      <c r="G169" s="360"/>
    </row>
    <row r="170" spans="1:7" x14ac:dyDescent="0.25">
      <c r="A170" s="360" t="s">
        <v>573</v>
      </c>
      <c r="F170" s="360"/>
      <c r="G170" s="360"/>
    </row>
    <row r="171" spans="1:7" x14ac:dyDescent="0.25">
      <c r="A171" s="375" t="s">
        <v>574</v>
      </c>
      <c r="B171" s="365" t="s">
        <v>575</v>
      </c>
      <c r="F171" s="360"/>
      <c r="G171" s="360"/>
    </row>
    <row r="172" spans="1:7" x14ac:dyDescent="0.25">
      <c r="A172" s="360" t="s">
        <v>576</v>
      </c>
      <c r="F172" s="360"/>
      <c r="G172" s="360"/>
    </row>
    <row r="173" spans="1:7" x14ac:dyDescent="0.25">
      <c r="A173" s="375" t="s">
        <v>577</v>
      </c>
      <c r="F173" s="360"/>
      <c r="G173" s="360"/>
    </row>
    <row r="174" spans="1:7" x14ac:dyDescent="0.25">
      <c r="A174" s="360" t="s">
        <v>578</v>
      </c>
      <c r="B174" s="360"/>
      <c r="F174" s="360"/>
      <c r="G174" s="360"/>
    </row>
    <row r="175" spans="1:7" x14ac:dyDescent="0.25">
      <c r="A175" s="360" t="s">
        <v>579</v>
      </c>
      <c r="F175" s="360"/>
      <c r="G175" s="360"/>
    </row>
    <row r="176" spans="1:7" x14ac:dyDescent="0.25">
      <c r="A176" s="360" t="s">
        <v>580</v>
      </c>
      <c r="B176" s="413" t="s">
        <v>581</v>
      </c>
      <c r="F176" s="360"/>
      <c r="G176" s="360"/>
    </row>
    <row r="177" spans="1:7" x14ac:dyDescent="0.25">
      <c r="A177" s="375" t="s">
        <v>582</v>
      </c>
      <c r="B177" s="413" t="s">
        <v>583</v>
      </c>
      <c r="F177" s="360"/>
      <c r="G177" s="360"/>
    </row>
    <row r="178" spans="1:7" x14ac:dyDescent="0.25">
      <c r="A178" s="360" t="s">
        <v>584</v>
      </c>
      <c r="B178" s="375"/>
      <c r="F178" s="360"/>
      <c r="G178" s="360"/>
    </row>
    <row r="179" spans="1:7" x14ac:dyDescent="0.25">
      <c r="A179" s="360" t="s">
        <v>585</v>
      </c>
      <c r="F179" s="360"/>
      <c r="G179" s="360"/>
    </row>
    <row r="180" spans="1:7" x14ac:dyDescent="0.25">
      <c r="A180" s="360" t="s">
        <v>586</v>
      </c>
    </row>
    <row r="181" spans="1:7" x14ac:dyDescent="0.25">
      <c r="A181" s="360" t="s">
        <v>587</v>
      </c>
      <c r="F181" s="360"/>
      <c r="G181" s="360"/>
    </row>
    <row r="182" spans="1:7" x14ac:dyDescent="0.25">
      <c r="A182" s="360" t="s">
        <v>588</v>
      </c>
      <c r="F182" s="360"/>
      <c r="G182" s="360"/>
    </row>
    <row r="183" spans="1:7" x14ac:dyDescent="0.25">
      <c r="A183" s="360" t="s">
        <v>589</v>
      </c>
      <c r="F183" s="360"/>
      <c r="G183" s="360"/>
    </row>
    <row r="184" spans="1:7" x14ac:dyDescent="0.25">
      <c r="A184" s="360" t="s">
        <v>590</v>
      </c>
      <c r="F184" s="360"/>
      <c r="G184" s="360"/>
    </row>
    <row r="185" spans="1:7" x14ac:dyDescent="0.25">
      <c r="A185" s="360" t="s">
        <v>591</v>
      </c>
      <c r="B185" s="375"/>
    </row>
    <row r="186" spans="1:7" x14ac:dyDescent="0.25">
      <c r="A186" s="360" t="s">
        <v>592</v>
      </c>
      <c r="F186" s="360"/>
      <c r="G186" s="360"/>
    </row>
    <row r="187" spans="1:7" x14ac:dyDescent="0.25">
      <c r="A187" s="360" t="s">
        <v>593</v>
      </c>
      <c r="C187" s="375" t="s">
        <v>594</v>
      </c>
      <c r="F187" s="360"/>
      <c r="G187" s="360"/>
    </row>
    <row r="188" spans="1:7" x14ac:dyDescent="0.25">
      <c r="A188" s="360" t="s">
        <v>595</v>
      </c>
      <c r="C188" s="375"/>
      <c r="F188" s="360"/>
      <c r="G188" s="360"/>
    </row>
    <row r="189" spans="1:7" x14ac:dyDescent="0.25">
      <c r="A189" s="360" t="s">
        <v>596</v>
      </c>
      <c r="B189" s="360" t="s">
        <v>597</v>
      </c>
      <c r="F189" s="360"/>
      <c r="G189" s="360"/>
    </row>
    <row r="190" spans="1:7" x14ac:dyDescent="0.25">
      <c r="A190" s="360" t="s">
        <v>598</v>
      </c>
      <c r="F190" s="360"/>
      <c r="G190" s="360"/>
    </row>
    <row r="191" spans="1:7" x14ac:dyDescent="0.25">
      <c r="A191" s="360" t="s">
        <v>599</v>
      </c>
      <c r="F191" s="360"/>
      <c r="G191" s="360"/>
    </row>
    <row r="192" spans="1:7" x14ac:dyDescent="0.25">
      <c r="A192" s="360" t="s">
        <v>600</v>
      </c>
    </row>
    <row r="193" spans="1:7" x14ac:dyDescent="0.25">
      <c r="A193" s="360" t="s">
        <v>601</v>
      </c>
      <c r="B193" s="375"/>
      <c r="F193" s="360"/>
      <c r="G193" s="360"/>
    </row>
    <row r="194" spans="1:7" x14ac:dyDescent="0.25">
      <c r="A194" s="360" t="s">
        <v>602</v>
      </c>
      <c r="B194" s="375"/>
      <c r="F194" s="360"/>
      <c r="G194" s="360"/>
    </row>
    <row r="195" spans="1:7" x14ac:dyDescent="0.25">
      <c r="A195" s="360" t="s">
        <v>603</v>
      </c>
      <c r="B195" s="375"/>
      <c r="F195" s="360"/>
      <c r="G195" s="360"/>
    </row>
    <row r="196" spans="1:7" x14ac:dyDescent="0.25">
      <c r="A196" s="360" t="s">
        <v>604</v>
      </c>
      <c r="F196" s="360"/>
      <c r="G196" s="360"/>
    </row>
    <row r="197" spans="1:7" x14ac:dyDescent="0.25">
      <c r="F197" s="360"/>
      <c r="G197" s="360"/>
    </row>
    <row r="198" spans="1:7" x14ac:dyDescent="0.25">
      <c r="A198" s="412" t="s">
        <v>605</v>
      </c>
      <c r="E198" s="413"/>
      <c r="F198" s="360"/>
      <c r="G198" s="360"/>
    </row>
    <row r="199" spans="1:7" x14ac:dyDescent="0.25">
      <c r="A199" s="375" t="s">
        <v>606</v>
      </c>
      <c r="E199" s="414"/>
      <c r="F199" s="360"/>
      <c r="G199" s="360"/>
    </row>
    <row r="200" spans="1:7" x14ac:dyDescent="0.25">
      <c r="A200" s="375" t="s">
        <v>607</v>
      </c>
      <c r="E200" s="414"/>
      <c r="F200" s="360"/>
      <c r="G200" s="360"/>
    </row>
    <row r="201" spans="1:7" x14ac:dyDescent="0.25">
      <c r="A201" s="375" t="s">
        <v>608</v>
      </c>
      <c r="E201" s="414"/>
      <c r="F201" s="360"/>
      <c r="G201" s="360"/>
    </row>
    <row r="202" spans="1:7" x14ac:dyDescent="0.25">
      <c r="A202" s="375" t="s">
        <v>609</v>
      </c>
      <c r="E202" s="414"/>
      <c r="F202" s="360"/>
      <c r="G202" s="360"/>
    </row>
    <row r="203" spans="1:7" x14ac:dyDescent="0.25">
      <c r="A203" s="360" t="s">
        <v>610</v>
      </c>
      <c r="E203" s="414"/>
      <c r="F203" s="360"/>
      <c r="G203" s="360"/>
    </row>
    <row r="204" spans="1:7" x14ac:dyDescent="0.25">
      <c r="D204" s="413"/>
      <c r="E204" s="414"/>
      <c r="F204" s="360"/>
      <c r="G204" s="360"/>
    </row>
    <row r="205" spans="1:7" x14ac:dyDescent="0.25">
      <c r="A205" s="411" t="s">
        <v>611</v>
      </c>
      <c r="D205" s="413"/>
      <c r="E205" s="413"/>
      <c r="F205" s="360"/>
      <c r="G205" s="360"/>
    </row>
    <row r="206" spans="1:7" x14ac:dyDescent="0.25">
      <c r="A206" s="375" t="s">
        <v>612</v>
      </c>
      <c r="D206" s="413"/>
      <c r="E206" s="414"/>
    </row>
    <row r="207" spans="1:7" x14ac:dyDescent="0.25">
      <c r="A207" s="375" t="s">
        <v>613</v>
      </c>
      <c r="D207" s="413"/>
      <c r="E207" s="414"/>
      <c r="F207" s="360"/>
      <c r="G207" s="360"/>
    </row>
    <row r="208" spans="1:7" x14ac:dyDescent="0.25">
      <c r="A208" s="375" t="s">
        <v>614</v>
      </c>
      <c r="D208" s="413"/>
      <c r="E208" s="414"/>
      <c r="F208" s="360"/>
      <c r="G208" s="360"/>
    </row>
    <row r="209" spans="1:7" x14ac:dyDescent="0.25">
      <c r="F209" s="360"/>
      <c r="G209" s="360"/>
    </row>
    <row r="210" spans="1:7" x14ac:dyDescent="0.25">
      <c r="A210" s="412" t="s">
        <v>615</v>
      </c>
      <c r="F210" s="360"/>
      <c r="G210" s="360"/>
    </row>
    <row r="211" spans="1:7" x14ac:dyDescent="0.25">
      <c r="A211" s="375" t="s">
        <v>616</v>
      </c>
      <c r="F211" s="360"/>
      <c r="G211" s="360"/>
    </row>
    <row r="212" spans="1:7" x14ac:dyDescent="0.25">
      <c r="A212" s="375" t="s">
        <v>617</v>
      </c>
      <c r="F212" s="360"/>
      <c r="G212" s="360"/>
    </row>
    <row r="213" spans="1:7" x14ac:dyDescent="0.25">
      <c r="A213" s="375" t="s">
        <v>618</v>
      </c>
    </row>
    <row r="214" spans="1:7" x14ac:dyDescent="0.25">
      <c r="A214" s="375" t="s">
        <v>619</v>
      </c>
    </row>
    <row r="215" spans="1:7" x14ac:dyDescent="0.25">
      <c r="A215" s="375" t="s">
        <v>620</v>
      </c>
    </row>
    <row r="216" spans="1:7" x14ac:dyDescent="0.25">
      <c r="A216" s="375" t="s">
        <v>621</v>
      </c>
    </row>
    <row r="217" spans="1:7" x14ac:dyDescent="0.25">
      <c r="A217" s="375" t="s">
        <v>622</v>
      </c>
    </row>
    <row r="218" spans="1:7" x14ac:dyDescent="0.25">
      <c r="A218" s="375" t="s">
        <v>623</v>
      </c>
    </row>
    <row r="219" spans="1:7" x14ac:dyDescent="0.25">
      <c r="A219" s="375" t="s">
        <v>624</v>
      </c>
    </row>
    <row r="220" spans="1:7" ht="15.75" thickBot="1" x14ac:dyDescent="0.3"/>
    <row r="221" spans="1:7" x14ac:dyDescent="0.25">
      <c r="A221" s="415" t="s">
        <v>625</v>
      </c>
      <c r="B221" s="416"/>
      <c r="C221" s="417" t="s">
        <v>626</v>
      </c>
      <c r="D221" s="418" t="s">
        <v>627</v>
      </c>
      <c r="E221" s="419"/>
      <c r="F221" s="420"/>
      <c r="G221" s="360"/>
    </row>
    <row r="222" spans="1:7" x14ac:dyDescent="0.25">
      <c r="A222" s="421" t="s">
        <v>628</v>
      </c>
      <c r="B222" s="422" t="s">
        <v>629</v>
      </c>
      <c r="C222" s="423" t="s">
        <v>630</v>
      </c>
      <c r="D222" s="424" t="s">
        <v>631</v>
      </c>
      <c r="E222" s="424"/>
      <c r="F222" s="425"/>
      <c r="G222" s="360"/>
    </row>
    <row r="223" spans="1:7" x14ac:dyDescent="0.25">
      <c r="A223" s="421" t="s">
        <v>632</v>
      </c>
      <c r="B223" s="422" t="s">
        <v>629</v>
      </c>
      <c r="C223" s="423" t="s">
        <v>633</v>
      </c>
      <c r="D223" s="424" t="s">
        <v>634</v>
      </c>
      <c r="E223" s="424"/>
      <c r="F223" s="425"/>
      <c r="G223" s="360"/>
    </row>
    <row r="224" spans="1:7" x14ac:dyDescent="0.25">
      <c r="A224" s="421" t="s">
        <v>635</v>
      </c>
      <c r="B224" s="422" t="s">
        <v>629</v>
      </c>
      <c r="C224" s="423" t="s">
        <v>633</v>
      </c>
      <c r="D224" s="424" t="s">
        <v>636</v>
      </c>
      <c r="E224" s="424"/>
      <c r="F224" s="425"/>
      <c r="G224" s="360"/>
    </row>
    <row r="225" spans="1:7" x14ac:dyDescent="0.25">
      <c r="A225" s="421" t="s">
        <v>637</v>
      </c>
      <c r="B225" s="426" t="s">
        <v>629</v>
      </c>
      <c r="C225" s="423" t="s">
        <v>633</v>
      </c>
      <c r="D225" s="424" t="s">
        <v>638</v>
      </c>
      <c r="E225" s="424"/>
      <c r="F225" s="425"/>
      <c r="G225" s="360"/>
    </row>
    <row r="226" spans="1:7" x14ac:dyDescent="0.25">
      <c r="A226" s="421" t="s">
        <v>639</v>
      </c>
      <c r="B226" s="422" t="s">
        <v>629</v>
      </c>
      <c r="C226" s="423" t="s">
        <v>640</v>
      </c>
      <c r="D226" s="424" t="s">
        <v>641</v>
      </c>
      <c r="E226" s="424"/>
      <c r="F226" s="425"/>
      <c r="G226" s="360"/>
    </row>
    <row r="227" spans="1:7" x14ac:dyDescent="0.25">
      <c r="A227" s="421" t="s">
        <v>642</v>
      </c>
      <c r="B227" s="422" t="s">
        <v>629</v>
      </c>
      <c r="C227" s="423" t="s">
        <v>643</v>
      </c>
      <c r="D227" s="424" t="s">
        <v>644</v>
      </c>
      <c r="E227" s="424"/>
      <c r="F227" s="425"/>
      <c r="G227" s="360"/>
    </row>
    <row r="228" spans="1:7" x14ac:dyDescent="0.25">
      <c r="A228" s="421" t="s">
        <v>645</v>
      </c>
      <c r="B228" s="422" t="s">
        <v>629</v>
      </c>
      <c r="C228" s="423" t="s">
        <v>646</v>
      </c>
      <c r="D228" s="424" t="s">
        <v>647</v>
      </c>
      <c r="E228" s="424"/>
      <c r="F228" s="425"/>
      <c r="G228" s="360"/>
    </row>
    <row r="229" spans="1:7" x14ac:dyDescent="0.25">
      <c r="A229" s="421" t="s">
        <v>640</v>
      </c>
      <c r="B229" s="422" t="s">
        <v>629</v>
      </c>
      <c r="C229" s="423" t="s">
        <v>648</v>
      </c>
      <c r="D229" s="424" t="s">
        <v>649</v>
      </c>
      <c r="E229" s="424"/>
      <c r="F229" s="425"/>
      <c r="G229" s="360"/>
    </row>
    <row r="230" spans="1:7" x14ac:dyDescent="0.25">
      <c r="A230" s="421" t="s">
        <v>650</v>
      </c>
      <c r="B230" s="422" t="s">
        <v>629</v>
      </c>
      <c r="C230" s="423" t="s">
        <v>648</v>
      </c>
      <c r="D230" s="424" t="s">
        <v>651</v>
      </c>
      <c r="E230" s="424"/>
      <c r="F230" s="425"/>
      <c r="G230" s="360"/>
    </row>
    <row r="231" spans="1:7" x14ac:dyDescent="0.25">
      <c r="A231" s="421" t="s">
        <v>652</v>
      </c>
      <c r="B231" s="422" t="s">
        <v>629</v>
      </c>
      <c r="C231" s="423" t="s">
        <v>648</v>
      </c>
      <c r="D231" s="424" t="s">
        <v>653</v>
      </c>
      <c r="E231" s="424"/>
      <c r="F231" s="425"/>
      <c r="G231" s="360"/>
    </row>
    <row r="232" spans="1:7" x14ac:dyDescent="0.25">
      <c r="A232" s="421" t="s">
        <v>654</v>
      </c>
      <c r="B232" s="422" t="s">
        <v>629</v>
      </c>
      <c r="C232" s="423" t="s">
        <v>635</v>
      </c>
      <c r="D232" s="426" t="s">
        <v>655</v>
      </c>
      <c r="E232" s="424"/>
      <c r="F232" s="425"/>
      <c r="G232" s="360"/>
    </row>
    <row r="233" spans="1:7" x14ac:dyDescent="0.25">
      <c r="A233" s="421" t="s">
        <v>656</v>
      </c>
      <c r="B233" s="422" t="s">
        <v>629</v>
      </c>
      <c r="C233" s="423" t="s">
        <v>635</v>
      </c>
      <c r="D233" s="424" t="s">
        <v>657</v>
      </c>
      <c r="E233" s="424"/>
      <c r="F233" s="425"/>
      <c r="G233" s="360"/>
    </row>
    <row r="234" spans="1:7" x14ac:dyDescent="0.25">
      <c r="A234" s="421" t="s">
        <v>658</v>
      </c>
      <c r="B234" s="422" t="s">
        <v>659</v>
      </c>
      <c r="C234" s="423" t="s">
        <v>660</v>
      </c>
      <c r="D234" s="424" t="s">
        <v>661</v>
      </c>
      <c r="E234" s="424"/>
      <c r="F234" s="425"/>
      <c r="G234" s="360"/>
    </row>
    <row r="235" spans="1:7" x14ac:dyDescent="0.25">
      <c r="A235" s="421" t="s">
        <v>662</v>
      </c>
      <c r="B235" s="422" t="s">
        <v>659</v>
      </c>
      <c r="C235" s="423" t="s">
        <v>637</v>
      </c>
      <c r="D235" s="424" t="s">
        <v>663</v>
      </c>
      <c r="E235" s="424"/>
      <c r="F235" s="425"/>
      <c r="G235" s="360"/>
    </row>
    <row r="236" spans="1:7" x14ac:dyDescent="0.25">
      <c r="A236" s="421" t="s">
        <v>664</v>
      </c>
      <c r="B236" s="422" t="s">
        <v>665</v>
      </c>
      <c r="C236" s="423" t="s">
        <v>645</v>
      </c>
      <c r="D236" s="424" t="s">
        <v>666</v>
      </c>
      <c r="E236" s="424"/>
      <c r="F236" s="425"/>
      <c r="G236" s="360"/>
    </row>
    <row r="237" spans="1:7" x14ac:dyDescent="0.25">
      <c r="A237" s="421" t="s">
        <v>660</v>
      </c>
      <c r="B237" s="426" t="s">
        <v>665</v>
      </c>
      <c r="C237" s="423" t="s">
        <v>662</v>
      </c>
      <c r="D237" s="424" t="s">
        <v>667</v>
      </c>
      <c r="E237" s="424"/>
      <c r="F237" s="425"/>
      <c r="G237" s="360"/>
    </row>
    <row r="238" spans="1:7" x14ac:dyDescent="0.25">
      <c r="A238" s="421" t="s">
        <v>646</v>
      </c>
      <c r="B238" s="426" t="s">
        <v>665</v>
      </c>
      <c r="C238" s="423" t="s">
        <v>662</v>
      </c>
      <c r="D238" s="424" t="s">
        <v>668</v>
      </c>
      <c r="E238" s="424"/>
      <c r="F238" s="425"/>
      <c r="G238" s="360"/>
    </row>
    <row r="239" spans="1:7" x14ac:dyDescent="0.25">
      <c r="A239" s="421" t="s">
        <v>669</v>
      </c>
      <c r="B239" s="426" t="s">
        <v>665</v>
      </c>
      <c r="C239" s="423" t="s">
        <v>642</v>
      </c>
      <c r="D239" s="424" t="s">
        <v>670</v>
      </c>
      <c r="E239" s="424"/>
      <c r="F239" s="425"/>
      <c r="G239" s="360"/>
    </row>
    <row r="240" spans="1:7" x14ac:dyDescent="0.25">
      <c r="A240" s="421" t="s">
        <v>671</v>
      </c>
      <c r="B240" s="422" t="s">
        <v>665</v>
      </c>
      <c r="C240" s="423" t="s">
        <v>671</v>
      </c>
      <c r="D240" s="424" t="s">
        <v>672</v>
      </c>
      <c r="E240" s="424"/>
      <c r="F240" s="425"/>
      <c r="G240" s="360"/>
    </row>
    <row r="241" spans="1:7" x14ac:dyDescent="0.25">
      <c r="A241" s="421" t="s">
        <v>673</v>
      </c>
      <c r="B241" s="422" t="s">
        <v>665</v>
      </c>
      <c r="C241" s="423" t="s">
        <v>632</v>
      </c>
      <c r="D241" s="424" t="s">
        <v>674</v>
      </c>
      <c r="E241" s="424"/>
      <c r="F241" s="425"/>
      <c r="G241" s="360"/>
    </row>
    <row r="242" spans="1:7" x14ac:dyDescent="0.25">
      <c r="A242" s="421" t="s">
        <v>675</v>
      </c>
      <c r="B242" s="422" t="s">
        <v>665</v>
      </c>
      <c r="C242" s="423" t="s">
        <v>637</v>
      </c>
      <c r="D242" s="424" t="s">
        <v>676</v>
      </c>
      <c r="E242" s="424"/>
      <c r="F242" s="425"/>
      <c r="G242" s="360"/>
    </row>
    <row r="243" spans="1:7" x14ac:dyDescent="0.25">
      <c r="A243" s="421" t="s">
        <v>677</v>
      </c>
      <c r="B243" s="426" t="s">
        <v>665</v>
      </c>
      <c r="C243" s="423" t="s">
        <v>639</v>
      </c>
      <c r="D243" s="424" t="s">
        <v>678</v>
      </c>
      <c r="E243" s="424"/>
      <c r="F243" s="425"/>
      <c r="G243" s="360"/>
    </row>
    <row r="244" spans="1:7" x14ac:dyDescent="0.25">
      <c r="A244" s="421" t="s">
        <v>679</v>
      </c>
      <c r="B244" s="422" t="s">
        <v>665</v>
      </c>
      <c r="C244" s="423" t="s">
        <v>639</v>
      </c>
      <c r="D244" s="424" t="s">
        <v>680</v>
      </c>
      <c r="E244" s="424"/>
      <c r="F244" s="425"/>
      <c r="G244" s="360"/>
    </row>
    <row r="245" spans="1:7" x14ac:dyDescent="0.25">
      <c r="A245" s="421" t="s">
        <v>681</v>
      </c>
      <c r="B245" s="422" t="s">
        <v>682</v>
      </c>
      <c r="C245" s="423" t="s">
        <v>628</v>
      </c>
      <c r="D245" s="424" t="s">
        <v>683</v>
      </c>
      <c r="E245" s="424"/>
      <c r="F245" s="425"/>
      <c r="G245" s="360"/>
    </row>
    <row r="246" spans="1:7" x14ac:dyDescent="0.25">
      <c r="A246" s="421" t="s">
        <v>630</v>
      </c>
      <c r="B246" s="422" t="s">
        <v>682</v>
      </c>
      <c r="C246" s="423" t="s">
        <v>628</v>
      </c>
      <c r="D246" s="424" t="s">
        <v>684</v>
      </c>
      <c r="E246" s="424"/>
      <c r="F246" s="425"/>
      <c r="G246" s="360"/>
    </row>
    <row r="247" spans="1:7" x14ac:dyDescent="0.25">
      <c r="A247" s="421" t="s">
        <v>685</v>
      </c>
      <c r="B247" s="422" t="s">
        <v>682</v>
      </c>
      <c r="C247" s="423" t="s">
        <v>628</v>
      </c>
      <c r="D247" s="424" t="s">
        <v>686</v>
      </c>
      <c r="E247" s="424"/>
      <c r="F247" s="425"/>
      <c r="G247" s="360"/>
    </row>
    <row r="248" spans="1:7" x14ac:dyDescent="0.25">
      <c r="A248" s="421" t="s">
        <v>687</v>
      </c>
      <c r="B248" s="422" t="s">
        <v>682</v>
      </c>
      <c r="C248" s="423" t="s">
        <v>650</v>
      </c>
      <c r="D248" s="424" t="s">
        <v>688</v>
      </c>
      <c r="E248" s="424"/>
      <c r="F248" s="425"/>
      <c r="G248" s="360"/>
    </row>
    <row r="249" spans="1:7" x14ac:dyDescent="0.25">
      <c r="A249" s="421" t="s">
        <v>643</v>
      </c>
      <c r="B249" s="422" t="s">
        <v>682</v>
      </c>
      <c r="C249" s="423" t="s">
        <v>654</v>
      </c>
      <c r="D249" s="424" t="s">
        <v>689</v>
      </c>
      <c r="E249" s="424"/>
      <c r="F249" s="425"/>
      <c r="G249" s="360"/>
    </row>
    <row r="250" spans="1:7" x14ac:dyDescent="0.25">
      <c r="A250" s="421" t="s">
        <v>690</v>
      </c>
      <c r="B250" s="422" t="s">
        <v>682</v>
      </c>
      <c r="C250" s="423" t="s">
        <v>654</v>
      </c>
      <c r="D250" s="424" t="s">
        <v>691</v>
      </c>
      <c r="E250" s="424"/>
      <c r="F250" s="425"/>
      <c r="G250" s="360"/>
    </row>
    <row r="251" spans="1:7" x14ac:dyDescent="0.25">
      <c r="A251" s="421" t="s">
        <v>692</v>
      </c>
      <c r="B251" s="422" t="s">
        <v>682</v>
      </c>
      <c r="C251" s="423" t="s">
        <v>654</v>
      </c>
      <c r="D251" s="424" t="s">
        <v>693</v>
      </c>
      <c r="E251" s="424"/>
      <c r="F251" s="425"/>
      <c r="G251" s="360"/>
    </row>
    <row r="252" spans="1:7" x14ac:dyDescent="0.25">
      <c r="A252" s="421" t="s">
        <v>694</v>
      </c>
      <c r="B252" s="422" t="s">
        <v>694</v>
      </c>
      <c r="C252" s="423" t="s">
        <v>658</v>
      </c>
      <c r="D252" s="424" t="s">
        <v>695</v>
      </c>
      <c r="E252" s="424"/>
      <c r="F252" s="425"/>
      <c r="G252" s="360"/>
    </row>
    <row r="253" spans="1:7" x14ac:dyDescent="0.25">
      <c r="A253" s="421" t="s">
        <v>633</v>
      </c>
      <c r="B253" s="422" t="s">
        <v>633</v>
      </c>
      <c r="C253" s="423" t="s">
        <v>658</v>
      </c>
      <c r="D253" s="424" t="s">
        <v>696</v>
      </c>
      <c r="E253" s="424"/>
      <c r="F253" s="425"/>
      <c r="G253" s="360"/>
    </row>
    <row r="254" spans="1:7" ht="15.75" thickBot="1" x14ac:dyDescent="0.3">
      <c r="A254" s="427" t="s">
        <v>648</v>
      </c>
      <c r="B254" s="428" t="s">
        <v>648</v>
      </c>
      <c r="C254" s="423" t="s">
        <v>658</v>
      </c>
      <c r="D254" s="424" t="s">
        <v>697</v>
      </c>
      <c r="E254" s="424"/>
      <c r="F254" s="425"/>
      <c r="G254" s="360"/>
    </row>
    <row r="255" spans="1:7" x14ac:dyDescent="0.25">
      <c r="C255" s="423" t="s">
        <v>632</v>
      </c>
      <c r="D255" s="424" t="s">
        <v>698</v>
      </c>
      <c r="E255" s="424"/>
      <c r="F255" s="425"/>
      <c r="G255" s="360"/>
    </row>
    <row r="256" spans="1:7" x14ac:dyDescent="0.25">
      <c r="C256" s="423" t="s">
        <v>632</v>
      </c>
      <c r="D256" s="424" t="s">
        <v>699</v>
      </c>
      <c r="E256" s="424"/>
      <c r="F256" s="425"/>
      <c r="G256" s="360"/>
    </row>
    <row r="257" spans="2:7" x14ac:dyDescent="0.25">
      <c r="C257" s="423" t="s">
        <v>632</v>
      </c>
      <c r="D257" s="424" t="s">
        <v>700</v>
      </c>
      <c r="E257" s="424"/>
      <c r="F257" s="425"/>
      <c r="G257" s="360"/>
    </row>
    <row r="258" spans="2:7" x14ac:dyDescent="0.25">
      <c r="C258" s="423" t="s">
        <v>656</v>
      </c>
      <c r="D258" s="424" t="s">
        <v>701</v>
      </c>
      <c r="E258" s="424"/>
      <c r="F258" s="425"/>
      <c r="G258" s="360"/>
    </row>
    <row r="259" spans="2:7" x14ac:dyDescent="0.25">
      <c r="C259" s="423" t="s">
        <v>637</v>
      </c>
      <c r="D259" s="424" t="s">
        <v>702</v>
      </c>
      <c r="E259" s="424"/>
      <c r="F259" s="425"/>
      <c r="G259" s="360"/>
    </row>
    <row r="260" spans="2:7" x14ac:dyDescent="0.25">
      <c r="C260" s="423" t="s">
        <v>652</v>
      </c>
      <c r="D260" s="424" t="s">
        <v>703</v>
      </c>
      <c r="E260" s="424"/>
      <c r="F260" s="425"/>
      <c r="G260" s="360"/>
    </row>
    <row r="261" spans="2:7" x14ac:dyDescent="0.25">
      <c r="C261" s="423" t="s">
        <v>660</v>
      </c>
      <c r="D261" s="424" t="s">
        <v>704</v>
      </c>
      <c r="E261" s="424"/>
      <c r="F261" s="425"/>
      <c r="G261" s="360"/>
    </row>
    <row r="262" spans="2:7" x14ac:dyDescent="0.25">
      <c r="C262" s="423" t="s">
        <v>633</v>
      </c>
      <c r="D262" s="424" t="s">
        <v>705</v>
      </c>
      <c r="E262" s="424"/>
      <c r="F262" s="425"/>
      <c r="G262" s="360"/>
    </row>
    <row r="263" spans="2:7" x14ac:dyDescent="0.25">
      <c r="C263" s="423" t="s">
        <v>633</v>
      </c>
      <c r="D263" s="424" t="s">
        <v>706</v>
      </c>
      <c r="E263" s="424"/>
      <c r="F263" s="425"/>
      <c r="G263" s="360"/>
    </row>
    <row r="264" spans="2:7" x14ac:dyDescent="0.25">
      <c r="B264" s="360"/>
      <c r="C264" s="423" t="s">
        <v>646</v>
      </c>
      <c r="D264" s="424" t="s">
        <v>707</v>
      </c>
      <c r="E264" s="424"/>
      <c r="F264" s="425"/>
      <c r="G264" s="360"/>
    </row>
    <row r="265" spans="2:7" x14ac:dyDescent="0.25">
      <c r="B265" s="360"/>
      <c r="C265" s="423" t="s">
        <v>646</v>
      </c>
      <c r="D265" s="424" t="s">
        <v>708</v>
      </c>
      <c r="E265" s="424"/>
      <c r="F265" s="425"/>
      <c r="G265" s="360"/>
    </row>
    <row r="266" spans="2:7" x14ac:dyDescent="0.25">
      <c r="B266" s="360"/>
      <c r="C266" s="423" t="s">
        <v>677</v>
      </c>
      <c r="D266" s="424" t="s">
        <v>709</v>
      </c>
      <c r="E266" s="424"/>
      <c r="F266" s="425"/>
      <c r="G266" s="360"/>
    </row>
    <row r="267" spans="2:7" x14ac:dyDescent="0.25">
      <c r="B267" s="360"/>
      <c r="C267" s="423" t="s">
        <v>675</v>
      </c>
      <c r="D267" s="424" t="s">
        <v>710</v>
      </c>
      <c r="E267" s="424"/>
      <c r="F267" s="425"/>
      <c r="G267" s="360"/>
    </row>
    <row r="268" spans="2:7" x14ac:dyDescent="0.25">
      <c r="B268" s="360"/>
      <c r="C268" s="423" t="s">
        <v>675</v>
      </c>
      <c r="D268" s="424" t="s">
        <v>711</v>
      </c>
      <c r="E268" s="424"/>
      <c r="F268" s="425"/>
      <c r="G268" s="360"/>
    </row>
    <row r="269" spans="2:7" x14ac:dyDescent="0.25">
      <c r="B269" s="360"/>
      <c r="C269" s="423" t="s">
        <v>675</v>
      </c>
      <c r="D269" s="424" t="s">
        <v>712</v>
      </c>
      <c r="E269" s="424"/>
      <c r="F269" s="425"/>
      <c r="G269" s="360"/>
    </row>
    <row r="270" spans="2:7" x14ac:dyDescent="0.25">
      <c r="B270" s="360"/>
      <c r="C270" s="423" t="s">
        <v>664</v>
      </c>
      <c r="D270" s="424" t="s">
        <v>713</v>
      </c>
      <c r="E270" s="424"/>
      <c r="F270" s="425"/>
      <c r="G270" s="360"/>
    </row>
    <row r="271" spans="2:7" x14ac:dyDescent="0.25">
      <c r="B271" s="360"/>
      <c r="C271" s="423" t="s">
        <v>664</v>
      </c>
      <c r="D271" s="424" t="s">
        <v>714</v>
      </c>
      <c r="E271" s="424"/>
      <c r="F271" s="425"/>
      <c r="G271" s="360"/>
    </row>
    <row r="272" spans="2:7" x14ac:dyDescent="0.25">
      <c r="B272" s="360"/>
      <c r="C272" s="423" t="s">
        <v>664</v>
      </c>
      <c r="D272" s="424" t="s">
        <v>715</v>
      </c>
      <c r="E272" s="424"/>
      <c r="F272" s="425"/>
      <c r="G272" s="360"/>
    </row>
    <row r="273" spans="2:7" x14ac:dyDescent="0.25">
      <c r="B273" s="360"/>
      <c r="C273" s="423" t="s">
        <v>669</v>
      </c>
      <c r="D273" s="424" t="s">
        <v>716</v>
      </c>
      <c r="E273" s="424"/>
      <c r="F273" s="425"/>
      <c r="G273" s="360"/>
    </row>
    <row r="274" spans="2:7" x14ac:dyDescent="0.25">
      <c r="B274" s="360"/>
      <c r="C274" s="423" t="s">
        <v>669</v>
      </c>
      <c r="D274" s="424" t="s">
        <v>717</v>
      </c>
      <c r="E274" s="424"/>
      <c r="F274" s="425"/>
      <c r="G274" s="360"/>
    </row>
    <row r="275" spans="2:7" x14ac:dyDescent="0.25">
      <c r="B275" s="360"/>
      <c r="C275" s="423" t="s">
        <v>669</v>
      </c>
      <c r="D275" s="424" t="s">
        <v>718</v>
      </c>
      <c r="E275" s="424"/>
      <c r="F275" s="425"/>
      <c r="G275" s="360"/>
    </row>
    <row r="276" spans="2:7" x14ac:dyDescent="0.25">
      <c r="B276" s="360"/>
      <c r="C276" s="423" t="s">
        <v>673</v>
      </c>
      <c r="D276" s="424" t="s">
        <v>719</v>
      </c>
      <c r="E276" s="424"/>
      <c r="F276" s="425"/>
      <c r="G276" s="360"/>
    </row>
    <row r="277" spans="2:7" x14ac:dyDescent="0.25">
      <c r="B277" s="360"/>
      <c r="C277" s="423" t="s">
        <v>673</v>
      </c>
      <c r="D277" s="424" t="s">
        <v>720</v>
      </c>
      <c r="E277" s="424"/>
      <c r="F277" s="425"/>
      <c r="G277" s="360"/>
    </row>
    <row r="278" spans="2:7" x14ac:dyDescent="0.25">
      <c r="B278" s="360"/>
      <c r="C278" s="423" t="s">
        <v>673</v>
      </c>
      <c r="D278" s="424" t="s">
        <v>721</v>
      </c>
      <c r="E278" s="424"/>
      <c r="F278" s="425"/>
      <c r="G278" s="360"/>
    </row>
    <row r="279" spans="2:7" x14ac:dyDescent="0.25">
      <c r="B279" s="360"/>
      <c r="C279" s="423" t="s">
        <v>690</v>
      </c>
      <c r="D279" s="424" t="s">
        <v>722</v>
      </c>
      <c r="E279" s="424"/>
      <c r="F279" s="425"/>
      <c r="G279" s="360"/>
    </row>
    <row r="280" spans="2:7" x14ac:dyDescent="0.25">
      <c r="B280" s="360"/>
      <c r="C280" s="423" t="s">
        <v>679</v>
      </c>
      <c r="D280" s="424" t="s">
        <v>723</v>
      </c>
      <c r="E280" s="424"/>
      <c r="F280" s="425"/>
      <c r="G280" s="360"/>
    </row>
    <row r="281" spans="2:7" x14ac:dyDescent="0.25">
      <c r="B281" s="360"/>
      <c r="C281" s="423" t="s">
        <v>679</v>
      </c>
      <c r="D281" s="424" t="s">
        <v>724</v>
      </c>
      <c r="E281" s="424"/>
      <c r="F281" s="425"/>
      <c r="G281" s="360"/>
    </row>
    <row r="282" spans="2:7" x14ac:dyDescent="0.25">
      <c r="B282" s="360"/>
      <c r="C282" s="423" t="s">
        <v>679</v>
      </c>
      <c r="D282" s="424" t="s">
        <v>725</v>
      </c>
      <c r="E282" s="424"/>
      <c r="F282" s="425"/>
      <c r="G282" s="360"/>
    </row>
    <row r="283" spans="2:7" x14ac:dyDescent="0.25">
      <c r="B283" s="360"/>
      <c r="C283" s="423" t="s">
        <v>679</v>
      </c>
      <c r="D283" s="424" t="s">
        <v>726</v>
      </c>
      <c r="E283" s="424"/>
      <c r="F283" s="425"/>
      <c r="G283" s="360"/>
    </row>
    <row r="284" spans="2:7" x14ac:dyDescent="0.25">
      <c r="B284" s="360"/>
      <c r="C284" s="423" t="s">
        <v>679</v>
      </c>
      <c r="D284" s="424" t="s">
        <v>727</v>
      </c>
      <c r="E284" s="424"/>
      <c r="F284" s="425"/>
      <c r="G284" s="360"/>
    </row>
    <row r="285" spans="2:7" x14ac:dyDescent="0.25">
      <c r="B285" s="360"/>
      <c r="C285" s="423" t="s">
        <v>679</v>
      </c>
      <c r="D285" s="424" t="s">
        <v>728</v>
      </c>
      <c r="E285" s="424"/>
      <c r="F285" s="425"/>
      <c r="G285" s="360"/>
    </row>
    <row r="286" spans="2:7" x14ac:dyDescent="0.25">
      <c r="B286" s="360"/>
      <c r="C286" s="423" t="s">
        <v>660</v>
      </c>
      <c r="D286" s="424" t="s">
        <v>729</v>
      </c>
      <c r="E286" s="424"/>
      <c r="F286" s="425"/>
      <c r="G286" s="360"/>
    </row>
    <row r="287" spans="2:7" x14ac:dyDescent="0.25">
      <c r="B287" s="360"/>
      <c r="C287" s="423" t="s">
        <v>660</v>
      </c>
      <c r="D287" s="424" t="s">
        <v>730</v>
      </c>
      <c r="E287" s="424"/>
      <c r="F287" s="425"/>
      <c r="G287" s="360"/>
    </row>
    <row r="288" spans="2:7" x14ac:dyDescent="0.25">
      <c r="B288" s="360"/>
      <c r="C288" s="423" t="s">
        <v>660</v>
      </c>
      <c r="D288" s="424" t="s">
        <v>731</v>
      </c>
      <c r="E288" s="424"/>
      <c r="F288" s="425"/>
      <c r="G288" s="360"/>
    </row>
    <row r="289" spans="1:7" x14ac:dyDescent="0.25">
      <c r="B289" s="360"/>
      <c r="C289" s="423" t="s">
        <v>643</v>
      </c>
      <c r="D289" s="424" t="s">
        <v>732</v>
      </c>
      <c r="E289" s="424"/>
      <c r="F289" s="425"/>
      <c r="G289" s="360"/>
    </row>
    <row r="290" spans="1:7" x14ac:dyDescent="0.25">
      <c r="B290" s="360"/>
      <c r="C290" s="423" t="s">
        <v>643</v>
      </c>
      <c r="D290" s="424" t="s">
        <v>733</v>
      </c>
      <c r="E290" s="424"/>
      <c r="F290" s="425"/>
      <c r="G290" s="360"/>
    </row>
    <row r="291" spans="1:7" x14ac:dyDescent="0.25">
      <c r="B291" s="360"/>
      <c r="C291" s="423" t="s">
        <v>643</v>
      </c>
      <c r="D291" s="424" t="s">
        <v>734</v>
      </c>
      <c r="E291" s="424"/>
      <c r="F291" s="425"/>
      <c r="G291" s="360"/>
    </row>
    <row r="292" spans="1:7" x14ac:dyDescent="0.25">
      <c r="B292" s="360"/>
      <c r="C292" s="423" t="s">
        <v>687</v>
      </c>
      <c r="D292" s="424" t="s">
        <v>735</v>
      </c>
      <c r="E292" s="424"/>
      <c r="F292" s="425"/>
      <c r="G292" s="360"/>
    </row>
    <row r="293" spans="1:7" x14ac:dyDescent="0.25">
      <c r="B293" s="360"/>
      <c r="C293" s="423" t="s">
        <v>687</v>
      </c>
      <c r="D293" s="424" t="s">
        <v>736</v>
      </c>
      <c r="E293" s="424"/>
      <c r="F293" s="425"/>
      <c r="G293" s="360"/>
    </row>
    <row r="294" spans="1:7" x14ac:dyDescent="0.25">
      <c r="B294" s="360"/>
      <c r="C294" s="423" t="s">
        <v>687</v>
      </c>
      <c r="D294" s="424" t="s">
        <v>737</v>
      </c>
      <c r="E294" s="424"/>
      <c r="F294" s="425"/>
      <c r="G294" s="360"/>
    </row>
    <row r="295" spans="1:7" x14ac:dyDescent="0.25">
      <c r="B295" s="360"/>
      <c r="C295" s="423" t="s">
        <v>681</v>
      </c>
      <c r="D295" s="426" t="s">
        <v>738</v>
      </c>
      <c r="E295" s="424"/>
      <c r="F295" s="425"/>
      <c r="G295" s="360"/>
    </row>
    <row r="296" spans="1:7" x14ac:dyDescent="0.25">
      <c r="B296" s="360"/>
      <c r="C296" s="423" t="s">
        <v>685</v>
      </c>
      <c r="D296" s="426" t="s">
        <v>739</v>
      </c>
      <c r="E296" s="424"/>
      <c r="F296" s="425"/>
      <c r="G296" s="360"/>
    </row>
    <row r="297" spans="1:7" ht="15.75" thickBot="1" x14ac:dyDescent="0.3">
      <c r="B297" s="360"/>
      <c r="C297" s="429" t="s">
        <v>692</v>
      </c>
      <c r="D297" s="430" t="s">
        <v>740</v>
      </c>
      <c r="E297" s="431"/>
      <c r="F297" s="432"/>
      <c r="G297" s="360"/>
    </row>
    <row r="298" spans="1:7" x14ac:dyDescent="0.25">
      <c r="B298" s="360"/>
      <c r="F298" s="360"/>
      <c r="G298" s="360"/>
    </row>
    <row r="299" spans="1:7" x14ac:dyDescent="0.25">
      <c r="B299" s="360"/>
      <c r="G299" s="360"/>
    </row>
    <row r="300" spans="1:7" x14ac:dyDescent="0.25">
      <c r="A300" s="375"/>
      <c r="B300" s="360"/>
      <c r="F300" s="360"/>
      <c r="G300" s="360"/>
    </row>
    <row r="301" spans="1:7" x14ac:dyDescent="0.25">
      <c r="B301" s="360"/>
      <c r="F301" s="360"/>
      <c r="G301" s="360"/>
    </row>
    <row r="302" spans="1:7" x14ac:dyDescent="0.25">
      <c r="A302" s="375"/>
      <c r="B302" s="360"/>
    </row>
    <row r="303" spans="1:7" x14ac:dyDescent="0.25">
      <c r="B303" s="360"/>
    </row>
    <row r="304" spans="1:7" x14ac:dyDescent="0.25">
      <c r="A304" s="375"/>
      <c r="B304" s="360"/>
    </row>
    <row r="305" spans="1:2" x14ac:dyDescent="0.25">
      <c r="A305" s="375"/>
      <c r="B305" s="360"/>
    </row>
    <row r="306" spans="1:2" x14ac:dyDescent="0.25">
      <c r="A306" s="375"/>
      <c r="B306" s="360"/>
    </row>
    <row r="307" spans="1:2" x14ac:dyDescent="0.25">
      <c r="A307" s="375"/>
      <c r="B307" s="360"/>
    </row>
    <row r="308" spans="1:2" x14ac:dyDescent="0.25">
      <c r="A308" s="375"/>
      <c r="B308" s="360"/>
    </row>
    <row r="309" spans="1:2" x14ac:dyDescent="0.25">
      <c r="A309" s="375"/>
      <c r="B309" s="360"/>
    </row>
  </sheetData>
  <autoFilter ref="A1:I1"/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07"/>
  <sheetViews>
    <sheetView topLeftCell="A25" workbookViewId="0">
      <selection activeCell="C26" sqref="C26"/>
    </sheetView>
  </sheetViews>
  <sheetFormatPr defaultRowHeight="15" x14ac:dyDescent="0.25"/>
  <cols>
    <col min="1" max="1" width="10.140625" style="433" bestFit="1" customWidth="1"/>
    <col min="2" max="2" width="8.42578125" style="434" customWidth="1"/>
    <col min="3" max="3" width="87.85546875" style="437" customWidth="1"/>
    <col min="4" max="4" width="6.5703125" style="414" customWidth="1"/>
    <col min="5" max="6" width="9.140625" style="414"/>
    <col min="7" max="7" width="10.5703125" style="414" bestFit="1" customWidth="1"/>
    <col min="8" max="16384" width="9.140625" style="414"/>
  </cols>
  <sheetData>
    <row r="1" spans="1:4" ht="15.75" x14ac:dyDescent="0.25">
      <c r="A1" s="859">
        <v>41509</v>
      </c>
      <c r="C1" s="435" t="s">
        <v>741</v>
      </c>
      <c r="D1" s="436">
        <v>107</v>
      </c>
    </row>
    <row r="2" spans="1:4" x14ac:dyDescent="0.25">
      <c r="A2" s="433">
        <v>41509</v>
      </c>
      <c r="B2" s="434">
        <v>4.5520833333333337E-2</v>
      </c>
      <c r="C2" s="437" t="s">
        <v>742</v>
      </c>
    </row>
    <row r="3" spans="1:4" ht="45" x14ac:dyDescent="0.25">
      <c r="A3" s="433">
        <v>41509</v>
      </c>
      <c r="B3" s="434">
        <v>4.6377314814814809E-2</v>
      </c>
      <c r="C3" s="438" t="s">
        <v>1202</v>
      </c>
    </row>
    <row r="4" spans="1:4" ht="30" x14ac:dyDescent="0.25">
      <c r="A4" s="433">
        <v>41509</v>
      </c>
      <c r="B4" s="434">
        <v>5.0428240740740739E-2</v>
      </c>
      <c r="C4" s="438" t="s">
        <v>1203</v>
      </c>
    </row>
    <row r="5" spans="1:4" ht="45" x14ac:dyDescent="0.25">
      <c r="A5" s="433">
        <v>41509</v>
      </c>
      <c r="B5" s="434">
        <v>6.5173611111111113E-2</v>
      </c>
      <c r="C5" s="438" t="s">
        <v>1204</v>
      </c>
    </row>
    <row r="6" spans="1:4" ht="45" x14ac:dyDescent="0.25">
      <c r="A6" s="433">
        <v>41509</v>
      </c>
      <c r="B6" s="434">
        <v>0.12206018518518519</v>
      </c>
      <c r="C6" s="438" t="s">
        <v>1205</v>
      </c>
    </row>
    <row r="7" spans="1:4" ht="45" x14ac:dyDescent="0.25">
      <c r="A7" s="433">
        <v>41509</v>
      </c>
      <c r="B7" s="434">
        <v>0.1570138888888889</v>
      </c>
      <c r="C7" s="438" t="s">
        <v>1206</v>
      </c>
    </row>
    <row r="8" spans="1:4" ht="45" x14ac:dyDescent="0.25">
      <c r="A8" s="433">
        <v>41509</v>
      </c>
      <c r="B8" s="434">
        <v>0.15708333333333332</v>
      </c>
      <c r="C8" s="438" t="s">
        <v>1207</v>
      </c>
    </row>
    <row r="9" spans="1:4" ht="30" x14ac:dyDescent="0.25">
      <c r="A9" s="433">
        <v>41509</v>
      </c>
      <c r="B9" s="434">
        <v>0.1597685185185185</v>
      </c>
      <c r="C9" s="438" t="s">
        <v>1208</v>
      </c>
    </row>
    <row r="10" spans="1:4" ht="30" x14ac:dyDescent="0.25">
      <c r="A10" s="433">
        <v>41509</v>
      </c>
      <c r="B10" s="434">
        <v>0.15990740740740741</v>
      </c>
      <c r="C10" s="438" t="s">
        <v>1209</v>
      </c>
    </row>
    <row r="11" spans="1:4" ht="45" x14ac:dyDescent="0.25">
      <c r="A11" s="433">
        <v>41509</v>
      </c>
      <c r="B11" s="434">
        <v>0.16035879629629629</v>
      </c>
      <c r="C11" s="438" t="s">
        <v>1210</v>
      </c>
    </row>
    <row r="12" spans="1:4" ht="45" x14ac:dyDescent="0.25">
      <c r="A12" s="433">
        <v>41509</v>
      </c>
      <c r="B12" s="434">
        <v>0.16186342592592592</v>
      </c>
      <c r="C12" s="438" t="s">
        <v>1211</v>
      </c>
    </row>
    <row r="13" spans="1:4" ht="45" x14ac:dyDescent="0.25">
      <c r="A13" s="433">
        <v>41509</v>
      </c>
      <c r="B13" s="434">
        <v>0.1620949074074074</v>
      </c>
      <c r="C13" s="438" t="s">
        <v>1212</v>
      </c>
    </row>
    <row r="14" spans="1:4" ht="45" x14ac:dyDescent="0.25">
      <c r="A14" s="433">
        <v>41509</v>
      </c>
      <c r="B14" s="434">
        <v>0.16401620370370371</v>
      </c>
      <c r="C14" s="438" t="s">
        <v>1213</v>
      </c>
    </row>
    <row r="15" spans="1:4" ht="45" x14ac:dyDescent="0.25">
      <c r="A15" s="433">
        <v>41509</v>
      </c>
      <c r="B15" s="434">
        <v>0.16415509259259259</v>
      </c>
      <c r="C15" s="438" t="s">
        <v>1214</v>
      </c>
    </row>
    <row r="16" spans="1:4" ht="45" x14ac:dyDescent="0.25">
      <c r="A16" s="433">
        <v>41510</v>
      </c>
      <c r="B16" s="434">
        <v>0.27741898148148147</v>
      </c>
      <c r="C16" s="438" t="s">
        <v>1223</v>
      </c>
    </row>
    <row r="17" spans="1:3" ht="45" x14ac:dyDescent="0.25">
      <c r="A17" s="433">
        <v>41510</v>
      </c>
      <c r="B17" s="434">
        <v>0.27931712962962962</v>
      </c>
      <c r="C17" s="438" t="s">
        <v>1224</v>
      </c>
    </row>
    <row r="18" spans="1:3" ht="45" x14ac:dyDescent="0.25">
      <c r="A18" s="433">
        <v>41510</v>
      </c>
      <c r="B18" s="434">
        <v>0.31864583333333335</v>
      </c>
      <c r="C18" s="438" t="s">
        <v>1225</v>
      </c>
    </row>
    <row r="19" spans="1:3" ht="45" x14ac:dyDescent="0.25">
      <c r="A19" s="433">
        <v>41510</v>
      </c>
      <c r="B19" s="434">
        <v>0.31864583333333335</v>
      </c>
      <c r="C19" s="438" t="s">
        <v>1226</v>
      </c>
    </row>
    <row r="20" spans="1:3" ht="30" x14ac:dyDescent="0.25">
      <c r="A20" s="433">
        <v>41510</v>
      </c>
      <c r="B20" s="434">
        <v>0.31960648148148146</v>
      </c>
      <c r="C20" s="438" t="s">
        <v>1227</v>
      </c>
    </row>
    <row r="21" spans="1:3" ht="45" x14ac:dyDescent="0.25">
      <c r="A21" s="433">
        <v>41510</v>
      </c>
      <c r="B21" s="434">
        <v>0.31961805555555556</v>
      </c>
      <c r="C21" s="438" t="s">
        <v>1228</v>
      </c>
    </row>
    <row r="22" spans="1:3" ht="45" x14ac:dyDescent="0.25">
      <c r="A22" s="433">
        <v>41510</v>
      </c>
      <c r="B22" s="434">
        <v>0.38488425925925923</v>
      </c>
      <c r="C22" s="438" t="s">
        <v>1229</v>
      </c>
    </row>
    <row r="23" spans="1:3" x14ac:dyDescent="0.25">
      <c r="A23" s="433">
        <v>41510</v>
      </c>
      <c r="B23" s="434">
        <v>0.38645833333333335</v>
      </c>
      <c r="C23" s="437" t="s">
        <v>1230</v>
      </c>
    </row>
    <row r="24" spans="1:3" x14ac:dyDescent="0.25">
      <c r="A24" s="433">
        <v>41510</v>
      </c>
      <c r="B24" s="434">
        <v>0.38672453703703707</v>
      </c>
      <c r="C24" s="437" t="s">
        <v>1230</v>
      </c>
    </row>
    <row r="25" spans="1:3" ht="30" x14ac:dyDescent="0.25">
      <c r="A25" s="433">
        <v>41510</v>
      </c>
      <c r="B25" s="434">
        <v>0.38729166666666665</v>
      </c>
      <c r="C25" s="438" t="s">
        <v>1231</v>
      </c>
    </row>
    <row r="26" spans="1:3" ht="30" x14ac:dyDescent="0.25">
      <c r="A26" s="433">
        <v>41510</v>
      </c>
      <c r="B26" s="434">
        <v>0.39416666666666672</v>
      </c>
      <c r="C26" s="438" t="s">
        <v>1231</v>
      </c>
    </row>
    <row r="27" spans="1:3" ht="45" x14ac:dyDescent="0.25">
      <c r="A27" s="433">
        <v>41510</v>
      </c>
      <c r="B27" s="434">
        <v>0.39591435185185181</v>
      </c>
      <c r="C27" s="438" t="s">
        <v>1233</v>
      </c>
    </row>
    <row r="28" spans="1:3" ht="45" x14ac:dyDescent="0.25">
      <c r="A28" s="433">
        <v>41510</v>
      </c>
      <c r="B28" s="434">
        <v>0.43293981481481486</v>
      </c>
      <c r="C28" s="438" t="s">
        <v>1234</v>
      </c>
    </row>
    <row r="29" spans="1:3" ht="30" x14ac:dyDescent="0.25">
      <c r="A29" s="433">
        <v>41510</v>
      </c>
      <c r="B29" s="434">
        <v>0.65652777777777771</v>
      </c>
      <c r="C29" s="438" t="s">
        <v>1236</v>
      </c>
    </row>
    <row r="30" spans="1:3" ht="30" x14ac:dyDescent="0.25">
      <c r="A30" s="433">
        <v>41510</v>
      </c>
      <c r="B30" s="434">
        <v>0.73012731481481474</v>
      </c>
      <c r="C30" s="438" t="s">
        <v>1236</v>
      </c>
    </row>
    <row r="31" spans="1:3" ht="45" x14ac:dyDescent="0.25">
      <c r="A31" s="433">
        <v>41510</v>
      </c>
      <c r="B31" s="434">
        <v>0.75186342592592592</v>
      </c>
      <c r="C31" s="438" t="s">
        <v>1237</v>
      </c>
    </row>
    <row r="32" spans="1:3" ht="45" x14ac:dyDescent="0.25">
      <c r="A32" s="433">
        <v>41511</v>
      </c>
      <c r="B32" s="434">
        <v>0.52188657407407402</v>
      </c>
      <c r="C32" s="438" t="s">
        <v>1238</v>
      </c>
    </row>
    <row r="33" spans="1:3" ht="45" x14ac:dyDescent="0.25">
      <c r="A33" s="433">
        <v>41511</v>
      </c>
      <c r="B33" s="434">
        <v>0.52280092592592597</v>
      </c>
      <c r="C33" s="438" t="s">
        <v>1239</v>
      </c>
    </row>
    <row r="34" spans="1:3" ht="45" x14ac:dyDescent="0.25">
      <c r="A34" s="433">
        <v>41511</v>
      </c>
      <c r="B34" s="434">
        <v>0.52611111111111108</v>
      </c>
      <c r="C34" s="438" t="s">
        <v>1240</v>
      </c>
    </row>
    <row r="35" spans="1:3" ht="45" x14ac:dyDescent="0.25">
      <c r="A35" s="433">
        <v>41511</v>
      </c>
      <c r="B35" s="434">
        <v>0.5261689814814815</v>
      </c>
      <c r="C35" s="438" t="s">
        <v>1241</v>
      </c>
    </row>
    <row r="36" spans="1:3" x14ac:dyDescent="0.25">
      <c r="A36" s="433">
        <v>41511</v>
      </c>
      <c r="B36" s="434">
        <v>0.55018518518518522</v>
      </c>
      <c r="C36" s="437" t="s">
        <v>1242</v>
      </c>
    </row>
    <row r="37" spans="1:3" x14ac:dyDescent="0.25">
      <c r="A37" s="433">
        <v>41511</v>
      </c>
      <c r="B37" s="434">
        <v>0.55035879629629625</v>
      </c>
      <c r="C37" s="437" t="s">
        <v>1243</v>
      </c>
    </row>
    <row r="38" spans="1:3" x14ac:dyDescent="0.25">
      <c r="A38" s="433">
        <v>41511</v>
      </c>
      <c r="B38" s="434">
        <v>0.55418981481481489</v>
      </c>
      <c r="C38" s="437" t="s">
        <v>1242</v>
      </c>
    </row>
    <row r="39" spans="1:3" x14ac:dyDescent="0.25">
      <c r="A39" s="433">
        <v>41511</v>
      </c>
      <c r="B39" s="434">
        <v>0.55561342592592589</v>
      </c>
      <c r="C39" s="437" t="s">
        <v>1243</v>
      </c>
    </row>
    <row r="40" spans="1:3" x14ac:dyDescent="0.25">
      <c r="A40" s="433">
        <v>41511</v>
      </c>
      <c r="B40" s="434">
        <v>0.55600694444444443</v>
      </c>
      <c r="C40" s="437" t="s">
        <v>1242</v>
      </c>
    </row>
    <row r="41" spans="1:3" x14ac:dyDescent="0.25">
      <c r="A41" s="433">
        <v>41511</v>
      </c>
      <c r="B41" s="434">
        <v>0.56598379629629625</v>
      </c>
      <c r="C41" s="437" t="s">
        <v>1244</v>
      </c>
    </row>
    <row r="42" spans="1:3" ht="30" x14ac:dyDescent="0.25">
      <c r="A42" s="433">
        <v>41511</v>
      </c>
      <c r="B42" s="434">
        <v>0.56619212962962961</v>
      </c>
      <c r="C42" s="438" t="s">
        <v>1245</v>
      </c>
    </row>
    <row r="43" spans="1:3" x14ac:dyDescent="0.25">
      <c r="A43" s="433">
        <v>41511</v>
      </c>
      <c r="B43" s="434">
        <v>0.56619212962962961</v>
      </c>
      <c r="C43" s="437" t="s">
        <v>1246</v>
      </c>
    </row>
    <row r="44" spans="1:3" x14ac:dyDescent="0.25">
      <c r="A44" s="433">
        <v>41511</v>
      </c>
      <c r="B44" s="434">
        <v>0.56715277777777773</v>
      </c>
      <c r="C44" s="437" t="s">
        <v>1247</v>
      </c>
    </row>
    <row r="45" spans="1:3" x14ac:dyDescent="0.25">
      <c r="A45" s="433">
        <v>41511</v>
      </c>
      <c r="B45" s="434">
        <v>0.58530092592592597</v>
      </c>
      <c r="C45" s="437" t="s">
        <v>1247</v>
      </c>
    </row>
    <row r="46" spans="1:3" x14ac:dyDescent="0.25">
      <c r="A46" s="433">
        <v>41511</v>
      </c>
      <c r="B46" s="434">
        <v>0.58599537037037031</v>
      </c>
      <c r="C46" s="437" t="s">
        <v>1247</v>
      </c>
    </row>
    <row r="47" spans="1:3" ht="30" x14ac:dyDescent="0.25">
      <c r="A47" s="433">
        <v>41511</v>
      </c>
      <c r="B47" s="434">
        <v>0.58712962962962967</v>
      </c>
      <c r="C47" s="438" t="s">
        <v>1236</v>
      </c>
    </row>
    <row r="48" spans="1:3" ht="45" x14ac:dyDescent="0.25">
      <c r="A48" s="433">
        <v>41511</v>
      </c>
      <c r="B48" s="434">
        <v>0.5879050925925926</v>
      </c>
      <c r="C48" s="438" t="s">
        <v>1248</v>
      </c>
    </row>
    <row r="49" spans="1:3" x14ac:dyDescent="0.25">
      <c r="A49" s="433">
        <v>41511</v>
      </c>
      <c r="B49" s="434">
        <v>0.60771990740740744</v>
      </c>
      <c r="C49" s="437" t="s">
        <v>1243</v>
      </c>
    </row>
    <row r="50" spans="1:3" ht="30" x14ac:dyDescent="0.25">
      <c r="A50" s="433">
        <v>41511</v>
      </c>
      <c r="B50" s="434">
        <v>0.65289351851851851</v>
      </c>
      <c r="C50" s="438" t="s">
        <v>1249</v>
      </c>
    </row>
    <row r="51" spans="1:3" x14ac:dyDescent="0.25">
      <c r="A51" s="433">
        <v>41511</v>
      </c>
      <c r="B51" s="434">
        <v>0.65290509259259266</v>
      </c>
      <c r="C51" s="437" t="s">
        <v>1247</v>
      </c>
    </row>
    <row r="52" spans="1:3" x14ac:dyDescent="0.25">
      <c r="A52" s="433">
        <v>41511</v>
      </c>
      <c r="B52" s="434">
        <v>0.7169212962962962</v>
      </c>
      <c r="C52" s="437" t="s">
        <v>1258</v>
      </c>
    </row>
    <row r="53" spans="1:3" x14ac:dyDescent="0.25">
      <c r="A53" s="433">
        <v>41511</v>
      </c>
      <c r="B53" s="434">
        <v>0.71971064814814811</v>
      </c>
      <c r="C53" s="437" t="s">
        <v>1258</v>
      </c>
    </row>
    <row r="54" spans="1:3" ht="45" x14ac:dyDescent="0.25">
      <c r="A54" s="433">
        <v>41511</v>
      </c>
      <c r="B54" s="434">
        <v>0.73649305555555555</v>
      </c>
      <c r="C54" s="438" t="s">
        <v>1259</v>
      </c>
    </row>
    <row r="55" spans="1:3" x14ac:dyDescent="0.25">
      <c r="A55" s="433">
        <v>41511</v>
      </c>
      <c r="B55" s="434">
        <v>0.73649305555555555</v>
      </c>
      <c r="C55" s="437" t="s">
        <v>1258</v>
      </c>
    </row>
    <row r="56" spans="1:3" ht="60" x14ac:dyDescent="0.25">
      <c r="A56" s="433">
        <v>41511</v>
      </c>
      <c r="B56" s="434">
        <v>0.74380787037037033</v>
      </c>
      <c r="C56" s="438" t="s">
        <v>1260</v>
      </c>
    </row>
    <row r="57" spans="1:3" ht="45" x14ac:dyDescent="0.25">
      <c r="A57" s="433">
        <v>41511</v>
      </c>
      <c r="B57" s="434">
        <v>0.74467592592592602</v>
      </c>
      <c r="C57" s="438" t="s">
        <v>1261</v>
      </c>
    </row>
    <row r="58" spans="1:3" x14ac:dyDescent="0.25">
      <c r="A58" s="433">
        <v>41511</v>
      </c>
      <c r="B58" s="434">
        <v>0.74467592592592602</v>
      </c>
      <c r="C58" s="437" t="s">
        <v>1258</v>
      </c>
    </row>
    <row r="59" spans="1:3" ht="60" x14ac:dyDescent="0.25">
      <c r="A59" s="433">
        <v>41511</v>
      </c>
      <c r="B59" s="434">
        <v>0.74671296296296286</v>
      </c>
      <c r="C59" s="438" t="s">
        <v>1260</v>
      </c>
    </row>
    <row r="60" spans="1:3" ht="45" x14ac:dyDescent="0.25">
      <c r="A60" s="433">
        <v>41511</v>
      </c>
      <c r="B60" s="434">
        <v>0.77989583333333334</v>
      </c>
      <c r="C60" s="438" t="s">
        <v>1261</v>
      </c>
    </row>
    <row r="61" spans="1:3" x14ac:dyDescent="0.25">
      <c r="A61" s="433">
        <v>41511</v>
      </c>
      <c r="B61" s="434">
        <v>0.77989583333333334</v>
      </c>
      <c r="C61" s="437" t="s">
        <v>1258</v>
      </c>
    </row>
    <row r="62" spans="1:3" ht="45" x14ac:dyDescent="0.25">
      <c r="A62" s="433">
        <v>41511</v>
      </c>
      <c r="B62" s="434">
        <v>0.79699074074074072</v>
      </c>
      <c r="C62" s="438" t="s">
        <v>1261</v>
      </c>
    </row>
    <row r="63" spans="1:3" x14ac:dyDescent="0.25">
      <c r="A63" s="433">
        <v>41511</v>
      </c>
      <c r="B63" s="434">
        <v>0.79699074074074072</v>
      </c>
      <c r="C63" s="437" t="s">
        <v>1258</v>
      </c>
    </row>
    <row r="64" spans="1:3" ht="60" x14ac:dyDescent="0.25">
      <c r="A64" s="433">
        <v>41511</v>
      </c>
      <c r="B64" s="434">
        <v>0.80354166666666671</v>
      </c>
      <c r="C64" s="438" t="s">
        <v>1260</v>
      </c>
    </row>
    <row r="65" spans="1:3" ht="45" x14ac:dyDescent="0.25">
      <c r="A65" s="433">
        <v>41511</v>
      </c>
      <c r="B65" s="434">
        <v>0.80553240740740739</v>
      </c>
      <c r="C65" s="438" t="s">
        <v>1261</v>
      </c>
    </row>
    <row r="66" spans="1:3" x14ac:dyDescent="0.25">
      <c r="A66" s="433">
        <v>41511</v>
      </c>
      <c r="B66" s="434">
        <v>0.80553240740740739</v>
      </c>
      <c r="C66" s="437" t="s">
        <v>1258</v>
      </c>
    </row>
    <row r="67" spans="1:3" x14ac:dyDescent="0.25">
      <c r="A67" s="433">
        <v>41511</v>
      </c>
      <c r="B67" s="434">
        <v>0.80936342592592592</v>
      </c>
      <c r="C67" s="437" t="s">
        <v>1262</v>
      </c>
    </row>
    <row r="68" spans="1:3" ht="45" x14ac:dyDescent="0.25">
      <c r="A68" s="433">
        <v>41511</v>
      </c>
      <c r="B68" s="434">
        <v>0.84721064814814817</v>
      </c>
      <c r="C68" s="438" t="s">
        <v>1263</v>
      </c>
    </row>
    <row r="69" spans="1:3" ht="60" x14ac:dyDescent="0.25">
      <c r="A69" s="433">
        <v>41511</v>
      </c>
      <c r="B69" s="434">
        <v>0.9100462962962963</v>
      </c>
      <c r="C69" s="438" t="s">
        <v>1264</v>
      </c>
    </row>
    <row r="70" spans="1:3" ht="60" x14ac:dyDescent="0.25">
      <c r="A70" s="433">
        <v>41511</v>
      </c>
      <c r="B70" s="434">
        <v>0.9119328703703703</v>
      </c>
      <c r="C70" s="438" t="s">
        <v>1264</v>
      </c>
    </row>
    <row r="71" spans="1:3" ht="60" x14ac:dyDescent="0.25">
      <c r="A71" s="433">
        <v>41511</v>
      </c>
      <c r="B71" s="434">
        <v>0.9460763888888889</v>
      </c>
      <c r="C71" s="438" t="s">
        <v>1264</v>
      </c>
    </row>
    <row r="72" spans="1:3" ht="60" x14ac:dyDescent="0.25">
      <c r="A72" s="433">
        <v>41511</v>
      </c>
      <c r="B72" s="434">
        <v>0.947199074074074</v>
      </c>
      <c r="C72" s="438" t="s">
        <v>1264</v>
      </c>
    </row>
    <row r="73" spans="1:3" ht="60" x14ac:dyDescent="0.25">
      <c r="A73" s="433">
        <v>41511</v>
      </c>
      <c r="B73" s="434">
        <v>0.96480324074074064</v>
      </c>
      <c r="C73" s="438" t="s">
        <v>1264</v>
      </c>
    </row>
    <row r="74" spans="1:3" ht="60" x14ac:dyDescent="0.25">
      <c r="A74" s="433">
        <v>41511</v>
      </c>
      <c r="B74" s="434">
        <v>0.97091435185185182</v>
      </c>
      <c r="C74" s="438" t="s">
        <v>1264</v>
      </c>
    </row>
    <row r="75" spans="1:3" x14ac:dyDescent="0.25">
      <c r="A75" s="433">
        <v>41511</v>
      </c>
      <c r="B75" s="434">
        <v>0.98383101851851851</v>
      </c>
      <c r="C75" s="437" t="s">
        <v>1243</v>
      </c>
    </row>
    <row r="76" spans="1:3" ht="45" x14ac:dyDescent="0.25">
      <c r="A76" s="433">
        <v>41511</v>
      </c>
      <c r="B76" s="434">
        <v>0.98579861111111111</v>
      </c>
      <c r="C76" s="438" t="s">
        <v>1265</v>
      </c>
    </row>
    <row r="77" spans="1:3" ht="60" x14ac:dyDescent="0.25">
      <c r="A77" s="433">
        <v>41512</v>
      </c>
      <c r="B77" s="434">
        <v>4.1666666666666669E-4</v>
      </c>
      <c r="C77" s="438" t="s">
        <v>1264</v>
      </c>
    </row>
    <row r="78" spans="1:3" ht="30" x14ac:dyDescent="0.25">
      <c r="A78" s="433">
        <v>41512</v>
      </c>
      <c r="B78" s="434">
        <v>9.780092592592592E-3</v>
      </c>
      <c r="C78" s="438" t="s">
        <v>1266</v>
      </c>
    </row>
    <row r="79" spans="1:3" ht="45" x14ac:dyDescent="0.25">
      <c r="A79" s="433">
        <v>41512</v>
      </c>
      <c r="B79" s="434">
        <v>1.5057870370370369E-2</v>
      </c>
      <c r="C79" s="438" t="s">
        <v>1267</v>
      </c>
    </row>
    <row r="80" spans="1:3" ht="45" x14ac:dyDescent="0.25">
      <c r="A80" s="433">
        <v>41512</v>
      </c>
      <c r="B80" s="434">
        <v>4.0127314814814817E-2</v>
      </c>
      <c r="C80" s="438" t="s">
        <v>1269</v>
      </c>
    </row>
    <row r="81" spans="1:3" ht="45" x14ac:dyDescent="0.25">
      <c r="A81" s="433">
        <v>41512</v>
      </c>
      <c r="B81" s="434">
        <v>5.8391203703703702E-2</v>
      </c>
      <c r="C81" s="438" t="s">
        <v>1269</v>
      </c>
    </row>
    <row r="82" spans="1:3" ht="45" x14ac:dyDescent="0.25">
      <c r="A82" s="433">
        <v>41512</v>
      </c>
      <c r="B82" s="434">
        <v>7.1284722222222222E-2</v>
      </c>
      <c r="C82" s="438" t="s">
        <v>1269</v>
      </c>
    </row>
    <row r="83" spans="1:3" ht="45" x14ac:dyDescent="0.25">
      <c r="A83" s="433">
        <v>41512</v>
      </c>
      <c r="B83" s="434">
        <v>7.5150462962962961E-2</v>
      </c>
      <c r="C83" s="438" t="s">
        <v>1269</v>
      </c>
    </row>
    <row r="84" spans="1:3" ht="45" x14ac:dyDescent="0.25">
      <c r="A84" s="433">
        <v>41512</v>
      </c>
      <c r="B84" s="434">
        <v>7.9675925925925928E-2</v>
      </c>
      <c r="C84" s="438" t="s">
        <v>1269</v>
      </c>
    </row>
    <row r="85" spans="1:3" ht="45" x14ac:dyDescent="0.25">
      <c r="A85" s="433">
        <v>41512</v>
      </c>
      <c r="B85" s="434">
        <v>8.3310185185185182E-2</v>
      </c>
      <c r="C85" s="438" t="s">
        <v>1269</v>
      </c>
    </row>
    <row r="86" spans="1:3" ht="45" x14ac:dyDescent="0.25">
      <c r="A86" s="433">
        <v>41512</v>
      </c>
      <c r="B86" s="434">
        <v>0.10375000000000001</v>
      </c>
      <c r="C86" s="438" t="s">
        <v>1272</v>
      </c>
    </row>
    <row r="87" spans="1:3" ht="45" x14ac:dyDescent="0.25">
      <c r="A87" s="433">
        <v>41512</v>
      </c>
      <c r="B87" s="434">
        <v>0.11942129629629629</v>
      </c>
      <c r="C87" s="438" t="s">
        <v>1272</v>
      </c>
    </row>
    <row r="88" spans="1:3" ht="30" x14ac:dyDescent="0.25">
      <c r="A88" s="433">
        <v>41512</v>
      </c>
      <c r="B88" s="434">
        <v>0.1237037037037037</v>
      </c>
      <c r="C88" s="438" t="s">
        <v>1273</v>
      </c>
    </row>
    <row r="89" spans="1:3" ht="30" x14ac:dyDescent="0.25">
      <c r="A89" s="433">
        <v>41512</v>
      </c>
      <c r="B89" s="434">
        <v>0.13122685185185184</v>
      </c>
      <c r="C89" s="438" t="s">
        <v>1274</v>
      </c>
    </row>
    <row r="90" spans="1:3" ht="30" x14ac:dyDescent="0.25">
      <c r="A90" s="433">
        <v>41512</v>
      </c>
      <c r="B90" s="434">
        <v>0.13370370370370369</v>
      </c>
      <c r="C90" s="438" t="s">
        <v>1275</v>
      </c>
    </row>
    <row r="91" spans="1:3" ht="30" x14ac:dyDescent="0.25">
      <c r="A91" s="433">
        <v>41512</v>
      </c>
      <c r="B91" s="434">
        <v>0.13755787037037037</v>
      </c>
      <c r="C91" s="438" t="s">
        <v>1276</v>
      </c>
    </row>
    <row r="92" spans="1:3" ht="30" x14ac:dyDescent="0.25">
      <c r="A92" s="433">
        <v>41512</v>
      </c>
      <c r="B92" s="434">
        <v>0.13893518518518519</v>
      </c>
      <c r="C92" s="438" t="s">
        <v>1277</v>
      </c>
    </row>
    <row r="93" spans="1:3" ht="30" x14ac:dyDescent="0.25">
      <c r="A93" s="433">
        <v>41512</v>
      </c>
      <c r="B93" s="434">
        <v>0.1395949074074074</v>
      </c>
      <c r="C93" s="438" t="s">
        <v>1278</v>
      </c>
    </row>
    <row r="94" spans="1:3" ht="30" x14ac:dyDescent="0.25">
      <c r="A94" s="433">
        <v>41512</v>
      </c>
      <c r="B94" s="434">
        <v>0.14925925925925926</v>
      </c>
      <c r="C94" s="438" t="s">
        <v>1279</v>
      </c>
    </row>
    <row r="95" spans="1:3" ht="30" x14ac:dyDescent="0.25">
      <c r="A95" s="433">
        <v>41512</v>
      </c>
      <c r="B95" s="434">
        <v>0.15378472222222223</v>
      </c>
      <c r="C95" s="438" t="s">
        <v>1280</v>
      </c>
    </row>
    <row r="96" spans="1:3" ht="30" x14ac:dyDescent="0.25">
      <c r="A96" s="433">
        <v>41512</v>
      </c>
      <c r="B96" s="434">
        <v>0.15554398148148149</v>
      </c>
      <c r="C96" s="438" t="s">
        <v>1281</v>
      </c>
    </row>
    <row r="97" spans="1:3" ht="30" x14ac:dyDescent="0.25">
      <c r="A97" s="433">
        <v>41512</v>
      </c>
      <c r="B97" s="434">
        <v>0.16289351851851852</v>
      </c>
      <c r="C97" s="438" t="s">
        <v>1282</v>
      </c>
    </row>
    <row r="98" spans="1:3" ht="60" x14ac:dyDescent="0.25">
      <c r="A98" s="433">
        <v>41512</v>
      </c>
      <c r="B98" s="434">
        <v>0.16552083333333334</v>
      </c>
      <c r="C98" s="438" t="s">
        <v>1283</v>
      </c>
    </row>
    <row r="99" spans="1:3" ht="45" x14ac:dyDescent="0.25">
      <c r="A99" s="433">
        <v>41512</v>
      </c>
      <c r="B99" s="434">
        <v>0.16630787037037037</v>
      </c>
      <c r="C99" s="438" t="s">
        <v>1272</v>
      </c>
    </row>
    <row r="100" spans="1:3" ht="30" x14ac:dyDescent="0.25">
      <c r="A100" s="433">
        <v>41512</v>
      </c>
      <c r="B100" s="434">
        <v>0.16922453703703702</v>
      </c>
      <c r="C100" s="438" t="s">
        <v>1284</v>
      </c>
    </row>
    <row r="101" spans="1:3" ht="30" x14ac:dyDescent="0.25">
      <c r="A101" s="433">
        <v>41513</v>
      </c>
      <c r="B101" s="434">
        <v>0.96422453703703714</v>
      </c>
      <c r="C101" s="438" t="s">
        <v>1285</v>
      </c>
    </row>
    <row r="102" spans="1:3" ht="60" x14ac:dyDescent="0.25">
      <c r="A102" s="433">
        <v>41514</v>
      </c>
      <c r="B102" s="434">
        <v>4.8969907407407413E-2</v>
      </c>
      <c r="C102" s="438" t="s">
        <v>1286</v>
      </c>
    </row>
    <row r="103" spans="1:3" ht="60" x14ac:dyDescent="0.25">
      <c r="A103" s="433">
        <v>41514</v>
      </c>
      <c r="B103" s="434">
        <v>9.3715277777777772E-2</v>
      </c>
      <c r="C103" s="438" t="s">
        <v>1286</v>
      </c>
    </row>
    <row r="104" spans="1:3" ht="30" x14ac:dyDescent="0.25">
      <c r="A104" s="433">
        <v>41514</v>
      </c>
      <c r="B104" s="434">
        <v>0.11017361111111111</v>
      </c>
      <c r="C104" s="438" t="s">
        <v>1288</v>
      </c>
    </row>
    <row r="105" spans="1:3" ht="30" x14ac:dyDescent="0.25">
      <c r="A105" s="433">
        <v>41514</v>
      </c>
      <c r="B105" s="434">
        <v>0.11068287037037038</v>
      </c>
      <c r="C105" s="438" t="s">
        <v>1288</v>
      </c>
    </row>
    <row r="106" spans="1:3" ht="30" x14ac:dyDescent="0.25">
      <c r="A106" s="433">
        <v>41514</v>
      </c>
      <c r="B106" s="434">
        <v>0.12043981481481481</v>
      </c>
      <c r="C106" s="438" t="s">
        <v>1289</v>
      </c>
    </row>
    <row r="107" spans="1:3" ht="60" x14ac:dyDescent="0.25">
      <c r="A107" s="433">
        <v>41514</v>
      </c>
      <c r="B107" s="434">
        <v>0.12083333333333333</v>
      </c>
      <c r="C107" s="438" t="s">
        <v>1290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8"/>
  <sheetViews>
    <sheetView topLeftCell="A28" zoomScale="80" zoomScaleNormal="80" workbookViewId="0">
      <selection activeCell="I43" sqref="I43"/>
    </sheetView>
  </sheetViews>
  <sheetFormatPr defaultRowHeight="15" x14ac:dyDescent="0.25"/>
  <cols>
    <col min="1" max="1" width="11" style="414" customWidth="1"/>
    <col min="2" max="2" width="15" style="414" customWidth="1"/>
    <col min="3" max="3" width="16.140625" style="414" customWidth="1"/>
    <col min="4" max="4" width="12.42578125" style="414" customWidth="1"/>
    <col min="5" max="5" width="13.85546875" style="414" customWidth="1"/>
    <col min="6" max="6" width="18" style="414" customWidth="1"/>
    <col min="7" max="7" width="15.85546875" style="414" customWidth="1"/>
    <col min="8" max="8" width="12.42578125" style="414" customWidth="1"/>
    <col min="9" max="9" width="12.5703125" style="414" customWidth="1"/>
    <col min="10" max="10" width="13.42578125" style="414" customWidth="1"/>
    <col min="11" max="12" width="10" style="414" customWidth="1"/>
    <col min="13" max="13" width="11.28515625" style="414" customWidth="1"/>
    <col min="14" max="14" width="12.42578125" style="414" customWidth="1"/>
    <col min="15" max="15" width="12.85546875" style="414" customWidth="1"/>
    <col min="16" max="17" width="10.28515625" style="414" customWidth="1"/>
    <col min="18" max="18" width="9.140625" style="414"/>
    <col min="19" max="19" width="10.85546875" style="414" customWidth="1"/>
    <col min="20" max="20" width="11.140625" style="414" customWidth="1"/>
    <col min="21" max="31" width="9.140625" style="414"/>
    <col min="32" max="32" width="11.28515625" style="414" bestFit="1" customWidth="1"/>
    <col min="33" max="33" width="11.42578125" style="414" bestFit="1" customWidth="1"/>
    <col min="34" max="36" width="12.42578125" style="414" bestFit="1" customWidth="1"/>
    <col min="37" max="37" width="9.140625" style="414"/>
    <col min="38" max="38" width="10.140625" style="414" customWidth="1"/>
    <col min="39" max="16384" width="9.140625" style="414"/>
  </cols>
  <sheetData>
    <row r="1" spans="1:38" s="440" customFormat="1" ht="15.75" thickBot="1" x14ac:dyDescent="0.3">
      <c r="A1" s="439">
        <v>41510</v>
      </c>
    </row>
    <row r="2" spans="1:38" s="440" customFormat="1" ht="19.5" x14ac:dyDescent="0.3">
      <c r="C2" s="441" t="s">
        <v>743</v>
      </c>
    </row>
    <row r="3" spans="1:38" s="440" customFormat="1" x14ac:dyDescent="0.25"/>
    <row r="4" spans="1:38" s="440" customFormat="1" ht="15.75" thickBot="1" x14ac:dyDescent="0.3">
      <c r="A4" s="440" t="s">
        <v>1232</v>
      </c>
    </row>
    <row r="5" spans="1:38" s="440" customFormat="1" ht="23.25" thickBot="1" x14ac:dyDescent="0.3">
      <c r="A5" s="442" t="s">
        <v>744</v>
      </c>
      <c r="B5" s="443" t="s">
        <v>745</v>
      </c>
      <c r="C5" s="444" t="s">
        <v>58</v>
      </c>
      <c r="D5" s="444" t="s">
        <v>746</v>
      </c>
      <c r="E5" s="444" t="s">
        <v>77</v>
      </c>
      <c r="F5" s="445"/>
      <c r="G5" s="446" t="s">
        <v>36</v>
      </c>
      <c r="H5" s="447" t="s">
        <v>39</v>
      </c>
      <c r="I5" s="446" t="s">
        <v>747</v>
      </c>
      <c r="J5" s="448" t="s">
        <v>52</v>
      </c>
      <c r="K5" s="449" t="s">
        <v>748</v>
      </c>
      <c r="L5" s="449" t="s">
        <v>749</v>
      </c>
      <c r="M5" s="449" t="s">
        <v>750</v>
      </c>
      <c r="N5" s="450" t="s">
        <v>751</v>
      </c>
      <c r="O5" s="450" t="s">
        <v>752</v>
      </c>
      <c r="P5" s="450" t="s">
        <v>753</v>
      </c>
      <c r="Q5" s="450" t="s">
        <v>754</v>
      </c>
      <c r="R5" s="450" t="s">
        <v>755</v>
      </c>
      <c r="S5" s="449" t="s">
        <v>756</v>
      </c>
      <c r="T5" s="448" t="s">
        <v>757</v>
      </c>
      <c r="U5" s="448" t="s">
        <v>758</v>
      </c>
      <c r="V5" s="448" t="s">
        <v>759</v>
      </c>
      <c r="W5" s="448" t="s">
        <v>109</v>
      </c>
      <c r="X5" s="448" t="s">
        <v>760</v>
      </c>
      <c r="Y5" s="448" t="s">
        <v>761</v>
      </c>
      <c r="Z5" s="446" t="s">
        <v>762</v>
      </c>
      <c r="AA5" s="448" t="s">
        <v>763</v>
      </c>
      <c r="AB5" s="449" t="s">
        <v>764</v>
      </c>
      <c r="AC5" s="448" t="s">
        <v>765</v>
      </c>
      <c r="AD5" s="451" t="s">
        <v>766</v>
      </c>
      <c r="AE5" s="452" t="s">
        <v>767</v>
      </c>
      <c r="AF5" s="453" t="s">
        <v>405</v>
      </c>
      <c r="AG5" s="454" t="s">
        <v>768</v>
      </c>
      <c r="AH5" s="454" t="s">
        <v>769</v>
      </c>
      <c r="AI5" s="454" t="s">
        <v>419</v>
      </c>
      <c r="AJ5" s="454" t="s">
        <v>416</v>
      </c>
      <c r="AK5" s="453" t="s">
        <v>770</v>
      </c>
      <c r="AL5" s="453" t="s">
        <v>771</v>
      </c>
    </row>
    <row r="6" spans="1:38" s="440" customFormat="1" x14ac:dyDescent="0.25">
      <c r="A6" s="455" t="s">
        <v>772</v>
      </c>
      <c r="B6" s="456" t="s">
        <v>174</v>
      </c>
      <c r="C6" s="457" t="str">
        <f>IF(D6="","",1)</f>
        <v/>
      </c>
      <c r="D6" s="458"/>
      <c r="E6" s="458"/>
      <c r="F6" s="459" t="str">
        <f>TRIM(G6)&amp;TRIM(J6)&amp;ROUND(S6/1000,0)</f>
        <v>0</v>
      </c>
      <c r="AE6" s="460" t="s">
        <v>773</v>
      </c>
      <c r="AF6" s="460" t="s">
        <v>773</v>
      </c>
      <c r="AG6" s="460" t="s">
        <v>773</v>
      </c>
      <c r="AH6" s="460" t="s">
        <v>773</v>
      </c>
      <c r="AI6" s="460" t="s">
        <v>773</v>
      </c>
      <c r="AJ6" s="460" t="s">
        <v>773</v>
      </c>
      <c r="AK6" s="460" t="s">
        <v>773</v>
      </c>
      <c r="AL6" s="460" t="s">
        <v>773</v>
      </c>
    </row>
    <row r="7" spans="1:38" s="440" customFormat="1" x14ac:dyDescent="0.25">
      <c r="A7" s="442" t="s">
        <v>774</v>
      </c>
      <c r="B7" s="461">
        <v>0.5</v>
      </c>
      <c r="C7" s="461">
        <v>1.2</v>
      </c>
      <c r="D7" s="461">
        <v>0.5</v>
      </c>
      <c r="E7" s="461">
        <v>0.5</v>
      </c>
      <c r="F7" s="462">
        <v>0.3</v>
      </c>
      <c r="G7" s="463">
        <v>14</v>
      </c>
      <c r="H7" s="463">
        <v>8</v>
      </c>
      <c r="I7" s="463">
        <v>12.8</v>
      </c>
      <c r="J7" s="463">
        <v>22</v>
      </c>
      <c r="K7" s="463">
        <v>0</v>
      </c>
      <c r="L7" s="463">
        <v>0</v>
      </c>
      <c r="M7" s="463">
        <v>0</v>
      </c>
      <c r="N7" s="463">
        <v>0</v>
      </c>
      <c r="O7" s="463">
        <v>0</v>
      </c>
      <c r="P7" s="463">
        <v>0</v>
      </c>
      <c r="Q7" s="463">
        <v>0</v>
      </c>
      <c r="R7" s="463">
        <v>0</v>
      </c>
      <c r="S7" s="463">
        <v>10</v>
      </c>
      <c r="T7" s="463">
        <v>40</v>
      </c>
      <c r="U7" s="463">
        <v>0</v>
      </c>
      <c r="V7" s="463">
        <v>0</v>
      </c>
      <c r="W7" s="463">
        <v>10</v>
      </c>
      <c r="X7" s="463">
        <v>0</v>
      </c>
      <c r="Y7" s="463">
        <v>0</v>
      </c>
      <c r="Z7" s="463">
        <v>8</v>
      </c>
      <c r="AA7" s="463">
        <v>8</v>
      </c>
      <c r="AB7" s="463">
        <v>10</v>
      </c>
      <c r="AC7" s="463">
        <v>5</v>
      </c>
      <c r="AD7" s="463">
        <v>15</v>
      </c>
      <c r="AE7" s="440">
        <v>8</v>
      </c>
      <c r="AF7" s="461">
        <v>10</v>
      </c>
      <c r="AG7" s="461">
        <v>1</v>
      </c>
      <c r="AH7" s="461">
        <v>1</v>
      </c>
      <c r="AI7" s="461">
        <v>1</v>
      </c>
      <c r="AJ7" s="461">
        <v>1</v>
      </c>
      <c r="AK7" s="461" t="s">
        <v>775</v>
      </c>
      <c r="AL7" s="461" t="s">
        <v>775</v>
      </c>
    </row>
    <row r="8" spans="1:38" s="440" customFormat="1" x14ac:dyDescent="0.25">
      <c r="A8" s="442" t="s">
        <v>776</v>
      </c>
      <c r="B8" s="461">
        <v>9</v>
      </c>
      <c r="C8" s="461"/>
      <c r="D8" s="461">
        <v>5</v>
      </c>
      <c r="E8" s="461">
        <v>3</v>
      </c>
      <c r="F8" s="462"/>
      <c r="G8" s="461"/>
      <c r="H8" s="461"/>
      <c r="K8" s="461"/>
      <c r="L8" s="463"/>
      <c r="M8" s="463"/>
      <c r="N8" s="463"/>
      <c r="O8" s="463"/>
      <c r="P8" s="463"/>
      <c r="Q8" s="463"/>
      <c r="R8" s="463"/>
      <c r="S8" s="463"/>
      <c r="T8" s="463"/>
      <c r="U8" s="464"/>
      <c r="V8" s="463"/>
      <c r="W8" s="463"/>
      <c r="X8" s="463"/>
      <c r="Y8" s="463"/>
      <c r="Z8" s="463"/>
      <c r="AA8" s="463"/>
      <c r="AE8" s="461">
        <v>8</v>
      </c>
      <c r="AF8" s="461">
        <v>19</v>
      </c>
      <c r="AG8" s="461">
        <v>31</v>
      </c>
      <c r="AH8" s="461">
        <v>31</v>
      </c>
      <c r="AI8" s="461">
        <v>31</v>
      </c>
      <c r="AJ8" s="461">
        <v>31</v>
      </c>
      <c r="AK8" s="461">
        <v>5</v>
      </c>
      <c r="AL8" s="461">
        <v>5</v>
      </c>
    </row>
    <row r="9" spans="1:38" s="466" customFormat="1" ht="38.25" x14ac:dyDescent="0.25">
      <c r="A9" s="442" t="s">
        <v>777</v>
      </c>
      <c r="B9" s="465"/>
      <c r="C9" s="465"/>
      <c r="D9" s="465"/>
      <c r="E9" s="465"/>
      <c r="G9" s="465"/>
      <c r="H9" s="465"/>
      <c r="K9" s="465"/>
      <c r="L9" s="467"/>
      <c r="M9" s="467"/>
      <c r="N9" s="467"/>
      <c r="O9" s="467"/>
      <c r="P9" s="467"/>
      <c r="Q9" s="467"/>
      <c r="R9" s="467"/>
      <c r="S9" s="467"/>
      <c r="T9" s="467"/>
      <c r="U9" s="468"/>
      <c r="V9" s="467"/>
      <c r="W9" s="467"/>
      <c r="X9" s="467"/>
      <c r="Y9" s="467"/>
      <c r="Z9" s="467"/>
      <c r="AA9" s="467"/>
      <c r="AE9" s="465" t="s">
        <v>778</v>
      </c>
      <c r="AF9" s="469" t="s">
        <v>779</v>
      </c>
      <c r="AG9" s="470" t="s">
        <v>780</v>
      </c>
      <c r="AH9" s="470" t="s">
        <v>781</v>
      </c>
      <c r="AI9" s="470" t="s">
        <v>782</v>
      </c>
      <c r="AJ9" s="470" t="s">
        <v>783</v>
      </c>
      <c r="AK9" s="471"/>
      <c r="AL9" s="471" t="s">
        <v>784</v>
      </c>
    </row>
    <row r="10" spans="1:38" s="440" customFormat="1" x14ac:dyDescent="0.25">
      <c r="A10" s="442" t="s">
        <v>785</v>
      </c>
      <c r="B10" s="472" t="s">
        <v>786</v>
      </c>
      <c r="C10" s="472"/>
      <c r="D10" s="472" t="s">
        <v>787</v>
      </c>
      <c r="E10" s="472" t="s">
        <v>788</v>
      </c>
      <c r="F10" s="462"/>
      <c r="G10" s="461"/>
      <c r="H10" s="461"/>
      <c r="K10" s="461"/>
      <c r="L10" s="463"/>
      <c r="M10" s="463"/>
      <c r="N10" s="463"/>
      <c r="O10" s="463"/>
      <c r="P10" s="463"/>
      <c r="Q10" s="463"/>
      <c r="R10" s="463"/>
      <c r="S10" s="463"/>
      <c r="T10" s="463"/>
      <c r="U10" s="464"/>
      <c r="V10" s="463"/>
      <c r="W10" s="463"/>
      <c r="X10" s="463"/>
      <c r="Y10" s="463"/>
      <c r="Z10" s="463"/>
      <c r="AA10" s="463"/>
      <c r="AK10" s="472" t="s">
        <v>789</v>
      </c>
      <c r="AL10" s="472" t="s">
        <v>789</v>
      </c>
    </row>
    <row r="11" spans="1:38" s="440" customFormat="1" x14ac:dyDescent="0.25">
      <c r="Z11" s="463"/>
    </row>
    <row r="12" spans="1:38" s="440" customFormat="1" ht="15.75" thickBot="1" x14ac:dyDescent="0.3">
      <c r="A12" s="440" t="s">
        <v>790</v>
      </c>
      <c r="Z12" s="463"/>
    </row>
    <row r="13" spans="1:38" s="473" customFormat="1" ht="15.75" thickBot="1" x14ac:dyDescent="0.3">
      <c r="F13" s="474"/>
      <c r="G13" s="475"/>
      <c r="H13" s="474"/>
      <c r="I13" s="476" t="s">
        <v>791</v>
      </c>
      <c r="J13" s="477"/>
      <c r="K13" s="478"/>
      <c r="L13" s="479"/>
      <c r="M13" s="479"/>
      <c r="N13" s="479"/>
      <c r="O13" s="479"/>
      <c r="P13" s="479"/>
      <c r="Q13" s="479"/>
      <c r="R13" s="480">
        <f>SUM(R$2:R11)</f>
        <v>0</v>
      </c>
      <c r="S13" s="481"/>
      <c r="V13" s="482" t="s">
        <v>792</v>
      </c>
      <c r="W13" s="483"/>
      <c r="X13" s="483"/>
      <c r="Y13" s="484">
        <f>1 - COUNTIF(A$2:A11,"")/COUNTA(A$2:A11)</f>
        <v>0.5714285714285714</v>
      </c>
      <c r="Z13" s="482" t="s">
        <v>793</v>
      </c>
      <c r="AA13" s="480">
        <f>R13-SUMIF(B$2:B11,"1",R$2:R11)</f>
        <v>0</v>
      </c>
      <c r="AB13" s="485" t="e">
        <f>AA13/R13</f>
        <v>#DIV/0!</v>
      </c>
      <c r="AC13" s="486" t="e">
        <f>1-AB13</f>
        <v>#DIV/0!</v>
      </c>
    </row>
    <row r="14" spans="1:38" s="440" customFormat="1" x14ac:dyDescent="0.25"/>
    <row r="15" spans="1:38" s="440" customFormat="1" x14ac:dyDescent="0.25">
      <c r="A15" s="440" t="s">
        <v>794</v>
      </c>
    </row>
    <row r="16" spans="1:38" s="440" customFormat="1" ht="15.75" thickBot="1" x14ac:dyDescent="0.3">
      <c r="B16" s="440" t="s">
        <v>795</v>
      </c>
    </row>
    <row r="17" spans="1:27" s="465" customFormat="1" ht="60.75" thickBot="1" x14ac:dyDescent="0.3">
      <c r="A17" s="442" t="s">
        <v>744</v>
      </c>
      <c r="B17" s="487" t="s">
        <v>796</v>
      </c>
      <c r="C17" s="488" t="s">
        <v>797</v>
      </c>
      <c r="D17" s="488" t="s">
        <v>798</v>
      </c>
      <c r="E17" s="489" t="s">
        <v>799</v>
      </c>
      <c r="F17" s="490" t="s">
        <v>800</v>
      </c>
      <c r="G17" s="491" t="s">
        <v>801</v>
      </c>
      <c r="H17" s="492" t="s">
        <v>802</v>
      </c>
      <c r="I17" s="493"/>
      <c r="J17" s="494"/>
      <c r="K17" s="495" t="s">
        <v>44</v>
      </c>
      <c r="L17" s="495"/>
      <c r="M17" s="496" t="s">
        <v>47</v>
      </c>
      <c r="N17" s="494" t="s">
        <v>758</v>
      </c>
      <c r="O17" s="494" t="s">
        <v>109</v>
      </c>
      <c r="P17" s="494" t="s">
        <v>803</v>
      </c>
      <c r="Q17" s="494" t="s">
        <v>804</v>
      </c>
      <c r="R17" s="494" t="s">
        <v>805</v>
      </c>
      <c r="S17" s="494" t="s">
        <v>806</v>
      </c>
      <c r="T17" s="495" t="s">
        <v>807</v>
      </c>
      <c r="U17" s="497" t="s">
        <v>808</v>
      </c>
      <c r="V17" s="497" t="s">
        <v>809</v>
      </c>
      <c r="W17" s="497" t="s">
        <v>810</v>
      </c>
      <c r="X17" s="494" t="s">
        <v>811</v>
      </c>
      <c r="Y17" s="494" t="s">
        <v>812</v>
      </c>
      <c r="Z17" s="494" t="s">
        <v>766</v>
      </c>
      <c r="AA17" s="494" t="s">
        <v>813</v>
      </c>
    </row>
    <row r="18" spans="1:27" s="440" customFormat="1" ht="18" customHeight="1" x14ac:dyDescent="0.25">
      <c r="A18" s="455" t="s">
        <v>772</v>
      </c>
      <c r="B18" s="498" t="s">
        <v>170</v>
      </c>
      <c r="C18" s="499" t="s">
        <v>814</v>
      </c>
      <c r="D18" s="500"/>
      <c r="E18" s="501">
        <v>1</v>
      </c>
      <c r="F18" s="502" t="str">
        <f>IF(AND(U18=W18,W18&gt;0),"1","")</f>
        <v/>
      </c>
      <c r="G18" s="503" t="str">
        <f>IF(U18=V18,"1","")</f>
        <v/>
      </c>
      <c r="H18" s="504"/>
      <c r="I18" s="505" t="str">
        <f>IF(S18="",TRIM(K18),TRIM(MID(S18,9,55))&amp;"/"&amp;TRIM(K18))</f>
        <v>2009-1-065</v>
      </c>
      <c r="J18" s="506"/>
      <c r="K18" s="507" t="s">
        <v>815</v>
      </c>
      <c r="L18" s="507"/>
      <c r="M18" s="508">
        <v>40058</v>
      </c>
      <c r="N18" s="506" t="s">
        <v>256</v>
      </c>
      <c r="O18" s="506" t="s">
        <v>378</v>
      </c>
      <c r="P18" s="506" t="s">
        <v>816</v>
      </c>
      <c r="Q18" s="506"/>
      <c r="R18" s="506" t="s">
        <v>817</v>
      </c>
      <c r="S18" s="506"/>
      <c r="T18" s="507" t="s">
        <v>818</v>
      </c>
      <c r="U18" s="509">
        <v>324000</v>
      </c>
      <c r="V18" s="509">
        <v>0</v>
      </c>
      <c r="W18" s="509">
        <v>0</v>
      </c>
      <c r="X18" s="506" t="s">
        <v>397</v>
      </c>
      <c r="Y18" s="510"/>
      <c r="Z18" s="510" t="s">
        <v>819</v>
      </c>
      <c r="AA18" s="506" t="s">
        <v>820</v>
      </c>
    </row>
    <row r="19" spans="1:27" s="440" customFormat="1" x14ac:dyDescent="0.25">
      <c r="A19" s="442" t="s">
        <v>774</v>
      </c>
      <c r="B19" s="461">
        <v>0.5</v>
      </c>
      <c r="C19" s="461">
        <v>8</v>
      </c>
      <c r="D19" s="440">
        <v>6</v>
      </c>
      <c r="E19" s="461">
        <v>5</v>
      </c>
      <c r="F19" s="462">
        <v>2</v>
      </c>
      <c r="G19" s="461">
        <v>2</v>
      </c>
      <c r="H19" s="461">
        <v>2</v>
      </c>
      <c r="I19" s="440">
        <v>0.5</v>
      </c>
      <c r="J19" s="440">
        <v>0.5</v>
      </c>
      <c r="K19" s="461">
        <v>10</v>
      </c>
      <c r="L19" s="463">
        <v>0.7</v>
      </c>
      <c r="M19" s="463">
        <v>10</v>
      </c>
      <c r="N19" s="463">
        <v>7</v>
      </c>
      <c r="O19" s="463">
        <v>10</v>
      </c>
      <c r="P19" s="463">
        <v>20</v>
      </c>
      <c r="Q19" s="463">
        <v>12</v>
      </c>
      <c r="R19" s="463">
        <v>12</v>
      </c>
      <c r="S19" s="463">
        <v>10</v>
      </c>
      <c r="T19" s="463">
        <v>8</v>
      </c>
      <c r="U19" s="464">
        <v>12</v>
      </c>
      <c r="V19" s="463">
        <v>11</v>
      </c>
      <c r="W19" s="463">
        <v>11</v>
      </c>
      <c r="X19" s="463">
        <v>10</v>
      </c>
      <c r="Y19" s="463">
        <v>12</v>
      </c>
      <c r="Z19" s="463">
        <v>20</v>
      </c>
      <c r="AA19" s="463">
        <v>10</v>
      </c>
    </row>
    <row r="20" spans="1:27" s="440" customFormat="1" x14ac:dyDescent="0.25">
      <c r="A20" s="442" t="s">
        <v>776</v>
      </c>
      <c r="B20" s="461">
        <v>15</v>
      </c>
      <c r="C20" s="461">
        <v>8</v>
      </c>
      <c r="D20" s="440">
        <v>8</v>
      </c>
      <c r="E20" s="461"/>
      <c r="F20" s="462"/>
      <c r="G20" s="461"/>
      <c r="H20" s="461">
        <v>8</v>
      </c>
      <c r="K20" s="461"/>
      <c r="L20" s="463"/>
      <c r="M20" s="463"/>
      <c r="N20" s="463"/>
      <c r="O20" s="463"/>
      <c r="P20" s="463"/>
      <c r="Q20" s="463"/>
      <c r="R20" s="463"/>
      <c r="S20" s="463"/>
      <c r="T20" s="463"/>
      <c r="U20" s="464"/>
      <c r="V20" s="463"/>
      <c r="W20" s="463"/>
      <c r="X20" s="463"/>
      <c r="Y20" s="463"/>
      <c r="Z20" s="463"/>
      <c r="AA20" s="463"/>
    </row>
    <row r="21" spans="1:27" s="440" customFormat="1" x14ac:dyDescent="0.25">
      <c r="A21" s="442" t="s">
        <v>777</v>
      </c>
      <c r="B21" s="461"/>
      <c r="C21" s="461"/>
      <c r="E21" s="461"/>
      <c r="F21" s="462"/>
      <c r="G21" s="461"/>
      <c r="H21" s="461"/>
      <c r="K21" s="461"/>
      <c r="L21" s="463"/>
      <c r="M21" s="463"/>
      <c r="N21" s="463"/>
      <c r="O21" s="463"/>
      <c r="P21" s="463"/>
      <c r="Q21" s="463"/>
      <c r="R21" s="463"/>
      <c r="S21" s="463"/>
      <c r="T21" s="463"/>
      <c r="U21" s="464"/>
      <c r="V21" s="463"/>
      <c r="W21" s="463"/>
      <c r="X21" s="463"/>
      <c r="Y21" s="463"/>
      <c r="Z21" s="463"/>
      <c r="AA21" s="463"/>
    </row>
    <row r="22" spans="1:27" s="440" customFormat="1" x14ac:dyDescent="0.25">
      <c r="A22" s="442" t="s">
        <v>785</v>
      </c>
      <c r="B22" s="461" t="s">
        <v>786</v>
      </c>
      <c r="C22" s="461" t="s">
        <v>821</v>
      </c>
      <c r="D22" s="440" t="s">
        <v>822</v>
      </c>
      <c r="E22" s="461"/>
      <c r="F22" s="462"/>
      <c r="G22" s="461"/>
      <c r="H22" s="461" t="s">
        <v>823</v>
      </c>
      <c r="K22" s="461"/>
      <c r="L22" s="463"/>
      <c r="M22" s="463"/>
      <c r="N22" s="463"/>
      <c r="O22" s="463"/>
      <c r="P22" s="463"/>
      <c r="Q22" s="463"/>
      <c r="R22" s="463"/>
      <c r="S22" s="463"/>
      <c r="T22" s="463"/>
      <c r="U22" s="464"/>
      <c r="V22" s="463"/>
      <c r="W22" s="463"/>
      <c r="X22" s="463"/>
      <c r="Y22" s="463"/>
      <c r="Z22" s="463"/>
      <c r="AA22" s="463"/>
    </row>
    <row r="23" spans="1:27" s="440" customFormat="1" x14ac:dyDescent="0.25">
      <c r="A23" s="461"/>
      <c r="B23" s="461"/>
      <c r="D23" s="461"/>
      <c r="E23" s="462"/>
      <c r="F23" s="463"/>
      <c r="G23" s="463"/>
      <c r="H23" s="463"/>
      <c r="I23" s="463"/>
      <c r="J23" s="463"/>
      <c r="K23" s="463"/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</row>
    <row r="24" spans="1:27" s="440" customFormat="1" x14ac:dyDescent="0.25">
      <c r="A24" s="440" t="s">
        <v>824</v>
      </c>
    </row>
    <row r="25" spans="1:27" s="440" customFormat="1" ht="15.75" thickBot="1" x14ac:dyDescent="0.3">
      <c r="A25" s="511">
        <v>41504</v>
      </c>
      <c r="B25" s="440" t="s">
        <v>825</v>
      </c>
    </row>
    <row r="26" spans="1:27" s="528" customFormat="1" ht="15" customHeight="1" x14ac:dyDescent="0.25">
      <c r="A26" s="512"/>
      <c r="B26" s="513" t="s">
        <v>826</v>
      </c>
      <c r="C26" s="514">
        <f>COUNTIF(B$1:B23,B26)</f>
        <v>0</v>
      </c>
      <c r="D26" s="515" t="e">
        <f>C26/C31</f>
        <v>#DIV/0!</v>
      </c>
      <c r="E26" s="516"/>
      <c r="F26" s="517"/>
      <c r="G26" s="518"/>
      <c r="H26" s="518"/>
      <c r="I26" s="519"/>
      <c r="J26" s="520">
        <f>SUMIF(B$3:B23,B26,T$3:T30)</f>
        <v>0</v>
      </c>
      <c r="K26" s="521"/>
      <c r="L26" s="522" t="e">
        <f>J26/J31</f>
        <v>#DIV/0!</v>
      </c>
      <c r="M26" s="523"/>
      <c r="N26" s="523"/>
      <c r="O26" s="523"/>
      <c r="P26" s="524"/>
      <c r="Q26" s="524"/>
      <c r="R26" s="524"/>
      <c r="S26" s="525" t="s">
        <v>791</v>
      </c>
      <c r="T26" s="526">
        <f>SUM(T$1:T25)</f>
        <v>48</v>
      </c>
      <c r="U26" s="526">
        <f>SUM(U$1:U25)</f>
        <v>324012</v>
      </c>
      <c r="V26" s="526">
        <f>SUM(V$1:V25)</f>
        <v>11</v>
      </c>
      <c r="W26" s="524" t="s">
        <v>827</v>
      </c>
      <c r="X26" s="527"/>
      <c r="Y26" s="527"/>
      <c r="Z26" s="524"/>
    </row>
    <row r="27" spans="1:27" s="528" customFormat="1" ht="15" customHeight="1" x14ac:dyDescent="0.25">
      <c r="A27" s="512"/>
      <c r="B27" s="529" t="s">
        <v>828</v>
      </c>
      <c r="C27" s="530">
        <f>COUNTIF(B$1:B23,B27)</f>
        <v>0</v>
      </c>
      <c r="D27" s="531" t="e">
        <f>C27/C31</f>
        <v>#DIV/0!</v>
      </c>
      <c r="E27" s="516"/>
      <c r="F27" s="517"/>
      <c r="G27" s="518"/>
      <c r="H27" s="518"/>
      <c r="I27" s="519"/>
      <c r="J27" s="532">
        <f>SUMIF(B$3:B26,B27,T$3:T31)</f>
        <v>0</v>
      </c>
      <c r="K27" s="533"/>
      <c r="L27" s="534" t="e">
        <f>J27/J31</f>
        <v>#DIV/0!</v>
      </c>
      <c r="M27" s="523"/>
      <c r="N27" s="523"/>
      <c r="O27" s="523"/>
      <c r="S27" s="535"/>
      <c r="T27" s="536"/>
      <c r="U27" s="536"/>
      <c r="V27" s="536"/>
      <c r="X27" s="537"/>
      <c r="Y27" s="537"/>
    </row>
    <row r="28" spans="1:27" s="528" customFormat="1" ht="15" customHeight="1" x14ac:dyDescent="0.25">
      <c r="A28" s="512"/>
      <c r="B28" s="538" t="s">
        <v>829</v>
      </c>
      <c r="C28" s="539">
        <f>COUNTIF(B$1:B23,B28)</f>
        <v>0</v>
      </c>
      <c r="D28" s="540" t="e">
        <f>C28/C31</f>
        <v>#DIV/0!</v>
      </c>
      <c r="E28" s="516"/>
      <c r="F28" s="517"/>
      <c r="G28" s="518"/>
      <c r="H28" s="518"/>
      <c r="I28" s="519"/>
      <c r="J28" s="541">
        <f>SUMIF(B$3:B27,B28,T$3:T31)</f>
        <v>0</v>
      </c>
      <c r="K28" s="542"/>
      <c r="L28" s="543" t="e">
        <f>J28/J31</f>
        <v>#DIV/0!</v>
      </c>
      <c r="M28" s="544"/>
      <c r="N28" s="523"/>
      <c r="O28" s="523"/>
      <c r="S28" s="535"/>
      <c r="T28" s="536"/>
      <c r="U28" s="536"/>
      <c r="V28" s="536"/>
      <c r="X28" s="537"/>
      <c r="Y28" s="537"/>
    </row>
    <row r="29" spans="1:27" s="528" customFormat="1" ht="15" customHeight="1" thickBot="1" x14ac:dyDescent="0.3">
      <c r="A29" s="512"/>
      <c r="B29" s="545" t="s">
        <v>830</v>
      </c>
      <c r="C29" s="546">
        <f>COUNTIF(B$1:B26,B29)</f>
        <v>0</v>
      </c>
      <c r="D29" s="547" t="e">
        <f>C29/C31</f>
        <v>#DIV/0!</v>
      </c>
      <c r="E29" s="516"/>
      <c r="F29" s="517"/>
      <c r="G29" s="518"/>
      <c r="H29" s="518"/>
      <c r="I29" s="519"/>
      <c r="J29" s="548">
        <f>SUMIF(B$3:B28,B29,T$3:T31)</f>
        <v>0</v>
      </c>
      <c r="K29" s="549"/>
      <c r="L29" s="550" t="e">
        <f>J29/J31</f>
        <v>#DIV/0!</v>
      </c>
      <c r="M29" s="544"/>
      <c r="N29" s="523"/>
      <c r="O29" s="523"/>
      <c r="S29" s="535"/>
      <c r="T29" s="536"/>
      <c r="U29" s="536"/>
      <c r="V29" s="536"/>
      <c r="X29" s="537"/>
      <c r="Y29" s="537"/>
    </row>
    <row r="30" spans="1:27" s="528" customFormat="1" ht="15" customHeight="1" thickTop="1" thickBot="1" x14ac:dyDescent="0.3">
      <c r="A30" s="551"/>
      <c r="B30" s="552" t="s">
        <v>814</v>
      </c>
      <c r="C30" s="553">
        <f>COUNTIF(B$1:B23,B30)</f>
        <v>0</v>
      </c>
      <c r="D30" s="554" t="e">
        <f>C30/C31</f>
        <v>#DIV/0!</v>
      </c>
      <c r="E30" s="555"/>
      <c r="F30" s="556"/>
      <c r="G30" s="557"/>
      <c r="H30" s="557"/>
      <c r="I30" s="558"/>
      <c r="J30" s="559">
        <f>SUMIF(B$3:B29,B30,T$3:T31)</f>
        <v>0</v>
      </c>
      <c r="K30" s="560"/>
      <c r="L30" s="561" t="e">
        <f>J30/J31</f>
        <v>#DIV/0!</v>
      </c>
      <c r="M30" s="562"/>
      <c r="N30" s="562"/>
      <c r="O30" s="562"/>
      <c r="S30" s="535"/>
      <c r="T30" s="536"/>
      <c r="U30" s="536"/>
      <c r="V30" s="536"/>
      <c r="X30" s="537"/>
      <c r="Y30" s="537"/>
    </row>
    <row r="31" spans="1:27" s="528" customFormat="1" ht="15" customHeight="1" x14ac:dyDescent="0.25">
      <c r="A31" s="512"/>
      <c r="B31" s="563"/>
      <c r="C31" s="564">
        <f>SUM(C26:C30)</f>
        <v>0</v>
      </c>
      <c r="D31" s="565"/>
      <c r="E31" s="516"/>
      <c r="F31" s="517"/>
      <c r="G31" s="518"/>
      <c r="H31" s="518"/>
      <c r="I31" s="519"/>
      <c r="J31" s="566">
        <f>SUM(J26:J30)</f>
        <v>0</v>
      </c>
      <c r="K31" s="567"/>
      <c r="L31" s="568"/>
      <c r="M31" s="544"/>
      <c r="N31" s="523"/>
      <c r="O31" s="523"/>
      <c r="S31" s="535"/>
      <c r="T31" s="536"/>
      <c r="U31" s="536"/>
      <c r="V31" s="536"/>
      <c r="X31" s="537"/>
      <c r="Y31" s="537"/>
    </row>
    <row r="32" spans="1:27" s="440" customFormat="1" x14ac:dyDescent="0.25">
      <c r="A32" s="461"/>
      <c r="B32" s="461"/>
      <c r="D32" s="461"/>
      <c r="E32" s="462"/>
      <c r="F32" s="463"/>
      <c r="G32" s="463"/>
      <c r="H32" s="463"/>
      <c r="I32" s="463"/>
      <c r="J32" s="463"/>
      <c r="K32" s="463"/>
      <c r="L32" s="463"/>
      <c r="M32" s="463"/>
      <c r="N32" s="463"/>
      <c r="O32" s="463"/>
      <c r="P32" s="463"/>
      <c r="Q32" s="463"/>
      <c r="R32" s="463"/>
      <c r="S32" s="463"/>
      <c r="T32" s="463"/>
      <c r="U32" s="463"/>
      <c r="V32" s="463"/>
      <c r="W32" s="463"/>
      <c r="X32" s="463"/>
      <c r="Y32" s="463"/>
      <c r="Z32" s="463"/>
    </row>
    <row r="33" spans="1:26" s="440" customFormat="1" x14ac:dyDescent="0.25">
      <c r="A33" s="569" t="s">
        <v>1250</v>
      </c>
    </row>
    <row r="34" spans="1:26" s="440" customFormat="1" ht="17.25" x14ac:dyDescent="0.4">
      <c r="A34" s="442" t="s">
        <v>744</v>
      </c>
      <c r="B34" s="570" t="s">
        <v>745</v>
      </c>
      <c r="C34" s="571"/>
    </row>
    <row r="35" spans="1:26" s="440" customFormat="1" ht="17.25" x14ac:dyDescent="0.4">
      <c r="A35" s="455" t="s">
        <v>772</v>
      </c>
      <c r="B35" s="572"/>
      <c r="C35" s="571"/>
    </row>
    <row r="36" spans="1:26" s="440" customFormat="1" x14ac:dyDescent="0.25">
      <c r="A36" s="442" t="s">
        <v>774</v>
      </c>
      <c r="B36" s="461">
        <v>0.5</v>
      </c>
      <c r="C36" s="461"/>
    </row>
    <row r="37" spans="1:26" s="440" customFormat="1" x14ac:dyDescent="0.25">
      <c r="A37" s="442" t="s">
        <v>776</v>
      </c>
      <c r="B37" s="461">
        <v>3</v>
      </c>
      <c r="C37" s="461"/>
    </row>
    <row r="38" spans="1:26" s="440" customFormat="1" x14ac:dyDescent="0.25">
      <c r="A38" s="442" t="s">
        <v>777</v>
      </c>
      <c r="B38" s="461"/>
      <c r="C38" s="461"/>
    </row>
    <row r="39" spans="1:26" s="440" customFormat="1" x14ac:dyDescent="0.25">
      <c r="A39" s="442" t="s">
        <v>785</v>
      </c>
      <c r="B39" s="461" t="s">
        <v>786</v>
      </c>
      <c r="C39" s="461"/>
    </row>
    <row r="40" spans="1:26" s="440" customFormat="1" x14ac:dyDescent="0.25">
      <c r="A40" s="461"/>
      <c r="B40" s="461"/>
      <c r="D40" s="461"/>
      <c r="E40" s="462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3"/>
      <c r="Z40" s="463"/>
    </row>
    <row r="41" spans="1:26" s="440" customFormat="1" x14ac:dyDescent="0.25">
      <c r="A41" s="569" t="s">
        <v>1251</v>
      </c>
    </row>
    <row r="42" spans="1:26" s="440" customFormat="1" ht="15.75" thickBot="1" x14ac:dyDescent="0.3">
      <c r="A42" s="878"/>
      <c r="B42" s="570"/>
      <c r="C42" s="882" t="s">
        <v>1270</v>
      </c>
      <c r="D42" s="865"/>
      <c r="E42" s="866" t="s">
        <v>1252</v>
      </c>
      <c r="F42" s="867">
        <f>COUNTA(D$2:D40)</f>
        <v>13</v>
      </c>
      <c r="G42" s="865"/>
      <c r="H42" s="865"/>
      <c r="I42" s="865"/>
    </row>
    <row r="43" spans="1:26" s="440" customFormat="1" ht="15.75" thickBot="1" x14ac:dyDescent="0.3">
      <c r="A43" s="879"/>
      <c r="B43" s="879"/>
      <c r="C43" s="883" t="s">
        <v>1271</v>
      </c>
      <c r="D43" s="868"/>
      <c r="E43" s="866" t="s">
        <v>1253</v>
      </c>
      <c r="F43" s="867">
        <f>F42-I43</f>
        <v>-2</v>
      </c>
      <c r="G43" s="869" t="s">
        <v>1254</v>
      </c>
      <c r="H43" s="870">
        <f>1-F43/F42</f>
        <v>1.1538461538461537</v>
      </c>
      <c r="I43" s="871">
        <f>COUNTIF(A$2:A40,"")</f>
        <v>15</v>
      </c>
      <c r="K43" s="867"/>
    </row>
    <row r="44" spans="1:26" s="440" customFormat="1" x14ac:dyDescent="0.25">
      <c r="A44" s="878"/>
    </row>
    <row r="45" spans="1:26" s="573" customFormat="1" ht="7.5" customHeight="1" x14ac:dyDescent="0.25">
      <c r="D45" s="574"/>
      <c r="E45" s="574"/>
    </row>
    <row r="46" spans="1:26" s="575" customFormat="1" ht="19.5" x14ac:dyDescent="0.3">
      <c r="A46" s="440"/>
      <c r="C46" s="576" t="s">
        <v>831</v>
      </c>
    </row>
    <row r="47" spans="1:26" s="575" customFormat="1" x14ac:dyDescent="0.25"/>
    <row r="48" spans="1:26" s="575" customFormat="1" ht="15.75" thickBot="1" x14ac:dyDescent="0.3">
      <c r="A48" s="575" t="s">
        <v>832</v>
      </c>
    </row>
    <row r="49" spans="1:7" s="575" customFormat="1" ht="17.25" x14ac:dyDescent="0.4">
      <c r="A49" s="900" t="s">
        <v>32</v>
      </c>
      <c r="B49" s="442" t="s">
        <v>744</v>
      </c>
      <c r="C49" s="571" t="s">
        <v>833</v>
      </c>
      <c r="D49" s="577" t="s">
        <v>834</v>
      </c>
      <c r="G49" s="575" t="s">
        <v>835</v>
      </c>
    </row>
    <row r="50" spans="1:7" s="575" customFormat="1" x14ac:dyDescent="0.25">
      <c r="A50" s="901"/>
      <c r="B50" s="455" t="s">
        <v>772</v>
      </c>
      <c r="C50" s="578">
        <v>4240</v>
      </c>
      <c r="D50" s="579" t="str">
        <f>IF(F50="&lt;&lt;ПУСТО&gt;&gt;",E50&amp;ROUND(H50/1000,0),F50&amp;E50&amp;ROUND(H50/1000,0))</f>
        <v>0</v>
      </c>
      <c r="G50" s="575" t="s">
        <v>836</v>
      </c>
    </row>
    <row r="51" spans="1:7" s="575" customFormat="1" x14ac:dyDescent="0.25">
      <c r="A51" s="901"/>
      <c r="B51" s="442" t="s">
        <v>774</v>
      </c>
      <c r="C51" s="580">
        <v>8</v>
      </c>
      <c r="D51" s="580">
        <v>1</v>
      </c>
      <c r="G51" s="575" t="s">
        <v>837</v>
      </c>
    </row>
    <row r="52" spans="1:7" s="575" customFormat="1" x14ac:dyDescent="0.25">
      <c r="A52" s="901"/>
      <c r="B52" s="442" t="s">
        <v>776</v>
      </c>
      <c r="C52" s="580">
        <v>2</v>
      </c>
      <c r="D52" s="580"/>
    </row>
    <row r="53" spans="1:7" s="575" customFormat="1" x14ac:dyDescent="0.25">
      <c r="A53" s="901"/>
      <c r="B53" s="442" t="s">
        <v>777</v>
      </c>
      <c r="C53" s="580"/>
      <c r="D53" s="580"/>
    </row>
    <row r="54" spans="1:7" s="575" customFormat="1" ht="15.75" thickBot="1" x14ac:dyDescent="0.3">
      <c r="A54" s="902"/>
      <c r="B54" s="442" t="s">
        <v>785</v>
      </c>
      <c r="C54" s="580" t="s">
        <v>838</v>
      </c>
      <c r="D54" s="580"/>
      <c r="G54" s="440" t="s">
        <v>839</v>
      </c>
    </row>
    <row r="55" spans="1:7" s="575" customFormat="1" x14ac:dyDescent="0.25"/>
    <row r="56" spans="1:7" s="575" customFormat="1" ht="15.75" thickBot="1" x14ac:dyDescent="0.3">
      <c r="A56" s="575" t="s">
        <v>840</v>
      </c>
    </row>
    <row r="57" spans="1:7" s="575" customFormat="1" x14ac:dyDescent="0.25">
      <c r="A57" s="581">
        <f>(SUMIF(A$2:A54,"",F$2:F54)-F57)/1000000</f>
        <v>1.1E-5</v>
      </c>
      <c r="B57" s="582"/>
      <c r="C57" s="583" t="s">
        <v>61</v>
      </c>
      <c r="E57" s="584" t="s">
        <v>841</v>
      </c>
      <c r="F57" s="585">
        <f>SUMIF(I$46:I51,"Наталья Константиновна Лидер",F$46:F51)</f>
        <v>0</v>
      </c>
    </row>
    <row r="58" spans="1:7" s="575" customFormat="1" ht="15.75" thickBot="1" x14ac:dyDescent="0.3">
      <c r="A58" s="586">
        <f>COUNTIF(A$2:A54,"")-F58</f>
        <v>26</v>
      </c>
      <c r="B58" s="582"/>
      <c r="C58" s="583" t="s">
        <v>842</v>
      </c>
      <c r="E58" s="587"/>
      <c r="F58" s="588">
        <f>COUNTIF(I$46:I59,"Наталья Константиновна Лидер")</f>
        <v>0</v>
      </c>
    </row>
    <row r="59" spans="1:7" s="575" customFormat="1" x14ac:dyDescent="0.25"/>
    <row r="60" spans="1:7" s="575" customFormat="1" x14ac:dyDescent="0.25">
      <c r="A60" s="575" t="s">
        <v>843</v>
      </c>
    </row>
    <row r="61" spans="1:7" s="575" customFormat="1" ht="15.75" thickBot="1" x14ac:dyDescent="0.3">
      <c r="B61" s="575" t="s">
        <v>844</v>
      </c>
    </row>
    <row r="62" spans="1:7" s="575" customFormat="1" ht="17.25" x14ac:dyDescent="0.4">
      <c r="A62" s="900" t="s">
        <v>41</v>
      </c>
      <c r="B62" s="442" t="s">
        <v>744</v>
      </c>
      <c r="C62" s="571" t="s">
        <v>833</v>
      </c>
      <c r="D62" s="571" t="s">
        <v>845</v>
      </c>
      <c r="G62" s="575" t="s">
        <v>835</v>
      </c>
    </row>
    <row r="63" spans="1:7" s="575" customFormat="1" x14ac:dyDescent="0.25">
      <c r="A63" s="901"/>
      <c r="B63" s="455" t="s">
        <v>772</v>
      </c>
      <c r="C63" s="572">
        <f>O63</f>
        <v>0</v>
      </c>
      <c r="D63" s="589" t="str">
        <f>IF(G63="",F63,G63&amp;"/"&amp;F63)</f>
        <v>Match=&lt;номер строки Договора1С&gt;/</v>
      </c>
      <c r="G63" s="575" t="s">
        <v>846</v>
      </c>
    </row>
    <row r="64" spans="1:7" s="575" customFormat="1" x14ac:dyDescent="0.25">
      <c r="A64" s="901"/>
      <c r="B64" s="442" t="s">
        <v>774</v>
      </c>
      <c r="C64" s="575">
        <v>10</v>
      </c>
      <c r="D64" s="580">
        <v>1</v>
      </c>
      <c r="F64" s="590" t="str">
        <f>"/=""Не состоялся"":"&amp;F65</f>
        <v>/="Не состоялся":/="Договор расторгнут"</v>
      </c>
      <c r="G64" s="575" t="s">
        <v>847</v>
      </c>
    </row>
    <row r="65" spans="1:37" s="440" customFormat="1" x14ac:dyDescent="0.25">
      <c r="A65" s="901"/>
      <c r="B65" s="442" t="s">
        <v>776</v>
      </c>
      <c r="C65" s="461">
        <v>2</v>
      </c>
      <c r="D65" s="461"/>
      <c r="F65" s="591" t="s">
        <v>848</v>
      </c>
    </row>
    <row r="66" spans="1:37" s="440" customFormat="1" x14ac:dyDescent="0.25">
      <c r="A66" s="901"/>
      <c r="B66" s="442" t="s">
        <v>777</v>
      </c>
      <c r="C66" s="461"/>
      <c r="D66" s="461"/>
    </row>
    <row r="67" spans="1:37" s="440" customFormat="1" ht="15.75" thickBot="1" x14ac:dyDescent="0.3">
      <c r="A67" s="902"/>
      <c r="B67" s="442" t="s">
        <v>785</v>
      </c>
      <c r="C67" s="461" t="s">
        <v>849</v>
      </c>
      <c r="D67" s="461"/>
      <c r="F67" s="580" t="str">
        <f>"10/="""":"&amp;F64</f>
        <v>10/="":/="Не состоялся":/="Договор расторгнут"</v>
      </c>
      <c r="G67" s="440" t="s">
        <v>850</v>
      </c>
    </row>
    <row r="68" spans="1:37" s="575" customFormat="1" x14ac:dyDescent="0.25">
      <c r="E68" s="440"/>
      <c r="H68" s="440"/>
    </row>
    <row r="69" spans="1:37" s="575" customFormat="1" x14ac:dyDescent="0.25">
      <c r="A69" s="575" t="s">
        <v>851</v>
      </c>
      <c r="E69" s="440"/>
      <c r="H69" s="440"/>
    </row>
    <row r="70" spans="1:37" s="575" customFormat="1" ht="15.75" thickBot="1" x14ac:dyDescent="0.3">
      <c r="B70" s="575" t="s">
        <v>852</v>
      </c>
    </row>
    <row r="71" spans="1:37" s="575" customFormat="1" ht="15.75" thickBot="1" x14ac:dyDescent="0.3">
      <c r="A71" s="592">
        <f>COUNTIF(A$2:A65,"")-COUNTIF(M$2:M62,"Не состоялся")-COUNTIF(M$2:M62,"Договор расторгнут")</f>
        <v>32</v>
      </c>
      <c r="B71" s="582"/>
    </row>
    <row r="72" spans="1:37" s="575" customFormat="1" x14ac:dyDescent="0.25">
      <c r="B72" s="582"/>
    </row>
    <row r="73" spans="1:37" s="575" customFormat="1" x14ac:dyDescent="0.25">
      <c r="A73" s="575" t="s">
        <v>853</v>
      </c>
    </row>
    <row r="74" spans="1:37" s="575" customFormat="1" x14ac:dyDescent="0.25">
      <c r="A74" s="593" t="s">
        <v>854</v>
      </c>
      <c r="B74" s="593" t="s">
        <v>855</v>
      </c>
      <c r="C74" s="593" t="s">
        <v>856</v>
      </c>
      <c r="D74" s="593" t="s">
        <v>857</v>
      </c>
      <c r="E74" s="593" t="s">
        <v>858</v>
      </c>
      <c r="F74" s="593" t="s">
        <v>859</v>
      </c>
      <c r="G74" s="593" t="s">
        <v>860</v>
      </c>
      <c r="H74" s="593" t="s">
        <v>861</v>
      </c>
      <c r="I74" s="593" t="s">
        <v>862</v>
      </c>
    </row>
    <row r="75" spans="1:37" s="575" customFormat="1" x14ac:dyDescent="0.25">
      <c r="A75" s="575" t="s">
        <v>863</v>
      </c>
      <c r="B75" s="575" t="s">
        <v>864</v>
      </c>
      <c r="D75" s="580" t="s">
        <v>58</v>
      </c>
      <c r="E75" s="580">
        <v>1</v>
      </c>
      <c r="F75" s="575" t="s">
        <v>865</v>
      </c>
      <c r="G75" s="575" t="s">
        <v>866</v>
      </c>
      <c r="H75" s="575" t="s">
        <v>32</v>
      </c>
      <c r="I75" s="575" t="s">
        <v>867</v>
      </c>
    </row>
    <row r="76" spans="1:37" s="573" customFormat="1" ht="7.5" customHeight="1" x14ac:dyDescent="0.25">
      <c r="D76" s="574"/>
      <c r="E76" s="574"/>
    </row>
    <row r="77" spans="1:37" s="575" customFormat="1" ht="19.5" x14ac:dyDescent="0.3">
      <c r="A77" s="440"/>
      <c r="C77" s="576" t="s">
        <v>868</v>
      </c>
      <c r="I77" s="575">
        <f>C83</f>
        <v>5</v>
      </c>
    </row>
    <row r="78" spans="1:37" s="440" customFormat="1" x14ac:dyDescent="0.25"/>
    <row r="79" spans="1:37" s="440" customFormat="1" x14ac:dyDescent="0.25">
      <c r="A79" s="440" t="s">
        <v>869</v>
      </c>
    </row>
    <row r="80" spans="1:37" s="440" customFormat="1" ht="25.5" x14ac:dyDescent="0.25">
      <c r="A80" s="442" t="s">
        <v>744</v>
      </c>
      <c r="B80" s="594" t="s">
        <v>870</v>
      </c>
      <c r="C80" s="594" t="s">
        <v>871</v>
      </c>
      <c r="D80" s="595" t="s">
        <v>872</v>
      </c>
      <c r="E80" s="596" t="s">
        <v>873</v>
      </c>
      <c r="F80" s="597" t="s">
        <v>874</v>
      </c>
      <c r="G80" s="594" t="s">
        <v>109</v>
      </c>
      <c r="H80" s="594" t="s">
        <v>803</v>
      </c>
      <c r="I80" s="594" t="s">
        <v>875</v>
      </c>
      <c r="J80" s="594" t="s">
        <v>762</v>
      </c>
      <c r="L80" s="598" t="s">
        <v>876</v>
      </c>
      <c r="M80" s="599" t="s">
        <v>877</v>
      </c>
      <c r="N80" s="600"/>
      <c r="O80" s="601" t="s">
        <v>102</v>
      </c>
      <c r="P80" s="602" t="s">
        <v>878</v>
      </c>
      <c r="Q80" s="601" t="s">
        <v>106</v>
      </c>
      <c r="R80" s="601" t="s">
        <v>52</v>
      </c>
      <c r="S80" s="601" t="s">
        <v>109</v>
      </c>
      <c r="T80" s="603" t="s">
        <v>111</v>
      </c>
      <c r="U80" s="604" t="s">
        <v>879</v>
      </c>
      <c r="V80" s="605" t="s">
        <v>880</v>
      </c>
      <c r="W80" s="601" t="s">
        <v>881</v>
      </c>
      <c r="X80" s="606" t="s">
        <v>94</v>
      </c>
      <c r="Y80" s="607" t="s">
        <v>94</v>
      </c>
      <c r="Z80" s="607" t="s">
        <v>94</v>
      </c>
      <c r="AA80" s="607" t="s">
        <v>94</v>
      </c>
      <c r="AB80" s="601" t="s">
        <v>94</v>
      </c>
      <c r="AC80" s="601" t="s">
        <v>882</v>
      </c>
      <c r="AD80" s="601" t="s">
        <v>94</v>
      </c>
      <c r="AE80" s="601" t="s">
        <v>94</v>
      </c>
      <c r="AF80" s="608" t="s">
        <v>883</v>
      </c>
      <c r="AG80" s="609" t="s">
        <v>94</v>
      </c>
      <c r="AH80" s="601" t="s">
        <v>94</v>
      </c>
      <c r="AI80" s="601" t="s">
        <v>94</v>
      </c>
      <c r="AJ80" s="610" t="s">
        <v>884</v>
      </c>
      <c r="AK80" s="611"/>
    </row>
    <row r="81" spans="1:37" s="440" customFormat="1" x14ac:dyDescent="0.25">
      <c r="A81" s="455" t="s">
        <v>772</v>
      </c>
      <c r="B81" s="612"/>
      <c r="C81" s="613"/>
      <c r="D81" s="614">
        <v>41367</v>
      </c>
      <c r="E81" s="615" t="s">
        <v>885</v>
      </c>
      <c r="F81" s="616">
        <f>T81</f>
        <v>0</v>
      </c>
      <c r="G81" s="461"/>
      <c r="H81" s="462"/>
    </row>
    <row r="82" spans="1:37" s="440" customFormat="1" x14ac:dyDescent="0.25">
      <c r="A82" s="442" t="s">
        <v>774</v>
      </c>
      <c r="B82" s="461">
        <v>1</v>
      </c>
      <c r="C82" s="461">
        <v>5</v>
      </c>
      <c r="D82" s="461">
        <v>8</v>
      </c>
      <c r="E82" s="461">
        <v>13</v>
      </c>
      <c r="F82" s="461">
        <v>14</v>
      </c>
      <c r="G82" s="461">
        <v>11</v>
      </c>
      <c r="H82" s="462">
        <v>20</v>
      </c>
      <c r="I82" s="463">
        <v>15</v>
      </c>
      <c r="J82" s="463">
        <v>10</v>
      </c>
      <c r="K82" s="463">
        <v>6</v>
      </c>
      <c r="L82" s="463">
        <v>6</v>
      </c>
      <c r="M82" s="463">
        <v>10</v>
      </c>
      <c r="N82" s="463">
        <v>1</v>
      </c>
      <c r="O82" s="463">
        <v>45</v>
      </c>
      <c r="P82" s="463"/>
      <c r="Q82" s="463">
        <v>13</v>
      </c>
      <c r="R82" s="463">
        <v>16</v>
      </c>
      <c r="S82" s="463">
        <v>10</v>
      </c>
      <c r="T82" s="463">
        <v>10</v>
      </c>
      <c r="U82" s="463">
        <v>10</v>
      </c>
      <c r="V82" s="463">
        <v>10</v>
      </c>
      <c r="W82" s="463">
        <v>10</v>
      </c>
      <c r="X82" s="463">
        <v>10</v>
      </c>
      <c r="Y82" s="463">
        <v>0</v>
      </c>
      <c r="Z82" s="463">
        <v>0</v>
      </c>
      <c r="AA82" s="463">
        <v>0</v>
      </c>
      <c r="AB82" s="463">
        <v>0</v>
      </c>
      <c r="AC82" s="463">
        <v>0</v>
      </c>
      <c r="AD82" s="463">
        <v>0</v>
      </c>
      <c r="AE82" s="463">
        <v>0</v>
      </c>
      <c r="AF82" s="463">
        <v>0</v>
      </c>
      <c r="AG82" s="463">
        <v>0</v>
      </c>
      <c r="AH82" s="463">
        <v>0</v>
      </c>
      <c r="AI82" s="463">
        <v>0</v>
      </c>
      <c r="AJ82" s="463">
        <v>0</v>
      </c>
      <c r="AK82" s="463">
        <v>0</v>
      </c>
    </row>
    <row r="83" spans="1:37" s="440" customFormat="1" x14ac:dyDescent="0.25">
      <c r="A83" s="442" t="s">
        <v>776</v>
      </c>
      <c r="B83" s="461">
        <v>5</v>
      </c>
      <c r="C83" s="461">
        <v>5</v>
      </c>
      <c r="D83" s="461" t="s">
        <v>886</v>
      </c>
      <c r="E83" s="461">
        <v>5</v>
      </c>
      <c r="F83" s="461"/>
      <c r="G83" s="461">
        <v>5</v>
      </c>
      <c r="H83" s="440">
        <v>5</v>
      </c>
      <c r="I83" s="440">
        <v>1</v>
      </c>
      <c r="J83" s="461">
        <v>1</v>
      </c>
      <c r="K83" s="462">
        <v>-1</v>
      </c>
      <c r="L83" s="461"/>
      <c r="O83" s="461"/>
      <c r="P83" s="461"/>
      <c r="Q83" s="463"/>
      <c r="R83" s="463"/>
      <c r="S83" s="463"/>
      <c r="T83" s="463"/>
      <c r="U83" s="463"/>
      <c r="V83" s="463"/>
      <c r="W83" s="463"/>
      <c r="X83" s="463"/>
      <c r="Y83" s="463"/>
      <c r="Z83" s="464"/>
      <c r="AA83" s="463"/>
      <c r="AB83" s="463"/>
      <c r="AC83" s="463"/>
      <c r="AD83" s="463"/>
      <c r="AE83" s="463"/>
      <c r="AF83" s="463"/>
    </row>
    <row r="84" spans="1:37" s="440" customFormat="1" x14ac:dyDescent="0.25">
      <c r="A84" s="442" t="s">
        <v>777</v>
      </c>
      <c r="B84" s="461"/>
      <c r="C84" s="461"/>
      <c r="D84" s="461"/>
      <c r="E84" s="461"/>
      <c r="F84" s="461"/>
      <c r="G84" s="461"/>
      <c r="J84" s="461"/>
      <c r="K84" s="462"/>
      <c r="L84" s="461"/>
      <c r="O84" s="461" t="s">
        <v>887</v>
      </c>
      <c r="P84" s="461"/>
      <c r="Q84" s="463"/>
      <c r="R84" s="463"/>
      <c r="S84" s="463"/>
      <c r="T84" s="463"/>
      <c r="U84" s="463"/>
      <c r="V84" s="463"/>
      <c r="W84" s="463"/>
      <c r="X84" s="463"/>
      <c r="Y84" s="463"/>
      <c r="Z84" s="464"/>
      <c r="AA84" s="463"/>
      <c r="AB84" s="463"/>
      <c r="AC84" s="463"/>
      <c r="AD84" s="463"/>
      <c r="AE84" s="463"/>
      <c r="AF84" s="463"/>
    </row>
    <row r="85" spans="1:37" s="440" customFormat="1" x14ac:dyDescent="0.25">
      <c r="A85" s="442" t="s">
        <v>785</v>
      </c>
      <c r="B85" s="461" t="s">
        <v>888</v>
      </c>
      <c r="C85" s="461" t="s">
        <v>889</v>
      </c>
      <c r="D85" s="472" t="s">
        <v>890</v>
      </c>
      <c r="E85" s="472" t="s">
        <v>891</v>
      </c>
      <c r="F85" s="472"/>
      <c r="G85" s="461" t="s">
        <v>892</v>
      </c>
      <c r="H85" s="617" t="s">
        <v>893</v>
      </c>
      <c r="I85" s="461" t="s">
        <v>894</v>
      </c>
      <c r="J85" s="461" t="s">
        <v>895</v>
      </c>
      <c r="K85" s="461"/>
      <c r="L85" s="461"/>
      <c r="O85" s="461"/>
      <c r="P85" s="461"/>
      <c r="Q85" s="463"/>
      <c r="R85" s="463"/>
      <c r="S85" s="463"/>
      <c r="T85" s="463"/>
      <c r="U85" s="463"/>
      <c r="V85" s="463"/>
      <c r="W85" s="463"/>
      <c r="X85" s="463"/>
      <c r="Y85" s="463"/>
      <c r="Z85" s="464"/>
      <c r="AA85" s="463"/>
      <c r="AB85" s="463"/>
      <c r="AC85" s="463"/>
      <c r="AD85" s="463"/>
      <c r="AE85" s="463"/>
      <c r="AF85" s="463"/>
    </row>
    <row r="86" spans="1:37" s="440" customFormat="1" x14ac:dyDescent="0.25">
      <c r="N86" s="440" t="s">
        <v>896</v>
      </c>
    </row>
    <row r="87" spans="1:37" s="440" customFormat="1" x14ac:dyDescent="0.25">
      <c r="A87" s="440" t="s">
        <v>897</v>
      </c>
    </row>
    <row r="88" spans="1:37" s="440" customFormat="1" ht="25.5" x14ac:dyDescent="0.25">
      <c r="A88" s="442" t="s">
        <v>744</v>
      </c>
      <c r="B88" s="594" t="s">
        <v>870</v>
      </c>
      <c r="C88" s="594" t="s">
        <v>871</v>
      </c>
      <c r="D88" s="595" t="s">
        <v>872</v>
      </c>
      <c r="E88" s="596" t="s">
        <v>873</v>
      </c>
      <c r="F88" s="597" t="s">
        <v>874</v>
      </c>
      <c r="G88" s="594" t="s">
        <v>109</v>
      </c>
      <c r="H88" s="594" t="s">
        <v>803</v>
      </c>
      <c r="I88" s="594" t="s">
        <v>875</v>
      </c>
      <c r="J88" s="594" t="s">
        <v>762</v>
      </c>
      <c r="L88" s="598" t="s">
        <v>876</v>
      </c>
      <c r="M88" s="599" t="s">
        <v>877</v>
      </c>
      <c r="N88" s="600"/>
      <c r="O88" s="601" t="s">
        <v>102</v>
      </c>
      <c r="P88" s="602" t="s">
        <v>878</v>
      </c>
      <c r="Q88" s="601" t="s">
        <v>106</v>
      </c>
      <c r="R88" s="601" t="s">
        <v>52</v>
      </c>
      <c r="S88" s="601" t="s">
        <v>109</v>
      </c>
      <c r="T88" s="603" t="s">
        <v>111</v>
      </c>
      <c r="U88" s="604" t="s">
        <v>879</v>
      </c>
      <c r="V88" s="605" t="s">
        <v>880</v>
      </c>
      <c r="W88" s="601" t="s">
        <v>881</v>
      </c>
      <c r="X88" s="606" t="s">
        <v>94</v>
      </c>
      <c r="Y88" s="607" t="s">
        <v>94</v>
      </c>
      <c r="Z88" s="607" t="s">
        <v>94</v>
      </c>
      <c r="AA88" s="607" t="s">
        <v>94</v>
      </c>
      <c r="AB88" s="601" t="s">
        <v>94</v>
      </c>
      <c r="AC88" s="601" t="s">
        <v>882</v>
      </c>
      <c r="AD88" s="601" t="s">
        <v>94</v>
      </c>
      <c r="AE88" s="601" t="s">
        <v>94</v>
      </c>
      <c r="AF88" s="608" t="s">
        <v>883</v>
      </c>
      <c r="AG88" s="609" t="s">
        <v>94</v>
      </c>
      <c r="AH88" s="601" t="s">
        <v>94</v>
      </c>
      <c r="AI88" s="601" t="s">
        <v>94</v>
      </c>
      <c r="AJ88" s="610" t="s">
        <v>884</v>
      </c>
      <c r="AK88" s="611"/>
    </row>
    <row r="89" spans="1:37" s="440" customFormat="1" x14ac:dyDescent="0.25">
      <c r="A89" s="455" t="s">
        <v>772</v>
      </c>
      <c r="B89" s="612"/>
      <c r="C89" s="613"/>
      <c r="D89" s="614">
        <v>41367</v>
      </c>
      <c r="E89" s="615" t="s">
        <v>885</v>
      </c>
      <c r="F89" s="616">
        <f>T89</f>
        <v>0</v>
      </c>
      <c r="G89" s="461"/>
      <c r="H89" s="462"/>
    </row>
    <row r="90" spans="1:37" s="440" customFormat="1" x14ac:dyDescent="0.25">
      <c r="A90" s="442" t="s">
        <v>774</v>
      </c>
      <c r="B90" s="461">
        <v>1</v>
      </c>
      <c r="C90" s="461">
        <v>5</v>
      </c>
      <c r="D90" s="461">
        <v>8</v>
      </c>
      <c r="E90" s="461">
        <v>13</v>
      </c>
      <c r="F90" s="461">
        <v>14</v>
      </c>
      <c r="G90" s="461">
        <v>11</v>
      </c>
      <c r="H90" s="462">
        <v>20</v>
      </c>
      <c r="I90" s="463">
        <v>15</v>
      </c>
      <c r="J90" s="463">
        <v>10</v>
      </c>
      <c r="K90" s="463">
        <v>6</v>
      </c>
      <c r="L90" s="463">
        <v>6</v>
      </c>
      <c r="M90" s="463">
        <v>10</v>
      </c>
      <c r="N90" s="463">
        <v>1</v>
      </c>
      <c r="O90" s="463">
        <v>45</v>
      </c>
      <c r="P90" s="463"/>
      <c r="Q90" s="463">
        <v>13</v>
      </c>
      <c r="R90" s="463">
        <v>16</v>
      </c>
      <c r="S90" s="463">
        <v>10</v>
      </c>
      <c r="T90" s="463">
        <v>10</v>
      </c>
      <c r="U90" s="463">
        <v>10</v>
      </c>
      <c r="V90" s="463">
        <v>10</v>
      </c>
      <c r="W90" s="463">
        <v>10</v>
      </c>
      <c r="X90" s="463">
        <v>10</v>
      </c>
      <c r="Y90" s="463">
        <v>0</v>
      </c>
      <c r="Z90" s="463">
        <v>0</v>
      </c>
      <c r="AA90" s="463">
        <v>0</v>
      </c>
      <c r="AB90" s="463">
        <v>0</v>
      </c>
      <c r="AC90" s="463">
        <v>0</v>
      </c>
      <c r="AD90" s="463">
        <v>0</v>
      </c>
      <c r="AE90" s="463">
        <v>0</v>
      </c>
      <c r="AF90" s="463">
        <v>0</v>
      </c>
      <c r="AG90" s="463">
        <v>0</v>
      </c>
      <c r="AH90" s="463">
        <v>0</v>
      </c>
      <c r="AI90" s="463">
        <v>0</v>
      </c>
      <c r="AJ90" s="463">
        <v>0</v>
      </c>
      <c r="AK90" s="463">
        <v>0</v>
      </c>
    </row>
    <row r="91" spans="1:37" s="440" customFormat="1" x14ac:dyDescent="0.25">
      <c r="A91" s="442" t="s">
        <v>776</v>
      </c>
      <c r="B91" s="461">
        <v>5</v>
      </c>
      <c r="C91" s="461">
        <v>5</v>
      </c>
      <c r="D91" s="461" t="s">
        <v>886</v>
      </c>
      <c r="E91" s="461">
        <v>5</v>
      </c>
      <c r="F91" s="461"/>
      <c r="G91" s="461">
        <v>5</v>
      </c>
      <c r="H91" s="440">
        <v>5</v>
      </c>
      <c r="I91" s="440">
        <v>1</v>
      </c>
      <c r="J91" s="461">
        <v>1</v>
      </c>
      <c r="K91" s="462">
        <v>-1</v>
      </c>
      <c r="L91" s="461"/>
      <c r="O91" s="461"/>
      <c r="P91" s="461"/>
      <c r="Q91" s="463"/>
      <c r="R91" s="463"/>
      <c r="S91" s="463"/>
      <c r="T91" s="463"/>
      <c r="U91" s="463"/>
      <c r="V91" s="463"/>
      <c r="W91" s="463"/>
      <c r="X91" s="463"/>
      <c r="Y91" s="463"/>
      <c r="Z91" s="464"/>
      <c r="AA91" s="463"/>
      <c r="AB91" s="463"/>
      <c r="AC91" s="463"/>
      <c r="AD91" s="463"/>
      <c r="AE91" s="463"/>
      <c r="AF91" s="463"/>
    </row>
    <row r="92" spans="1:37" s="440" customFormat="1" x14ac:dyDescent="0.25">
      <c r="A92" s="442" t="s">
        <v>777</v>
      </c>
      <c r="B92" s="461"/>
      <c r="C92" s="461"/>
      <c r="D92" s="461"/>
      <c r="E92" s="461"/>
      <c r="F92" s="461"/>
      <c r="G92" s="461"/>
      <c r="J92" s="461"/>
      <c r="K92" s="462"/>
      <c r="L92" s="461"/>
      <c r="O92" s="461" t="s">
        <v>887</v>
      </c>
      <c r="P92" s="461"/>
      <c r="Q92" s="463"/>
      <c r="R92" s="463"/>
      <c r="S92" s="463"/>
      <c r="T92" s="463"/>
      <c r="U92" s="463"/>
      <c r="V92" s="463"/>
      <c r="W92" s="463"/>
      <c r="X92" s="463"/>
      <c r="Y92" s="463"/>
      <c r="Z92" s="464"/>
      <c r="AA92" s="463"/>
      <c r="AB92" s="463"/>
      <c r="AC92" s="463"/>
      <c r="AD92" s="463"/>
      <c r="AE92" s="463"/>
      <c r="AF92" s="463"/>
    </row>
    <row r="93" spans="1:37" s="440" customFormat="1" x14ac:dyDescent="0.25">
      <c r="A93" s="442" t="s">
        <v>785</v>
      </c>
      <c r="B93" s="461" t="s">
        <v>888</v>
      </c>
      <c r="C93" s="461" t="s">
        <v>889</v>
      </c>
      <c r="D93" s="472" t="s">
        <v>890</v>
      </c>
      <c r="E93" s="472" t="s">
        <v>891</v>
      </c>
      <c r="F93" s="472"/>
      <c r="G93" s="461" t="s">
        <v>892</v>
      </c>
      <c r="H93" s="617" t="s">
        <v>893</v>
      </c>
      <c r="I93" s="461" t="s">
        <v>894</v>
      </c>
      <c r="J93" s="461" t="s">
        <v>895</v>
      </c>
      <c r="K93" s="461"/>
      <c r="L93" s="461"/>
      <c r="O93" s="461"/>
      <c r="P93" s="461"/>
      <c r="Q93" s="463"/>
      <c r="R93" s="463"/>
      <c r="S93" s="463"/>
      <c r="T93" s="463"/>
      <c r="U93" s="463"/>
      <c r="V93" s="463"/>
      <c r="W93" s="463"/>
      <c r="X93" s="463"/>
      <c r="Y93" s="463"/>
      <c r="Z93" s="464"/>
      <c r="AA93" s="463"/>
      <c r="AB93" s="463"/>
      <c r="AC93" s="463"/>
      <c r="AD93" s="463"/>
      <c r="AE93" s="463"/>
      <c r="AF93" s="463"/>
    </row>
    <row r="94" spans="1:37" s="440" customFormat="1" x14ac:dyDescent="0.25">
      <c r="N94" s="440" t="s">
        <v>896</v>
      </c>
    </row>
    <row r="95" spans="1:37" s="440" customFormat="1" ht="15.75" thickBot="1" x14ac:dyDescent="0.3">
      <c r="A95" s="440" t="s">
        <v>898</v>
      </c>
      <c r="F95" s="440">
        <v>5</v>
      </c>
      <c r="I95" s="440">
        <v>8</v>
      </c>
      <c r="P95" s="440">
        <v>10</v>
      </c>
      <c r="T95" s="440">
        <v>14</v>
      </c>
    </row>
    <row r="96" spans="1:37" s="440" customFormat="1" ht="75" x14ac:dyDescent="0.25">
      <c r="A96" s="618" t="s">
        <v>83</v>
      </c>
      <c r="B96" s="619" t="s">
        <v>899</v>
      </c>
      <c r="C96" s="594" t="s">
        <v>747</v>
      </c>
      <c r="D96" s="594" t="s">
        <v>900</v>
      </c>
      <c r="E96" s="594" t="s">
        <v>901</v>
      </c>
      <c r="F96" s="594" t="s">
        <v>109</v>
      </c>
      <c r="G96" s="594" t="s">
        <v>870</v>
      </c>
      <c r="H96" s="594" t="s">
        <v>875</v>
      </c>
      <c r="I96" s="594" t="s">
        <v>410</v>
      </c>
      <c r="J96" s="594" t="s">
        <v>762</v>
      </c>
      <c r="K96" s="594"/>
      <c r="L96" s="594"/>
      <c r="M96" s="594" t="s">
        <v>902</v>
      </c>
      <c r="N96" s="620" t="s">
        <v>126</v>
      </c>
      <c r="O96" s="594" t="s">
        <v>903</v>
      </c>
      <c r="P96" s="594" t="s">
        <v>904</v>
      </c>
      <c r="Q96" s="621" t="s">
        <v>905</v>
      </c>
      <c r="R96" s="621" t="s">
        <v>90</v>
      </c>
      <c r="S96" s="622" t="s">
        <v>92</v>
      </c>
      <c r="T96" s="621" t="s">
        <v>98</v>
      </c>
      <c r="U96" s="623" t="s">
        <v>94</v>
      </c>
      <c r="V96" s="623" t="s">
        <v>96</v>
      </c>
      <c r="W96" s="623" t="s">
        <v>906</v>
      </c>
      <c r="X96" s="623" t="s">
        <v>907</v>
      </c>
      <c r="Y96" s="623" t="s">
        <v>908</v>
      </c>
    </row>
    <row r="97" spans="1:36" s="440" customFormat="1" x14ac:dyDescent="0.25">
      <c r="A97" s="624"/>
      <c r="B97" s="455" t="s">
        <v>772</v>
      </c>
      <c r="D97" s="625"/>
      <c r="M97" s="462"/>
      <c r="N97" s="457"/>
      <c r="O97" s="458"/>
      <c r="P97" s="458"/>
      <c r="Q97" s="461" t="s">
        <v>773</v>
      </c>
      <c r="R97" s="461" t="s">
        <v>773</v>
      </c>
      <c r="S97" s="461" t="s">
        <v>773</v>
      </c>
      <c r="T97" s="461" t="s">
        <v>773</v>
      </c>
      <c r="U97" s="461" t="s">
        <v>773</v>
      </c>
      <c r="V97" s="461" t="s">
        <v>773</v>
      </c>
      <c r="W97" s="461" t="s">
        <v>773</v>
      </c>
      <c r="X97" s="461" t="s">
        <v>773</v>
      </c>
      <c r="Y97" s="461" t="s">
        <v>773</v>
      </c>
    </row>
    <row r="98" spans="1:36" s="440" customFormat="1" x14ac:dyDescent="0.25">
      <c r="A98" s="624"/>
      <c r="B98" s="442" t="s">
        <v>774</v>
      </c>
      <c r="C98" s="461">
        <v>9</v>
      </c>
      <c r="D98" s="461">
        <v>5</v>
      </c>
      <c r="E98" s="461">
        <v>22</v>
      </c>
      <c r="F98" s="461">
        <v>10</v>
      </c>
      <c r="G98" s="461">
        <v>1</v>
      </c>
      <c r="H98" s="461">
        <v>15</v>
      </c>
      <c r="I98" s="461">
        <v>10</v>
      </c>
      <c r="J98" s="461">
        <v>8</v>
      </c>
      <c r="K98" s="461">
        <v>1</v>
      </c>
      <c r="L98" s="461">
        <v>1</v>
      </c>
      <c r="M98" s="461">
        <v>12</v>
      </c>
      <c r="N98" s="461">
        <v>14</v>
      </c>
      <c r="O98" s="461">
        <v>12</v>
      </c>
      <c r="P98" s="461">
        <v>8</v>
      </c>
      <c r="Q98" s="461">
        <v>47</v>
      </c>
      <c r="R98" s="461">
        <v>44</v>
      </c>
      <c r="S98" s="461">
        <v>8</v>
      </c>
      <c r="T98" s="461">
        <v>44</v>
      </c>
      <c r="U98" s="461">
        <v>9</v>
      </c>
      <c r="V98" s="461">
        <v>25</v>
      </c>
      <c r="W98" s="461">
        <v>22</v>
      </c>
      <c r="X98" s="461">
        <v>0</v>
      </c>
      <c r="Y98" s="463">
        <v>0</v>
      </c>
    </row>
    <row r="99" spans="1:36" s="440" customFormat="1" x14ac:dyDescent="0.25">
      <c r="A99" s="624"/>
      <c r="B99" s="442" t="s">
        <v>776</v>
      </c>
      <c r="C99" s="461">
        <v>15</v>
      </c>
      <c r="D99" s="461">
        <v>19</v>
      </c>
      <c r="E99" s="461">
        <v>2</v>
      </c>
      <c r="G99" s="440">
        <v>-1</v>
      </c>
      <c r="M99" s="461"/>
      <c r="N99" s="461"/>
      <c r="O99" s="461"/>
      <c r="P99" s="461"/>
      <c r="T99" s="461"/>
      <c r="U99" s="463"/>
      <c r="V99" s="463"/>
      <c r="W99" s="463"/>
      <c r="X99" s="463"/>
      <c r="Y99" s="463"/>
    </row>
    <row r="100" spans="1:36" s="440" customFormat="1" ht="30" x14ac:dyDescent="0.25">
      <c r="A100" s="624"/>
      <c r="B100" s="442" t="s">
        <v>777</v>
      </c>
      <c r="C100" s="461" t="s">
        <v>909</v>
      </c>
      <c r="D100" s="626" t="s">
        <v>910</v>
      </c>
      <c r="E100" s="627" t="s">
        <v>911</v>
      </c>
      <c r="G100" s="461"/>
      <c r="M100" s="461"/>
      <c r="N100" s="461"/>
      <c r="O100" s="461"/>
      <c r="P100" s="461"/>
      <c r="Q100" s="461"/>
      <c r="T100" s="461"/>
      <c r="U100" s="463"/>
      <c r="V100" s="463"/>
      <c r="W100" s="463"/>
      <c r="X100" s="463"/>
      <c r="Y100" s="463"/>
      <c r="Z100" s="463"/>
      <c r="AA100" s="463"/>
      <c r="AB100" s="463"/>
      <c r="AC100" s="463"/>
      <c r="AD100" s="464"/>
      <c r="AE100" s="463"/>
      <c r="AF100" s="463"/>
      <c r="AG100" s="463"/>
      <c r="AH100" s="463"/>
      <c r="AI100" s="463"/>
      <c r="AJ100" s="463"/>
    </row>
    <row r="101" spans="1:36" s="440" customFormat="1" x14ac:dyDescent="0.25">
      <c r="A101" s="624"/>
      <c r="B101" s="442" t="s">
        <v>785</v>
      </c>
      <c r="D101" s="462"/>
      <c r="E101" s="461"/>
      <c r="F101" s="461"/>
      <c r="H101" s="461"/>
      <c r="K101" s="461"/>
      <c r="L101" s="463"/>
      <c r="M101" s="472"/>
      <c r="N101" s="472"/>
      <c r="O101" s="472"/>
      <c r="P101" s="472"/>
      <c r="Q101" s="463"/>
      <c r="R101" s="463"/>
      <c r="S101" s="463"/>
      <c r="T101" s="463"/>
      <c r="U101" s="463"/>
      <c r="V101" s="463"/>
      <c r="W101" s="463"/>
      <c r="X101" s="463"/>
      <c r="Y101" s="464"/>
      <c r="Z101" s="463"/>
      <c r="AA101" s="463"/>
      <c r="AB101" s="463"/>
      <c r="AC101" s="463"/>
      <c r="AD101" s="463"/>
      <c r="AE101" s="463"/>
    </row>
    <row r="103" spans="1:36" x14ac:dyDescent="0.25">
      <c r="D103" s="440">
        <v>5</v>
      </c>
      <c r="E103" s="440">
        <v>5</v>
      </c>
      <c r="J103" s="461"/>
      <c r="K103" s="461">
        <v>5</v>
      </c>
      <c r="L103" s="440">
        <v>5</v>
      </c>
      <c r="M103" s="462">
        <v>-1</v>
      </c>
      <c r="N103" s="461"/>
      <c r="O103" s="461"/>
      <c r="P103" s="461"/>
    </row>
    <row r="104" spans="1:36" ht="36.75" x14ac:dyDescent="0.25">
      <c r="D104" s="627" t="s">
        <v>911</v>
      </c>
      <c r="E104" s="627" t="s">
        <v>912</v>
      </c>
      <c r="F104" s="461" t="s">
        <v>909</v>
      </c>
      <c r="K104" s="628" t="s">
        <v>913</v>
      </c>
      <c r="L104" s="628" t="s">
        <v>914</v>
      </c>
      <c r="M104" s="628"/>
      <c r="N104" s="628"/>
      <c r="O104" s="628"/>
      <c r="P104" s="628"/>
    </row>
    <row r="106" spans="1:36" s="573" customFormat="1" ht="7.5" customHeight="1" x14ac:dyDescent="0.25">
      <c r="D106" s="574"/>
      <c r="E106" s="574"/>
    </row>
    <row r="107" spans="1:36" s="575" customFormat="1" ht="19.5" x14ac:dyDescent="0.3">
      <c r="A107" s="440"/>
      <c r="C107" s="576" t="s">
        <v>915</v>
      </c>
      <c r="I107" s="575">
        <f>G138</f>
        <v>0</v>
      </c>
    </row>
    <row r="109" spans="1:36" ht="15.75" thickBot="1" x14ac:dyDescent="0.3">
      <c r="A109" s="629" t="s">
        <v>916</v>
      </c>
    </row>
    <row r="110" spans="1:36" ht="16.5" thickBot="1" x14ac:dyDescent="0.3">
      <c r="A110" s="630">
        <v>40954</v>
      </c>
      <c r="B110" s="631" t="s">
        <v>741</v>
      </c>
      <c r="D110" s="632">
        <v>1</v>
      </c>
    </row>
    <row r="111" spans="1:36" s="440" customFormat="1" x14ac:dyDescent="0.25">
      <c r="A111" s="472"/>
      <c r="B111" s="472"/>
      <c r="C111" s="472"/>
      <c r="D111" s="472"/>
      <c r="E111" s="472"/>
      <c r="F111" s="462"/>
      <c r="G111" s="461"/>
      <c r="H111" s="461"/>
      <c r="K111" s="461"/>
      <c r="L111" s="463"/>
      <c r="M111" s="463"/>
      <c r="N111" s="463"/>
      <c r="O111" s="463"/>
      <c r="P111" s="463"/>
      <c r="Q111" s="463"/>
      <c r="R111" s="463"/>
      <c r="S111" s="463"/>
      <c r="T111" s="463"/>
      <c r="U111" s="464"/>
      <c r="V111" s="463"/>
      <c r="W111" s="463"/>
      <c r="X111" s="463"/>
      <c r="Y111" s="463"/>
      <c r="Z111" s="463"/>
      <c r="AA111" s="463"/>
    </row>
    <row r="112" spans="1:36" s="633" customFormat="1" ht="7.5" customHeight="1" x14ac:dyDescent="0.25">
      <c r="D112" s="634"/>
      <c r="E112" s="634"/>
    </row>
    <row r="113" spans="1:24" s="440" customFormat="1" ht="19.5" x14ac:dyDescent="0.3">
      <c r="C113" s="441" t="s">
        <v>917</v>
      </c>
    </row>
    <row r="115" spans="1:24" ht="15.75" thickBot="1" x14ac:dyDescent="0.3">
      <c r="A115" s="629" t="s">
        <v>918</v>
      </c>
    </row>
    <row r="116" spans="1:24" ht="15.75" thickBot="1" x14ac:dyDescent="0.3">
      <c r="A116" s="442" t="s">
        <v>919</v>
      </c>
      <c r="B116" s="635" t="s">
        <v>920</v>
      </c>
      <c r="C116" s="635" t="s">
        <v>5</v>
      </c>
      <c r="D116" s="635" t="s">
        <v>921</v>
      </c>
      <c r="E116" s="635" t="s">
        <v>922</v>
      </c>
      <c r="F116" s="635" t="s">
        <v>923</v>
      </c>
      <c r="G116" s="635" t="s">
        <v>924</v>
      </c>
      <c r="H116" s="636" t="s">
        <v>925</v>
      </c>
      <c r="I116" s="637" t="s">
        <v>926</v>
      </c>
      <c r="J116" s="637" t="s">
        <v>927</v>
      </c>
    </row>
    <row r="117" spans="1:24" s="638" customFormat="1" x14ac:dyDescent="0.25">
      <c r="A117" s="455" t="s">
        <v>8</v>
      </c>
      <c r="J117" s="639"/>
      <c r="K117" s="639"/>
      <c r="L117" s="640"/>
      <c r="M117" s="641"/>
      <c r="N117" s="642"/>
      <c r="O117" s="414"/>
      <c r="P117" s="414"/>
      <c r="Q117" s="414"/>
      <c r="R117" s="414"/>
      <c r="S117" s="414"/>
      <c r="T117" s="414"/>
      <c r="U117" s="414"/>
      <c r="V117" s="414"/>
      <c r="W117" s="414"/>
      <c r="X117" s="414"/>
    </row>
    <row r="118" spans="1:24" x14ac:dyDescent="0.25">
      <c r="A118" s="442" t="s">
        <v>928</v>
      </c>
      <c r="B118" s="639" t="s">
        <v>929</v>
      </c>
      <c r="C118" s="639" t="s">
        <v>930</v>
      </c>
      <c r="D118" s="639" t="s">
        <v>929</v>
      </c>
      <c r="E118" s="639" t="s">
        <v>81</v>
      </c>
      <c r="F118" s="639" t="s">
        <v>775</v>
      </c>
      <c r="G118" s="639" t="s">
        <v>929</v>
      </c>
      <c r="H118" s="639" t="s">
        <v>929</v>
      </c>
      <c r="I118" s="639" t="s">
        <v>931</v>
      </c>
      <c r="J118" s="639" t="s">
        <v>931</v>
      </c>
      <c r="K118" s="639"/>
      <c r="L118" s="639"/>
      <c r="M118" s="639"/>
      <c r="N118" s="639"/>
    </row>
    <row r="119" spans="1:24" x14ac:dyDescent="0.25">
      <c r="A119" s="442" t="s">
        <v>932</v>
      </c>
      <c r="B119" s="639" t="s">
        <v>120</v>
      </c>
      <c r="C119" s="639" t="s">
        <v>34</v>
      </c>
      <c r="D119" s="639" t="s">
        <v>187</v>
      </c>
      <c r="E119" s="639" t="s">
        <v>933</v>
      </c>
      <c r="F119" s="639" t="s">
        <v>249</v>
      </c>
      <c r="G119" s="639" t="s">
        <v>934</v>
      </c>
      <c r="H119" s="643" t="s">
        <v>158</v>
      </c>
      <c r="I119" s="644" t="s">
        <v>935</v>
      </c>
      <c r="J119" s="639" t="s">
        <v>60</v>
      </c>
      <c r="K119" s="639"/>
      <c r="L119" s="639"/>
      <c r="M119" s="639"/>
      <c r="N119" s="639"/>
    </row>
    <row r="120" spans="1:24" x14ac:dyDescent="0.25">
      <c r="A120" s="442" t="s">
        <v>936</v>
      </c>
      <c r="E120" s="414" t="s">
        <v>937</v>
      </c>
      <c r="H120" s="414" t="s">
        <v>938</v>
      </c>
      <c r="I120" s="645"/>
      <c r="J120" s="646"/>
      <c r="N120" s="646"/>
      <c r="O120" s="646"/>
      <c r="P120" s="647"/>
      <c r="Q120" s="646"/>
    </row>
    <row r="121" spans="1:24" x14ac:dyDescent="0.25">
      <c r="A121" s="442" t="s">
        <v>939</v>
      </c>
      <c r="E121" s="648"/>
      <c r="H121" s="648" t="s">
        <v>940</v>
      </c>
      <c r="I121" s="649" t="s">
        <v>941</v>
      </c>
      <c r="J121" s="461"/>
      <c r="O121" s="650"/>
      <c r="S121" s="651"/>
      <c r="T121" s="651"/>
      <c r="U121" s="651"/>
      <c r="V121" s="651"/>
      <c r="W121" s="651"/>
    </row>
    <row r="123" spans="1:24" ht="15.75" thickBot="1" x14ac:dyDescent="0.3">
      <c r="A123" s="629" t="s">
        <v>942</v>
      </c>
    </row>
    <row r="124" spans="1:24" ht="15.75" thickBot="1" x14ac:dyDescent="0.3">
      <c r="A124" s="442" t="s">
        <v>919</v>
      </c>
      <c r="B124" s="635" t="s">
        <v>920</v>
      </c>
      <c r="C124" s="635" t="s">
        <v>5</v>
      </c>
      <c r="D124" s="635" t="s">
        <v>921</v>
      </c>
      <c r="E124" s="635" t="s">
        <v>922</v>
      </c>
      <c r="F124" s="635" t="s">
        <v>923</v>
      </c>
      <c r="G124" s="635" t="s">
        <v>924</v>
      </c>
      <c r="H124" s="636" t="s">
        <v>925</v>
      </c>
      <c r="I124" s="637" t="s">
        <v>926</v>
      </c>
      <c r="J124" s="637" t="s">
        <v>927</v>
      </c>
    </row>
    <row r="125" spans="1:24" s="638" customFormat="1" x14ac:dyDescent="0.25">
      <c r="A125" s="455" t="s">
        <v>8</v>
      </c>
      <c r="J125" s="639"/>
      <c r="K125" s="639"/>
      <c r="L125" s="640"/>
      <c r="M125" s="641"/>
      <c r="N125" s="642"/>
      <c r="O125" s="414"/>
      <c r="P125" s="414"/>
      <c r="Q125" s="414"/>
      <c r="R125" s="414"/>
      <c r="S125" s="414"/>
      <c r="T125" s="414"/>
      <c r="U125" s="414"/>
      <c r="V125" s="414"/>
      <c r="W125" s="414"/>
      <c r="X125" s="414"/>
    </row>
    <row r="126" spans="1:24" x14ac:dyDescent="0.25">
      <c r="A126" s="442" t="s">
        <v>928</v>
      </c>
      <c r="B126" s="639" t="s">
        <v>929</v>
      </c>
      <c r="C126" s="639" t="s">
        <v>930</v>
      </c>
      <c r="D126" s="639" t="s">
        <v>929</v>
      </c>
      <c r="E126" s="639" t="s">
        <v>81</v>
      </c>
      <c r="F126" s="639" t="s">
        <v>775</v>
      </c>
      <c r="G126" s="639" t="s">
        <v>929</v>
      </c>
      <c r="H126" s="639" t="s">
        <v>929</v>
      </c>
      <c r="I126" s="639" t="s">
        <v>931</v>
      </c>
      <c r="J126" s="639" t="s">
        <v>931</v>
      </c>
      <c r="K126" s="639"/>
      <c r="L126" s="639"/>
      <c r="M126" s="639"/>
      <c r="N126" s="639"/>
    </row>
    <row r="127" spans="1:24" x14ac:dyDescent="0.25">
      <c r="A127" s="442" t="s">
        <v>932</v>
      </c>
      <c r="B127" s="639" t="s">
        <v>120</v>
      </c>
      <c r="C127" s="639" t="s">
        <v>34</v>
      </c>
      <c r="D127" s="639" t="s">
        <v>187</v>
      </c>
      <c r="E127" s="639" t="s">
        <v>933</v>
      </c>
      <c r="F127" s="639" t="s">
        <v>249</v>
      </c>
      <c r="G127" s="639" t="s">
        <v>934</v>
      </c>
      <c r="H127" s="643" t="s">
        <v>158</v>
      </c>
      <c r="I127" s="652" t="s">
        <v>943</v>
      </c>
      <c r="J127" s="639" t="s">
        <v>60</v>
      </c>
      <c r="K127" s="639"/>
      <c r="L127" s="639"/>
      <c r="M127" s="639"/>
      <c r="N127" s="639"/>
    </row>
    <row r="128" spans="1:24" x14ac:dyDescent="0.25">
      <c r="A128" s="442" t="s">
        <v>936</v>
      </c>
      <c r="B128" s="414" t="s">
        <v>944</v>
      </c>
      <c r="E128" s="414" t="s">
        <v>937</v>
      </c>
      <c r="H128" s="414" t="s">
        <v>938</v>
      </c>
      <c r="I128" s="653" t="s">
        <v>945</v>
      </c>
      <c r="J128" s="646"/>
      <c r="N128" s="646"/>
      <c r="O128" s="646"/>
      <c r="P128" s="647"/>
      <c r="Q128" s="646"/>
    </row>
    <row r="129" spans="1:25" x14ac:dyDescent="0.25">
      <c r="A129" s="442" t="s">
        <v>939</v>
      </c>
      <c r="E129" s="648"/>
      <c r="H129" s="648" t="s">
        <v>940</v>
      </c>
      <c r="I129" s="654"/>
      <c r="J129" s="461"/>
      <c r="O129" s="650"/>
      <c r="S129" s="651"/>
      <c r="T129" s="651"/>
      <c r="U129" s="651"/>
      <c r="V129" s="651"/>
      <c r="W129" s="651"/>
    </row>
    <row r="131" spans="1:25" ht="15.75" thickBot="1" x14ac:dyDescent="0.3">
      <c r="A131" s="629" t="s">
        <v>946</v>
      </c>
    </row>
    <row r="132" spans="1:25" s="391" customFormat="1" ht="15.75" thickBot="1" x14ac:dyDescent="0.3">
      <c r="A132" s="442" t="s">
        <v>919</v>
      </c>
      <c r="B132" s="655" t="s">
        <v>947</v>
      </c>
      <c r="C132" s="655" t="s">
        <v>5</v>
      </c>
      <c r="D132" s="656" t="s">
        <v>948</v>
      </c>
      <c r="E132" s="657" t="s">
        <v>251</v>
      </c>
      <c r="F132" s="656" t="s">
        <v>949</v>
      </c>
      <c r="G132" s="658" t="s">
        <v>278</v>
      </c>
      <c r="H132" s="656" t="s">
        <v>950</v>
      </c>
      <c r="I132" s="658" t="s">
        <v>951</v>
      </c>
      <c r="J132" s="657" t="s">
        <v>952</v>
      </c>
      <c r="K132" s="658" t="s">
        <v>953</v>
      </c>
      <c r="L132" s="656" t="s">
        <v>954</v>
      </c>
      <c r="M132" s="659" t="s">
        <v>922</v>
      </c>
      <c r="N132" s="660" t="s">
        <v>394</v>
      </c>
      <c r="O132" s="661" t="s">
        <v>395</v>
      </c>
      <c r="P132" s="661" t="s">
        <v>955</v>
      </c>
      <c r="Q132" s="661" t="s">
        <v>956</v>
      </c>
      <c r="R132" s="662" t="s">
        <v>957</v>
      </c>
      <c r="S132" s="662" t="s">
        <v>958</v>
      </c>
      <c r="T132" s="662" t="s">
        <v>959</v>
      </c>
      <c r="U132" s="662" t="s">
        <v>960</v>
      </c>
      <c r="V132" s="662" t="s">
        <v>961</v>
      </c>
    </row>
    <row r="133" spans="1:25" s="638" customFormat="1" x14ac:dyDescent="0.25">
      <c r="A133" s="455" t="s">
        <v>8</v>
      </c>
      <c r="B133" s="641" t="s">
        <v>962</v>
      </c>
      <c r="C133" s="663">
        <v>40918</v>
      </c>
      <c r="D133" s="640" t="s">
        <v>256</v>
      </c>
      <c r="E133" s="664"/>
      <c r="F133" s="640" t="s">
        <v>370</v>
      </c>
      <c r="G133" s="665"/>
      <c r="H133" s="640" t="s">
        <v>963</v>
      </c>
      <c r="I133" s="666"/>
      <c r="J133" s="640" t="s">
        <v>964</v>
      </c>
      <c r="K133" s="640"/>
      <c r="L133" s="641" t="s">
        <v>818</v>
      </c>
      <c r="M133" s="642">
        <v>130000</v>
      </c>
      <c r="N133" s="667" t="s">
        <v>397</v>
      </c>
      <c r="O133" s="668" t="s">
        <v>398</v>
      </c>
      <c r="P133" s="669"/>
      <c r="Q133" s="670"/>
      <c r="R133" s="671"/>
      <c r="S133" s="671"/>
      <c r="T133" s="671"/>
      <c r="U133" s="671"/>
      <c r="V133" s="671"/>
      <c r="W133" s="391"/>
    </row>
    <row r="134" spans="1:25" x14ac:dyDescent="0.25">
      <c r="A134" s="442" t="s">
        <v>928</v>
      </c>
      <c r="B134" s="639" t="s">
        <v>929</v>
      </c>
      <c r="C134" s="639" t="s">
        <v>929</v>
      </c>
      <c r="D134" s="639" t="s">
        <v>965</v>
      </c>
      <c r="E134" s="639" t="s">
        <v>966</v>
      </c>
      <c r="F134" s="639" t="s">
        <v>965</v>
      </c>
      <c r="G134" s="639" t="s">
        <v>966</v>
      </c>
      <c r="H134" s="639" t="s">
        <v>929</v>
      </c>
      <c r="I134" s="639" t="s">
        <v>966</v>
      </c>
      <c r="J134" s="639" t="s">
        <v>965</v>
      </c>
      <c r="K134" s="639" t="s">
        <v>929</v>
      </c>
      <c r="L134" s="639" t="s">
        <v>166</v>
      </c>
      <c r="M134" s="639" t="s">
        <v>177</v>
      </c>
      <c r="N134" s="639" t="s">
        <v>34</v>
      </c>
      <c r="O134" s="639" t="s">
        <v>60</v>
      </c>
      <c r="P134" s="639" t="s">
        <v>167</v>
      </c>
      <c r="Q134" s="639" t="s">
        <v>60</v>
      </c>
      <c r="R134" s="639" t="s">
        <v>81</v>
      </c>
      <c r="S134" s="639" t="s">
        <v>81</v>
      </c>
      <c r="T134" s="639" t="s">
        <v>965</v>
      </c>
      <c r="U134" s="639" t="s">
        <v>167</v>
      </c>
      <c r="V134" s="639" t="s">
        <v>167</v>
      </c>
    </row>
    <row r="135" spans="1:25" x14ac:dyDescent="0.25">
      <c r="A135" s="442" t="s">
        <v>932</v>
      </c>
      <c r="B135" s="639">
        <v>10</v>
      </c>
      <c r="C135" s="639">
        <v>12</v>
      </c>
      <c r="D135" s="639" t="s">
        <v>967</v>
      </c>
      <c r="E135" s="639" t="s">
        <v>967</v>
      </c>
      <c r="F135" s="639" t="s">
        <v>84</v>
      </c>
      <c r="G135" s="639" t="s">
        <v>84</v>
      </c>
      <c r="H135" s="639" t="s">
        <v>248</v>
      </c>
      <c r="I135" s="639" t="s">
        <v>170</v>
      </c>
      <c r="J135" s="639" t="s">
        <v>968</v>
      </c>
      <c r="K135" s="639">
        <v>18</v>
      </c>
      <c r="L135" s="639" t="s">
        <v>969</v>
      </c>
      <c r="M135" s="639" t="s">
        <v>78</v>
      </c>
      <c r="N135" s="639" t="s">
        <v>970</v>
      </c>
      <c r="O135" s="639" t="s">
        <v>970</v>
      </c>
      <c r="P135" s="639" t="s">
        <v>970</v>
      </c>
      <c r="Q135" s="639">
        <v>12</v>
      </c>
      <c r="R135" s="639" t="s">
        <v>170</v>
      </c>
      <c r="S135" s="639" t="s">
        <v>170</v>
      </c>
      <c r="T135" s="639" t="s">
        <v>170</v>
      </c>
      <c r="U135" s="639" t="s">
        <v>170</v>
      </c>
      <c r="V135" s="639" t="s">
        <v>170</v>
      </c>
    </row>
    <row r="136" spans="1:25" x14ac:dyDescent="0.25">
      <c r="A136" s="442" t="s">
        <v>936</v>
      </c>
      <c r="E136" s="648" t="s">
        <v>971</v>
      </c>
      <c r="G136" s="648" t="s">
        <v>972</v>
      </c>
      <c r="I136" s="646"/>
      <c r="K136" s="648" t="s">
        <v>953</v>
      </c>
      <c r="M136" s="646" t="s">
        <v>937</v>
      </c>
      <c r="N136" s="646"/>
      <c r="O136" s="647" t="s">
        <v>973</v>
      </c>
      <c r="P136" s="646" t="s">
        <v>974</v>
      </c>
    </row>
    <row r="137" spans="1:25" x14ac:dyDescent="0.25">
      <c r="A137" s="442" t="s">
        <v>939</v>
      </c>
      <c r="E137" s="648"/>
      <c r="G137" s="648"/>
      <c r="I137" s="461"/>
      <c r="K137" s="651" t="s">
        <v>940</v>
      </c>
      <c r="N137" s="650"/>
      <c r="R137" s="651" t="s">
        <v>975</v>
      </c>
      <c r="S137" s="651" t="s">
        <v>976</v>
      </c>
      <c r="T137" s="651" t="s">
        <v>977</v>
      </c>
      <c r="U137" s="651" t="s">
        <v>978</v>
      </c>
      <c r="V137" s="651" t="s">
        <v>979</v>
      </c>
    </row>
    <row r="139" spans="1:25" ht="15.75" thickBot="1" x14ac:dyDescent="0.3">
      <c r="A139" s="629" t="s">
        <v>980</v>
      </c>
      <c r="B139" s="629"/>
      <c r="C139" s="629"/>
      <c r="D139" s="629"/>
      <c r="E139" s="629"/>
      <c r="F139" s="629"/>
      <c r="G139" s="629"/>
      <c r="H139" s="629"/>
      <c r="I139" s="629"/>
      <c r="J139" s="629"/>
      <c r="P139" s="629"/>
      <c r="Q139" s="629"/>
    </row>
    <row r="140" spans="1:25" ht="15.75" thickBot="1" x14ac:dyDescent="0.3">
      <c r="A140" s="618" t="s">
        <v>157</v>
      </c>
      <c r="B140" s="442" t="s">
        <v>919</v>
      </c>
      <c r="C140" s="635" t="s">
        <v>981</v>
      </c>
      <c r="D140" s="635" t="s">
        <v>771</v>
      </c>
      <c r="E140" s="635" t="s">
        <v>982</v>
      </c>
      <c r="F140" s="635" t="s">
        <v>983</v>
      </c>
      <c r="G140" s="635" t="s">
        <v>922</v>
      </c>
      <c r="H140" s="635" t="s">
        <v>984</v>
      </c>
      <c r="I140" s="635" t="s">
        <v>985</v>
      </c>
      <c r="J140" s="635" t="s">
        <v>986</v>
      </c>
      <c r="K140" s="635" t="s">
        <v>987</v>
      </c>
      <c r="L140" s="635" t="s">
        <v>988</v>
      </c>
      <c r="M140" s="635" t="s">
        <v>989</v>
      </c>
      <c r="N140" s="635" t="s">
        <v>990</v>
      </c>
      <c r="P140" s="635" t="s">
        <v>985</v>
      </c>
      <c r="Q140" s="635" t="s">
        <v>986</v>
      </c>
      <c r="R140" s="635" t="s">
        <v>987</v>
      </c>
      <c r="S140" s="635" t="s">
        <v>988</v>
      </c>
      <c r="T140" s="635" t="s">
        <v>989</v>
      </c>
      <c r="U140" s="635" t="s">
        <v>990</v>
      </c>
    </row>
    <row r="141" spans="1:25" s="638" customFormat="1" x14ac:dyDescent="0.25">
      <c r="A141" s="624"/>
      <c r="B141" s="455" t="s">
        <v>8</v>
      </c>
      <c r="C141" s="672" t="s">
        <v>991</v>
      </c>
      <c r="D141" s="663" t="s">
        <v>992</v>
      </c>
      <c r="E141" s="673" t="s">
        <v>993</v>
      </c>
      <c r="F141" s="664"/>
      <c r="G141" s="674">
        <v>2298687.7200000002</v>
      </c>
      <c r="H141" s="665"/>
      <c r="I141" s="675" t="s">
        <v>459</v>
      </c>
      <c r="J141" s="676" t="s">
        <v>994</v>
      </c>
      <c r="K141" s="675"/>
      <c r="L141" s="675"/>
      <c r="M141" s="677"/>
      <c r="N141" s="678"/>
      <c r="O141" s="414"/>
      <c r="P141" s="640" t="s">
        <v>459</v>
      </c>
      <c r="Q141" s="679"/>
      <c r="R141" s="640" t="s">
        <v>995</v>
      </c>
      <c r="S141" s="640" t="s">
        <v>459</v>
      </c>
      <c r="T141" s="641" t="s">
        <v>338</v>
      </c>
      <c r="U141" s="642" t="s">
        <v>996</v>
      </c>
      <c r="V141" s="414"/>
      <c r="W141" s="414"/>
      <c r="X141" s="414"/>
      <c r="Y141" s="414"/>
    </row>
    <row r="142" spans="1:25" x14ac:dyDescent="0.25">
      <c r="A142" s="624"/>
      <c r="B142" s="442" t="s">
        <v>928</v>
      </c>
      <c r="C142" s="639" t="s">
        <v>248</v>
      </c>
      <c r="D142" s="639" t="s">
        <v>997</v>
      </c>
      <c r="E142" s="639" t="s">
        <v>177</v>
      </c>
      <c r="F142" s="639" t="s">
        <v>248</v>
      </c>
      <c r="G142" s="639" t="s">
        <v>248</v>
      </c>
      <c r="H142" s="639" t="s">
        <v>60</v>
      </c>
      <c r="I142" s="680"/>
      <c r="J142" s="681"/>
      <c r="K142" s="639"/>
      <c r="L142" s="639"/>
      <c r="M142" s="639"/>
      <c r="N142" s="639"/>
      <c r="P142" s="639">
        <v>10</v>
      </c>
      <c r="Q142" s="639" t="s">
        <v>81</v>
      </c>
      <c r="R142" s="639" t="s">
        <v>34</v>
      </c>
      <c r="S142" s="639" t="s">
        <v>177</v>
      </c>
      <c r="T142" s="639" t="s">
        <v>81</v>
      </c>
      <c r="U142" s="639" t="s">
        <v>81</v>
      </c>
    </row>
    <row r="143" spans="1:25" x14ac:dyDescent="0.25">
      <c r="A143" s="624"/>
      <c r="B143" s="442" t="s">
        <v>932</v>
      </c>
      <c r="C143" s="639" t="s">
        <v>60</v>
      </c>
      <c r="D143" s="639" t="s">
        <v>60</v>
      </c>
      <c r="E143" s="639" t="s">
        <v>84</v>
      </c>
      <c r="F143" s="639" t="s">
        <v>78</v>
      </c>
      <c r="G143" s="639" t="s">
        <v>934</v>
      </c>
      <c r="H143" s="639" t="s">
        <v>970</v>
      </c>
      <c r="I143" s="680" t="s">
        <v>969</v>
      </c>
      <c r="J143" s="681"/>
      <c r="K143" s="639"/>
      <c r="L143" s="639"/>
      <c r="M143" s="639"/>
      <c r="N143" s="639"/>
      <c r="P143" s="639" t="s">
        <v>81</v>
      </c>
      <c r="Q143" s="639" t="s">
        <v>81</v>
      </c>
      <c r="R143" s="639"/>
      <c r="S143" s="639" t="s">
        <v>81</v>
      </c>
      <c r="T143" s="639" t="s">
        <v>249</v>
      </c>
      <c r="U143" s="639" t="s">
        <v>168</v>
      </c>
    </row>
    <row r="144" spans="1:25" x14ac:dyDescent="0.25">
      <c r="A144" s="624"/>
      <c r="B144" s="442" t="s">
        <v>936</v>
      </c>
      <c r="D144" s="648" t="s">
        <v>998</v>
      </c>
      <c r="F144" s="648" t="s">
        <v>999</v>
      </c>
      <c r="G144" s="682" t="s">
        <v>1000</v>
      </c>
      <c r="H144" s="648" t="s">
        <v>973</v>
      </c>
      <c r="I144" s="683" t="s">
        <v>1001</v>
      </c>
      <c r="K144" s="684"/>
      <c r="L144" s="683"/>
      <c r="M144" s="683"/>
      <c r="N144" s="685"/>
      <c r="P144" s="648" t="s">
        <v>1002</v>
      </c>
      <c r="Q144" s="683" t="s">
        <v>1003</v>
      </c>
      <c r="R144" s="684"/>
      <c r="S144" s="683" t="s">
        <v>1004</v>
      </c>
      <c r="T144" s="683" t="s">
        <v>1005</v>
      </c>
      <c r="U144" s="685"/>
    </row>
    <row r="145" spans="1:25" x14ac:dyDescent="0.25">
      <c r="A145" s="624"/>
      <c r="B145" s="442" t="s">
        <v>939</v>
      </c>
      <c r="C145" s="414" t="s">
        <v>1006</v>
      </c>
      <c r="D145" s="414" t="s">
        <v>1007</v>
      </c>
      <c r="F145" s="648"/>
      <c r="H145" s="648"/>
      <c r="J145" s="686"/>
      <c r="L145" s="651"/>
      <c r="Q145" s="461"/>
      <c r="S145" s="651"/>
      <c r="U145" s="414" t="s">
        <v>1008</v>
      </c>
    </row>
    <row r="147" spans="1:25" ht="15.75" thickBot="1" x14ac:dyDescent="0.3">
      <c r="A147" s="629" t="s">
        <v>1009</v>
      </c>
      <c r="B147" s="629"/>
      <c r="C147" s="629"/>
      <c r="D147" s="629"/>
      <c r="E147" s="629"/>
      <c r="F147" s="629"/>
      <c r="G147" s="629"/>
      <c r="H147" s="629"/>
      <c r="I147" s="629"/>
      <c r="J147" s="629"/>
    </row>
    <row r="148" spans="1:25" ht="15.75" thickBot="1" x14ac:dyDescent="0.3">
      <c r="A148" s="618" t="s">
        <v>32</v>
      </c>
      <c r="B148" s="442" t="s">
        <v>919</v>
      </c>
      <c r="C148" s="635" t="s">
        <v>981</v>
      </c>
      <c r="D148" s="635" t="s">
        <v>771</v>
      </c>
      <c r="E148" s="635" t="s">
        <v>982</v>
      </c>
      <c r="F148" s="635" t="s">
        <v>983</v>
      </c>
      <c r="G148" s="635" t="s">
        <v>922</v>
      </c>
      <c r="H148" s="635" t="s">
        <v>984</v>
      </c>
      <c r="I148" s="635" t="s">
        <v>985</v>
      </c>
      <c r="J148" s="635" t="s">
        <v>986</v>
      </c>
      <c r="K148" s="635" t="s">
        <v>987</v>
      </c>
      <c r="L148" s="635" t="s">
        <v>988</v>
      </c>
      <c r="M148" s="635" t="s">
        <v>989</v>
      </c>
      <c r="N148" s="635" t="s">
        <v>990</v>
      </c>
      <c r="Q148" s="410" t="s">
        <v>425</v>
      </c>
    </row>
    <row r="149" spans="1:25" s="638" customFormat="1" x14ac:dyDescent="0.25">
      <c r="A149" s="624"/>
      <c r="B149" s="455" t="s">
        <v>8</v>
      </c>
      <c r="C149" s="672" t="s">
        <v>991</v>
      </c>
      <c r="D149" s="663" t="s">
        <v>992</v>
      </c>
      <c r="E149" s="673" t="s">
        <v>993</v>
      </c>
      <c r="F149" s="664"/>
      <c r="G149" s="674">
        <v>2298687.7200000002</v>
      </c>
      <c r="H149" s="665"/>
      <c r="I149" s="687" t="s">
        <v>362</v>
      </c>
      <c r="J149" s="676" t="s">
        <v>994</v>
      </c>
      <c r="K149" s="688" t="s">
        <v>1010</v>
      </c>
      <c r="L149" s="688" t="s">
        <v>420</v>
      </c>
      <c r="M149" s="689" t="s">
        <v>288</v>
      </c>
      <c r="N149" s="678"/>
      <c r="O149" s="414"/>
      <c r="P149" s="414"/>
      <c r="Q149" s="410" t="s">
        <v>413</v>
      </c>
      <c r="R149" s="414"/>
      <c r="S149" s="414"/>
      <c r="T149" s="414"/>
      <c r="U149" s="414"/>
      <c r="V149" s="414"/>
      <c r="W149" s="414"/>
      <c r="X149" s="414"/>
      <c r="Y149" s="414"/>
    </row>
    <row r="150" spans="1:25" x14ac:dyDescent="0.25">
      <c r="A150" s="624"/>
      <c r="B150" s="442" t="s">
        <v>928</v>
      </c>
      <c r="C150" s="639" t="s">
        <v>248</v>
      </c>
      <c r="D150" s="639" t="s">
        <v>997</v>
      </c>
      <c r="E150" s="639" t="s">
        <v>177</v>
      </c>
      <c r="F150" s="639" t="s">
        <v>248</v>
      </c>
      <c r="G150" s="639" t="s">
        <v>248</v>
      </c>
      <c r="H150" s="639" t="s">
        <v>60</v>
      </c>
      <c r="I150" s="639" t="s">
        <v>943</v>
      </c>
      <c r="J150" s="681"/>
      <c r="K150" s="639"/>
      <c r="L150" s="639"/>
      <c r="M150" s="639" t="s">
        <v>187</v>
      </c>
      <c r="N150" s="639"/>
      <c r="Q150" s="410" t="s">
        <v>416</v>
      </c>
    </row>
    <row r="151" spans="1:25" x14ac:dyDescent="0.25">
      <c r="A151" s="624"/>
      <c r="B151" s="442" t="s">
        <v>932</v>
      </c>
      <c r="C151" s="639" t="s">
        <v>170</v>
      </c>
      <c r="D151" s="639" t="s">
        <v>1011</v>
      </c>
      <c r="E151" s="681" t="s">
        <v>34</v>
      </c>
      <c r="F151" s="681" t="s">
        <v>934</v>
      </c>
      <c r="G151" s="639" t="s">
        <v>1012</v>
      </c>
      <c r="H151" s="639" t="s">
        <v>1013</v>
      </c>
      <c r="I151" s="639" t="s">
        <v>1014</v>
      </c>
      <c r="J151" s="681" t="s">
        <v>170</v>
      </c>
      <c r="K151" s="639" t="s">
        <v>1014</v>
      </c>
      <c r="L151" s="639" t="s">
        <v>1014</v>
      </c>
      <c r="M151" s="639" t="s">
        <v>934</v>
      </c>
      <c r="N151" s="639"/>
      <c r="Q151" s="410" t="s">
        <v>341</v>
      </c>
    </row>
    <row r="152" spans="1:25" ht="60" x14ac:dyDescent="0.25">
      <c r="A152" s="624"/>
      <c r="B152" s="442" t="s">
        <v>936</v>
      </c>
      <c r="C152" s="681" t="s">
        <v>1015</v>
      </c>
      <c r="D152" s="681" t="s">
        <v>1016</v>
      </c>
      <c r="E152" s="648"/>
      <c r="F152" s="690" t="s">
        <v>999</v>
      </c>
      <c r="G152" s="681" t="s">
        <v>1015</v>
      </c>
      <c r="H152" s="681" t="s">
        <v>973</v>
      </c>
      <c r="I152" s="691" t="s">
        <v>1017</v>
      </c>
      <c r="J152" s="692" t="s">
        <v>1018</v>
      </c>
      <c r="K152" s="693" t="s">
        <v>1019</v>
      </c>
      <c r="L152" s="691"/>
      <c r="M152" s="694" t="s">
        <v>1020</v>
      </c>
      <c r="N152" s="685"/>
      <c r="Q152" s="410" t="s">
        <v>460</v>
      </c>
    </row>
    <row r="153" spans="1:25" x14ac:dyDescent="0.25">
      <c r="A153" s="624"/>
      <c r="B153" s="442" t="s">
        <v>939</v>
      </c>
      <c r="E153" s="646"/>
      <c r="F153" s="648"/>
      <c r="H153" s="648"/>
      <c r="I153" s="648"/>
      <c r="J153" s="686"/>
      <c r="L153" s="651"/>
      <c r="M153" s="695"/>
    </row>
    <row r="154" spans="1:25" x14ac:dyDescent="0.25">
      <c r="I154" s="696"/>
    </row>
    <row r="155" spans="1:25" ht="15.75" thickBot="1" x14ac:dyDescent="0.3">
      <c r="A155" s="697" t="s">
        <v>1021</v>
      </c>
      <c r="B155" s="629"/>
      <c r="C155" s="629"/>
      <c r="D155" s="629"/>
      <c r="E155" s="629"/>
      <c r="F155" s="629"/>
      <c r="G155" s="629"/>
      <c r="H155" s="629"/>
      <c r="I155" s="629"/>
      <c r="J155" s="629"/>
    </row>
    <row r="156" spans="1:25" ht="15.75" thickBot="1" x14ac:dyDescent="0.3">
      <c r="A156" s="636" t="s">
        <v>925</v>
      </c>
      <c r="B156" s="636" t="s">
        <v>770</v>
      </c>
      <c r="J156" s="698"/>
    </row>
    <row r="158" spans="1:25" ht="15.75" thickBot="1" x14ac:dyDescent="0.3">
      <c r="A158" s="629" t="s">
        <v>1022</v>
      </c>
      <c r="B158" s="629"/>
      <c r="C158" s="629"/>
      <c r="D158" s="629"/>
      <c r="E158" s="629"/>
      <c r="F158" s="629"/>
      <c r="G158" s="629"/>
      <c r="H158" s="629"/>
      <c r="I158" s="629"/>
      <c r="J158" s="629"/>
    </row>
    <row r="159" spans="1:25" ht="15.75" thickBot="1" x14ac:dyDescent="0.3">
      <c r="A159" s="636" t="s">
        <v>1023</v>
      </c>
      <c r="B159" s="636" t="s">
        <v>1024</v>
      </c>
      <c r="J159" s="698"/>
    </row>
    <row r="161" spans="1:22" ht="15.75" thickBot="1" x14ac:dyDescent="0.3">
      <c r="A161" s="699" t="s">
        <v>1025</v>
      </c>
      <c r="B161" s="700"/>
      <c r="C161" s="700"/>
      <c r="D161" s="700"/>
      <c r="E161" s="700"/>
      <c r="F161" s="629"/>
      <c r="G161" s="629"/>
      <c r="H161" s="629"/>
      <c r="I161" s="629"/>
      <c r="J161" s="629"/>
    </row>
    <row r="162" spans="1:22" ht="15.75" thickBot="1" x14ac:dyDescent="0.3">
      <c r="A162" s="635" t="s">
        <v>1026</v>
      </c>
      <c r="B162" s="635" t="s">
        <v>1027</v>
      </c>
      <c r="C162" s="635" t="s">
        <v>983</v>
      </c>
      <c r="D162" s="635" t="s">
        <v>1028</v>
      </c>
      <c r="E162" s="635" t="s">
        <v>957</v>
      </c>
      <c r="F162" s="635" t="s">
        <v>958</v>
      </c>
      <c r="G162" s="635" t="s">
        <v>959</v>
      </c>
      <c r="H162" s="635" t="s">
        <v>960</v>
      </c>
      <c r="I162" s="635" t="s">
        <v>961</v>
      </c>
      <c r="J162" s="635" t="s">
        <v>1029</v>
      </c>
      <c r="K162" s="635" t="s">
        <v>1030</v>
      </c>
      <c r="L162" s="635" t="s">
        <v>1031</v>
      </c>
      <c r="M162" s="635" t="s">
        <v>1032</v>
      </c>
      <c r="N162" s="635" t="s">
        <v>1033</v>
      </c>
      <c r="O162" s="635" t="s">
        <v>1034</v>
      </c>
      <c r="P162" s="635" t="s">
        <v>1035</v>
      </c>
      <c r="Q162" s="635" t="s">
        <v>1036</v>
      </c>
      <c r="R162" s="635" t="s">
        <v>1037</v>
      </c>
      <c r="S162" s="635" t="s">
        <v>1038</v>
      </c>
      <c r="T162" s="635" t="s">
        <v>1039</v>
      </c>
      <c r="U162" s="635" t="s">
        <v>1040</v>
      </c>
      <c r="V162" s="701" t="s">
        <v>1041</v>
      </c>
    </row>
    <row r="164" spans="1:22" ht="15.75" thickBot="1" x14ac:dyDescent="0.3">
      <c r="A164" s="629" t="s">
        <v>1042</v>
      </c>
    </row>
    <row r="165" spans="1:22" ht="15.75" thickBot="1" x14ac:dyDescent="0.3">
      <c r="A165" s="635" t="s">
        <v>69</v>
      </c>
      <c r="B165" s="635" t="s">
        <v>901</v>
      </c>
      <c r="C165" s="635" t="s">
        <v>1028</v>
      </c>
      <c r="D165" s="635" t="s">
        <v>1033</v>
      </c>
      <c r="E165" s="635" t="s">
        <v>957</v>
      </c>
      <c r="F165" s="635" t="s">
        <v>958</v>
      </c>
      <c r="G165" s="635" t="s">
        <v>959</v>
      </c>
      <c r="H165" s="635" t="s">
        <v>960</v>
      </c>
      <c r="I165" s="635" t="s">
        <v>961</v>
      </c>
      <c r="J165" s="635" t="s">
        <v>1036</v>
      </c>
      <c r="K165" s="635" t="s">
        <v>1037</v>
      </c>
      <c r="L165" s="635" t="s">
        <v>1038</v>
      </c>
      <c r="M165" s="635" t="s">
        <v>1039</v>
      </c>
      <c r="N165" s="635" t="s">
        <v>1040</v>
      </c>
    </row>
    <row r="167" spans="1:22" ht="15.75" thickBot="1" x14ac:dyDescent="0.3">
      <c r="A167" s="629" t="s">
        <v>1043</v>
      </c>
    </row>
    <row r="168" spans="1:22" ht="15.75" thickBot="1" x14ac:dyDescent="0.3">
      <c r="A168" s="635" t="s">
        <v>1044</v>
      </c>
      <c r="B168" s="635" t="s">
        <v>901</v>
      </c>
      <c r="C168" s="635" t="s">
        <v>1045</v>
      </c>
    </row>
    <row r="169" spans="1:22" x14ac:dyDescent="0.25">
      <c r="A169" s="437" t="s">
        <v>248</v>
      </c>
      <c r="B169" s="437" t="s">
        <v>1046</v>
      </c>
      <c r="C169" s="437" t="s">
        <v>933</v>
      </c>
    </row>
    <row r="170" spans="1:22" ht="15.75" thickBot="1" x14ac:dyDescent="0.3">
      <c r="A170" s="437"/>
      <c r="B170" s="437"/>
    </row>
    <row r="171" spans="1:22" ht="15.75" thickBot="1" x14ac:dyDescent="0.3">
      <c r="A171" s="702" t="s">
        <v>1047</v>
      </c>
      <c r="B171" s="437"/>
      <c r="I171" s="703" t="s">
        <v>111</v>
      </c>
      <c r="N171" s="704" t="s">
        <v>881</v>
      </c>
    </row>
    <row r="172" spans="1:22" s="440" customFormat="1" ht="25.5" x14ac:dyDescent="0.25">
      <c r="A172" s="442" t="s">
        <v>744</v>
      </c>
      <c r="B172" s="705" t="s">
        <v>1048</v>
      </c>
      <c r="C172" s="594" t="s">
        <v>1049</v>
      </c>
      <c r="D172" s="706" t="s">
        <v>1050</v>
      </c>
      <c r="E172" s="706" t="s">
        <v>1051</v>
      </c>
      <c r="F172" s="707" t="s">
        <v>1052</v>
      </c>
      <c r="G172" s="707" t="s">
        <v>1053</v>
      </c>
      <c r="H172" s="707" t="s">
        <v>1054</v>
      </c>
      <c r="I172" s="708" t="s">
        <v>1055</v>
      </c>
      <c r="J172" s="709" t="s">
        <v>1056</v>
      </c>
      <c r="K172" s="710" t="s">
        <v>1057</v>
      </c>
      <c r="L172" s="711" t="s">
        <v>1058</v>
      </c>
      <c r="M172" s="711" t="s">
        <v>1059</v>
      </c>
      <c r="N172" s="711" t="s">
        <v>264</v>
      </c>
    </row>
    <row r="173" spans="1:22" s="440" customFormat="1" x14ac:dyDescent="0.25">
      <c r="A173" s="455" t="s">
        <v>772</v>
      </c>
      <c r="B173" s="612"/>
      <c r="C173" s="613"/>
    </row>
    <row r="174" spans="1:22" s="440" customFormat="1" x14ac:dyDescent="0.25">
      <c r="A174" s="442" t="s">
        <v>774</v>
      </c>
      <c r="B174" s="461">
        <v>1</v>
      </c>
      <c r="C174" s="461">
        <v>5</v>
      </c>
      <c r="D174" s="712">
        <v>45</v>
      </c>
      <c r="E174" s="712">
        <v>5</v>
      </c>
      <c r="F174" s="712">
        <v>7</v>
      </c>
      <c r="G174" s="712">
        <v>16</v>
      </c>
      <c r="H174" s="712">
        <v>10</v>
      </c>
      <c r="I174" s="712" t="s">
        <v>1060</v>
      </c>
      <c r="J174" s="712" t="s">
        <v>1061</v>
      </c>
      <c r="K174" s="712">
        <v>10</v>
      </c>
      <c r="L174" s="712" t="s">
        <v>1062</v>
      </c>
      <c r="M174" s="712" t="s">
        <v>929</v>
      </c>
      <c r="N174" s="712" t="s">
        <v>929</v>
      </c>
    </row>
    <row r="175" spans="1:22" s="440" customFormat="1" x14ac:dyDescent="0.25">
      <c r="A175" s="442" t="s">
        <v>776</v>
      </c>
      <c r="B175" s="713" t="s">
        <v>1063</v>
      </c>
      <c r="C175" s="461" t="s">
        <v>1064</v>
      </c>
      <c r="D175" s="461">
        <v>13</v>
      </c>
      <c r="E175" s="461">
        <v>14</v>
      </c>
      <c r="F175" s="461">
        <v>15</v>
      </c>
      <c r="G175" s="461">
        <v>16</v>
      </c>
      <c r="H175" s="461">
        <v>17</v>
      </c>
      <c r="I175" s="461">
        <v>18</v>
      </c>
      <c r="J175" s="461">
        <v>19</v>
      </c>
      <c r="K175" s="461">
        <v>20</v>
      </c>
      <c r="L175" s="461">
        <v>21</v>
      </c>
      <c r="M175" s="461">
        <v>22</v>
      </c>
      <c r="N175" s="461">
        <v>23</v>
      </c>
    </row>
    <row r="176" spans="1:22" s="639" customFormat="1" x14ac:dyDescent="0.25">
      <c r="A176" s="714" t="s">
        <v>777</v>
      </c>
      <c r="L176" s="639" t="s">
        <v>937</v>
      </c>
      <c r="M176" s="639" t="s">
        <v>937</v>
      </c>
      <c r="N176" s="639" t="s">
        <v>1065</v>
      </c>
    </row>
    <row r="177" spans="1:38" s="437" customFormat="1" x14ac:dyDescent="0.25">
      <c r="A177" s="442" t="s">
        <v>785</v>
      </c>
      <c r="C177" s="437" t="s">
        <v>1066</v>
      </c>
    </row>
    <row r="179" spans="1:38" s="440" customFormat="1" ht="25.5" x14ac:dyDescent="0.25">
      <c r="A179" s="442" t="s">
        <v>744</v>
      </c>
      <c r="B179" s="594" t="s">
        <v>1067</v>
      </c>
      <c r="C179" s="594" t="s">
        <v>1068</v>
      </c>
      <c r="D179" s="594" t="s">
        <v>1049</v>
      </c>
      <c r="E179" s="595" t="s">
        <v>872</v>
      </c>
      <c r="F179" s="596" t="s">
        <v>873</v>
      </c>
      <c r="G179" s="597" t="s">
        <v>874</v>
      </c>
      <c r="H179" s="594" t="s">
        <v>1069</v>
      </c>
      <c r="I179" s="594" t="s">
        <v>803</v>
      </c>
      <c r="J179" s="594" t="s">
        <v>875</v>
      </c>
      <c r="K179" s="594" t="s">
        <v>1070</v>
      </c>
      <c r="M179" s="598" t="s">
        <v>876</v>
      </c>
      <c r="N179" s="599" t="s">
        <v>877</v>
      </c>
      <c r="O179" s="600"/>
      <c r="P179" s="601" t="s">
        <v>102</v>
      </c>
      <c r="Q179" s="602" t="s">
        <v>878</v>
      </c>
      <c r="R179" s="601" t="s">
        <v>106</v>
      </c>
      <c r="S179" s="601" t="s">
        <v>52</v>
      </c>
      <c r="T179" s="601" t="s">
        <v>109</v>
      </c>
      <c r="U179" s="603" t="s">
        <v>111</v>
      </c>
      <c r="V179" s="604" t="s">
        <v>879</v>
      </c>
      <c r="W179" s="605" t="s">
        <v>880</v>
      </c>
      <c r="X179" s="601" t="s">
        <v>881</v>
      </c>
      <c r="Y179" s="606" t="s">
        <v>94</v>
      </c>
      <c r="Z179" s="607" t="s">
        <v>94</v>
      </c>
      <c r="AA179" s="607" t="s">
        <v>94</v>
      </c>
      <c r="AB179" s="607" t="s">
        <v>94</v>
      </c>
      <c r="AC179" s="601" t="s">
        <v>94</v>
      </c>
      <c r="AD179" s="601" t="s">
        <v>882</v>
      </c>
      <c r="AE179" s="601" t="s">
        <v>94</v>
      </c>
      <c r="AF179" s="601" t="s">
        <v>94</v>
      </c>
      <c r="AG179" s="608" t="s">
        <v>883</v>
      </c>
      <c r="AH179" s="609" t="s">
        <v>94</v>
      </c>
      <c r="AI179" s="601" t="s">
        <v>94</v>
      </c>
      <c r="AJ179" s="601" t="s">
        <v>94</v>
      </c>
      <c r="AK179" s="610" t="s">
        <v>884</v>
      </c>
      <c r="AL179" s="611"/>
    </row>
    <row r="180" spans="1:38" s="440" customFormat="1" x14ac:dyDescent="0.25">
      <c r="A180" s="455" t="s">
        <v>772</v>
      </c>
      <c r="B180" s="612"/>
      <c r="C180" s="612" t="str">
        <f>IF(B180&lt;&gt;"",1,"")</f>
        <v/>
      </c>
      <c r="D180" s="613"/>
      <c r="E180" s="715"/>
      <c r="F180" s="457"/>
      <c r="G180" s="616">
        <f>U180</f>
        <v>0</v>
      </c>
      <c r="H180" s="458"/>
      <c r="I180" s="462"/>
    </row>
    <row r="181" spans="1:38" s="440" customFormat="1" x14ac:dyDescent="0.25">
      <c r="A181" s="442" t="s">
        <v>774</v>
      </c>
      <c r="B181" s="461">
        <v>1</v>
      </c>
      <c r="C181" s="461"/>
      <c r="D181" s="461">
        <v>5</v>
      </c>
      <c r="E181" s="461">
        <v>8</v>
      </c>
      <c r="F181" s="461">
        <v>13</v>
      </c>
      <c r="G181" s="461">
        <v>14</v>
      </c>
      <c r="H181" s="461">
        <v>11</v>
      </c>
      <c r="I181" s="462">
        <v>20</v>
      </c>
      <c r="J181" s="463">
        <v>15</v>
      </c>
      <c r="K181" s="463">
        <v>10</v>
      </c>
      <c r="L181" s="463">
        <v>6</v>
      </c>
      <c r="M181" s="463">
        <v>6</v>
      </c>
      <c r="N181" s="463">
        <v>10</v>
      </c>
      <c r="O181" s="463">
        <v>1</v>
      </c>
      <c r="P181" s="463">
        <v>45</v>
      </c>
      <c r="Q181" s="463"/>
      <c r="R181" s="463">
        <v>13</v>
      </c>
      <c r="S181" s="463">
        <v>16</v>
      </c>
      <c r="T181" s="463">
        <v>10</v>
      </c>
      <c r="U181" s="463">
        <v>10</v>
      </c>
      <c r="V181" s="463">
        <v>10</v>
      </c>
      <c r="W181" s="463">
        <v>10</v>
      </c>
      <c r="X181" s="463">
        <v>10</v>
      </c>
      <c r="Y181" s="463">
        <v>10</v>
      </c>
      <c r="Z181" s="463">
        <v>0</v>
      </c>
      <c r="AA181" s="463">
        <v>0</v>
      </c>
      <c r="AB181" s="463">
        <v>0</v>
      </c>
      <c r="AC181" s="463">
        <v>0</v>
      </c>
      <c r="AD181" s="463">
        <v>0</v>
      </c>
      <c r="AE181" s="463">
        <v>0</v>
      </c>
      <c r="AF181" s="463">
        <v>0</v>
      </c>
      <c r="AG181" s="463">
        <v>0</v>
      </c>
      <c r="AH181" s="463">
        <v>0</v>
      </c>
      <c r="AI181" s="463">
        <v>0</v>
      </c>
      <c r="AJ181" s="463">
        <v>0</v>
      </c>
      <c r="AK181" s="463">
        <v>0</v>
      </c>
      <c r="AL181" s="463">
        <v>0</v>
      </c>
    </row>
    <row r="182" spans="1:38" s="440" customFormat="1" x14ac:dyDescent="0.25">
      <c r="A182" s="442" t="s">
        <v>776</v>
      </c>
      <c r="B182" s="461">
        <v>5</v>
      </c>
      <c r="C182" s="461"/>
      <c r="D182" s="461">
        <v>1</v>
      </c>
      <c r="E182" s="461">
        <v>2</v>
      </c>
      <c r="F182" s="461">
        <v>2</v>
      </c>
      <c r="G182" s="461"/>
      <c r="H182" s="461">
        <v>2</v>
      </c>
      <c r="I182" s="440">
        <v>2</v>
      </c>
      <c r="J182" s="440">
        <v>2</v>
      </c>
      <c r="K182" s="461">
        <v>2</v>
      </c>
      <c r="L182" s="462">
        <v>-1</v>
      </c>
      <c r="M182" s="461"/>
      <c r="P182" s="461"/>
      <c r="Q182" s="461"/>
      <c r="R182" s="463"/>
      <c r="S182" s="463"/>
      <c r="T182" s="463"/>
      <c r="U182" s="463"/>
      <c r="V182" s="463"/>
      <c r="W182" s="463"/>
      <c r="X182" s="463"/>
      <c r="Y182" s="463"/>
      <c r="Z182" s="463"/>
      <c r="AA182" s="464"/>
      <c r="AB182" s="463"/>
      <c r="AC182" s="463"/>
      <c r="AD182" s="463"/>
      <c r="AE182" s="463"/>
      <c r="AF182" s="463"/>
      <c r="AG182" s="463"/>
    </row>
    <row r="183" spans="1:38" s="440" customFormat="1" ht="44.25" customHeight="1" x14ac:dyDescent="0.25">
      <c r="A183" s="442" t="s">
        <v>777</v>
      </c>
      <c r="B183" s="716"/>
      <c r="C183" s="717" t="s">
        <v>1071</v>
      </c>
      <c r="D183" s="718" t="s">
        <v>1072</v>
      </c>
      <c r="E183" s="719" t="s">
        <v>1073</v>
      </c>
      <c r="F183" s="719" t="s">
        <v>1074</v>
      </c>
      <c r="G183" s="461"/>
      <c r="H183" s="719" t="s">
        <v>912</v>
      </c>
      <c r="I183" s="719" t="s">
        <v>911</v>
      </c>
      <c r="J183" s="716" t="s">
        <v>914</v>
      </c>
      <c r="K183" s="716" t="s">
        <v>1075</v>
      </c>
      <c r="L183" s="461"/>
      <c r="M183" s="461"/>
      <c r="P183" s="720" t="s">
        <v>887</v>
      </c>
      <c r="Q183" s="720"/>
      <c r="R183" s="463"/>
      <c r="S183" s="463"/>
      <c r="T183" s="463"/>
      <c r="U183" s="463"/>
      <c r="V183" s="463"/>
      <c r="W183" s="463"/>
      <c r="X183" s="463"/>
      <c r="Y183" s="463"/>
      <c r="Z183" s="463"/>
      <c r="AA183" s="464"/>
      <c r="AB183" s="463"/>
      <c r="AC183" s="463"/>
      <c r="AD183" s="463"/>
      <c r="AE183" s="463"/>
      <c r="AF183" s="463"/>
      <c r="AG183" s="463"/>
    </row>
    <row r="184" spans="1:38" s="440" customFormat="1" x14ac:dyDescent="0.25">
      <c r="A184" s="442" t="s">
        <v>785</v>
      </c>
      <c r="B184" s="461" t="s">
        <v>888</v>
      </c>
      <c r="C184" s="461"/>
      <c r="D184" s="461"/>
      <c r="E184" s="472"/>
      <c r="F184" s="472"/>
      <c r="G184" s="472"/>
      <c r="H184" s="472"/>
      <c r="I184" s="462"/>
      <c r="J184" s="461"/>
      <c r="K184" s="461"/>
      <c r="L184" s="461"/>
      <c r="M184" s="461"/>
      <c r="P184" s="461"/>
      <c r="Q184" s="461"/>
      <c r="R184" s="463"/>
      <c r="S184" s="463"/>
      <c r="T184" s="463"/>
      <c r="U184" s="463"/>
      <c r="V184" s="463"/>
      <c r="W184" s="463"/>
      <c r="X184" s="463"/>
      <c r="Y184" s="463"/>
      <c r="Z184" s="463"/>
      <c r="AA184" s="464"/>
      <c r="AB184" s="463"/>
      <c r="AC184" s="463"/>
      <c r="AD184" s="463"/>
      <c r="AE184" s="463"/>
      <c r="AF184" s="463"/>
      <c r="AG184" s="463"/>
    </row>
    <row r="186" spans="1:38" ht="15.75" thickBot="1" x14ac:dyDescent="0.3">
      <c r="A186" s="702" t="s">
        <v>1076</v>
      </c>
      <c r="B186" s="437"/>
    </row>
    <row r="187" spans="1:38" ht="29.25" customHeight="1" thickBot="1" x14ac:dyDescent="0.3">
      <c r="A187" s="442" t="s">
        <v>919</v>
      </c>
      <c r="B187" s="721" t="s">
        <v>1077</v>
      </c>
      <c r="C187" s="721" t="s">
        <v>1078</v>
      </c>
      <c r="D187" s="721" t="s">
        <v>1079</v>
      </c>
      <c r="E187" s="721" t="s">
        <v>873</v>
      </c>
      <c r="F187" s="721" t="s">
        <v>109</v>
      </c>
      <c r="G187" s="721" t="s">
        <v>803</v>
      </c>
      <c r="H187" s="721" t="s">
        <v>127</v>
      </c>
      <c r="I187" s="721" t="s">
        <v>1080</v>
      </c>
      <c r="J187" s="721" t="s">
        <v>1081</v>
      </c>
      <c r="K187" s="721" t="s">
        <v>1082</v>
      </c>
      <c r="L187" s="722" t="s">
        <v>927</v>
      </c>
      <c r="M187" s="721" t="s">
        <v>1083</v>
      </c>
    </row>
    <row r="188" spans="1:38" s="437" customFormat="1" x14ac:dyDescent="0.25">
      <c r="A188" s="455" t="s">
        <v>8</v>
      </c>
      <c r="B188" s="437" t="s">
        <v>1084</v>
      </c>
      <c r="C188" s="437" t="s">
        <v>1085</v>
      </c>
      <c r="D188" s="437" t="s">
        <v>1086</v>
      </c>
      <c r="E188" s="457" t="s">
        <v>1087</v>
      </c>
      <c r="F188" s="437" t="s">
        <v>389</v>
      </c>
      <c r="G188" s="437" t="s">
        <v>1088</v>
      </c>
      <c r="H188" s="437" t="s">
        <v>1089</v>
      </c>
      <c r="I188" s="437" t="s">
        <v>1090</v>
      </c>
      <c r="J188" s="437" t="s">
        <v>1091</v>
      </c>
      <c r="K188" s="639" t="s">
        <v>170</v>
      </c>
      <c r="L188" s="723" t="str">
        <f>H188&amp;" "&amp;C188&amp;" "&amp;B188</f>
        <v>394-1234567 7749/169409 04.04.2013 14:26:36</v>
      </c>
      <c r="M188" s="639" t="s">
        <v>170</v>
      </c>
      <c r="N188" s="414"/>
    </row>
    <row r="189" spans="1:38" s="437" customFormat="1" x14ac:dyDescent="0.25">
      <c r="A189" s="442" t="s">
        <v>928</v>
      </c>
      <c r="B189" s="639" t="s">
        <v>943</v>
      </c>
      <c r="C189" s="639" t="s">
        <v>1061</v>
      </c>
      <c r="D189" s="639" t="s">
        <v>166</v>
      </c>
      <c r="E189" s="639" t="s">
        <v>933</v>
      </c>
      <c r="F189" s="639" t="s">
        <v>81</v>
      </c>
      <c r="G189" s="639" t="s">
        <v>51</v>
      </c>
      <c r="H189" s="639" t="s">
        <v>177</v>
      </c>
      <c r="I189" s="639" t="s">
        <v>166</v>
      </c>
      <c r="J189" s="639" t="s">
        <v>51</v>
      </c>
      <c r="K189" s="639" t="s">
        <v>1092</v>
      </c>
      <c r="L189" s="724" t="s">
        <v>1093</v>
      </c>
      <c r="M189" s="639" t="s">
        <v>1094</v>
      </c>
      <c r="N189" s="414"/>
    </row>
    <row r="190" spans="1:38" s="437" customFormat="1" x14ac:dyDescent="0.25">
      <c r="A190" s="442" t="s">
        <v>932</v>
      </c>
      <c r="B190" s="437" t="s">
        <v>170</v>
      </c>
      <c r="C190" s="437" t="s">
        <v>170</v>
      </c>
      <c r="D190" s="639" t="s">
        <v>886</v>
      </c>
      <c r="E190" s="639" t="s">
        <v>886</v>
      </c>
      <c r="F190" s="639" t="s">
        <v>886</v>
      </c>
      <c r="G190" s="639" t="s">
        <v>886</v>
      </c>
      <c r="H190" s="725" t="s">
        <v>1063</v>
      </c>
      <c r="I190" s="639" t="s">
        <v>1095</v>
      </c>
      <c r="J190" s="725" t="s">
        <v>1096</v>
      </c>
      <c r="K190" s="725" t="s">
        <v>1097</v>
      </c>
      <c r="L190" s="725" t="s">
        <v>1098</v>
      </c>
      <c r="M190" s="437" t="s">
        <v>170</v>
      </c>
      <c r="N190" s="414"/>
    </row>
    <row r="191" spans="1:38" s="437" customFormat="1" x14ac:dyDescent="0.25">
      <c r="A191" s="442" t="s">
        <v>936</v>
      </c>
      <c r="B191" s="437" t="s">
        <v>1099</v>
      </c>
      <c r="C191" s="437" t="s">
        <v>1100</v>
      </c>
      <c r="L191" s="726"/>
      <c r="N191" s="414"/>
    </row>
    <row r="192" spans="1:38" s="437" customFormat="1" x14ac:dyDescent="0.25">
      <c r="A192" s="442" t="s">
        <v>939</v>
      </c>
      <c r="D192" s="727" t="s">
        <v>888</v>
      </c>
      <c r="E192" s="437" t="s">
        <v>1101</v>
      </c>
      <c r="F192" s="437" t="s">
        <v>1102</v>
      </c>
      <c r="G192" s="437" t="s">
        <v>1103</v>
      </c>
      <c r="I192" s="728" t="s">
        <v>1104</v>
      </c>
      <c r="L192" s="729"/>
    </row>
    <row r="194" spans="1:18" x14ac:dyDescent="0.25">
      <c r="A194" s="702" t="s">
        <v>1105</v>
      </c>
      <c r="B194" s="437"/>
    </row>
    <row r="195" spans="1:18" s="440" customFormat="1" x14ac:dyDescent="0.25">
      <c r="A195" s="442" t="s">
        <v>744</v>
      </c>
      <c r="B195" s="730" t="s">
        <v>127</v>
      </c>
      <c r="C195" s="731" t="s">
        <v>1106</v>
      </c>
      <c r="D195" s="639"/>
      <c r="E195" s="639"/>
      <c r="F195" s="639"/>
      <c r="G195" s="414"/>
      <c r="H195" s="414"/>
      <c r="I195" s="414"/>
      <c r="J195" s="414"/>
      <c r="K195" s="414"/>
      <c r="L195" s="414"/>
      <c r="M195" s="414"/>
      <c r="N195" s="414"/>
    </row>
    <row r="196" spans="1:18" s="440" customFormat="1" x14ac:dyDescent="0.25">
      <c r="A196" s="455" t="s">
        <v>772</v>
      </c>
      <c r="B196" s="732"/>
      <c r="C196" s="732"/>
      <c r="D196" s="639"/>
      <c r="E196" s="639"/>
      <c r="F196" s="639"/>
      <c r="G196" s="414"/>
      <c r="H196" s="414"/>
      <c r="I196" s="414"/>
      <c r="J196" s="414"/>
      <c r="K196" s="414"/>
      <c r="L196" s="414"/>
      <c r="M196" s="414"/>
      <c r="N196" s="414"/>
    </row>
    <row r="197" spans="1:18" s="440" customFormat="1" x14ac:dyDescent="0.25">
      <c r="A197" s="442" t="s">
        <v>774</v>
      </c>
      <c r="B197" s="461" t="s">
        <v>1107</v>
      </c>
      <c r="C197" s="461" t="s">
        <v>929</v>
      </c>
      <c r="D197" s="639"/>
      <c r="E197" s="639"/>
      <c r="F197" s="639"/>
      <c r="G197" s="414"/>
      <c r="H197" s="414"/>
      <c r="I197" s="414"/>
      <c r="J197" s="414"/>
      <c r="K197" s="414"/>
      <c r="L197" s="414"/>
      <c r="M197" s="414"/>
      <c r="N197" s="414"/>
    </row>
    <row r="198" spans="1:18" s="440" customFormat="1" x14ac:dyDescent="0.25">
      <c r="A198" s="442" t="s">
        <v>776</v>
      </c>
      <c r="B198" s="686">
        <v>4</v>
      </c>
      <c r="C198" s="686">
        <v>7</v>
      </c>
      <c r="D198" s="639"/>
      <c r="E198" s="639"/>
      <c r="F198" s="639"/>
      <c r="G198" s="414"/>
      <c r="H198" s="414"/>
      <c r="I198" s="414"/>
      <c r="J198" s="414"/>
      <c r="K198" s="414"/>
      <c r="L198" s="414"/>
      <c r="M198" s="414"/>
      <c r="N198" s="414"/>
    </row>
    <row r="199" spans="1:18" s="639" customFormat="1" x14ac:dyDescent="0.25">
      <c r="A199" s="714" t="s">
        <v>777</v>
      </c>
      <c r="B199" s="639" t="s">
        <v>1108</v>
      </c>
      <c r="C199" s="720" t="s">
        <v>1109</v>
      </c>
      <c r="G199" s="414"/>
      <c r="H199" s="414"/>
      <c r="I199" s="414"/>
      <c r="J199" s="414"/>
      <c r="K199" s="414"/>
      <c r="L199" s="414"/>
      <c r="M199" s="414"/>
      <c r="N199" s="414"/>
    </row>
    <row r="200" spans="1:18" s="437" customFormat="1" x14ac:dyDescent="0.25">
      <c r="A200" s="442" t="s">
        <v>785</v>
      </c>
      <c r="C200" s="639"/>
      <c r="D200" s="639"/>
      <c r="E200" s="639"/>
      <c r="F200" s="639"/>
      <c r="G200" s="414"/>
      <c r="H200" s="414"/>
      <c r="I200" s="414"/>
      <c r="J200" s="414"/>
      <c r="K200" s="414"/>
      <c r="L200" s="414"/>
      <c r="M200" s="414"/>
      <c r="N200" s="414"/>
    </row>
    <row r="202" spans="1:18" x14ac:dyDescent="0.25">
      <c r="A202" s="702" t="s">
        <v>1110</v>
      </c>
      <c r="B202" s="437"/>
    </row>
    <row r="203" spans="1:18" s="440" customFormat="1" x14ac:dyDescent="0.25">
      <c r="A203" s="442" t="s">
        <v>744</v>
      </c>
      <c r="B203" s="733" t="s">
        <v>127</v>
      </c>
      <c r="C203" s="733" t="s">
        <v>1111</v>
      </c>
      <c r="D203" s="733" t="s">
        <v>1112</v>
      </c>
      <c r="E203" s="733" t="s">
        <v>1113</v>
      </c>
      <c r="F203" s="733" t="s">
        <v>1114</v>
      </c>
      <c r="G203" s="733" t="s">
        <v>1115</v>
      </c>
      <c r="H203" s="733" t="s">
        <v>1116</v>
      </c>
      <c r="I203" s="733" t="s">
        <v>1117</v>
      </c>
      <c r="J203" s="733" t="s">
        <v>1118</v>
      </c>
      <c r="K203" s="733" t="s">
        <v>424</v>
      </c>
      <c r="L203" s="733" t="s">
        <v>1119</v>
      </c>
      <c r="M203" s="733" t="s">
        <v>1120</v>
      </c>
      <c r="N203" s="733" t="s">
        <v>1121</v>
      </c>
      <c r="O203" s="733" t="s">
        <v>1122</v>
      </c>
      <c r="P203" s="733" t="s">
        <v>1123</v>
      </c>
      <c r="Q203" s="733" t="s">
        <v>1124</v>
      </c>
      <c r="R203" s="733" t="s">
        <v>1125</v>
      </c>
    </row>
    <row r="204" spans="1:18" s="440" customFormat="1" x14ac:dyDescent="0.25">
      <c r="A204" s="455" t="s">
        <v>772</v>
      </c>
      <c r="B204" s="713" t="s">
        <v>1126</v>
      </c>
      <c r="C204" s="713" t="s">
        <v>1127</v>
      </c>
      <c r="D204" s="713"/>
      <c r="E204" s="713"/>
      <c r="F204" s="713"/>
      <c r="G204" s="713"/>
      <c r="H204" s="713"/>
      <c r="I204" s="713"/>
      <c r="J204" s="713"/>
      <c r="K204" s="713"/>
      <c r="L204" s="713" t="s">
        <v>1127</v>
      </c>
      <c r="M204" s="713"/>
      <c r="N204" s="713"/>
      <c r="O204" s="713" t="s">
        <v>1127</v>
      </c>
      <c r="P204" s="713"/>
      <c r="Q204" s="713"/>
      <c r="R204" s="713"/>
    </row>
    <row r="205" spans="1:18" s="440" customFormat="1" x14ac:dyDescent="0.25">
      <c r="A205" s="442" t="s">
        <v>774</v>
      </c>
      <c r="B205" s="461" t="s">
        <v>1107</v>
      </c>
      <c r="C205" s="461" t="s">
        <v>1107</v>
      </c>
      <c r="D205" s="461" t="s">
        <v>1107</v>
      </c>
      <c r="E205" s="461" t="s">
        <v>929</v>
      </c>
      <c r="F205" s="461" t="s">
        <v>775</v>
      </c>
      <c r="G205" s="461" t="s">
        <v>1128</v>
      </c>
      <c r="H205" s="461" t="s">
        <v>1129</v>
      </c>
      <c r="I205" s="461" t="s">
        <v>929</v>
      </c>
      <c r="J205" s="461" t="s">
        <v>929</v>
      </c>
      <c r="K205" s="461" t="s">
        <v>1129</v>
      </c>
      <c r="L205" s="461">
        <v>1</v>
      </c>
      <c r="M205" s="461" t="s">
        <v>929</v>
      </c>
      <c r="N205" s="461" t="s">
        <v>931</v>
      </c>
      <c r="O205" s="461" t="s">
        <v>931</v>
      </c>
      <c r="P205" s="461" t="s">
        <v>931</v>
      </c>
      <c r="Q205" s="461" t="s">
        <v>931</v>
      </c>
      <c r="R205" s="461" t="s">
        <v>931</v>
      </c>
    </row>
    <row r="206" spans="1:18" s="440" customFormat="1" x14ac:dyDescent="0.25">
      <c r="A206" s="442" t="s">
        <v>776</v>
      </c>
      <c r="B206" s="686"/>
      <c r="C206" s="686"/>
      <c r="D206" s="639"/>
      <c r="E206" s="639"/>
      <c r="F206" s="639"/>
      <c r="G206" s="639"/>
      <c r="H206" s="639"/>
      <c r="I206" s="639"/>
      <c r="J206" s="639"/>
      <c r="K206" s="414"/>
      <c r="L206" s="639"/>
      <c r="M206" s="639"/>
      <c r="N206" s="639"/>
      <c r="O206" s="639"/>
      <c r="P206" s="639"/>
      <c r="Q206" s="639"/>
      <c r="R206" s="414"/>
    </row>
    <row r="207" spans="1:18" s="639" customFormat="1" x14ac:dyDescent="0.25">
      <c r="A207" s="714" t="s">
        <v>777</v>
      </c>
      <c r="F207" s="414"/>
      <c r="G207" s="414"/>
      <c r="H207" s="414"/>
      <c r="I207" s="414"/>
      <c r="J207" s="414"/>
      <c r="K207" s="414"/>
      <c r="L207" s="414"/>
      <c r="M207" s="414"/>
    </row>
    <row r="208" spans="1:18" s="437" customFormat="1" x14ac:dyDescent="0.25">
      <c r="A208" s="442" t="s">
        <v>785</v>
      </c>
      <c r="C208" s="639"/>
      <c r="D208" s="639"/>
      <c r="E208" s="639"/>
      <c r="F208" s="414"/>
      <c r="G208" s="414"/>
      <c r="H208" s="414"/>
      <c r="I208" s="414"/>
      <c r="J208" s="414"/>
      <c r="K208" s="414"/>
      <c r="L208" s="414"/>
      <c r="M208" s="414"/>
    </row>
    <row r="209" spans="1:47" s="735" customFormat="1" x14ac:dyDescent="0.25">
      <c r="A209" s="734"/>
      <c r="C209" s="681"/>
      <c r="D209" s="681"/>
      <c r="E209" s="681"/>
      <c r="F209" s="696"/>
      <c r="G209" s="696"/>
      <c r="H209" s="696"/>
      <c r="I209" s="696"/>
      <c r="J209" s="696"/>
      <c r="K209" s="696"/>
      <c r="L209" s="696"/>
      <c r="M209" s="696"/>
    </row>
    <row r="210" spans="1:47" x14ac:dyDescent="0.25">
      <c r="A210" s="702" t="s">
        <v>1130</v>
      </c>
      <c r="B210" s="437"/>
    </row>
    <row r="211" spans="1:47" s="440" customFormat="1" x14ac:dyDescent="0.25">
      <c r="A211" s="442" t="s">
        <v>744</v>
      </c>
      <c r="B211" s="733" t="s">
        <v>127</v>
      </c>
      <c r="C211" s="733" t="s">
        <v>1111</v>
      </c>
      <c r="D211" s="733" t="s">
        <v>1112</v>
      </c>
      <c r="E211" s="733" t="s">
        <v>1113</v>
      </c>
      <c r="F211" s="733" t="s">
        <v>1114</v>
      </c>
      <c r="G211" s="733" t="s">
        <v>1115</v>
      </c>
      <c r="H211" s="733" t="s">
        <v>1116</v>
      </c>
      <c r="I211" s="733" t="s">
        <v>1117</v>
      </c>
      <c r="J211" s="733" t="s">
        <v>1118</v>
      </c>
      <c r="K211" s="733" t="s">
        <v>424</v>
      </c>
      <c r="L211" s="733" t="s">
        <v>1119</v>
      </c>
      <c r="M211" s="733" t="s">
        <v>1120</v>
      </c>
      <c r="N211" s="733" t="s">
        <v>1121</v>
      </c>
      <c r="O211" s="733" t="s">
        <v>1122</v>
      </c>
      <c r="P211" s="733" t="s">
        <v>1123</v>
      </c>
      <c r="Q211" s="733" t="s">
        <v>1124</v>
      </c>
      <c r="R211" s="733" t="s">
        <v>1125</v>
      </c>
    </row>
    <row r="212" spans="1:47" s="440" customFormat="1" x14ac:dyDescent="0.25">
      <c r="A212" s="455" t="s">
        <v>772</v>
      </c>
      <c r="B212" s="713" t="s">
        <v>1126</v>
      </c>
      <c r="C212" s="713" t="s">
        <v>1127</v>
      </c>
      <c r="D212" s="713"/>
      <c r="E212" s="713"/>
      <c r="F212" s="713"/>
      <c r="G212" s="713"/>
      <c r="H212" s="713"/>
      <c r="I212" s="713"/>
      <c r="J212" s="713"/>
      <c r="K212" s="713"/>
      <c r="L212" s="713" t="s">
        <v>1127</v>
      </c>
      <c r="M212" s="713"/>
      <c r="N212" s="713"/>
      <c r="O212" s="713" t="s">
        <v>1127</v>
      </c>
      <c r="P212" s="713"/>
      <c r="Q212" s="713"/>
      <c r="R212" s="713"/>
    </row>
    <row r="213" spans="1:47" s="440" customFormat="1" x14ac:dyDescent="0.25">
      <c r="A213" s="442" t="s">
        <v>774</v>
      </c>
      <c r="B213" s="461" t="s">
        <v>1107</v>
      </c>
      <c r="C213" s="461" t="s">
        <v>1107</v>
      </c>
      <c r="D213" s="461" t="s">
        <v>1107</v>
      </c>
      <c r="E213" s="461" t="s">
        <v>929</v>
      </c>
      <c r="F213" s="461" t="s">
        <v>775</v>
      </c>
      <c r="G213" s="461" t="s">
        <v>1128</v>
      </c>
      <c r="H213" s="461" t="s">
        <v>1129</v>
      </c>
      <c r="I213" s="461" t="s">
        <v>929</v>
      </c>
      <c r="J213" s="461" t="s">
        <v>929</v>
      </c>
      <c r="K213" s="461" t="s">
        <v>1129</v>
      </c>
      <c r="L213" s="461">
        <v>1</v>
      </c>
      <c r="M213" s="461" t="s">
        <v>929</v>
      </c>
      <c r="N213" s="461" t="s">
        <v>931</v>
      </c>
      <c r="O213" s="461" t="s">
        <v>931</v>
      </c>
      <c r="P213" s="461" t="s">
        <v>931</v>
      </c>
      <c r="Q213" s="461" t="s">
        <v>931</v>
      </c>
      <c r="R213" s="461" t="s">
        <v>931</v>
      </c>
    </row>
    <row r="214" spans="1:47" s="440" customFormat="1" x14ac:dyDescent="0.25">
      <c r="A214" s="442" t="s">
        <v>776</v>
      </c>
      <c r="B214" s="686"/>
      <c r="C214" s="686"/>
      <c r="D214" s="639"/>
      <c r="E214" s="639"/>
      <c r="F214" s="639"/>
      <c r="G214" s="639"/>
      <c r="H214" s="639"/>
      <c r="I214" s="639"/>
      <c r="J214" s="639"/>
      <c r="K214" s="414"/>
      <c r="L214" s="639"/>
      <c r="M214" s="639"/>
      <c r="N214" s="639"/>
      <c r="O214" s="639"/>
      <c r="P214" s="639"/>
      <c r="Q214" s="639"/>
      <c r="R214" s="414"/>
    </row>
    <row r="215" spans="1:47" s="639" customFormat="1" x14ac:dyDescent="0.25">
      <c r="A215" s="714" t="s">
        <v>777</v>
      </c>
      <c r="F215" s="414"/>
      <c r="G215" s="414"/>
      <c r="H215" s="414"/>
      <c r="I215" s="414"/>
      <c r="J215" s="414"/>
      <c r="K215" s="414"/>
      <c r="L215" s="414"/>
      <c r="M215" s="414"/>
    </row>
    <row r="216" spans="1:47" s="437" customFormat="1" x14ac:dyDescent="0.25">
      <c r="A216" s="442" t="s">
        <v>785</v>
      </c>
      <c r="C216" s="639"/>
      <c r="D216" s="639"/>
      <c r="E216" s="639"/>
      <c r="F216" s="414"/>
      <c r="G216" s="414"/>
      <c r="H216" s="414"/>
      <c r="I216" s="414"/>
      <c r="J216" s="414"/>
      <c r="K216" s="414"/>
      <c r="L216" s="414"/>
      <c r="M216" s="414"/>
    </row>
    <row r="217" spans="1:47" s="735" customFormat="1" x14ac:dyDescent="0.25">
      <c r="A217" s="734"/>
      <c r="C217" s="681"/>
      <c r="D217" s="681"/>
      <c r="E217" s="681"/>
      <c r="F217" s="696"/>
      <c r="G217" s="696"/>
      <c r="H217" s="696"/>
      <c r="I217" s="696"/>
      <c r="J217" s="696"/>
      <c r="K217" s="696"/>
      <c r="L217" s="696"/>
      <c r="M217" s="696"/>
    </row>
    <row r="218" spans="1:47" ht="15.75" thickBot="1" x14ac:dyDescent="0.3">
      <c r="A218" s="702" t="s">
        <v>1131</v>
      </c>
      <c r="G218" s="646"/>
    </row>
    <row r="219" spans="1:47" ht="71.25" thickBot="1" x14ac:dyDescent="0.3">
      <c r="A219" s="736" t="s">
        <v>1132</v>
      </c>
      <c r="B219" s="737" t="s">
        <v>1133</v>
      </c>
      <c r="C219" s="738">
        <v>40057</v>
      </c>
      <c r="D219" s="738">
        <v>40087</v>
      </c>
      <c r="E219" s="738">
        <v>40118</v>
      </c>
      <c r="F219" s="738">
        <v>40148</v>
      </c>
      <c r="G219" s="739" t="s">
        <v>1134</v>
      </c>
      <c r="H219" s="738">
        <v>40179</v>
      </c>
      <c r="I219" s="738">
        <v>40210</v>
      </c>
      <c r="J219" s="738">
        <v>40238</v>
      </c>
      <c r="K219" s="738">
        <v>40269</v>
      </c>
      <c r="L219" s="738">
        <v>40299</v>
      </c>
      <c r="M219" s="738">
        <v>40330</v>
      </c>
      <c r="N219" s="738">
        <v>40360</v>
      </c>
      <c r="O219" s="738">
        <v>40391</v>
      </c>
      <c r="P219" s="738">
        <v>40422</v>
      </c>
      <c r="Q219" s="738">
        <v>40452</v>
      </c>
      <c r="R219" s="738">
        <v>40483</v>
      </c>
      <c r="S219" s="738">
        <v>40513</v>
      </c>
      <c r="T219" s="739" t="s">
        <v>1135</v>
      </c>
      <c r="U219" s="738">
        <v>40544</v>
      </c>
      <c r="V219" s="738">
        <v>40575</v>
      </c>
      <c r="W219" s="738">
        <v>40603</v>
      </c>
      <c r="X219" s="738">
        <v>40634</v>
      </c>
      <c r="Y219" s="738">
        <v>40664</v>
      </c>
      <c r="Z219" s="738">
        <v>40695</v>
      </c>
      <c r="AA219" s="738">
        <v>40725</v>
      </c>
      <c r="AB219" s="738">
        <v>40756</v>
      </c>
      <c r="AC219" s="738">
        <v>40787</v>
      </c>
      <c r="AD219" s="738">
        <v>40817</v>
      </c>
      <c r="AE219" s="738">
        <v>40848</v>
      </c>
      <c r="AF219" s="738">
        <v>40878</v>
      </c>
      <c r="AG219" s="739" t="s">
        <v>1136</v>
      </c>
      <c r="AH219" s="738">
        <v>40909</v>
      </c>
      <c r="AI219" s="738">
        <v>40940</v>
      </c>
      <c r="AJ219" s="738">
        <v>40969</v>
      </c>
      <c r="AK219" s="738">
        <v>41000</v>
      </c>
      <c r="AL219" s="738">
        <v>41030</v>
      </c>
      <c r="AM219" s="738">
        <v>41061</v>
      </c>
      <c r="AN219" s="738">
        <v>41091</v>
      </c>
      <c r="AO219" s="738">
        <v>41122</v>
      </c>
      <c r="AP219" s="738">
        <v>41153</v>
      </c>
      <c r="AQ219" s="738">
        <v>41183</v>
      </c>
      <c r="AR219" s="738">
        <v>41214</v>
      </c>
      <c r="AS219" s="738">
        <v>41244</v>
      </c>
      <c r="AT219" s="739" t="s">
        <v>1137</v>
      </c>
      <c r="AU219" s="740" t="s">
        <v>1138</v>
      </c>
    </row>
    <row r="220" spans="1:47" x14ac:dyDescent="0.25">
      <c r="A220" s="741" t="s">
        <v>629</v>
      </c>
      <c r="B220" s="742" t="s">
        <v>628</v>
      </c>
      <c r="C220" s="743"/>
      <c r="D220" s="743"/>
      <c r="E220" s="743"/>
      <c r="F220" s="744"/>
      <c r="G220" s="745">
        <f t="shared" ref="G220:G252" si="0">SUM(C220:F220)</f>
        <v>0</v>
      </c>
      <c r="H220" s="743"/>
      <c r="I220" s="743"/>
      <c r="J220" s="743"/>
      <c r="K220" s="743"/>
      <c r="L220" s="743"/>
      <c r="M220" s="743"/>
      <c r="N220" s="743"/>
      <c r="O220" s="743"/>
      <c r="P220" s="743"/>
      <c r="Q220" s="743"/>
      <c r="R220" s="743"/>
      <c r="S220" s="743"/>
      <c r="T220" s="745">
        <f t="shared" ref="T220:T252" si="1">SUM(H220:S220)</f>
        <v>0</v>
      </c>
      <c r="U220" s="743"/>
      <c r="V220" s="743"/>
      <c r="W220" s="743"/>
      <c r="X220" s="743"/>
      <c r="Y220" s="743"/>
      <c r="Z220" s="743"/>
      <c r="AA220" s="743"/>
      <c r="AB220" s="743"/>
      <c r="AC220" s="743"/>
      <c r="AD220" s="743"/>
      <c r="AE220" s="743"/>
      <c r="AF220" s="743"/>
      <c r="AG220" s="745">
        <f t="shared" ref="AG220:AG252" si="2">SUM(U220:AF220)</f>
        <v>0</v>
      </c>
      <c r="AH220" s="743"/>
      <c r="AI220" s="743"/>
      <c r="AJ220" s="743"/>
      <c r="AK220" s="743"/>
      <c r="AL220" s="743"/>
      <c r="AM220" s="743"/>
      <c r="AN220" s="743"/>
      <c r="AO220" s="743"/>
      <c r="AP220" s="743"/>
      <c r="AQ220" s="743"/>
      <c r="AR220" s="743"/>
      <c r="AS220" s="743"/>
      <c r="AT220" s="745">
        <f t="shared" ref="AT220:AT252" si="3">SUM(AH220:AS220)</f>
        <v>0</v>
      </c>
      <c r="AU220" s="746">
        <f t="shared" ref="AU220:AU252" si="4">G220+T220+AG220+AT220</f>
        <v>0</v>
      </c>
    </row>
    <row r="221" spans="1:47" x14ac:dyDescent="0.25">
      <c r="A221" s="741" t="s">
        <v>629</v>
      </c>
      <c r="B221" s="742" t="s">
        <v>632</v>
      </c>
      <c r="C221" s="747"/>
      <c r="D221" s="747"/>
      <c r="E221" s="747"/>
      <c r="F221" s="748"/>
      <c r="G221" s="749">
        <f t="shared" si="0"/>
        <v>0</v>
      </c>
      <c r="H221" s="747"/>
      <c r="I221" s="747"/>
      <c r="J221" s="747"/>
      <c r="K221" s="747"/>
      <c r="L221" s="747"/>
      <c r="M221" s="747"/>
      <c r="N221" s="747"/>
      <c r="O221" s="747"/>
      <c r="P221" s="747"/>
      <c r="Q221" s="747"/>
      <c r="R221" s="747"/>
      <c r="S221" s="747"/>
      <c r="T221" s="749">
        <f t="shared" si="1"/>
        <v>0</v>
      </c>
      <c r="U221" s="747"/>
      <c r="V221" s="747"/>
      <c r="W221" s="747"/>
      <c r="X221" s="747"/>
      <c r="Y221" s="747"/>
      <c r="Z221" s="747"/>
      <c r="AA221" s="747"/>
      <c r="AB221" s="747"/>
      <c r="AC221" s="747"/>
      <c r="AD221" s="747"/>
      <c r="AE221" s="747"/>
      <c r="AF221" s="747"/>
      <c r="AG221" s="749">
        <f t="shared" si="2"/>
        <v>0</v>
      </c>
      <c r="AH221" s="747"/>
      <c r="AI221" s="747"/>
      <c r="AJ221" s="747"/>
      <c r="AK221" s="747"/>
      <c r="AL221" s="747"/>
      <c r="AM221" s="747"/>
      <c r="AN221" s="747"/>
      <c r="AO221" s="747"/>
      <c r="AP221" s="747"/>
      <c r="AQ221" s="747"/>
      <c r="AR221" s="747"/>
      <c r="AS221" s="747"/>
      <c r="AT221" s="749">
        <f t="shared" si="3"/>
        <v>0</v>
      </c>
      <c r="AU221" s="746">
        <f t="shared" si="4"/>
        <v>0</v>
      </c>
    </row>
    <row r="222" spans="1:47" x14ac:dyDescent="0.25">
      <c r="A222" s="741" t="s">
        <v>629</v>
      </c>
      <c r="B222" s="742" t="s">
        <v>635</v>
      </c>
      <c r="C222" s="747"/>
      <c r="D222" s="747"/>
      <c r="E222" s="747"/>
      <c r="F222" s="748"/>
      <c r="G222" s="749">
        <f t="shared" si="0"/>
        <v>0</v>
      </c>
      <c r="H222" s="747"/>
      <c r="I222" s="747"/>
      <c r="J222" s="747"/>
      <c r="K222" s="747"/>
      <c r="L222" s="747"/>
      <c r="M222" s="747"/>
      <c r="N222" s="747"/>
      <c r="O222" s="747"/>
      <c r="P222" s="747"/>
      <c r="Q222" s="747"/>
      <c r="R222" s="747"/>
      <c r="S222" s="747"/>
      <c r="T222" s="749">
        <f t="shared" si="1"/>
        <v>0</v>
      </c>
      <c r="U222" s="747"/>
      <c r="V222" s="747"/>
      <c r="W222" s="747"/>
      <c r="X222" s="747"/>
      <c r="Y222" s="747"/>
      <c r="Z222" s="747"/>
      <c r="AA222" s="747"/>
      <c r="AB222" s="747"/>
      <c r="AC222" s="747"/>
      <c r="AD222" s="747"/>
      <c r="AE222" s="747"/>
      <c r="AF222" s="747"/>
      <c r="AG222" s="749">
        <f t="shared" si="2"/>
        <v>0</v>
      </c>
      <c r="AH222" s="747"/>
      <c r="AI222" s="747"/>
      <c r="AJ222" s="747"/>
      <c r="AK222" s="747"/>
      <c r="AL222" s="747"/>
      <c r="AM222" s="747"/>
      <c r="AN222" s="747"/>
      <c r="AO222" s="747"/>
      <c r="AP222" s="747"/>
      <c r="AQ222" s="747"/>
      <c r="AR222" s="747"/>
      <c r="AS222" s="747"/>
      <c r="AT222" s="749">
        <f t="shared" si="3"/>
        <v>0</v>
      </c>
      <c r="AU222" s="746">
        <f t="shared" si="4"/>
        <v>0</v>
      </c>
    </row>
    <row r="223" spans="1:47" x14ac:dyDescent="0.25">
      <c r="A223" s="750" t="s">
        <v>629</v>
      </c>
      <c r="B223" s="742" t="s">
        <v>637</v>
      </c>
      <c r="C223" s="747"/>
      <c r="D223" s="747"/>
      <c r="E223" s="747"/>
      <c r="F223" s="748"/>
      <c r="G223" s="749">
        <f t="shared" si="0"/>
        <v>0</v>
      </c>
      <c r="H223" s="747"/>
      <c r="I223" s="747"/>
      <c r="J223" s="747"/>
      <c r="K223" s="747"/>
      <c r="L223" s="747"/>
      <c r="M223" s="747"/>
      <c r="N223" s="747"/>
      <c r="O223" s="747"/>
      <c r="P223" s="747"/>
      <c r="Q223" s="747"/>
      <c r="R223" s="747"/>
      <c r="S223" s="747"/>
      <c r="T223" s="749">
        <f t="shared" si="1"/>
        <v>0</v>
      </c>
      <c r="U223" s="747"/>
      <c r="V223" s="747"/>
      <c r="W223" s="747"/>
      <c r="X223" s="747"/>
      <c r="Y223" s="747"/>
      <c r="Z223" s="747"/>
      <c r="AA223" s="747"/>
      <c r="AB223" s="747"/>
      <c r="AC223" s="747"/>
      <c r="AD223" s="747"/>
      <c r="AE223" s="747"/>
      <c r="AF223" s="747"/>
      <c r="AG223" s="749">
        <f t="shared" si="2"/>
        <v>0</v>
      </c>
      <c r="AH223" s="747"/>
      <c r="AI223" s="747"/>
      <c r="AJ223" s="747"/>
      <c r="AK223" s="747"/>
      <c r="AL223" s="747"/>
      <c r="AM223" s="747"/>
      <c r="AN223" s="747"/>
      <c r="AO223" s="747"/>
      <c r="AP223" s="747"/>
      <c r="AQ223" s="747"/>
      <c r="AR223" s="747"/>
      <c r="AS223" s="747"/>
      <c r="AT223" s="749">
        <f t="shared" si="3"/>
        <v>0</v>
      </c>
      <c r="AU223" s="746">
        <f t="shared" si="4"/>
        <v>0</v>
      </c>
    </row>
    <row r="224" spans="1:47" x14ac:dyDescent="0.25">
      <c r="A224" s="741" t="s">
        <v>629</v>
      </c>
      <c r="B224" s="742" t="s">
        <v>639</v>
      </c>
      <c r="C224" s="747"/>
      <c r="D224" s="747"/>
      <c r="E224" s="747"/>
      <c r="F224" s="748"/>
      <c r="G224" s="749">
        <f t="shared" si="0"/>
        <v>0</v>
      </c>
      <c r="H224" s="747"/>
      <c r="I224" s="747"/>
      <c r="J224" s="747"/>
      <c r="K224" s="747"/>
      <c r="L224" s="747"/>
      <c r="M224" s="747"/>
      <c r="N224" s="747"/>
      <c r="O224" s="747"/>
      <c r="P224" s="747"/>
      <c r="Q224" s="747"/>
      <c r="R224" s="747"/>
      <c r="S224" s="747"/>
      <c r="T224" s="749">
        <f t="shared" si="1"/>
        <v>0</v>
      </c>
      <c r="U224" s="747"/>
      <c r="V224" s="747"/>
      <c r="W224" s="747"/>
      <c r="X224" s="747"/>
      <c r="Y224" s="747"/>
      <c r="Z224" s="747"/>
      <c r="AA224" s="747"/>
      <c r="AB224" s="747"/>
      <c r="AC224" s="747"/>
      <c r="AD224" s="747"/>
      <c r="AE224" s="747"/>
      <c r="AF224" s="747"/>
      <c r="AG224" s="749">
        <f t="shared" si="2"/>
        <v>0</v>
      </c>
      <c r="AH224" s="747"/>
      <c r="AI224" s="747"/>
      <c r="AJ224" s="747"/>
      <c r="AK224" s="747"/>
      <c r="AL224" s="747"/>
      <c r="AM224" s="747"/>
      <c r="AN224" s="747"/>
      <c r="AO224" s="747"/>
      <c r="AP224" s="747"/>
      <c r="AQ224" s="747"/>
      <c r="AR224" s="747"/>
      <c r="AS224" s="747"/>
      <c r="AT224" s="749">
        <f t="shared" si="3"/>
        <v>0</v>
      </c>
      <c r="AU224" s="746">
        <f t="shared" si="4"/>
        <v>0</v>
      </c>
    </row>
    <row r="225" spans="1:47" x14ac:dyDescent="0.25">
      <c r="A225" s="741" t="s">
        <v>629</v>
      </c>
      <c r="B225" s="742" t="s">
        <v>642</v>
      </c>
      <c r="C225" s="747"/>
      <c r="D225" s="747"/>
      <c r="E225" s="747"/>
      <c r="F225" s="748"/>
      <c r="G225" s="749">
        <f t="shared" si="0"/>
        <v>0</v>
      </c>
      <c r="H225" s="747"/>
      <c r="I225" s="747"/>
      <c r="J225" s="747"/>
      <c r="K225" s="747"/>
      <c r="L225" s="747"/>
      <c r="M225" s="747"/>
      <c r="N225" s="747"/>
      <c r="O225" s="747"/>
      <c r="P225" s="747"/>
      <c r="Q225" s="747"/>
      <c r="R225" s="747"/>
      <c r="S225" s="747"/>
      <c r="T225" s="749">
        <f t="shared" si="1"/>
        <v>0</v>
      </c>
      <c r="U225" s="747"/>
      <c r="V225" s="747"/>
      <c r="W225" s="747"/>
      <c r="X225" s="747"/>
      <c r="Y225" s="747"/>
      <c r="Z225" s="747"/>
      <c r="AA225" s="747"/>
      <c r="AB225" s="747"/>
      <c r="AC225" s="747"/>
      <c r="AD225" s="747"/>
      <c r="AE225" s="747"/>
      <c r="AF225" s="747"/>
      <c r="AG225" s="749">
        <f t="shared" si="2"/>
        <v>0</v>
      </c>
      <c r="AH225" s="747"/>
      <c r="AI225" s="747"/>
      <c r="AJ225" s="747"/>
      <c r="AK225" s="747"/>
      <c r="AL225" s="747"/>
      <c r="AM225" s="747"/>
      <c r="AN225" s="747"/>
      <c r="AO225" s="747"/>
      <c r="AP225" s="747"/>
      <c r="AQ225" s="747"/>
      <c r="AR225" s="747"/>
      <c r="AS225" s="747"/>
      <c r="AT225" s="749">
        <f t="shared" si="3"/>
        <v>0</v>
      </c>
      <c r="AU225" s="746">
        <f t="shared" si="4"/>
        <v>0</v>
      </c>
    </row>
    <row r="226" spans="1:47" x14ac:dyDescent="0.25">
      <c r="A226" s="741" t="s">
        <v>629</v>
      </c>
      <c r="B226" s="742" t="s">
        <v>645</v>
      </c>
      <c r="C226" s="747"/>
      <c r="D226" s="747"/>
      <c r="E226" s="747"/>
      <c r="F226" s="748"/>
      <c r="G226" s="749">
        <f t="shared" si="0"/>
        <v>0</v>
      </c>
      <c r="H226" s="747"/>
      <c r="I226" s="747"/>
      <c r="J226" s="747"/>
      <c r="K226" s="747"/>
      <c r="L226" s="747"/>
      <c r="M226" s="747"/>
      <c r="N226" s="747"/>
      <c r="O226" s="747"/>
      <c r="P226" s="747"/>
      <c r="Q226" s="747"/>
      <c r="R226" s="747"/>
      <c r="S226" s="747"/>
      <c r="T226" s="749">
        <f t="shared" si="1"/>
        <v>0</v>
      </c>
      <c r="U226" s="747"/>
      <c r="V226" s="747"/>
      <c r="W226" s="747"/>
      <c r="X226" s="747"/>
      <c r="Y226" s="747"/>
      <c r="Z226" s="747"/>
      <c r="AA226" s="747"/>
      <c r="AB226" s="747"/>
      <c r="AC226" s="747"/>
      <c r="AD226" s="747"/>
      <c r="AE226" s="747"/>
      <c r="AF226" s="747"/>
      <c r="AG226" s="749">
        <f t="shared" si="2"/>
        <v>0</v>
      </c>
      <c r="AH226" s="747"/>
      <c r="AI226" s="747"/>
      <c r="AJ226" s="747"/>
      <c r="AK226" s="747"/>
      <c r="AL226" s="747"/>
      <c r="AM226" s="747"/>
      <c r="AN226" s="747"/>
      <c r="AO226" s="747"/>
      <c r="AP226" s="747"/>
      <c r="AQ226" s="747"/>
      <c r="AR226" s="747"/>
      <c r="AS226" s="747"/>
      <c r="AT226" s="749">
        <f t="shared" si="3"/>
        <v>0</v>
      </c>
      <c r="AU226" s="746">
        <f t="shared" si="4"/>
        <v>0</v>
      </c>
    </row>
    <row r="227" spans="1:47" x14ac:dyDescent="0.25">
      <c r="A227" s="741" t="s">
        <v>629</v>
      </c>
      <c r="B227" s="742" t="s">
        <v>640</v>
      </c>
      <c r="C227" s="747"/>
      <c r="D227" s="747"/>
      <c r="E227" s="747"/>
      <c r="F227" s="748"/>
      <c r="G227" s="749">
        <f t="shared" si="0"/>
        <v>0</v>
      </c>
      <c r="H227" s="747"/>
      <c r="I227" s="747"/>
      <c r="J227" s="747"/>
      <c r="K227" s="747"/>
      <c r="L227" s="747"/>
      <c r="M227" s="747"/>
      <c r="N227" s="747"/>
      <c r="O227" s="747"/>
      <c r="P227" s="747"/>
      <c r="Q227" s="747"/>
      <c r="R227" s="747"/>
      <c r="S227" s="747"/>
      <c r="T227" s="749">
        <f t="shared" si="1"/>
        <v>0</v>
      </c>
      <c r="U227" s="747"/>
      <c r="V227" s="747"/>
      <c r="W227" s="747"/>
      <c r="X227" s="747"/>
      <c r="Y227" s="747"/>
      <c r="Z227" s="747"/>
      <c r="AA227" s="747"/>
      <c r="AB227" s="747"/>
      <c r="AC227" s="747"/>
      <c r="AD227" s="747"/>
      <c r="AE227" s="747"/>
      <c r="AF227" s="747"/>
      <c r="AG227" s="749">
        <f t="shared" si="2"/>
        <v>0</v>
      </c>
      <c r="AH227" s="747"/>
      <c r="AI227" s="747"/>
      <c r="AJ227" s="747"/>
      <c r="AK227" s="747"/>
      <c r="AL227" s="747"/>
      <c r="AM227" s="747"/>
      <c r="AN227" s="747"/>
      <c r="AO227" s="747"/>
      <c r="AP227" s="747"/>
      <c r="AQ227" s="747"/>
      <c r="AR227" s="747"/>
      <c r="AS227" s="747"/>
      <c r="AT227" s="749">
        <f t="shared" si="3"/>
        <v>0</v>
      </c>
      <c r="AU227" s="746">
        <f t="shared" si="4"/>
        <v>0</v>
      </c>
    </row>
    <row r="228" spans="1:47" x14ac:dyDescent="0.25">
      <c r="A228" s="741" t="s">
        <v>629</v>
      </c>
      <c r="B228" s="742" t="s">
        <v>650</v>
      </c>
      <c r="C228" s="747"/>
      <c r="D228" s="747"/>
      <c r="E228" s="747"/>
      <c r="F228" s="748"/>
      <c r="G228" s="749">
        <f t="shared" si="0"/>
        <v>0</v>
      </c>
      <c r="H228" s="747"/>
      <c r="I228" s="747"/>
      <c r="J228" s="747"/>
      <c r="K228" s="747"/>
      <c r="L228" s="747"/>
      <c r="M228" s="747"/>
      <c r="N228" s="747"/>
      <c r="O228" s="747"/>
      <c r="P228" s="747"/>
      <c r="Q228" s="747"/>
      <c r="R228" s="747"/>
      <c r="S228" s="747"/>
      <c r="T228" s="749">
        <f t="shared" si="1"/>
        <v>0</v>
      </c>
      <c r="U228" s="747"/>
      <c r="V228" s="747"/>
      <c r="W228" s="747"/>
      <c r="X228" s="747"/>
      <c r="Y228" s="747"/>
      <c r="Z228" s="747"/>
      <c r="AA228" s="747"/>
      <c r="AB228" s="747"/>
      <c r="AC228" s="747"/>
      <c r="AD228" s="747"/>
      <c r="AE228" s="747"/>
      <c r="AF228" s="747"/>
      <c r="AG228" s="749">
        <f t="shared" si="2"/>
        <v>0</v>
      </c>
      <c r="AH228" s="747"/>
      <c r="AI228" s="747"/>
      <c r="AJ228" s="747"/>
      <c r="AK228" s="747"/>
      <c r="AL228" s="747"/>
      <c r="AM228" s="747"/>
      <c r="AN228" s="747"/>
      <c r="AO228" s="747"/>
      <c r="AP228" s="747"/>
      <c r="AQ228" s="747"/>
      <c r="AR228" s="747"/>
      <c r="AS228" s="747"/>
      <c r="AT228" s="749">
        <f t="shared" si="3"/>
        <v>0</v>
      </c>
      <c r="AU228" s="746">
        <f t="shared" si="4"/>
        <v>0</v>
      </c>
    </row>
    <row r="229" spans="1:47" x14ac:dyDescent="0.25">
      <c r="A229" s="741" t="s">
        <v>629</v>
      </c>
      <c r="B229" s="742" t="s">
        <v>652</v>
      </c>
      <c r="C229" s="747"/>
      <c r="D229" s="747"/>
      <c r="E229" s="747"/>
      <c r="F229" s="748"/>
      <c r="G229" s="749">
        <f t="shared" si="0"/>
        <v>0</v>
      </c>
      <c r="H229" s="747"/>
      <c r="I229" s="747"/>
      <c r="J229" s="747"/>
      <c r="K229" s="747"/>
      <c r="L229" s="747"/>
      <c r="M229" s="747"/>
      <c r="N229" s="747"/>
      <c r="O229" s="747"/>
      <c r="P229" s="747"/>
      <c r="Q229" s="747"/>
      <c r="R229" s="747"/>
      <c r="S229" s="747"/>
      <c r="T229" s="749">
        <f t="shared" si="1"/>
        <v>0</v>
      </c>
      <c r="U229" s="747"/>
      <c r="V229" s="747"/>
      <c r="W229" s="747"/>
      <c r="X229" s="747"/>
      <c r="Y229" s="747"/>
      <c r="Z229" s="747"/>
      <c r="AA229" s="747"/>
      <c r="AB229" s="747"/>
      <c r="AC229" s="747"/>
      <c r="AD229" s="747"/>
      <c r="AE229" s="747"/>
      <c r="AF229" s="747"/>
      <c r="AG229" s="749">
        <f t="shared" si="2"/>
        <v>0</v>
      </c>
      <c r="AH229" s="747"/>
      <c r="AI229" s="747"/>
      <c r="AJ229" s="747"/>
      <c r="AK229" s="747"/>
      <c r="AL229" s="747"/>
      <c r="AM229" s="747"/>
      <c r="AN229" s="747"/>
      <c r="AO229" s="747"/>
      <c r="AP229" s="747"/>
      <c r="AQ229" s="747"/>
      <c r="AR229" s="747"/>
      <c r="AS229" s="747"/>
      <c r="AT229" s="749">
        <f t="shared" si="3"/>
        <v>0</v>
      </c>
      <c r="AU229" s="746">
        <f t="shared" si="4"/>
        <v>0</v>
      </c>
    </row>
    <row r="230" spans="1:47" x14ac:dyDescent="0.25">
      <c r="A230" s="741" t="s">
        <v>629</v>
      </c>
      <c r="B230" s="742" t="s">
        <v>654</v>
      </c>
      <c r="C230" s="747"/>
      <c r="D230" s="747"/>
      <c r="E230" s="747"/>
      <c r="F230" s="748"/>
      <c r="G230" s="749">
        <f t="shared" si="0"/>
        <v>0</v>
      </c>
      <c r="H230" s="747"/>
      <c r="I230" s="747"/>
      <c r="J230" s="747"/>
      <c r="K230" s="747"/>
      <c r="L230" s="747"/>
      <c r="M230" s="747"/>
      <c r="N230" s="747"/>
      <c r="O230" s="747"/>
      <c r="P230" s="747"/>
      <c r="Q230" s="747"/>
      <c r="R230" s="747"/>
      <c r="S230" s="747"/>
      <c r="T230" s="749">
        <f t="shared" si="1"/>
        <v>0</v>
      </c>
      <c r="U230" s="747"/>
      <c r="V230" s="747"/>
      <c r="W230" s="747"/>
      <c r="X230" s="747"/>
      <c r="Y230" s="747"/>
      <c r="Z230" s="747"/>
      <c r="AA230" s="747"/>
      <c r="AB230" s="747"/>
      <c r="AC230" s="747"/>
      <c r="AD230" s="747"/>
      <c r="AE230" s="747"/>
      <c r="AF230" s="747"/>
      <c r="AG230" s="749">
        <f t="shared" si="2"/>
        <v>0</v>
      </c>
      <c r="AH230" s="747"/>
      <c r="AI230" s="747"/>
      <c r="AJ230" s="747"/>
      <c r="AK230" s="747"/>
      <c r="AL230" s="747"/>
      <c r="AM230" s="747"/>
      <c r="AN230" s="747"/>
      <c r="AO230" s="747"/>
      <c r="AP230" s="747"/>
      <c r="AQ230" s="747"/>
      <c r="AR230" s="747"/>
      <c r="AS230" s="747"/>
      <c r="AT230" s="749">
        <f t="shared" si="3"/>
        <v>0</v>
      </c>
      <c r="AU230" s="746">
        <f t="shared" si="4"/>
        <v>0</v>
      </c>
    </row>
    <row r="231" spans="1:47" x14ac:dyDescent="0.25">
      <c r="A231" s="741" t="s">
        <v>629</v>
      </c>
      <c r="B231" s="742" t="s">
        <v>656</v>
      </c>
      <c r="C231" s="747"/>
      <c r="D231" s="747"/>
      <c r="E231" s="747"/>
      <c r="F231" s="748"/>
      <c r="G231" s="749">
        <f t="shared" si="0"/>
        <v>0</v>
      </c>
      <c r="H231" s="747"/>
      <c r="I231" s="747"/>
      <c r="J231" s="747"/>
      <c r="K231" s="747"/>
      <c r="L231" s="747"/>
      <c r="M231" s="747"/>
      <c r="N231" s="747"/>
      <c r="O231" s="747"/>
      <c r="P231" s="747"/>
      <c r="Q231" s="747"/>
      <c r="R231" s="747"/>
      <c r="S231" s="747"/>
      <c r="T231" s="749">
        <f t="shared" si="1"/>
        <v>0</v>
      </c>
      <c r="U231" s="747"/>
      <c r="V231" s="747"/>
      <c r="W231" s="747"/>
      <c r="X231" s="747"/>
      <c r="Y231" s="747"/>
      <c r="Z231" s="747"/>
      <c r="AA231" s="747"/>
      <c r="AB231" s="747"/>
      <c r="AC231" s="747"/>
      <c r="AD231" s="747"/>
      <c r="AE231" s="747"/>
      <c r="AF231" s="747"/>
      <c r="AG231" s="749">
        <f t="shared" si="2"/>
        <v>0</v>
      </c>
      <c r="AH231" s="747"/>
      <c r="AI231" s="747"/>
      <c r="AJ231" s="747"/>
      <c r="AK231" s="747"/>
      <c r="AL231" s="747"/>
      <c r="AM231" s="747"/>
      <c r="AN231" s="747"/>
      <c r="AO231" s="747"/>
      <c r="AP231" s="747"/>
      <c r="AQ231" s="747"/>
      <c r="AR231" s="747"/>
      <c r="AS231" s="747"/>
      <c r="AT231" s="749">
        <f t="shared" si="3"/>
        <v>0</v>
      </c>
      <c r="AU231" s="746">
        <f t="shared" si="4"/>
        <v>0</v>
      </c>
    </row>
    <row r="232" spans="1:47" x14ac:dyDescent="0.25">
      <c r="A232" s="741" t="s">
        <v>659</v>
      </c>
      <c r="B232" s="742" t="s">
        <v>658</v>
      </c>
      <c r="C232" s="747"/>
      <c r="D232" s="747"/>
      <c r="E232" s="747"/>
      <c r="F232" s="748"/>
      <c r="G232" s="749">
        <f t="shared" si="0"/>
        <v>0</v>
      </c>
      <c r="H232" s="747"/>
      <c r="I232" s="747"/>
      <c r="J232" s="747"/>
      <c r="K232" s="747"/>
      <c r="L232" s="747"/>
      <c r="M232" s="747"/>
      <c r="N232" s="747"/>
      <c r="O232" s="747"/>
      <c r="P232" s="747"/>
      <c r="Q232" s="747"/>
      <c r="R232" s="747"/>
      <c r="S232" s="747"/>
      <c r="T232" s="749">
        <f t="shared" si="1"/>
        <v>0</v>
      </c>
      <c r="U232" s="747"/>
      <c r="V232" s="747"/>
      <c r="W232" s="747"/>
      <c r="X232" s="747"/>
      <c r="Y232" s="747"/>
      <c r="Z232" s="747"/>
      <c r="AA232" s="747"/>
      <c r="AB232" s="747"/>
      <c r="AC232" s="747"/>
      <c r="AD232" s="747"/>
      <c r="AE232" s="747"/>
      <c r="AF232" s="747"/>
      <c r="AG232" s="749">
        <f t="shared" si="2"/>
        <v>0</v>
      </c>
      <c r="AH232" s="747"/>
      <c r="AI232" s="747"/>
      <c r="AJ232" s="747"/>
      <c r="AK232" s="747"/>
      <c r="AL232" s="747"/>
      <c r="AM232" s="747"/>
      <c r="AN232" s="747"/>
      <c r="AO232" s="747"/>
      <c r="AP232" s="747"/>
      <c r="AQ232" s="747"/>
      <c r="AR232" s="747"/>
      <c r="AS232" s="747"/>
      <c r="AT232" s="749">
        <f t="shared" si="3"/>
        <v>0</v>
      </c>
      <c r="AU232" s="746">
        <f t="shared" si="4"/>
        <v>0</v>
      </c>
    </row>
    <row r="233" spans="1:47" x14ac:dyDescent="0.25">
      <c r="A233" s="741" t="s">
        <v>659</v>
      </c>
      <c r="B233" s="742" t="s">
        <v>662</v>
      </c>
      <c r="C233" s="747"/>
      <c r="D233" s="747"/>
      <c r="E233" s="747"/>
      <c r="F233" s="748"/>
      <c r="G233" s="749">
        <f t="shared" si="0"/>
        <v>0</v>
      </c>
      <c r="H233" s="747"/>
      <c r="I233" s="747"/>
      <c r="J233" s="747"/>
      <c r="K233" s="747"/>
      <c r="L233" s="747"/>
      <c r="M233" s="747"/>
      <c r="N233" s="747"/>
      <c r="O233" s="747"/>
      <c r="P233" s="747"/>
      <c r="Q233" s="747"/>
      <c r="R233" s="747"/>
      <c r="S233" s="747"/>
      <c r="T233" s="749">
        <f t="shared" si="1"/>
        <v>0</v>
      </c>
      <c r="U233" s="747"/>
      <c r="V233" s="747"/>
      <c r="W233" s="747"/>
      <c r="X233" s="747"/>
      <c r="Y233" s="747"/>
      <c r="Z233" s="747"/>
      <c r="AA233" s="747"/>
      <c r="AB233" s="747"/>
      <c r="AC233" s="747"/>
      <c r="AD233" s="747"/>
      <c r="AE233" s="747"/>
      <c r="AF233" s="747"/>
      <c r="AG233" s="749">
        <f t="shared" si="2"/>
        <v>0</v>
      </c>
      <c r="AH233" s="747"/>
      <c r="AI233" s="747"/>
      <c r="AJ233" s="747"/>
      <c r="AK233" s="747"/>
      <c r="AL233" s="747"/>
      <c r="AM233" s="747"/>
      <c r="AN233" s="747"/>
      <c r="AO233" s="747"/>
      <c r="AP233" s="747"/>
      <c r="AQ233" s="747"/>
      <c r="AR233" s="747"/>
      <c r="AS233" s="747"/>
      <c r="AT233" s="749">
        <f t="shared" si="3"/>
        <v>0</v>
      </c>
      <c r="AU233" s="746">
        <f t="shared" si="4"/>
        <v>0</v>
      </c>
    </row>
    <row r="234" spans="1:47" x14ac:dyDescent="0.25">
      <c r="A234" s="750" t="s">
        <v>665</v>
      </c>
      <c r="B234" s="742" t="s">
        <v>660</v>
      </c>
      <c r="C234" s="747"/>
      <c r="D234" s="747"/>
      <c r="E234" s="747"/>
      <c r="F234" s="748"/>
      <c r="G234" s="749">
        <f t="shared" si="0"/>
        <v>0</v>
      </c>
      <c r="H234" s="747"/>
      <c r="I234" s="747"/>
      <c r="J234" s="747"/>
      <c r="K234" s="747"/>
      <c r="L234" s="747"/>
      <c r="M234" s="747"/>
      <c r="N234" s="747"/>
      <c r="O234" s="747"/>
      <c r="P234" s="747"/>
      <c r="Q234" s="747"/>
      <c r="R234" s="747"/>
      <c r="S234" s="747"/>
      <c r="T234" s="749">
        <f t="shared" si="1"/>
        <v>0</v>
      </c>
      <c r="U234" s="747"/>
      <c r="V234" s="747"/>
      <c r="W234" s="747"/>
      <c r="X234" s="747"/>
      <c r="Y234" s="747"/>
      <c r="Z234" s="747"/>
      <c r="AA234" s="747"/>
      <c r="AB234" s="747"/>
      <c r="AC234" s="747"/>
      <c r="AD234" s="747"/>
      <c r="AE234" s="747"/>
      <c r="AF234" s="747"/>
      <c r="AG234" s="749">
        <f t="shared" si="2"/>
        <v>0</v>
      </c>
      <c r="AH234" s="747"/>
      <c r="AI234" s="747"/>
      <c r="AJ234" s="747"/>
      <c r="AK234" s="747"/>
      <c r="AL234" s="747"/>
      <c r="AM234" s="747"/>
      <c r="AN234" s="747"/>
      <c r="AO234" s="747"/>
      <c r="AP234" s="747"/>
      <c r="AQ234" s="747"/>
      <c r="AR234" s="747"/>
      <c r="AS234" s="747"/>
      <c r="AT234" s="749">
        <f t="shared" si="3"/>
        <v>0</v>
      </c>
      <c r="AU234" s="746">
        <f t="shared" si="4"/>
        <v>0</v>
      </c>
    </row>
    <row r="235" spans="1:47" x14ac:dyDescent="0.25">
      <c r="A235" s="750" t="s">
        <v>665</v>
      </c>
      <c r="B235" s="742" t="s">
        <v>646</v>
      </c>
      <c r="C235" s="747"/>
      <c r="D235" s="747"/>
      <c r="E235" s="747"/>
      <c r="F235" s="748"/>
      <c r="G235" s="749">
        <f t="shared" si="0"/>
        <v>0</v>
      </c>
      <c r="H235" s="747"/>
      <c r="I235" s="747"/>
      <c r="J235" s="747"/>
      <c r="K235" s="747"/>
      <c r="L235" s="747"/>
      <c r="M235" s="747"/>
      <c r="N235" s="747"/>
      <c r="O235" s="747"/>
      <c r="P235" s="747"/>
      <c r="Q235" s="747"/>
      <c r="R235" s="747"/>
      <c r="S235" s="747"/>
      <c r="T235" s="749">
        <f t="shared" si="1"/>
        <v>0</v>
      </c>
      <c r="U235" s="747"/>
      <c r="V235" s="747"/>
      <c r="W235" s="747"/>
      <c r="X235" s="747"/>
      <c r="Y235" s="747"/>
      <c r="Z235" s="747"/>
      <c r="AA235" s="747"/>
      <c r="AB235" s="747"/>
      <c r="AC235" s="747"/>
      <c r="AD235" s="747"/>
      <c r="AE235" s="747"/>
      <c r="AF235" s="747"/>
      <c r="AG235" s="749">
        <f t="shared" si="2"/>
        <v>0</v>
      </c>
      <c r="AH235" s="747"/>
      <c r="AI235" s="747"/>
      <c r="AJ235" s="747"/>
      <c r="AK235" s="747"/>
      <c r="AL235" s="747"/>
      <c r="AM235" s="747"/>
      <c r="AN235" s="747"/>
      <c r="AO235" s="747"/>
      <c r="AP235" s="747"/>
      <c r="AQ235" s="747"/>
      <c r="AR235" s="747"/>
      <c r="AS235" s="747"/>
      <c r="AT235" s="749">
        <f t="shared" si="3"/>
        <v>0</v>
      </c>
      <c r="AU235" s="746">
        <f t="shared" si="4"/>
        <v>0</v>
      </c>
    </row>
    <row r="236" spans="1:47" x14ac:dyDescent="0.25">
      <c r="A236" s="750" t="s">
        <v>665</v>
      </c>
      <c r="B236" s="742" t="s">
        <v>669</v>
      </c>
      <c r="C236" s="747"/>
      <c r="D236" s="747"/>
      <c r="E236" s="747"/>
      <c r="F236" s="748"/>
      <c r="G236" s="749">
        <f t="shared" si="0"/>
        <v>0</v>
      </c>
      <c r="H236" s="747"/>
      <c r="I236" s="747"/>
      <c r="J236" s="747"/>
      <c r="K236" s="747"/>
      <c r="L236" s="747"/>
      <c r="M236" s="747"/>
      <c r="N236" s="747"/>
      <c r="O236" s="747"/>
      <c r="P236" s="747"/>
      <c r="Q236" s="747"/>
      <c r="R236" s="747"/>
      <c r="S236" s="747"/>
      <c r="T236" s="749">
        <f t="shared" si="1"/>
        <v>0</v>
      </c>
      <c r="U236" s="747"/>
      <c r="V236" s="747"/>
      <c r="W236" s="747"/>
      <c r="X236" s="747"/>
      <c r="Y236" s="747"/>
      <c r="Z236" s="747"/>
      <c r="AA236" s="747"/>
      <c r="AB236" s="747"/>
      <c r="AC236" s="747"/>
      <c r="AD236" s="747"/>
      <c r="AE236" s="747"/>
      <c r="AF236" s="747"/>
      <c r="AG236" s="749">
        <f t="shared" si="2"/>
        <v>0</v>
      </c>
      <c r="AH236" s="747"/>
      <c r="AI236" s="747"/>
      <c r="AJ236" s="747"/>
      <c r="AK236" s="747"/>
      <c r="AL236" s="747"/>
      <c r="AM236" s="747"/>
      <c r="AN236" s="747"/>
      <c r="AO236" s="747"/>
      <c r="AP236" s="747"/>
      <c r="AQ236" s="747"/>
      <c r="AR236" s="747"/>
      <c r="AS236" s="747"/>
      <c r="AT236" s="749">
        <f t="shared" si="3"/>
        <v>0</v>
      </c>
      <c r="AU236" s="746">
        <f t="shared" si="4"/>
        <v>0</v>
      </c>
    </row>
    <row r="237" spans="1:47" x14ac:dyDescent="0.25">
      <c r="A237" s="741" t="s">
        <v>665</v>
      </c>
      <c r="B237" s="742" t="s">
        <v>671</v>
      </c>
      <c r="C237" s="747"/>
      <c r="D237" s="747"/>
      <c r="E237" s="747"/>
      <c r="F237" s="748"/>
      <c r="G237" s="749">
        <f t="shared" si="0"/>
        <v>0</v>
      </c>
      <c r="H237" s="747"/>
      <c r="I237" s="747"/>
      <c r="J237" s="747"/>
      <c r="K237" s="747"/>
      <c r="L237" s="747"/>
      <c r="M237" s="747"/>
      <c r="N237" s="747"/>
      <c r="O237" s="747"/>
      <c r="P237" s="747"/>
      <c r="Q237" s="747"/>
      <c r="R237" s="747"/>
      <c r="S237" s="747"/>
      <c r="T237" s="749">
        <f t="shared" si="1"/>
        <v>0</v>
      </c>
      <c r="U237" s="747"/>
      <c r="V237" s="747"/>
      <c r="W237" s="747"/>
      <c r="X237" s="747"/>
      <c r="Y237" s="747"/>
      <c r="Z237" s="747"/>
      <c r="AA237" s="747"/>
      <c r="AB237" s="747"/>
      <c r="AC237" s="747"/>
      <c r="AD237" s="747"/>
      <c r="AE237" s="747"/>
      <c r="AF237" s="747"/>
      <c r="AG237" s="749">
        <f t="shared" si="2"/>
        <v>0</v>
      </c>
      <c r="AH237" s="747"/>
      <c r="AI237" s="747"/>
      <c r="AJ237" s="747"/>
      <c r="AK237" s="747"/>
      <c r="AL237" s="747"/>
      <c r="AM237" s="747"/>
      <c r="AN237" s="747"/>
      <c r="AO237" s="747"/>
      <c r="AP237" s="747"/>
      <c r="AQ237" s="747"/>
      <c r="AR237" s="747"/>
      <c r="AS237" s="747"/>
      <c r="AT237" s="749">
        <f t="shared" si="3"/>
        <v>0</v>
      </c>
      <c r="AU237" s="746">
        <f t="shared" si="4"/>
        <v>0</v>
      </c>
    </row>
    <row r="238" spans="1:47" x14ac:dyDescent="0.25">
      <c r="A238" s="741" t="s">
        <v>665</v>
      </c>
      <c r="B238" s="742" t="s">
        <v>673</v>
      </c>
      <c r="C238" s="747"/>
      <c r="D238" s="747"/>
      <c r="E238" s="747"/>
      <c r="F238" s="748"/>
      <c r="G238" s="749">
        <f t="shared" si="0"/>
        <v>0</v>
      </c>
      <c r="H238" s="747"/>
      <c r="I238" s="747"/>
      <c r="J238" s="747"/>
      <c r="K238" s="747"/>
      <c r="L238" s="747"/>
      <c r="M238" s="747"/>
      <c r="N238" s="747"/>
      <c r="O238" s="747"/>
      <c r="P238" s="747"/>
      <c r="Q238" s="747"/>
      <c r="R238" s="747"/>
      <c r="S238" s="747"/>
      <c r="T238" s="749">
        <f t="shared" si="1"/>
        <v>0</v>
      </c>
      <c r="U238" s="747"/>
      <c r="V238" s="747"/>
      <c r="W238" s="747"/>
      <c r="X238" s="747"/>
      <c r="Y238" s="747"/>
      <c r="Z238" s="747"/>
      <c r="AA238" s="747"/>
      <c r="AB238" s="747"/>
      <c r="AC238" s="747"/>
      <c r="AD238" s="747"/>
      <c r="AE238" s="747"/>
      <c r="AF238" s="747"/>
      <c r="AG238" s="749">
        <f t="shared" si="2"/>
        <v>0</v>
      </c>
      <c r="AH238" s="747"/>
      <c r="AI238" s="747"/>
      <c r="AJ238" s="747"/>
      <c r="AK238" s="747"/>
      <c r="AL238" s="747"/>
      <c r="AM238" s="747"/>
      <c r="AN238" s="747"/>
      <c r="AO238" s="747"/>
      <c r="AP238" s="747"/>
      <c r="AQ238" s="747"/>
      <c r="AR238" s="747"/>
      <c r="AS238" s="747"/>
      <c r="AT238" s="749">
        <f t="shared" si="3"/>
        <v>0</v>
      </c>
      <c r="AU238" s="746">
        <f t="shared" si="4"/>
        <v>0</v>
      </c>
    </row>
    <row r="239" spans="1:47" x14ac:dyDescent="0.25">
      <c r="A239" s="741" t="s">
        <v>665</v>
      </c>
      <c r="B239" s="742" t="s">
        <v>675</v>
      </c>
      <c r="C239" s="747"/>
      <c r="D239" s="747"/>
      <c r="E239" s="747"/>
      <c r="F239" s="748"/>
      <c r="G239" s="749">
        <f t="shared" si="0"/>
        <v>0</v>
      </c>
      <c r="H239" s="747"/>
      <c r="I239" s="747"/>
      <c r="J239" s="747"/>
      <c r="K239" s="747"/>
      <c r="L239" s="747"/>
      <c r="M239" s="747"/>
      <c r="N239" s="747"/>
      <c r="O239" s="747"/>
      <c r="P239" s="747"/>
      <c r="Q239" s="747"/>
      <c r="R239" s="747"/>
      <c r="S239" s="747"/>
      <c r="T239" s="749">
        <f t="shared" si="1"/>
        <v>0</v>
      </c>
      <c r="U239" s="747"/>
      <c r="V239" s="747"/>
      <c r="W239" s="747"/>
      <c r="X239" s="747"/>
      <c r="Y239" s="747"/>
      <c r="Z239" s="747"/>
      <c r="AA239" s="747"/>
      <c r="AB239" s="747"/>
      <c r="AC239" s="747"/>
      <c r="AD239" s="747"/>
      <c r="AE239" s="747"/>
      <c r="AF239" s="747"/>
      <c r="AG239" s="749">
        <f t="shared" si="2"/>
        <v>0</v>
      </c>
      <c r="AH239" s="747"/>
      <c r="AI239" s="747"/>
      <c r="AJ239" s="747"/>
      <c r="AK239" s="747"/>
      <c r="AL239" s="747"/>
      <c r="AM239" s="747"/>
      <c r="AN239" s="747"/>
      <c r="AO239" s="747"/>
      <c r="AP239" s="747"/>
      <c r="AQ239" s="747"/>
      <c r="AR239" s="747"/>
      <c r="AS239" s="747"/>
      <c r="AT239" s="749">
        <f t="shared" si="3"/>
        <v>0</v>
      </c>
      <c r="AU239" s="746">
        <f t="shared" si="4"/>
        <v>0</v>
      </c>
    </row>
    <row r="240" spans="1:47" x14ac:dyDescent="0.25">
      <c r="A240" s="750" t="s">
        <v>665</v>
      </c>
      <c r="B240" s="742" t="s">
        <v>677</v>
      </c>
      <c r="C240" s="747"/>
      <c r="D240" s="747"/>
      <c r="E240" s="747"/>
      <c r="F240" s="748"/>
      <c r="G240" s="749">
        <f t="shared" si="0"/>
        <v>0</v>
      </c>
      <c r="H240" s="747"/>
      <c r="I240" s="747"/>
      <c r="J240" s="747"/>
      <c r="K240" s="747"/>
      <c r="L240" s="747"/>
      <c r="M240" s="747"/>
      <c r="N240" s="747"/>
      <c r="O240" s="747"/>
      <c r="P240" s="747"/>
      <c r="Q240" s="747"/>
      <c r="R240" s="747"/>
      <c r="S240" s="747"/>
      <c r="T240" s="749">
        <f t="shared" si="1"/>
        <v>0</v>
      </c>
      <c r="U240" s="747"/>
      <c r="V240" s="747"/>
      <c r="W240" s="747"/>
      <c r="X240" s="747"/>
      <c r="Y240" s="747"/>
      <c r="Z240" s="747"/>
      <c r="AA240" s="747"/>
      <c r="AB240" s="747"/>
      <c r="AC240" s="747"/>
      <c r="AD240" s="747"/>
      <c r="AE240" s="747"/>
      <c r="AF240" s="747"/>
      <c r="AG240" s="749">
        <f t="shared" si="2"/>
        <v>0</v>
      </c>
      <c r="AH240" s="747"/>
      <c r="AI240" s="747"/>
      <c r="AJ240" s="747"/>
      <c r="AK240" s="747"/>
      <c r="AL240" s="747"/>
      <c r="AM240" s="747"/>
      <c r="AN240" s="747"/>
      <c r="AO240" s="747"/>
      <c r="AP240" s="747"/>
      <c r="AQ240" s="747"/>
      <c r="AR240" s="747"/>
      <c r="AS240" s="747"/>
      <c r="AT240" s="749">
        <f t="shared" si="3"/>
        <v>0</v>
      </c>
      <c r="AU240" s="746">
        <f t="shared" si="4"/>
        <v>0</v>
      </c>
    </row>
    <row r="241" spans="1:47" x14ac:dyDescent="0.25">
      <c r="A241" s="741" t="s">
        <v>665</v>
      </c>
      <c r="B241" s="742" t="s">
        <v>664</v>
      </c>
      <c r="C241" s="747"/>
      <c r="D241" s="747"/>
      <c r="E241" s="747"/>
      <c r="F241" s="748"/>
      <c r="G241" s="749">
        <f t="shared" si="0"/>
        <v>0</v>
      </c>
      <c r="H241" s="747"/>
      <c r="I241" s="747"/>
      <c r="J241" s="747"/>
      <c r="K241" s="747"/>
      <c r="L241" s="747"/>
      <c r="M241" s="747"/>
      <c r="N241" s="747"/>
      <c r="O241" s="747"/>
      <c r="P241" s="747"/>
      <c r="Q241" s="747"/>
      <c r="R241" s="747"/>
      <c r="S241" s="747"/>
      <c r="T241" s="749">
        <f t="shared" si="1"/>
        <v>0</v>
      </c>
      <c r="U241" s="747"/>
      <c r="V241" s="747"/>
      <c r="W241" s="747"/>
      <c r="X241" s="747"/>
      <c r="Y241" s="747"/>
      <c r="Z241" s="747"/>
      <c r="AA241" s="747"/>
      <c r="AB241" s="747"/>
      <c r="AC241" s="747"/>
      <c r="AD241" s="747"/>
      <c r="AE241" s="747"/>
      <c r="AF241" s="747"/>
      <c r="AG241" s="749">
        <f t="shared" si="2"/>
        <v>0</v>
      </c>
      <c r="AH241" s="747"/>
      <c r="AI241" s="747"/>
      <c r="AJ241" s="747"/>
      <c r="AK241" s="747"/>
      <c r="AL241" s="747"/>
      <c r="AM241" s="747"/>
      <c r="AN241" s="747"/>
      <c r="AO241" s="747"/>
      <c r="AP241" s="747"/>
      <c r="AQ241" s="747"/>
      <c r="AR241" s="747"/>
      <c r="AS241" s="747"/>
      <c r="AT241" s="749">
        <f t="shared" si="3"/>
        <v>0</v>
      </c>
      <c r="AU241" s="746">
        <f t="shared" si="4"/>
        <v>0</v>
      </c>
    </row>
    <row r="242" spans="1:47" x14ac:dyDescent="0.25">
      <c r="A242" s="741" t="s">
        <v>665</v>
      </c>
      <c r="B242" s="742" t="s">
        <v>679</v>
      </c>
      <c r="C242" s="747"/>
      <c r="D242" s="747"/>
      <c r="E242" s="747"/>
      <c r="F242" s="748"/>
      <c r="G242" s="749">
        <f t="shared" si="0"/>
        <v>0</v>
      </c>
      <c r="H242" s="747"/>
      <c r="I242" s="747"/>
      <c r="J242" s="747"/>
      <c r="K242" s="747"/>
      <c r="L242" s="747"/>
      <c r="M242" s="747"/>
      <c r="N242" s="747"/>
      <c r="O242" s="747"/>
      <c r="P242" s="747"/>
      <c r="Q242" s="747"/>
      <c r="R242" s="747"/>
      <c r="S242" s="747"/>
      <c r="T242" s="749">
        <f t="shared" si="1"/>
        <v>0</v>
      </c>
      <c r="U242" s="747"/>
      <c r="V242" s="747"/>
      <c r="W242" s="747"/>
      <c r="X242" s="747"/>
      <c r="Y242" s="747"/>
      <c r="Z242" s="747"/>
      <c r="AA242" s="747"/>
      <c r="AB242" s="747"/>
      <c r="AC242" s="747"/>
      <c r="AD242" s="747"/>
      <c r="AE242" s="747"/>
      <c r="AF242" s="747"/>
      <c r="AG242" s="749">
        <f t="shared" si="2"/>
        <v>0</v>
      </c>
      <c r="AH242" s="747"/>
      <c r="AI242" s="747"/>
      <c r="AJ242" s="747"/>
      <c r="AK242" s="747"/>
      <c r="AL242" s="747"/>
      <c r="AM242" s="747"/>
      <c r="AN242" s="747"/>
      <c r="AO242" s="747"/>
      <c r="AP242" s="747"/>
      <c r="AQ242" s="747"/>
      <c r="AR242" s="747"/>
      <c r="AS242" s="747"/>
      <c r="AT242" s="749">
        <f t="shared" si="3"/>
        <v>0</v>
      </c>
      <c r="AU242" s="746">
        <f t="shared" si="4"/>
        <v>0</v>
      </c>
    </row>
    <row r="243" spans="1:47" x14ac:dyDescent="0.25">
      <c r="A243" s="741" t="s">
        <v>682</v>
      </c>
      <c r="B243" s="742" t="s">
        <v>681</v>
      </c>
      <c r="C243" s="747"/>
      <c r="D243" s="747"/>
      <c r="E243" s="747"/>
      <c r="F243" s="748"/>
      <c r="G243" s="749">
        <f t="shared" si="0"/>
        <v>0</v>
      </c>
      <c r="H243" s="747"/>
      <c r="I243" s="747"/>
      <c r="J243" s="747"/>
      <c r="K243" s="747"/>
      <c r="L243" s="747"/>
      <c r="M243" s="747"/>
      <c r="N243" s="747"/>
      <c r="O243" s="747"/>
      <c r="P243" s="747"/>
      <c r="Q243" s="747"/>
      <c r="R243" s="747"/>
      <c r="S243" s="747"/>
      <c r="T243" s="749">
        <f t="shared" si="1"/>
        <v>0</v>
      </c>
      <c r="U243" s="747"/>
      <c r="V243" s="747"/>
      <c r="W243" s="747"/>
      <c r="X243" s="747"/>
      <c r="Y243" s="747"/>
      <c r="Z243" s="747"/>
      <c r="AA243" s="747"/>
      <c r="AB243" s="747"/>
      <c r="AC243" s="747"/>
      <c r="AD243" s="747"/>
      <c r="AE243" s="747"/>
      <c r="AF243" s="747"/>
      <c r="AG243" s="749">
        <f t="shared" si="2"/>
        <v>0</v>
      </c>
      <c r="AH243" s="747"/>
      <c r="AI243" s="747"/>
      <c r="AJ243" s="747"/>
      <c r="AK243" s="747"/>
      <c r="AL243" s="747"/>
      <c r="AM243" s="747"/>
      <c r="AN243" s="747"/>
      <c r="AO243" s="747"/>
      <c r="AP243" s="747"/>
      <c r="AQ243" s="747"/>
      <c r="AR243" s="747"/>
      <c r="AS243" s="747"/>
      <c r="AT243" s="749">
        <f t="shared" si="3"/>
        <v>0</v>
      </c>
      <c r="AU243" s="746">
        <f t="shared" si="4"/>
        <v>0</v>
      </c>
    </row>
    <row r="244" spans="1:47" x14ac:dyDescent="0.25">
      <c r="A244" s="741" t="s">
        <v>682</v>
      </c>
      <c r="B244" s="742" t="s">
        <v>630</v>
      </c>
      <c r="C244" s="747"/>
      <c r="D244" s="747"/>
      <c r="E244" s="747"/>
      <c r="F244" s="748"/>
      <c r="G244" s="749">
        <f t="shared" si="0"/>
        <v>0</v>
      </c>
      <c r="H244" s="747"/>
      <c r="I244" s="747"/>
      <c r="J244" s="747"/>
      <c r="K244" s="747"/>
      <c r="L244" s="747"/>
      <c r="M244" s="747"/>
      <c r="N244" s="747"/>
      <c r="O244" s="747"/>
      <c r="P244" s="747"/>
      <c r="Q244" s="747"/>
      <c r="R244" s="747"/>
      <c r="S244" s="747"/>
      <c r="T244" s="749">
        <f t="shared" si="1"/>
        <v>0</v>
      </c>
      <c r="U244" s="747"/>
      <c r="V244" s="747"/>
      <c r="W244" s="747"/>
      <c r="X244" s="747"/>
      <c r="Y244" s="747"/>
      <c r="Z244" s="747"/>
      <c r="AA244" s="747"/>
      <c r="AB244" s="747"/>
      <c r="AC244" s="747"/>
      <c r="AD244" s="747"/>
      <c r="AE244" s="747"/>
      <c r="AF244" s="747"/>
      <c r="AG244" s="749">
        <f t="shared" si="2"/>
        <v>0</v>
      </c>
      <c r="AH244" s="747"/>
      <c r="AI244" s="747"/>
      <c r="AJ244" s="747"/>
      <c r="AK244" s="747"/>
      <c r="AL244" s="747"/>
      <c r="AM244" s="747"/>
      <c r="AN244" s="747"/>
      <c r="AO244" s="747"/>
      <c r="AP244" s="747"/>
      <c r="AQ244" s="747"/>
      <c r="AR244" s="747"/>
      <c r="AS244" s="747"/>
      <c r="AT244" s="749">
        <f t="shared" si="3"/>
        <v>0</v>
      </c>
      <c r="AU244" s="746">
        <f t="shared" si="4"/>
        <v>0</v>
      </c>
    </row>
    <row r="245" spans="1:47" x14ac:dyDescent="0.25">
      <c r="A245" s="741" t="s">
        <v>682</v>
      </c>
      <c r="B245" s="742" t="s">
        <v>685</v>
      </c>
      <c r="C245" s="747"/>
      <c r="D245" s="747"/>
      <c r="E245" s="747"/>
      <c r="F245" s="748"/>
      <c r="G245" s="749">
        <f t="shared" si="0"/>
        <v>0</v>
      </c>
      <c r="H245" s="747"/>
      <c r="I245" s="747"/>
      <c r="J245" s="747"/>
      <c r="K245" s="747"/>
      <c r="L245" s="747"/>
      <c r="M245" s="747"/>
      <c r="N245" s="747"/>
      <c r="O245" s="747"/>
      <c r="P245" s="747"/>
      <c r="Q245" s="747"/>
      <c r="R245" s="747"/>
      <c r="S245" s="747"/>
      <c r="T245" s="749">
        <f t="shared" si="1"/>
        <v>0</v>
      </c>
      <c r="U245" s="747"/>
      <c r="V245" s="747"/>
      <c r="W245" s="747"/>
      <c r="X245" s="747"/>
      <c r="Y245" s="747"/>
      <c r="Z245" s="747"/>
      <c r="AA245" s="747"/>
      <c r="AB245" s="747"/>
      <c r="AC245" s="747"/>
      <c r="AD245" s="747"/>
      <c r="AE245" s="747"/>
      <c r="AF245" s="747"/>
      <c r="AG245" s="749">
        <f t="shared" si="2"/>
        <v>0</v>
      </c>
      <c r="AH245" s="747"/>
      <c r="AI245" s="747"/>
      <c r="AJ245" s="747"/>
      <c r="AK245" s="747"/>
      <c r="AL245" s="747"/>
      <c r="AM245" s="747"/>
      <c r="AN245" s="747"/>
      <c r="AO245" s="747"/>
      <c r="AP245" s="747"/>
      <c r="AQ245" s="747"/>
      <c r="AR245" s="747"/>
      <c r="AS245" s="747"/>
      <c r="AT245" s="749">
        <f t="shared" si="3"/>
        <v>0</v>
      </c>
      <c r="AU245" s="746">
        <f t="shared" si="4"/>
        <v>0</v>
      </c>
    </row>
    <row r="246" spans="1:47" x14ac:dyDescent="0.25">
      <c r="A246" s="741" t="s">
        <v>682</v>
      </c>
      <c r="B246" s="742" t="s">
        <v>687</v>
      </c>
      <c r="C246" s="747"/>
      <c r="D246" s="747"/>
      <c r="E246" s="747"/>
      <c r="F246" s="748"/>
      <c r="G246" s="749">
        <f t="shared" si="0"/>
        <v>0</v>
      </c>
      <c r="H246" s="747"/>
      <c r="I246" s="747"/>
      <c r="J246" s="747"/>
      <c r="K246" s="747"/>
      <c r="L246" s="747"/>
      <c r="M246" s="747"/>
      <c r="N246" s="747"/>
      <c r="O246" s="747"/>
      <c r="P246" s="747"/>
      <c r="Q246" s="747"/>
      <c r="R246" s="747"/>
      <c r="S246" s="747"/>
      <c r="T246" s="749">
        <f t="shared" si="1"/>
        <v>0</v>
      </c>
      <c r="U246" s="747"/>
      <c r="V246" s="747"/>
      <c r="W246" s="747"/>
      <c r="X246" s="747"/>
      <c r="Y246" s="747"/>
      <c r="Z246" s="747"/>
      <c r="AA246" s="747"/>
      <c r="AB246" s="747"/>
      <c r="AC246" s="747"/>
      <c r="AD246" s="747"/>
      <c r="AE246" s="747"/>
      <c r="AF246" s="747"/>
      <c r="AG246" s="749">
        <f t="shared" si="2"/>
        <v>0</v>
      </c>
      <c r="AH246" s="747"/>
      <c r="AI246" s="747"/>
      <c r="AJ246" s="747"/>
      <c r="AK246" s="747"/>
      <c r="AL246" s="747"/>
      <c r="AM246" s="747"/>
      <c r="AN246" s="747"/>
      <c r="AO246" s="747"/>
      <c r="AP246" s="747"/>
      <c r="AQ246" s="747"/>
      <c r="AR246" s="747"/>
      <c r="AS246" s="747"/>
      <c r="AT246" s="749">
        <f t="shared" si="3"/>
        <v>0</v>
      </c>
      <c r="AU246" s="746">
        <f t="shared" si="4"/>
        <v>0</v>
      </c>
    </row>
    <row r="247" spans="1:47" x14ac:dyDescent="0.25">
      <c r="A247" s="741" t="s">
        <v>682</v>
      </c>
      <c r="B247" s="742" t="s">
        <v>643</v>
      </c>
      <c r="C247" s="747"/>
      <c r="D247" s="747"/>
      <c r="E247" s="747"/>
      <c r="F247" s="748"/>
      <c r="G247" s="749">
        <f t="shared" si="0"/>
        <v>0</v>
      </c>
      <c r="H247" s="747"/>
      <c r="I247" s="747"/>
      <c r="J247" s="747"/>
      <c r="K247" s="747"/>
      <c r="L247" s="747"/>
      <c r="M247" s="747"/>
      <c r="N247" s="747"/>
      <c r="O247" s="747"/>
      <c r="P247" s="747"/>
      <c r="Q247" s="747"/>
      <c r="R247" s="747"/>
      <c r="S247" s="747"/>
      <c r="T247" s="749">
        <f t="shared" si="1"/>
        <v>0</v>
      </c>
      <c r="U247" s="747"/>
      <c r="V247" s="747"/>
      <c r="W247" s="747"/>
      <c r="X247" s="747"/>
      <c r="Y247" s="747"/>
      <c r="Z247" s="747"/>
      <c r="AA247" s="747"/>
      <c r="AB247" s="747"/>
      <c r="AC247" s="747"/>
      <c r="AD247" s="747"/>
      <c r="AE247" s="747"/>
      <c r="AF247" s="747"/>
      <c r="AG247" s="749">
        <f t="shared" si="2"/>
        <v>0</v>
      </c>
      <c r="AH247" s="747"/>
      <c r="AI247" s="747"/>
      <c r="AJ247" s="747"/>
      <c r="AK247" s="747"/>
      <c r="AL247" s="747"/>
      <c r="AM247" s="747"/>
      <c r="AN247" s="747"/>
      <c r="AO247" s="747"/>
      <c r="AP247" s="747"/>
      <c r="AQ247" s="747"/>
      <c r="AR247" s="747"/>
      <c r="AS247" s="747"/>
      <c r="AT247" s="749">
        <f t="shared" si="3"/>
        <v>0</v>
      </c>
      <c r="AU247" s="746">
        <f t="shared" si="4"/>
        <v>0</v>
      </c>
    </row>
    <row r="248" spans="1:47" x14ac:dyDescent="0.25">
      <c r="A248" s="741" t="s">
        <v>682</v>
      </c>
      <c r="B248" s="742" t="s">
        <v>690</v>
      </c>
      <c r="C248" s="747"/>
      <c r="D248" s="747"/>
      <c r="E248" s="747"/>
      <c r="F248" s="748"/>
      <c r="G248" s="749">
        <f t="shared" si="0"/>
        <v>0</v>
      </c>
      <c r="H248" s="747"/>
      <c r="I248" s="747"/>
      <c r="J248" s="747"/>
      <c r="K248" s="747"/>
      <c r="L248" s="747"/>
      <c r="M248" s="747"/>
      <c r="N248" s="747"/>
      <c r="O248" s="747"/>
      <c r="P248" s="747"/>
      <c r="Q248" s="747"/>
      <c r="R248" s="747"/>
      <c r="S248" s="747"/>
      <c r="T248" s="749">
        <f t="shared" si="1"/>
        <v>0</v>
      </c>
      <c r="U248" s="747"/>
      <c r="V248" s="747"/>
      <c r="W248" s="747"/>
      <c r="X248" s="747"/>
      <c r="Y248" s="747"/>
      <c r="Z248" s="747"/>
      <c r="AA248" s="747"/>
      <c r="AB248" s="747"/>
      <c r="AC248" s="747"/>
      <c r="AD248" s="747"/>
      <c r="AE248" s="747"/>
      <c r="AF248" s="747"/>
      <c r="AG248" s="749">
        <f t="shared" si="2"/>
        <v>0</v>
      </c>
      <c r="AH248" s="747"/>
      <c r="AI248" s="747"/>
      <c r="AJ248" s="747"/>
      <c r="AK248" s="747"/>
      <c r="AL248" s="747"/>
      <c r="AM248" s="747"/>
      <c r="AN248" s="747"/>
      <c r="AO248" s="747"/>
      <c r="AP248" s="747"/>
      <c r="AQ248" s="747"/>
      <c r="AR248" s="747"/>
      <c r="AS248" s="747"/>
      <c r="AT248" s="749">
        <f t="shared" si="3"/>
        <v>0</v>
      </c>
      <c r="AU248" s="746">
        <f t="shared" si="4"/>
        <v>0</v>
      </c>
    </row>
    <row r="249" spans="1:47" x14ac:dyDescent="0.25">
      <c r="A249" s="741" t="s">
        <v>682</v>
      </c>
      <c r="B249" s="742" t="s">
        <v>692</v>
      </c>
      <c r="C249" s="747"/>
      <c r="D249" s="747"/>
      <c r="E249" s="747"/>
      <c r="F249" s="748"/>
      <c r="G249" s="749">
        <f t="shared" si="0"/>
        <v>0</v>
      </c>
      <c r="H249" s="747"/>
      <c r="I249" s="747"/>
      <c r="J249" s="747"/>
      <c r="K249" s="747"/>
      <c r="L249" s="747"/>
      <c r="M249" s="747"/>
      <c r="N249" s="747"/>
      <c r="O249" s="747"/>
      <c r="P249" s="747"/>
      <c r="Q249" s="747"/>
      <c r="R249" s="747"/>
      <c r="S249" s="747"/>
      <c r="T249" s="749">
        <f t="shared" si="1"/>
        <v>0</v>
      </c>
      <c r="U249" s="747"/>
      <c r="V249" s="747"/>
      <c r="W249" s="747"/>
      <c r="X249" s="747"/>
      <c r="Y249" s="747"/>
      <c r="Z249" s="747"/>
      <c r="AA249" s="747"/>
      <c r="AB249" s="747"/>
      <c r="AC249" s="747"/>
      <c r="AD249" s="747"/>
      <c r="AE249" s="747"/>
      <c r="AF249" s="747"/>
      <c r="AG249" s="749">
        <f t="shared" si="2"/>
        <v>0</v>
      </c>
      <c r="AH249" s="747"/>
      <c r="AI249" s="747"/>
      <c r="AJ249" s="747"/>
      <c r="AK249" s="747"/>
      <c r="AL249" s="747"/>
      <c r="AM249" s="747"/>
      <c r="AN249" s="747"/>
      <c r="AO249" s="747"/>
      <c r="AP249" s="747"/>
      <c r="AQ249" s="747"/>
      <c r="AR249" s="747"/>
      <c r="AS249" s="747"/>
      <c r="AT249" s="749">
        <f t="shared" si="3"/>
        <v>0</v>
      </c>
      <c r="AU249" s="746">
        <f t="shared" si="4"/>
        <v>0</v>
      </c>
    </row>
    <row r="250" spans="1:47" x14ac:dyDescent="0.25">
      <c r="A250" s="741" t="s">
        <v>694</v>
      </c>
      <c r="B250" s="742" t="s">
        <v>694</v>
      </c>
      <c r="C250" s="747"/>
      <c r="D250" s="747"/>
      <c r="E250" s="747"/>
      <c r="F250" s="748"/>
      <c r="G250" s="749">
        <f t="shared" si="0"/>
        <v>0</v>
      </c>
      <c r="H250" s="747"/>
      <c r="I250" s="747"/>
      <c r="J250" s="747"/>
      <c r="K250" s="747"/>
      <c r="L250" s="747"/>
      <c r="M250" s="747"/>
      <c r="N250" s="747"/>
      <c r="O250" s="747"/>
      <c r="P250" s="747"/>
      <c r="Q250" s="747"/>
      <c r="R250" s="747"/>
      <c r="S250" s="747"/>
      <c r="T250" s="749">
        <f t="shared" si="1"/>
        <v>0</v>
      </c>
      <c r="U250" s="747"/>
      <c r="V250" s="747"/>
      <c r="W250" s="747"/>
      <c r="X250" s="747"/>
      <c r="Y250" s="747"/>
      <c r="Z250" s="747"/>
      <c r="AA250" s="747"/>
      <c r="AB250" s="747"/>
      <c r="AC250" s="747"/>
      <c r="AD250" s="747"/>
      <c r="AE250" s="747"/>
      <c r="AF250" s="747"/>
      <c r="AG250" s="749">
        <f t="shared" si="2"/>
        <v>0</v>
      </c>
      <c r="AH250" s="747"/>
      <c r="AI250" s="747"/>
      <c r="AJ250" s="747"/>
      <c r="AK250" s="747"/>
      <c r="AL250" s="747"/>
      <c r="AM250" s="747"/>
      <c r="AN250" s="747"/>
      <c r="AO250" s="747"/>
      <c r="AP250" s="747"/>
      <c r="AQ250" s="747"/>
      <c r="AR250" s="747"/>
      <c r="AS250" s="747"/>
      <c r="AT250" s="749">
        <f t="shared" si="3"/>
        <v>0</v>
      </c>
      <c r="AU250" s="746">
        <f t="shared" si="4"/>
        <v>0</v>
      </c>
    </row>
    <row r="251" spans="1:47" x14ac:dyDescent="0.25">
      <c r="A251" s="741" t="s">
        <v>633</v>
      </c>
      <c r="B251" s="742" t="s">
        <v>633</v>
      </c>
      <c r="C251" s="747"/>
      <c r="D251" s="747"/>
      <c r="E251" s="747"/>
      <c r="F251" s="748"/>
      <c r="G251" s="749">
        <f t="shared" si="0"/>
        <v>0</v>
      </c>
      <c r="H251" s="747"/>
      <c r="I251" s="747"/>
      <c r="J251" s="747"/>
      <c r="K251" s="747"/>
      <c r="L251" s="747"/>
      <c r="M251" s="747"/>
      <c r="N251" s="747"/>
      <c r="O251" s="747"/>
      <c r="P251" s="747"/>
      <c r="Q251" s="747"/>
      <c r="R251" s="747"/>
      <c r="S251" s="747"/>
      <c r="T251" s="749">
        <f t="shared" si="1"/>
        <v>0</v>
      </c>
      <c r="U251" s="747"/>
      <c r="V251" s="747"/>
      <c r="W251" s="747"/>
      <c r="X251" s="747"/>
      <c r="Y251" s="747"/>
      <c r="Z251" s="747"/>
      <c r="AA251" s="747"/>
      <c r="AB251" s="747"/>
      <c r="AC251" s="747"/>
      <c r="AD251" s="747"/>
      <c r="AE251" s="747"/>
      <c r="AF251" s="747"/>
      <c r="AG251" s="749">
        <f t="shared" si="2"/>
        <v>0</v>
      </c>
      <c r="AH251" s="747"/>
      <c r="AI251" s="747"/>
      <c r="AJ251" s="747"/>
      <c r="AK251" s="747"/>
      <c r="AL251" s="747"/>
      <c r="AM251" s="747"/>
      <c r="AN251" s="747"/>
      <c r="AO251" s="747"/>
      <c r="AP251" s="747"/>
      <c r="AQ251" s="747"/>
      <c r="AR251" s="747"/>
      <c r="AS251" s="747"/>
      <c r="AT251" s="749">
        <f t="shared" si="3"/>
        <v>0</v>
      </c>
      <c r="AU251" s="746">
        <f t="shared" si="4"/>
        <v>0</v>
      </c>
    </row>
    <row r="252" spans="1:47" ht="15.75" thickBot="1" x14ac:dyDescent="0.3">
      <c r="A252" s="751" t="s">
        <v>648</v>
      </c>
      <c r="B252" s="752" t="s">
        <v>648</v>
      </c>
      <c r="C252" s="753"/>
      <c r="D252" s="753"/>
      <c r="E252" s="753"/>
      <c r="F252" s="754"/>
      <c r="G252" s="755">
        <f t="shared" si="0"/>
        <v>0</v>
      </c>
      <c r="H252" s="753"/>
      <c r="I252" s="753"/>
      <c r="J252" s="753"/>
      <c r="K252" s="753"/>
      <c r="L252" s="753"/>
      <c r="M252" s="753"/>
      <c r="N252" s="753"/>
      <c r="O252" s="753"/>
      <c r="P252" s="753"/>
      <c r="Q252" s="753"/>
      <c r="R252" s="753"/>
      <c r="S252" s="753"/>
      <c r="T252" s="755">
        <f t="shared" si="1"/>
        <v>0</v>
      </c>
      <c r="U252" s="753"/>
      <c r="V252" s="753"/>
      <c r="W252" s="753"/>
      <c r="X252" s="753"/>
      <c r="Y252" s="753"/>
      <c r="Z252" s="753"/>
      <c r="AA252" s="753"/>
      <c r="AB252" s="753"/>
      <c r="AC252" s="753"/>
      <c r="AD252" s="753"/>
      <c r="AE252" s="753"/>
      <c r="AF252" s="753"/>
      <c r="AG252" s="755">
        <f t="shared" si="2"/>
        <v>0</v>
      </c>
      <c r="AH252" s="753"/>
      <c r="AI252" s="753"/>
      <c r="AJ252" s="753"/>
      <c r="AK252" s="753"/>
      <c r="AL252" s="753"/>
      <c r="AM252" s="753"/>
      <c r="AN252" s="753"/>
      <c r="AO252" s="753"/>
      <c r="AP252" s="753"/>
      <c r="AQ252" s="753"/>
      <c r="AR252" s="753"/>
      <c r="AS252" s="753"/>
      <c r="AT252" s="755">
        <f t="shared" si="3"/>
        <v>0</v>
      </c>
      <c r="AU252" s="756">
        <f t="shared" si="4"/>
        <v>0</v>
      </c>
    </row>
    <row r="253" spans="1:47" ht="15.75" thickBot="1" x14ac:dyDescent="0.3">
      <c r="A253" s="646"/>
      <c r="B253" s="757" t="s">
        <v>1139</v>
      </c>
      <c r="C253" s="758">
        <f t="shared" ref="C253:AU253" si="5">SUM(C220:C252)</f>
        <v>0</v>
      </c>
      <c r="D253" s="758">
        <f t="shared" si="5"/>
        <v>0</v>
      </c>
      <c r="E253" s="758">
        <f t="shared" si="5"/>
        <v>0</v>
      </c>
      <c r="F253" s="758">
        <f t="shared" si="5"/>
        <v>0</v>
      </c>
      <c r="G253" s="759">
        <f t="shared" si="5"/>
        <v>0</v>
      </c>
      <c r="H253" s="758">
        <f t="shared" si="5"/>
        <v>0</v>
      </c>
      <c r="I253" s="758">
        <f t="shared" si="5"/>
        <v>0</v>
      </c>
      <c r="J253" s="758">
        <f t="shared" si="5"/>
        <v>0</v>
      </c>
      <c r="K253" s="758">
        <f t="shared" si="5"/>
        <v>0</v>
      </c>
      <c r="L253" s="758">
        <f t="shared" si="5"/>
        <v>0</v>
      </c>
      <c r="M253" s="758">
        <f t="shared" si="5"/>
        <v>0</v>
      </c>
      <c r="N253" s="758">
        <f t="shared" si="5"/>
        <v>0</v>
      </c>
      <c r="O253" s="758">
        <f t="shared" si="5"/>
        <v>0</v>
      </c>
      <c r="P253" s="758">
        <f t="shared" si="5"/>
        <v>0</v>
      </c>
      <c r="Q253" s="758">
        <f t="shared" si="5"/>
        <v>0</v>
      </c>
      <c r="R253" s="758">
        <f t="shared" si="5"/>
        <v>0</v>
      </c>
      <c r="S253" s="758">
        <f t="shared" si="5"/>
        <v>0</v>
      </c>
      <c r="T253" s="759">
        <f t="shared" si="5"/>
        <v>0</v>
      </c>
      <c r="U253" s="758">
        <f t="shared" si="5"/>
        <v>0</v>
      </c>
      <c r="V253" s="758">
        <f t="shared" si="5"/>
        <v>0</v>
      </c>
      <c r="W253" s="758">
        <f t="shared" si="5"/>
        <v>0</v>
      </c>
      <c r="X253" s="758">
        <f t="shared" si="5"/>
        <v>0</v>
      </c>
      <c r="Y253" s="758">
        <f t="shared" si="5"/>
        <v>0</v>
      </c>
      <c r="Z253" s="758">
        <f t="shared" si="5"/>
        <v>0</v>
      </c>
      <c r="AA253" s="758">
        <f t="shared" si="5"/>
        <v>0</v>
      </c>
      <c r="AB253" s="758">
        <f t="shared" si="5"/>
        <v>0</v>
      </c>
      <c r="AC253" s="758">
        <f t="shared" si="5"/>
        <v>0</v>
      </c>
      <c r="AD253" s="758">
        <f t="shared" si="5"/>
        <v>0</v>
      </c>
      <c r="AE253" s="758">
        <f t="shared" si="5"/>
        <v>0</v>
      </c>
      <c r="AF253" s="758">
        <f t="shared" si="5"/>
        <v>0</v>
      </c>
      <c r="AG253" s="759">
        <f t="shared" si="5"/>
        <v>0</v>
      </c>
      <c r="AH253" s="758">
        <f t="shared" si="5"/>
        <v>0</v>
      </c>
      <c r="AI253" s="758">
        <f t="shared" si="5"/>
        <v>0</v>
      </c>
      <c r="AJ253" s="758">
        <f t="shared" si="5"/>
        <v>0</v>
      </c>
      <c r="AK253" s="758">
        <f t="shared" si="5"/>
        <v>0</v>
      </c>
      <c r="AL253" s="758">
        <f t="shared" si="5"/>
        <v>0</v>
      </c>
      <c r="AM253" s="758">
        <f t="shared" si="5"/>
        <v>0</v>
      </c>
      <c r="AN253" s="758">
        <f t="shared" si="5"/>
        <v>0</v>
      </c>
      <c r="AO253" s="758">
        <f t="shared" si="5"/>
        <v>0</v>
      </c>
      <c r="AP253" s="758">
        <f t="shared" si="5"/>
        <v>0</v>
      </c>
      <c r="AQ253" s="758">
        <f t="shared" si="5"/>
        <v>0</v>
      </c>
      <c r="AR253" s="758">
        <f t="shared" si="5"/>
        <v>0</v>
      </c>
      <c r="AS253" s="758">
        <f t="shared" si="5"/>
        <v>0</v>
      </c>
      <c r="AT253" s="759">
        <f t="shared" si="5"/>
        <v>0</v>
      </c>
      <c r="AU253" s="760">
        <f t="shared" si="5"/>
        <v>0</v>
      </c>
    </row>
    <row r="1192" spans="1:23" ht="15.75" thickBot="1" x14ac:dyDescent="0.3">
      <c r="A1192" s="512"/>
      <c r="B1192" s="761"/>
      <c r="C1192" s="565"/>
      <c r="D1192" s="565"/>
      <c r="E1192" s="762"/>
      <c r="F1192" s="517"/>
      <c r="G1192" s="518"/>
      <c r="H1192" s="518"/>
      <c r="I1192" s="544"/>
      <c r="J1192" s="763"/>
      <c r="K1192" s="763"/>
      <c r="L1192" s="764"/>
      <c r="M1192" s="544"/>
      <c r="N1192" s="523"/>
      <c r="O1192" s="523"/>
      <c r="P1192" s="524"/>
      <c r="Q1192" s="524"/>
      <c r="R1192" s="524"/>
      <c r="S1192" s="525"/>
      <c r="T1192" s="765"/>
      <c r="U1192" s="765"/>
      <c r="V1192" s="765"/>
      <c r="W1192" s="524"/>
    </row>
    <row r="1193" spans="1:23" x14ac:dyDescent="0.25">
      <c r="A1193" s="512"/>
      <c r="B1193" s="513" t="s">
        <v>826</v>
      </c>
      <c r="C1193" s="514">
        <f>COUNTIF(B$1:B1190,B1193)</f>
        <v>1</v>
      </c>
      <c r="D1193" s="515">
        <f>C1193/C1198</f>
        <v>0.2</v>
      </c>
      <c r="E1193" s="516"/>
      <c r="F1193" s="517"/>
      <c r="G1193" s="518"/>
      <c r="H1193" s="518"/>
      <c r="I1193" s="519"/>
      <c r="J1193" s="520">
        <f>SUMIF(B$3:B1190,B1193,T$3:T1197)</f>
        <v>48</v>
      </c>
      <c r="K1193" s="521"/>
      <c r="L1193" s="522">
        <f>J1193/J1198</f>
        <v>1</v>
      </c>
      <c r="M1193" s="523"/>
      <c r="N1193" s="523"/>
      <c r="O1193" s="523"/>
      <c r="P1193" s="524"/>
      <c r="Q1193" s="524"/>
      <c r="R1193" s="524"/>
      <c r="S1193" s="525" t="s">
        <v>791</v>
      </c>
      <c r="T1193" s="526">
        <v>1261915799.52244</v>
      </c>
      <c r="U1193" s="526" t="e">
        <f>SUM(#REF!)</f>
        <v>#REF!</v>
      </c>
      <c r="V1193" s="526" t="e">
        <f>SUM(#REF!)</f>
        <v>#REF!</v>
      </c>
      <c r="W1193" s="524" t="s">
        <v>827</v>
      </c>
    </row>
    <row r="1194" spans="1:23" x14ac:dyDescent="0.25">
      <c r="A1194" s="512"/>
      <c r="B1194" s="529" t="s">
        <v>828</v>
      </c>
      <c r="C1194" s="530">
        <f>COUNTIF(B$1:B1190,B1194)</f>
        <v>1</v>
      </c>
      <c r="D1194" s="531">
        <f>C1194/C1198</f>
        <v>0.2</v>
      </c>
      <c r="E1194" s="516"/>
      <c r="F1194" s="517"/>
      <c r="G1194" s="518"/>
      <c r="H1194" s="518"/>
      <c r="I1194" s="519"/>
      <c r="J1194" s="532">
        <f>SUMIF(B$3:B1193,B1194,T$3:T1198)</f>
        <v>0</v>
      </c>
      <c r="K1194" s="533"/>
      <c r="L1194" s="534">
        <f>J1194/J1198</f>
        <v>0</v>
      </c>
      <c r="M1194" s="523"/>
      <c r="N1194" s="523"/>
      <c r="O1194" s="523"/>
      <c r="P1194" s="528"/>
      <c r="Q1194" s="528"/>
      <c r="R1194" s="528"/>
      <c r="S1194" s="535"/>
      <c r="T1194" s="536"/>
      <c r="U1194" s="536"/>
      <c r="V1194" s="536"/>
      <c r="W1194" s="528"/>
    </row>
    <row r="1195" spans="1:23" x14ac:dyDescent="0.25">
      <c r="A1195" s="512"/>
      <c r="B1195" s="538" t="s">
        <v>829</v>
      </c>
      <c r="C1195" s="539">
        <f>COUNTIF(B$1:B1190,B1195)</f>
        <v>1</v>
      </c>
      <c r="D1195" s="540">
        <f>C1195/C1198</f>
        <v>0.2</v>
      </c>
      <c r="E1195" s="516"/>
      <c r="F1195" s="517"/>
      <c r="G1195" s="518"/>
      <c r="H1195" s="518"/>
      <c r="I1195" s="519"/>
      <c r="J1195" s="541">
        <f>SUMIF(B$3:B1194,B1195,T$3:T1198)</f>
        <v>0</v>
      </c>
      <c r="K1195" s="542"/>
      <c r="L1195" s="543">
        <f>J1195/J1198</f>
        <v>0</v>
      </c>
      <c r="M1195" s="544"/>
      <c r="N1195" s="523"/>
      <c r="O1195" s="523"/>
      <c r="P1195" s="528"/>
      <c r="Q1195" s="528"/>
      <c r="R1195" s="528"/>
      <c r="S1195" s="535"/>
      <c r="T1195" s="536"/>
      <c r="U1195" s="536"/>
      <c r="V1195" s="536"/>
      <c r="W1195" s="528"/>
    </row>
    <row r="1196" spans="1:23" ht="15.75" thickBot="1" x14ac:dyDescent="0.3">
      <c r="A1196" s="512"/>
      <c r="B1196" s="545" t="s">
        <v>830</v>
      </c>
      <c r="C1196" s="546">
        <f>COUNTIF(B$1:B1193,B1196)</f>
        <v>1</v>
      </c>
      <c r="D1196" s="547">
        <f>C1196/C1198</f>
        <v>0.2</v>
      </c>
      <c r="E1196" s="516"/>
      <c r="F1196" s="517"/>
      <c r="G1196" s="518"/>
      <c r="H1196" s="518"/>
      <c r="I1196" s="519"/>
      <c r="J1196" s="548">
        <f>SUMIF(B$3:B1195,B1196,T$3:T1198)</f>
        <v>0</v>
      </c>
      <c r="K1196" s="549"/>
      <c r="L1196" s="550">
        <f>J1196/J1198</f>
        <v>0</v>
      </c>
      <c r="M1196" s="544"/>
      <c r="N1196" s="523"/>
      <c r="O1196" s="523"/>
      <c r="P1196" s="528"/>
      <c r="Q1196" s="528"/>
      <c r="R1196" s="528"/>
      <c r="S1196" s="535"/>
      <c r="T1196" s="536"/>
      <c r="U1196" s="536"/>
      <c r="V1196" s="536"/>
      <c r="W1196" s="528"/>
    </row>
    <row r="1197" spans="1:23" ht="16.5" thickTop="1" thickBot="1" x14ac:dyDescent="0.3">
      <c r="A1197" s="551"/>
      <c r="B1197" s="552" t="s">
        <v>814</v>
      </c>
      <c r="C1197" s="553">
        <f>COUNTIF(B$1:B1190,B1197)</f>
        <v>1</v>
      </c>
      <c r="D1197" s="554">
        <f>C1197/C1198</f>
        <v>0.2</v>
      </c>
      <c r="E1197" s="555"/>
      <c r="F1197" s="556"/>
      <c r="G1197" s="557"/>
      <c r="H1197" s="557"/>
      <c r="I1197" s="558"/>
      <c r="J1197" s="559">
        <f>SUMIF(B$3:B1196,B1197,T$3:T1198)</f>
        <v>0</v>
      </c>
      <c r="K1197" s="560"/>
      <c r="L1197" s="561">
        <f>J1197/J1198</f>
        <v>0</v>
      </c>
      <c r="M1197" s="562"/>
      <c r="N1197" s="562"/>
      <c r="O1197" s="562"/>
      <c r="P1197" s="528"/>
      <c r="Q1197" s="528"/>
      <c r="R1197" s="528"/>
      <c r="S1197" s="535"/>
      <c r="T1197" s="536"/>
      <c r="U1197" s="536"/>
      <c r="V1197" s="536"/>
      <c r="W1197" s="528"/>
    </row>
    <row r="1198" spans="1:23" x14ac:dyDescent="0.25">
      <c r="A1198" s="512"/>
      <c r="B1198" s="563"/>
      <c r="C1198" s="564">
        <f>SUM(C1193:C1197)</f>
        <v>5</v>
      </c>
      <c r="D1198" s="565"/>
      <c r="E1198" s="516"/>
      <c r="F1198" s="517"/>
      <c r="G1198" s="518"/>
      <c r="H1198" s="518"/>
      <c r="I1198" s="519"/>
      <c r="J1198" s="566">
        <f>SUM(J1193:J1197)</f>
        <v>48</v>
      </c>
      <c r="K1198" s="567"/>
      <c r="L1198" s="568"/>
      <c r="M1198" s="544"/>
      <c r="N1198" s="523"/>
      <c r="O1198" s="523"/>
      <c r="P1198" s="528"/>
      <c r="Q1198" s="528"/>
      <c r="R1198" s="528"/>
      <c r="S1198" s="535"/>
      <c r="T1198" s="536"/>
      <c r="U1198" s="536"/>
      <c r="V1198" s="536"/>
      <c r="W1198" s="528"/>
    </row>
  </sheetData>
  <mergeCells count="2">
    <mergeCell ref="A49:A54"/>
    <mergeCell ref="A62:A67"/>
  </mergeCells>
  <conditionalFormatting sqref="B6">
    <cfRule type="cellIs" dxfId="3" priority="4" operator="lessThanOrEqual">
      <formula>0</formula>
    </cfRule>
  </conditionalFormatting>
  <conditionalFormatting sqref="C63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4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35" workbookViewId="0">
      <selection activeCell="C53" sqref="C53:C54"/>
    </sheetView>
  </sheetViews>
  <sheetFormatPr defaultRowHeight="15" x14ac:dyDescent="0.25"/>
  <cols>
    <col min="1" max="3" width="9.140625" style="414"/>
    <col min="4" max="4" width="10.7109375" style="414" customWidth="1"/>
    <col min="5" max="7" width="10.5703125" style="414" customWidth="1"/>
    <col min="8" max="10" width="9.140625" style="414"/>
    <col min="11" max="11" width="17.7109375" style="696" customWidth="1"/>
    <col min="12" max="12" width="22.7109375" style="414" customWidth="1"/>
    <col min="13" max="13" width="17.7109375" style="414" customWidth="1"/>
    <col min="14" max="14" width="10.7109375" style="414" customWidth="1"/>
    <col min="15" max="16" width="18.7109375" style="414" customWidth="1"/>
    <col min="17" max="17" width="13.7109375" style="414" customWidth="1"/>
    <col min="18" max="18" width="10.85546875" style="414" customWidth="1"/>
    <col min="19" max="19" width="30.85546875" style="414" customWidth="1"/>
    <col min="20" max="20" width="20.7109375" style="414" customWidth="1"/>
    <col min="21" max="22" width="10.7109375" style="414" customWidth="1"/>
    <col min="23" max="23" width="15.85546875" style="414" customWidth="1"/>
    <col min="24" max="24" width="8.5703125" style="414" customWidth="1"/>
    <col min="25" max="25" width="15.5703125" style="414" customWidth="1"/>
    <col min="26" max="16384" width="9.140625" style="414"/>
  </cols>
  <sheetData>
    <row r="1" spans="1:34" s="573" customFormat="1" ht="7.5" customHeight="1" x14ac:dyDescent="0.25">
      <c r="D1" s="574"/>
      <c r="E1" s="574"/>
      <c r="F1" s="574"/>
      <c r="G1" s="574"/>
      <c r="K1" s="766"/>
    </row>
    <row r="2" spans="1:34" s="440" customFormat="1" ht="19.5" x14ac:dyDescent="0.3">
      <c r="C2" s="441" t="s">
        <v>1140</v>
      </c>
      <c r="K2" s="766"/>
    </row>
    <row r="4" spans="1:34" ht="15.75" thickBot="1" x14ac:dyDescent="0.3">
      <c r="A4" s="629" t="s">
        <v>1141</v>
      </c>
    </row>
    <row r="5" spans="1:34" s="638" customFormat="1" ht="15.75" thickBot="1" x14ac:dyDescent="0.3">
      <c r="A5" s="414"/>
      <c r="B5" s="767" t="s">
        <v>1142</v>
      </c>
      <c r="C5" s="768">
        <f>MATCH("NewOpp",E5:N5,0)+4</f>
        <v>12</v>
      </c>
      <c r="D5" s="768">
        <f>MATCH("STOP",E5:N5,0)+4</f>
        <v>14</v>
      </c>
      <c r="K5" s="769"/>
      <c r="L5" s="770" t="s">
        <v>140</v>
      </c>
      <c r="M5" s="771" t="s">
        <v>1143</v>
      </c>
      <c r="N5" s="772" t="s">
        <v>1144</v>
      </c>
      <c r="P5" s="639"/>
      <c r="Q5" s="640"/>
      <c r="R5" s="641"/>
      <c r="S5" s="642"/>
      <c r="T5" s="414"/>
      <c r="U5" s="414"/>
      <c r="V5" s="414"/>
      <c r="W5" s="414"/>
      <c r="X5" s="414"/>
      <c r="Y5" s="414"/>
      <c r="Z5" s="414"/>
      <c r="AA5" s="414"/>
      <c r="AB5" s="414"/>
      <c r="AC5" s="414"/>
    </row>
    <row r="6" spans="1:34" s="769" customFormat="1" x14ac:dyDescent="0.25">
      <c r="A6" s="773"/>
      <c r="B6" s="774"/>
      <c r="C6" s="775"/>
      <c r="D6" s="776"/>
      <c r="L6" s="777"/>
      <c r="M6" s="777"/>
      <c r="N6" s="778"/>
      <c r="Q6" s="681"/>
      <c r="R6" s="640"/>
      <c r="S6" s="641"/>
      <c r="T6" s="642"/>
      <c r="U6" s="696"/>
      <c r="V6" s="696"/>
      <c r="W6" s="696"/>
      <c r="X6" s="696"/>
      <c r="Y6" s="696"/>
      <c r="Z6" s="696"/>
      <c r="AA6" s="696"/>
      <c r="AB6" s="696"/>
      <c r="AC6" s="696"/>
      <c r="AD6" s="696"/>
    </row>
    <row r="7" spans="1:34" x14ac:dyDescent="0.25">
      <c r="A7" s="779">
        <v>0</v>
      </c>
      <c r="B7" s="780" t="s">
        <v>66</v>
      </c>
      <c r="C7" s="781" t="s">
        <v>66</v>
      </c>
      <c r="D7" s="782" t="s">
        <v>66</v>
      </c>
      <c r="E7" s="783">
        <v>0</v>
      </c>
      <c r="F7" s="783">
        <v>0</v>
      </c>
      <c r="G7" s="783">
        <v>0</v>
      </c>
      <c r="H7" s="783">
        <v>0</v>
      </c>
      <c r="I7" s="783">
        <v>0</v>
      </c>
      <c r="J7" s="783">
        <v>0</v>
      </c>
      <c r="K7" s="783">
        <v>17</v>
      </c>
      <c r="L7" s="784" t="s">
        <v>934</v>
      </c>
      <c r="M7" s="784" t="s">
        <v>84</v>
      </c>
      <c r="N7" s="784" t="s">
        <v>84</v>
      </c>
      <c r="O7" s="784" t="s">
        <v>968</v>
      </c>
      <c r="P7" s="784" t="s">
        <v>934</v>
      </c>
      <c r="Q7" s="784" t="s">
        <v>967</v>
      </c>
      <c r="R7" s="784" t="s">
        <v>81</v>
      </c>
      <c r="S7" s="784" t="s">
        <v>51</v>
      </c>
      <c r="T7" s="784" t="s">
        <v>81</v>
      </c>
      <c r="U7" s="784" t="s">
        <v>81</v>
      </c>
      <c r="V7" s="784" t="s">
        <v>81</v>
      </c>
      <c r="W7" s="784" t="s">
        <v>248</v>
      </c>
      <c r="X7" s="784" t="s">
        <v>60</v>
      </c>
      <c r="Y7" s="784" t="s">
        <v>248</v>
      </c>
      <c r="Z7" s="783">
        <v>0</v>
      </c>
      <c r="AA7" s="647"/>
      <c r="AB7" s="646"/>
    </row>
    <row r="8" spans="1:34" x14ac:dyDescent="0.25">
      <c r="A8" s="773"/>
      <c r="B8" s="780" t="s">
        <v>932</v>
      </c>
      <c r="C8" s="781"/>
      <c r="D8" s="782"/>
      <c r="E8" s="686"/>
      <c r="F8" s="686"/>
      <c r="G8" s="686"/>
      <c r="H8" s="686"/>
      <c r="I8" s="686"/>
      <c r="J8" s="686"/>
      <c r="K8" s="686"/>
      <c r="L8" s="681"/>
      <c r="M8" s="681"/>
      <c r="N8" s="681"/>
      <c r="O8" s="696"/>
      <c r="P8" s="696"/>
      <c r="Q8" s="681"/>
      <c r="R8" s="681"/>
      <c r="S8" s="681"/>
      <c r="T8" s="681"/>
      <c r="U8" s="681"/>
      <c r="V8" s="681"/>
      <c r="W8" s="696"/>
      <c r="X8" s="696"/>
      <c r="Y8" s="696"/>
      <c r="Z8" s="647"/>
      <c r="AA8" s="646"/>
    </row>
    <row r="9" spans="1:34" x14ac:dyDescent="0.25">
      <c r="A9" s="773"/>
      <c r="B9" s="780" t="s">
        <v>936</v>
      </c>
      <c r="C9" s="781"/>
      <c r="D9" s="782"/>
      <c r="E9" s="686"/>
      <c r="F9" s="686"/>
      <c r="G9" s="686"/>
      <c r="H9" s="686"/>
      <c r="I9" s="686"/>
      <c r="J9" s="686"/>
      <c r="K9" s="686"/>
      <c r="L9" s="681"/>
      <c r="M9" s="681"/>
      <c r="N9" s="681"/>
      <c r="O9" s="696"/>
      <c r="P9" s="696"/>
      <c r="Q9" s="681"/>
      <c r="R9" s="681"/>
      <c r="S9" s="681"/>
      <c r="T9" s="681"/>
      <c r="U9" s="681"/>
      <c r="V9" s="681"/>
      <c r="W9" s="696"/>
      <c r="X9" s="696"/>
      <c r="Y9" s="696"/>
      <c r="Z9" s="647"/>
      <c r="AA9" s="646"/>
    </row>
    <row r="10" spans="1:34" ht="15.75" thickBot="1" x14ac:dyDescent="0.3">
      <c r="A10" s="773"/>
      <c r="B10" s="785" t="s">
        <v>939</v>
      </c>
      <c r="C10" s="781"/>
      <c r="D10" s="782"/>
      <c r="E10" s="686"/>
      <c r="F10" s="686"/>
      <c r="G10" s="686"/>
      <c r="H10" s="686"/>
      <c r="I10" s="686"/>
      <c r="J10" s="686"/>
      <c r="K10" s="686"/>
      <c r="L10" s="681"/>
      <c r="M10" s="681"/>
      <c r="N10" s="681"/>
      <c r="O10" s="696"/>
      <c r="P10" s="696"/>
      <c r="Q10" s="681"/>
      <c r="R10" s="681"/>
      <c r="S10" s="681"/>
      <c r="T10" s="681"/>
      <c r="U10" s="681"/>
      <c r="V10" s="681"/>
      <c r="W10" s="696"/>
      <c r="X10" s="696"/>
      <c r="Y10" s="696"/>
      <c r="Z10" s="647"/>
      <c r="AA10" s="646"/>
    </row>
    <row r="11" spans="1:34" s="799" customFormat="1" ht="23.25" thickBot="1" x14ac:dyDescent="0.3">
      <c r="A11" s="900" t="s">
        <v>32</v>
      </c>
      <c r="B11" s="786" t="s">
        <v>1145</v>
      </c>
      <c r="C11" s="787" t="s">
        <v>1146</v>
      </c>
      <c r="D11" s="788"/>
      <c r="E11" s="443" t="s">
        <v>745</v>
      </c>
      <c r="F11" s="789" t="s">
        <v>52</v>
      </c>
      <c r="G11" s="789" t="s">
        <v>1147</v>
      </c>
      <c r="H11" s="790" t="s">
        <v>762</v>
      </c>
      <c r="I11" s="790"/>
      <c r="J11" s="444" t="s">
        <v>1148</v>
      </c>
      <c r="K11" s="791" t="s">
        <v>405</v>
      </c>
      <c r="L11" s="792" t="s">
        <v>1149</v>
      </c>
      <c r="M11" s="793" t="s">
        <v>36</v>
      </c>
      <c r="N11" s="793" t="s">
        <v>39</v>
      </c>
      <c r="O11" s="794" t="s">
        <v>747</v>
      </c>
      <c r="P11" s="793" t="s">
        <v>1150</v>
      </c>
      <c r="Q11" s="795" t="s">
        <v>756</v>
      </c>
      <c r="R11" s="903" t="s">
        <v>757</v>
      </c>
      <c r="S11" s="904"/>
      <c r="T11" s="796" t="s">
        <v>109</v>
      </c>
      <c r="U11" s="794" t="s">
        <v>762</v>
      </c>
      <c r="V11" s="796" t="s">
        <v>763</v>
      </c>
      <c r="W11" s="797" t="s">
        <v>764</v>
      </c>
      <c r="X11" s="798" t="s">
        <v>765</v>
      </c>
      <c r="Y11" s="796" t="s">
        <v>766</v>
      </c>
      <c r="Z11" s="414"/>
    </row>
    <row r="12" spans="1:34" s="799" customFormat="1" ht="15.75" thickBot="1" x14ac:dyDescent="0.3">
      <c r="A12" s="901"/>
      <c r="B12" s="800" t="s">
        <v>922</v>
      </c>
      <c r="C12" s="781" t="s">
        <v>1146</v>
      </c>
      <c r="D12" s="801"/>
      <c r="E12" s="672"/>
      <c r="F12" s="802"/>
      <c r="G12" s="414"/>
      <c r="H12" s="414"/>
      <c r="I12" s="414"/>
      <c r="J12" s="803"/>
      <c r="K12" s="804"/>
      <c r="L12" s="805">
        <f>HYPERLINK("https://eu1.salesforce.com/"&amp;E12,F12)</f>
        <v>0</v>
      </c>
      <c r="M12" s="673"/>
      <c r="N12" s="673"/>
      <c r="O12" s="806"/>
      <c r="P12" s="807">
        <v>1234567.8899999999</v>
      </c>
      <c r="Q12" s="807">
        <v>1234567.8899999999</v>
      </c>
      <c r="R12" s="905"/>
      <c r="S12" s="906"/>
      <c r="T12" s="808"/>
      <c r="U12" s="805">
        <f>HYPERLINK("https://eu1.salesforce.com/"&amp;G12,H12)</f>
        <v>0</v>
      </c>
      <c r="V12" s="809"/>
      <c r="W12" s="809"/>
      <c r="X12" s="809"/>
      <c r="Y12" s="809"/>
    </row>
    <row r="13" spans="1:34" x14ac:dyDescent="0.25">
      <c r="A13" s="901"/>
      <c r="B13" s="780" t="s">
        <v>928</v>
      </c>
      <c r="C13" s="781"/>
      <c r="D13" s="782"/>
      <c r="E13" s="686">
        <v>0.5</v>
      </c>
      <c r="F13" s="686"/>
      <c r="J13" s="686">
        <v>0.5</v>
      </c>
      <c r="K13" s="686">
        <v>17</v>
      </c>
      <c r="L13" s="681" t="s">
        <v>934</v>
      </c>
      <c r="M13" s="681" t="s">
        <v>84</v>
      </c>
      <c r="N13" s="681" t="s">
        <v>81</v>
      </c>
      <c r="O13" s="681" t="s">
        <v>933</v>
      </c>
      <c r="P13" s="681" t="s">
        <v>1151</v>
      </c>
      <c r="Q13" s="681" t="s">
        <v>1151</v>
      </c>
      <c r="R13" s="681" t="s">
        <v>1152</v>
      </c>
      <c r="S13" s="681"/>
      <c r="T13" s="681" t="s">
        <v>81</v>
      </c>
      <c r="U13" s="681" t="s">
        <v>187</v>
      </c>
      <c r="V13" s="681" t="s">
        <v>187</v>
      </c>
      <c r="W13" s="681" t="s">
        <v>1151</v>
      </c>
      <c r="X13" s="681" t="s">
        <v>60</v>
      </c>
      <c r="Y13" s="681" t="s">
        <v>248</v>
      </c>
      <c r="AA13" s="647"/>
      <c r="AB13" s="646"/>
    </row>
    <row r="14" spans="1:34" x14ac:dyDescent="0.25">
      <c r="A14" s="901"/>
      <c r="B14" s="780" t="s">
        <v>932</v>
      </c>
      <c r="C14" s="781"/>
      <c r="D14" s="782"/>
      <c r="E14" s="686">
        <v>1</v>
      </c>
      <c r="F14" s="686">
        <v>9</v>
      </c>
      <c r="G14" s="686">
        <v>25</v>
      </c>
      <c r="H14" s="803">
        <v>25</v>
      </c>
      <c r="I14" s="803"/>
      <c r="J14" s="686" t="s">
        <v>1095</v>
      </c>
      <c r="K14" s="686">
        <v>19</v>
      </c>
      <c r="L14" s="681"/>
      <c r="M14" s="681" t="s">
        <v>120</v>
      </c>
      <c r="N14" s="681" t="s">
        <v>34</v>
      </c>
      <c r="O14" s="681" t="s">
        <v>187</v>
      </c>
      <c r="P14" s="681" t="s">
        <v>81</v>
      </c>
      <c r="Q14" s="681" t="s">
        <v>933</v>
      </c>
      <c r="R14" s="681" t="s">
        <v>249</v>
      </c>
      <c r="S14" s="681"/>
      <c r="T14" s="681" t="s">
        <v>934</v>
      </c>
      <c r="U14" s="681"/>
      <c r="V14" s="681" t="s">
        <v>1153</v>
      </c>
      <c r="W14" s="681" t="s">
        <v>1012</v>
      </c>
      <c r="X14" s="681" t="s">
        <v>1013</v>
      </c>
      <c r="Y14" s="681" t="s">
        <v>1154</v>
      </c>
      <c r="AD14" s="651"/>
      <c r="AE14" s="651"/>
      <c r="AF14" s="651"/>
      <c r="AG14" s="651"/>
      <c r="AH14" s="651"/>
    </row>
    <row r="15" spans="1:34" x14ac:dyDescent="0.25">
      <c r="A15" s="901"/>
      <c r="B15" s="780" t="s">
        <v>936</v>
      </c>
      <c r="C15" s="781"/>
      <c r="D15" s="782"/>
      <c r="E15" s="686"/>
      <c r="F15" s="686"/>
      <c r="G15" s="686" t="s">
        <v>938</v>
      </c>
      <c r="H15" s="414" t="s">
        <v>1155</v>
      </c>
      <c r="J15" s="686"/>
      <c r="K15" s="810" t="s">
        <v>779</v>
      </c>
      <c r="L15" s="696"/>
      <c r="M15" s="696"/>
      <c r="N15" s="696"/>
      <c r="O15" s="696"/>
      <c r="P15" s="696"/>
      <c r="Q15" s="696"/>
      <c r="R15" s="696"/>
      <c r="S15" s="696"/>
      <c r="T15" s="696"/>
      <c r="U15" s="696"/>
      <c r="V15" s="696"/>
      <c r="W15" s="696"/>
      <c r="X15" s="696"/>
      <c r="Y15" s="696"/>
      <c r="AD15" s="651"/>
      <c r="AE15" s="651"/>
      <c r="AF15" s="651"/>
      <c r="AG15" s="651"/>
      <c r="AH15" s="651"/>
    </row>
    <row r="16" spans="1:34" ht="15.75" thickBot="1" x14ac:dyDescent="0.3">
      <c r="A16" s="902"/>
      <c r="B16" s="785" t="s">
        <v>939</v>
      </c>
      <c r="C16" s="811"/>
      <c r="D16" s="812"/>
      <c r="E16" s="813"/>
      <c r="F16" s="813"/>
      <c r="G16" s="813" t="s">
        <v>1156</v>
      </c>
      <c r="J16" s="813" t="s">
        <v>1157</v>
      </c>
      <c r="K16" s="813"/>
      <c r="L16" s="696"/>
      <c r="M16" s="696"/>
      <c r="N16" s="696"/>
      <c r="O16" s="696"/>
      <c r="P16" s="696"/>
      <c r="Q16" s="696"/>
      <c r="R16" s="696"/>
      <c r="S16" s="696"/>
      <c r="T16" s="696"/>
      <c r="U16" s="696"/>
      <c r="V16" s="696"/>
      <c r="W16" s="696"/>
      <c r="AB16" s="651"/>
      <c r="AC16" s="651"/>
      <c r="AD16" s="651"/>
      <c r="AE16" s="651"/>
      <c r="AF16" s="651"/>
    </row>
    <row r="17" spans="1:37" s="799" customFormat="1" ht="30.75" thickBot="1" x14ac:dyDescent="0.3">
      <c r="A17" s="900" t="s">
        <v>69</v>
      </c>
      <c r="B17" s="619" t="s">
        <v>899</v>
      </c>
      <c r="C17" s="787" t="s">
        <v>1146</v>
      </c>
      <c r="D17" s="788"/>
      <c r="E17" s="814" t="s">
        <v>746</v>
      </c>
      <c r="F17" s="814"/>
      <c r="G17" s="814"/>
      <c r="H17" s="815" t="s">
        <v>1158</v>
      </c>
      <c r="I17" s="815"/>
      <c r="J17" s="816" t="s">
        <v>118</v>
      </c>
      <c r="K17" s="817"/>
      <c r="L17" s="818" t="s">
        <v>1159</v>
      </c>
      <c r="M17" s="819" t="s">
        <v>1160</v>
      </c>
      <c r="N17" s="820" t="s">
        <v>1161</v>
      </c>
      <c r="O17" s="820" t="s">
        <v>1162</v>
      </c>
      <c r="P17" s="821" t="s">
        <v>1163</v>
      </c>
      <c r="Q17" s="821" t="s">
        <v>1164</v>
      </c>
      <c r="R17" s="907" t="s">
        <v>1165</v>
      </c>
      <c r="S17" s="908"/>
      <c r="T17" s="818" t="s">
        <v>1166</v>
      </c>
      <c r="W17" s="818" t="s">
        <v>1167</v>
      </c>
      <c r="X17" s="822"/>
    </row>
    <row r="18" spans="1:37" s="799" customFormat="1" ht="15.75" thickBot="1" x14ac:dyDescent="0.3">
      <c r="A18" s="901"/>
      <c r="B18" s="800" t="s">
        <v>922</v>
      </c>
      <c r="C18" s="781" t="s">
        <v>1168</v>
      </c>
      <c r="D18" s="823">
        <f>E12</f>
        <v>0</v>
      </c>
      <c r="H18" s="824"/>
      <c r="I18" s="824"/>
      <c r="J18" s="825"/>
      <c r="K18" s="826"/>
      <c r="L18" s="827"/>
      <c r="M18" s="828"/>
      <c r="N18" s="829"/>
      <c r="O18" s="829"/>
      <c r="P18" s="829"/>
      <c r="Q18" s="828"/>
      <c r="R18" s="909"/>
      <c r="S18" s="910"/>
      <c r="T18" s="830"/>
      <c r="W18" s="831"/>
      <c r="X18" s="822"/>
    </row>
    <row r="19" spans="1:37" x14ac:dyDescent="0.25">
      <c r="A19" s="901"/>
      <c r="B19" s="780" t="s">
        <v>928</v>
      </c>
      <c r="C19" s="781"/>
      <c r="D19" s="782"/>
      <c r="E19" s="461">
        <v>0.5</v>
      </c>
      <c r="F19" s="461"/>
      <c r="G19" s="461"/>
      <c r="H19" s="461">
        <v>0.5</v>
      </c>
      <c r="I19" s="461"/>
      <c r="J19" s="461">
        <v>0.5</v>
      </c>
      <c r="K19" s="686"/>
      <c r="L19" s="832">
        <v>14</v>
      </c>
      <c r="M19" s="832">
        <v>10</v>
      </c>
      <c r="N19" s="832">
        <v>10</v>
      </c>
      <c r="O19" s="832">
        <v>10</v>
      </c>
      <c r="P19" s="832">
        <v>30</v>
      </c>
      <c r="Q19" s="832">
        <v>10</v>
      </c>
      <c r="R19" s="832">
        <v>40</v>
      </c>
      <c r="S19" s="832"/>
      <c r="T19" s="832">
        <v>26</v>
      </c>
      <c r="W19" s="681" t="s">
        <v>1151</v>
      </c>
      <c r="X19" s="803"/>
    </row>
    <row r="20" spans="1:37" x14ac:dyDescent="0.25">
      <c r="A20" s="901"/>
      <c r="B20" s="780" t="s">
        <v>932</v>
      </c>
      <c r="C20" s="781"/>
      <c r="D20" s="782"/>
      <c r="E20" s="803">
        <v>4</v>
      </c>
      <c r="J20" s="696"/>
      <c r="K20" s="414"/>
      <c r="L20" s="803">
        <v>4</v>
      </c>
      <c r="M20" s="803">
        <v>4</v>
      </c>
      <c r="N20" s="832">
        <v>4</v>
      </c>
      <c r="O20" s="832">
        <v>4</v>
      </c>
      <c r="P20" s="832">
        <v>4</v>
      </c>
      <c r="Q20" s="832">
        <v>4</v>
      </c>
      <c r="R20" s="832">
        <v>4</v>
      </c>
      <c r="S20" s="832"/>
      <c r="T20" s="832">
        <v>4</v>
      </c>
      <c r="W20" s="832">
        <v>4</v>
      </c>
      <c r="X20" s="803"/>
    </row>
    <row r="21" spans="1:37" x14ac:dyDescent="0.25">
      <c r="A21" s="901"/>
      <c r="B21" s="780" t="s">
        <v>936</v>
      </c>
      <c r="C21" s="781"/>
      <c r="D21" s="782"/>
      <c r="E21" s="803"/>
      <c r="K21" s="414"/>
      <c r="L21" s="803"/>
      <c r="M21" s="803"/>
      <c r="N21" s="803"/>
      <c r="O21" s="803"/>
      <c r="P21" s="803"/>
      <c r="Q21" s="803"/>
      <c r="R21" s="803"/>
      <c r="S21" s="803"/>
      <c r="T21" s="803"/>
      <c r="W21" s="803"/>
      <c r="X21" s="803"/>
    </row>
    <row r="22" spans="1:37" s="638" customFormat="1" ht="15.75" thickBot="1" x14ac:dyDescent="0.3">
      <c r="A22" s="902"/>
      <c r="B22" s="785" t="s">
        <v>939</v>
      </c>
      <c r="C22" s="833"/>
      <c r="D22" s="834"/>
      <c r="E22" s="835" t="s">
        <v>1169</v>
      </c>
      <c r="F22" s="835"/>
      <c r="G22" s="414"/>
      <c r="H22" s="414"/>
      <c r="I22" s="414"/>
      <c r="J22" s="696"/>
      <c r="K22" s="813"/>
      <c r="L22" s="835" t="s">
        <v>1170</v>
      </c>
      <c r="M22" s="835" t="s">
        <v>1171</v>
      </c>
      <c r="N22" s="835" t="s">
        <v>1172</v>
      </c>
      <c r="O22" s="835" t="s">
        <v>1173</v>
      </c>
      <c r="P22" s="835" t="s">
        <v>1174</v>
      </c>
      <c r="Q22" s="835" t="s">
        <v>1175</v>
      </c>
      <c r="R22" s="835" t="s">
        <v>1176</v>
      </c>
      <c r="S22" s="832"/>
      <c r="T22" s="835" t="s">
        <v>1177</v>
      </c>
      <c r="U22" s="835"/>
      <c r="X22" s="835" t="s">
        <v>1178</v>
      </c>
      <c r="Y22" s="836"/>
      <c r="Z22" s="414"/>
      <c r="AA22" s="414"/>
      <c r="AB22" s="414"/>
      <c r="AC22" s="414"/>
      <c r="AD22" s="414"/>
      <c r="AE22" s="414"/>
      <c r="AF22" s="414"/>
      <c r="AG22" s="414"/>
      <c r="AH22" s="414"/>
      <c r="AI22" s="414"/>
      <c r="AJ22" s="414"/>
    </row>
    <row r="23" spans="1:37" ht="30.75" thickBot="1" x14ac:dyDescent="0.3">
      <c r="A23" s="900" t="s">
        <v>65</v>
      </c>
      <c r="B23" s="837" t="s">
        <v>1179</v>
      </c>
      <c r="C23" s="787" t="s">
        <v>1146</v>
      </c>
      <c r="D23" s="788"/>
      <c r="E23" s="444" t="s">
        <v>951</v>
      </c>
      <c r="F23" s="444" t="s">
        <v>1180</v>
      </c>
      <c r="G23" s="444" t="s">
        <v>875</v>
      </c>
      <c r="H23" s="838" t="s">
        <v>1181</v>
      </c>
      <c r="I23" s="838" t="s">
        <v>1147</v>
      </c>
      <c r="J23" s="839" t="s">
        <v>118</v>
      </c>
      <c r="K23" s="840"/>
      <c r="L23" s="911" t="s">
        <v>875</v>
      </c>
      <c r="M23" s="912"/>
      <c r="N23" s="841" t="s">
        <v>1182</v>
      </c>
      <c r="O23" s="842" t="s">
        <v>1183</v>
      </c>
      <c r="P23" s="842" t="s">
        <v>1184</v>
      </c>
      <c r="Q23" s="842" t="s">
        <v>1185</v>
      </c>
      <c r="R23" s="842" t="s">
        <v>1186</v>
      </c>
      <c r="S23" s="842" t="s">
        <v>1187</v>
      </c>
      <c r="T23" s="842" t="s">
        <v>109</v>
      </c>
      <c r="U23" s="842" t="s">
        <v>762</v>
      </c>
      <c r="V23" s="842" t="s">
        <v>102</v>
      </c>
      <c r="W23" s="842" t="s">
        <v>83</v>
      </c>
      <c r="X23" s="842" t="s">
        <v>1188</v>
      </c>
      <c r="Y23" s="842" t="s">
        <v>127</v>
      </c>
      <c r="Z23" s="639"/>
      <c r="AA23" s="639"/>
      <c r="AB23" s="639"/>
    </row>
    <row r="24" spans="1:37" ht="15.75" thickBot="1" x14ac:dyDescent="0.3">
      <c r="A24" s="901"/>
      <c r="B24" s="800" t="s">
        <v>922</v>
      </c>
      <c r="C24" s="843" t="str">
        <f>IF(LEN(J12)=0,"",J12)</f>
        <v/>
      </c>
      <c r="D24" s="844">
        <v>1</v>
      </c>
      <c r="F24" s="845"/>
      <c r="G24" s="461"/>
      <c r="H24" s="846"/>
      <c r="I24" s="846"/>
      <c r="J24" s="847"/>
      <c r="K24" s="848" t="s">
        <v>1189</v>
      </c>
      <c r="L24" s="913">
        <f>HYPERLINK("https://eu1.salesforce.com/"&amp;F24,G24)</f>
        <v>0</v>
      </c>
      <c r="M24" s="914"/>
      <c r="N24" s="638"/>
      <c r="O24" s="638"/>
      <c r="P24" s="849"/>
      <c r="Q24" s="638"/>
      <c r="R24" s="638"/>
      <c r="S24" s="638"/>
      <c r="T24" s="850"/>
      <c r="U24" s="851">
        <f>HYPERLINK("https://eu1.salesforce.com/"&amp;I24,H24)</f>
        <v>0</v>
      </c>
      <c r="V24" s="638"/>
      <c r="W24" s="638"/>
      <c r="X24" s="639"/>
      <c r="Y24" s="639"/>
      <c r="Z24" s="639"/>
      <c r="AA24" s="639"/>
      <c r="AB24" s="639"/>
    </row>
    <row r="25" spans="1:37" ht="15.75" thickBot="1" x14ac:dyDescent="0.3">
      <c r="A25" s="901"/>
      <c r="B25" s="780" t="s">
        <v>928</v>
      </c>
      <c r="C25" s="781"/>
      <c r="D25" s="782"/>
      <c r="E25" s="461">
        <v>0.5</v>
      </c>
      <c r="F25" s="461"/>
      <c r="G25" s="461"/>
      <c r="H25" s="461">
        <v>10</v>
      </c>
      <c r="I25" s="461"/>
      <c r="J25" s="461">
        <v>0.5</v>
      </c>
      <c r="K25" s="686"/>
      <c r="L25" s="852" t="s">
        <v>934</v>
      </c>
      <c r="M25" s="852"/>
      <c r="N25" s="852" t="s">
        <v>81</v>
      </c>
      <c r="O25" s="852"/>
      <c r="P25" s="681" t="s">
        <v>1190</v>
      </c>
      <c r="Q25" s="681" t="s">
        <v>1191</v>
      </c>
      <c r="R25" s="852"/>
      <c r="S25" s="852"/>
      <c r="T25" s="852" t="s">
        <v>81</v>
      </c>
      <c r="U25" s="852" t="s">
        <v>81</v>
      </c>
      <c r="V25" s="852" t="s">
        <v>81</v>
      </c>
      <c r="W25" s="852" t="s">
        <v>187</v>
      </c>
      <c r="X25" s="852" t="s">
        <v>187</v>
      </c>
      <c r="Y25" s="852" t="s">
        <v>187</v>
      </c>
      <c r="AB25" s="646"/>
      <c r="AD25" s="647"/>
      <c r="AE25" s="646"/>
    </row>
    <row r="26" spans="1:37" ht="15.75" thickBot="1" x14ac:dyDescent="0.3">
      <c r="A26" s="901"/>
      <c r="B26" s="780" t="s">
        <v>932</v>
      </c>
      <c r="C26" s="781" t="s">
        <v>170</v>
      </c>
      <c r="D26" s="853" t="s">
        <v>187</v>
      </c>
      <c r="E26" s="854" t="s">
        <v>1192</v>
      </c>
      <c r="F26" s="803" t="s">
        <v>170</v>
      </c>
      <c r="G26" s="803">
        <v>3</v>
      </c>
      <c r="H26" s="832" t="s">
        <v>1193</v>
      </c>
      <c r="I26" s="832" t="s">
        <v>1193</v>
      </c>
      <c r="J26" s="832"/>
      <c r="K26" s="855"/>
      <c r="L26" s="803"/>
      <c r="M26" s="803"/>
      <c r="N26" s="832" t="s">
        <v>943</v>
      </c>
      <c r="O26" s="832">
        <v>26</v>
      </c>
      <c r="P26" s="832" t="s">
        <v>967</v>
      </c>
      <c r="Q26" s="803" t="s">
        <v>1194</v>
      </c>
      <c r="R26" s="803" t="s">
        <v>146</v>
      </c>
      <c r="S26" s="852" t="s">
        <v>933</v>
      </c>
      <c r="T26" s="832" t="s">
        <v>81</v>
      </c>
      <c r="U26" s="832"/>
      <c r="V26" s="680"/>
      <c r="W26" s="680"/>
      <c r="X26" s="680"/>
      <c r="Y26" s="680"/>
      <c r="AG26" s="651"/>
      <c r="AH26" s="651"/>
      <c r="AI26" s="651"/>
      <c r="AJ26" s="651"/>
      <c r="AK26" s="651"/>
    </row>
    <row r="27" spans="1:37" ht="45" x14ac:dyDescent="0.25">
      <c r="A27" s="901"/>
      <c r="B27" s="780" t="s">
        <v>936</v>
      </c>
      <c r="C27" s="781"/>
      <c r="D27" s="782"/>
      <c r="E27" s="856" t="s">
        <v>1195</v>
      </c>
      <c r="K27" s="857" t="s">
        <v>1196</v>
      </c>
      <c r="L27" s="857" t="s">
        <v>1197</v>
      </c>
      <c r="M27" s="695"/>
      <c r="N27" s="695"/>
      <c r="O27" s="695"/>
      <c r="T27" s="695"/>
      <c r="U27" s="857" t="s">
        <v>1197</v>
      </c>
      <c r="AG27" s="651"/>
      <c r="AH27" s="651"/>
      <c r="AI27" s="651"/>
      <c r="AJ27" s="651"/>
      <c r="AK27" s="651"/>
    </row>
    <row r="28" spans="1:37" ht="15.75" thickBot="1" x14ac:dyDescent="0.3">
      <c r="A28" s="902"/>
      <c r="B28" s="785" t="s">
        <v>939</v>
      </c>
      <c r="C28" s="811"/>
      <c r="D28" s="834"/>
      <c r="E28" s="437"/>
      <c r="H28" s="813" t="s">
        <v>1198</v>
      </c>
      <c r="I28" s="813" t="s">
        <v>1199</v>
      </c>
      <c r="K28" s="414"/>
      <c r="L28" s="696"/>
      <c r="AB28" s="650"/>
      <c r="AF28" s="651"/>
      <c r="AG28" s="651"/>
      <c r="AH28" s="651"/>
      <c r="AI28" s="651"/>
      <c r="AJ28" s="651"/>
    </row>
    <row r="29" spans="1:37" x14ac:dyDescent="0.25">
      <c r="K29" s="414"/>
    </row>
    <row r="30" spans="1:37" ht="15.75" thickBot="1" x14ac:dyDescent="0.3">
      <c r="A30" s="629" t="s">
        <v>1200</v>
      </c>
    </row>
    <row r="31" spans="1:37" s="638" customFormat="1" ht="15.75" thickBot="1" x14ac:dyDescent="0.3">
      <c r="A31" s="414"/>
      <c r="B31" s="767" t="s">
        <v>1142</v>
      </c>
      <c r="C31" s="775" t="s">
        <v>969</v>
      </c>
      <c r="D31" s="775" t="s">
        <v>967</v>
      </c>
      <c r="K31" s="769"/>
      <c r="L31" s="770" t="s">
        <v>142</v>
      </c>
      <c r="M31" s="771" t="s">
        <v>1143</v>
      </c>
      <c r="N31" s="772" t="s">
        <v>1144</v>
      </c>
      <c r="P31" s="639"/>
      <c r="Q31" s="640"/>
      <c r="R31" s="641"/>
      <c r="S31" s="642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</row>
    <row r="32" spans="1:37" s="769" customFormat="1" x14ac:dyDescent="0.25">
      <c r="A32" s="773"/>
      <c r="B32" s="774"/>
      <c r="C32" s="775"/>
      <c r="D32" s="776"/>
      <c r="L32" s="777"/>
      <c r="M32" s="777"/>
      <c r="N32" s="778"/>
      <c r="Q32" s="681"/>
      <c r="R32" s="640"/>
      <c r="S32" s="641"/>
      <c r="T32" s="642"/>
      <c r="U32" s="696"/>
      <c r="V32" s="696"/>
      <c r="W32" s="696"/>
      <c r="X32" s="696"/>
      <c r="Y32" s="696"/>
      <c r="Z32" s="696"/>
      <c r="AA32" s="696"/>
      <c r="AB32" s="696"/>
      <c r="AC32" s="696"/>
      <c r="AD32" s="696"/>
    </row>
    <row r="33" spans="1:35" x14ac:dyDescent="0.25">
      <c r="A33" s="779">
        <v>0</v>
      </c>
      <c r="B33" s="780" t="s">
        <v>66</v>
      </c>
      <c r="C33" s="781" t="s">
        <v>66</v>
      </c>
      <c r="D33" s="782" t="s">
        <v>66</v>
      </c>
      <c r="E33" s="783">
        <v>0</v>
      </c>
      <c r="F33" s="783">
        <v>0</v>
      </c>
      <c r="G33" s="783">
        <v>0</v>
      </c>
      <c r="H33" s="783">
        <v>0</v>
      </c>
      <c r="I33" s="783"/>
      <c r="J33" s="783">
        <v>0</v>
      </c>
      <c r="K33" s="783">
        <v>17</v>
      </c>
      <c r="L33" s="784" t="s">
        <v>934</v>
      </c>
      <c r="M33" s="784" t="s">
        <v>84</v>
      </c>
      <c r="N33" s="784" t="s">
        <v>84</v>
      </c>
      <c r="O33" s="784" t="s">
        <v>968</v>
      </c>
      <c r="P33" s="784" t="s">
        <v>934</v>
      </c>
      <c r="Q33" s="784" t="s">
        <v>967</v>
      </c>
      <c r="R33" s="784" t="s">
        <v>81</v>
      </c>
      <c r="S33" s="784" t="s">
        <v>51</v>
      </c>
      <c r="T33" s="784" t="s">
        <v>81</v>
      </c>
      <c r="U33" s="784" t="s">
        <v>81</v>
      </c>
      <c r="V33" s="784" t="s">
        <v>81</v>
      </c>
      <c r="W33" s="784" t="s">
        <v>248</v>
      </c>
      <c r="X33" s="784" t="s">
        <v>60</v>
      </c>
      <c r="Y33" s="784" t="s">
        <v>248</v>
      </c>
      <c r="AA33" s="647"/>
      <c r="AB33" s="646"/>
    </row>
    <row r="34" spans="1:35" x14ac:dyDescent="0.25">
      <c r="A34" s="773"/>
      <c r="B34" s="780" t="s">
        <v>932</v>
      </c>
      <c r="C34" s="781"/>
      <c r="D34" s="782"/>
      <c r="E34" s="686"/>
      <c r="F34" s="686"/>
      <c r="G34" s="686"/>
      <c r="H34" s="686"/>
      <c r="I34" s="686"/>
      <c r="J34" s="686"/>
      <c r="K34" s="686"/>
      <c r="L34" s="681"/>
      <c r="M34" s="681"/>
      <c r="N34" s="681"/>
      <c r="O34" s="696"/>
      <c r="P34" s="696"/>
      <c r="Q34" s="681"/>
      <c r="R34" s="681"/>
      <c r="S34" s="681"/>
      <c r="T34" s="681"/>
      <c r="U34" s="681"/>
      <c r="V34" s="681"/>
      <c r="W34" s="696"/>
      <c r="X34" s="696"/>
      <c r="Y34" s="696"/>
      <c r="Z34" s="647"/>
      <c r="AA34" s="646"/>
    </row>
    <row r="35" spans="1:35" x14ac:dyDescent="0.25">
      <c r="A35" s="773"/>
      <c r="B35" s="780" t="s">
        <v>936</v>
      </c>
      <c r="C35" s="781"/>
      <c r="D35" s="782"/>
      <c r="E35" s="686"/>
      <c r="F35" s="686"/>
      <c r="G35" s="686"/>
      <c r="H35" s="686"/>
      <c r="I35" s="686"/>
      <c r="J35" s="686"/>
      <c r="K35" s="686"/>
      <c r="L35" s="681"/>
      <c r="M35" s="681"/>
      <c r="N35" s="681"/>
      <c r="O35" s="696"/>
      <c r="P35" s="696"/>
      <c r="Q35" s="681"/>
      <c r="R35" s="681"/>
      <c r="S35" s="681"/>
      <c r="T35" s="681"/>
      <c r="U35" s="681"/>
      <c r="V35" s="681"/>
      <c r="W35" s="696"/>
      <c r="X35" s="696"/>
      <c r="Y35" s="696"/>
      <c r="Z35" s="647"/>
      <c r="AA35" s="646"/>
    </row>
    <row r="36" spans="1:35" ht="15.75" thickBot="1" x14ac:dyDescent="0.3">
      <c r="A36" s="773"/>
      <c r="B36" s="785" t="s">
        <v>939</v>
      </c>
      <c r="C36" s="781"/>
      <c r="D36" s="782"/>
      <c r="E36" s="686"/>
      <c r="F36" s="686"/>
      <c r="G36" s="686"/>
      <c r="H36" s="686"/>
      <c r="I36" s="686"/>
      <c r="J36" s="686"/>
      <c r="K36" s="686"/>
      <c r="L36" s="681"/>
      <c r="M36" s="681"/>
      <c r="N36" s="681"/>
      <c r="O36" s="696"/>
      <c r="P36" s="696"/>
      <c r="Q36" s="681"/>
      <c r="R36" s="681"/>
      <c r="S36" s="681"/>
      <c r="T36" s="681"/>
      <c r="U36" s="681"/>
      <c r="V36" s="681"/>
      <c r="W36" s="696"/>
      <c r="X36" s="696"/>
      <c r="Y36" s="696"/>
      <c r="Z36" s="647"/>
      <c r="AA36" s="646"/>
    </row>
    <row r="37" spans="1:35" s="799" customFormat="1" ht="23.25" thickBot="1" x14ac:dyDescent="0.3">
      <c r="A37" s="900" t="s">
        <v>32</v>
      </c>
      <c r="B37" s="786" t="s">
        <v>1145</v>
      </c>
      <c r="C37" s="787" t="s">
        <v>1146</v>
      </c>
      <c r="D37" s="788"/>
      <c r="E37" s="443" t="s">
        <v>745</v>
      </c>
      <c r="F37" s="789" t="s">
        <v>52</v>
      </c>
      <c r="G37" s="789" t="s">
        <v>1147</v>
      </c>
      <c r="H37" s="790" t="s">
        <v>762</v>
      </c>
      <c r="I37" s="790"/>
      <c r="J37" s="444" t="s">
        <v>1148</v>
      </c>
      <c r="K37" s="791" t="s">
        <v>405</v>
      </c>
      <c r="L37" s="792" t="s">
        <v>1149</v>
      </c>
      <c r="M37" s="793" t="s">
        <v>36</v>
      </c>
      <c r="N37" s="793" t="s">
        <v>39</v>
      </c>
      <c r="O37" s="794" t="s">
        <v>747</v>
      </c>
      <c r="P37" s="793" t="s">
        <v>1150</v>
      </c>
      <c r="Q37" s="795" t="s">
        <v>756</v>
      </c>
      <c r="R37" s="903" t="s">
        <v>757</v>
      </c>
      <c r="S37" s="904"/>
      <c r="T37" s="796" t="s">
        <v>109</v>
      </c>
      <c r="U37" s="794" t="s">
        <v>762</v>
      </c>
      <c r="V37" s="796" t="s">
        <v>763</v>
      </c>
      <c r="W37" s="797" t="s">
        <v>764</v>
      </c>
      <c r="X37" s="798" t="s">
        <v>765</v>
      </c>
      <c r="Y37" s="796" t="s">
        <v>766</v>
      </c>
      <c r="Z37" s="414"/>
    </row>
    <row r="38" spans="1:35" s="799" customFormat="1" ht="15.75" thickBot="1" x14ac:dyDescent="0.3">
      <c r="A38" s="901"/>
      <c r="B38" s="800" t="s">
        <v>922</v>
      </c>
      <c r="C38" s="781" t="s">
        <v>1146</v>
      </c>
      <c r="D38" s="801"/>
      <c r="E38" s="672"/>
      <c r="F38" s="802"/>
      <c r="G38" s="414"/>
      <c r="H38" s="414"/>
      <c r="I38" s="414"/>
      <c r="J38" s="803"/>
      <c r="K38" s="804"/>
      <c r="L38" s="805">
        <f>HYPERLINK("https://eu1.salesforce.com/"&amp;E38,F38)</f>
        <v>0</v>
      </c>
      <c r="M38" s="673"/>
      <c r="N38" s="673"/>
      <c r="O38" s="806"/>
      <c r="P38" s="807">
        <v>1234567.8899999999</v>
      </c>
      <c r="Q38" s="807">
        <v>1234567.8899999999</v>
      </c>
      <c r="R38" s="905"/>
      <c r="S38" s="906"/>
      <c r="T38" s="808"/>
      <c r="U38" s="805">
        <f>HYPERLINK("https://eu1.salesforce.com/"&amp;G38,H38)</f>
        <v>0</v>
      </c>
      <c r="V38" s="809"/>
      <c r="W38" s="809"/>
      <c r="X38" s="809"/>
      <c r="Y38" s="809"/>
    </row>
    <row r="39" spans="1:35" x14ac:dyDescent="0.25">
      <c r="A39" s="901"/>
      <c r="B39" s="780" t="s">
        <v>928</v>
      </c>
      <c r="C39" s="781"/>
      <c r="D39" s="782"/>
      <c r="E39" s="686">
        <v>0.5</v>
      </c>
      <c r="F39" s="686"/>
      <c r="J39" s="686">
        <v>0.5</v>
      </c>
      <c r="K39" s="686">
        <v>17</v>
      </c>
      <c r="L39" s="681" t="s">
        <v>934</v>
      </c>
      <c r="M39" s="681" t="s">
        <v>84</v>
      </c>
      <c r="N39" s="681" t="s">
        <v>81</v>
      </c>
      <c r="O39" s="681" t="s">
        <v>933</v>
      </c>
      <c r="P39" s="681" t="s">
        <v>1151</v>
      </c>
      <c r="Q39" s="681" t="s">
        <v>1151</v>
      </c>
      <c r="R39" s="681" t="s">
        <v>1152</v>
      </c>
      <c r="S39" s="681"/>
      <c r="T39" s="681" t="s">
        <v>81</v>
      </c>
      <c r="U39" s="681" t="s">
        <v>187</v>
      </c>
      <c r="V39" s="681" t="s">
        <v>187</v>
      </c>
      <c r="W39" s="681" t="s">
        <v>1151</v>
      </c>
      <c r="X39" s="681" t="s">
        <v>60</v>
      </c>
      <c r="Y39" s="681" t="s">
        <v>248</v>
      </c>
      <c r="AA39" s="647"/>
      <c r="AB39" s="646"/>
    </row>
    <row r="40" spans="1:35" x14ac:dyDescent="0.25">
      <c r="A40" s="901"/>
      <c r="B40" s="780" t="s">
        <v>932</v>
      </c>
      <c r="C40" s="781"/>
      <c r="D40" s="782"/>
      <c r="E40" s="686">
        <v>1</v>
      </c>
      <c r="F40" s="686">
        <v>9</v>
      </c>
      <c r="G40" s="686">
        <v>25</v>
      </c>
      <c r="H40" s="803">
        <v>25</v>
      </c>
      <c r="I40" s="803"/>
      <c r="J40" s="686" t="s">
        <v>1095</v>
      </c>
      <c r="K40" s="686">
        <v>19</v>
      </c>
      <c r="L40" s="681"/>
      <c r="M40" s="681" t="s">
        <v>120</v>
      </c>
      <c r="N40" s="681" t="s">
        <v>34</v>
      </c>
      <c r="O40" s="681" t="s">
        <v>187</v>
      </c>
      <c r="P40" s="681" t="s">
        <v>81</v>
      </c>
      <c r="Q40" s="681" t="s">
        <v>933</v>
      </c>
      <c r="R40" s="681" t="s">
        <v>249</v>
      </c>
      <c r="S40" s="681"/>
      <c r="T40" s="681" t="s">
        <v>934</v>
      </c>
      <c r="U40" s="681"/>
      <c r="V40" s="681" t="s">
        <v>1153</v>
      </c>
      <c r="W40" s="681" t="s">
        <v>1012</v>
      </c>
      <c r="X40" s="681" t="s">
        <v>1013</v>
      </c>
      <c r="Y40" s="681" t="s">
        <v>1154</v>
      </c>
      <c r="AD40" s="651"/>
      <c r="AE40" s="651"/>
      <c r="AF40" s="651"/>
      <c r="AG40" s="651"/>
      <c r="AH40" s="651"/>
    </row>
    <row r="41" spans="1:35" x14ac:dyDescent="0.25">
      <c r="A41" s="901"/>
      <c r="B41" s="780" t="s">
        <v>936</v>
      </c>
      <c r="C41" s="781"/>
      <c r="D41" s="782"/>
      <c r="E41" s="686"/>
      <c r="F41" s="686"/>
      <c r="G41" s="686" t="s">
        <v>938</v>
      </c>
      <c r="H41" s="414" t="s">
        <v>1155</v>
      </c>
      <c r="J41" s="686"/>
      <c r="K41" s="810" t="s">
        <v>779</v>
      </c>
      <c r="L41" s="696"/>
      <c r="M41" s="696"/>
      <c r="N41" s="696"/>
      <c r="O41" s="696"/>
      <c r="P41" s="696"/>
      <c r="Q41" s="696"/>
      <c r="R41" s="696"/>
      <c r="S41" s="696"/>
      <c r="T41" s="696"/>
      <c r="U41" s="696"/>
      <c r="V41" s="696"/>
      <c r="W41" s="696"/>
      <c r="X41" s="696"/>
      <c r="Y41" s="696"/>
      <c r="AD41" s="651"/>
      <c r="AE41" s="651"/>
      <c r="AF41" s="651"/>
      <c r="AG41" s="651"/>
      <c r="AH41" s="651"/>
    </row>
    <row r="42" spans="1:35" ht="15.75" thickBot="1" x14ac:dyDescent="0.3">
      <c r="A42" s="902"/>
      <c r="B42" s="785" t="s">
        <v>939</v>
      </c>
      <c r="C42" s="811"/>
      <c r="D42" s="812"/>
      <c r="E42" s="813"/>
      <c r="F42" s="813"/>
      <c r="G42" s="813" t="s">
        <v>1156</v>
      </c>
      <c r="J42" s="813" t="s">
        <v>1157</v>
      </c>
      <c r="K42" s="813"/>
      <c r="L42" s="696"/>
      <c r="M42" s="696"/>
      <c r="N42" s="696"/>
      <c r="O42" s="696"/>
      <c r="P42" s="696"/>
      <c r="Q42" s="696"/>
      <c r="R42" s="696"/>
      <c r="S42" s="696"/>
      <c r="T42" s="696"/>
      <c r="U42" s="696"/>
      <c r="V42" s="696"/>
      <c r="W42" s="696"/>
      <c r="AB42" s="651"/>
      <c r="AC42" s="651"/>
      <c r="AD42" s="651"/>
      <c r="AE42" s="651"/>
      <c r="AF42" s="651"/>
    </row>
    <row r="43" spans="1:35" s="799" customFormat="1" ht="30.75" thickBot="1" x14ac:dyDescent="0.3">
      <c r="A43" s="900" t="s">
        <v>69</v>
      </c>
      <c r="B43" s="619" t="s">
        <v>899</v>
      </c>
      <c r="C43" s="787" t="s">
        <v>1146</v>
      </c>
      <c r="D43" s="788"/>
      <c r="E43" s="814" t="s">
        <v>746</v>
      </c>
      <c r="F43" s="814"/>
      <c r="G43" s="814"/>
      <c r="H43" s="815" t="s">
        <v>1158</v>
      </c>
      <c r="I43" s="815"/>
      <c r="J43" s="816" t="s">
        <v>118</v>
      </c>
      <c r="K43" s="817"/>
      <c r="L43" s="818" t="s">
        <v>1159</v>
      </c>
      <c r="M43" s="819" t="s">
        <v>1160</v>
      </c>
      <c r="N43" s="820" t="s">
        <v>1161</v>
      </c>
      <c r="O43" s="820" t="s">
        <v>1162</v>
      </c>
      <c r="P43" s="821" t="s">
        <v>1163</v>
      </c>
      <c r="Q43" s="821" t="s">
        <v>1164</v>
      </c>
      <c r="R43" s="907" t="s">
        <v>1165</v>
      </c>
      <c r="S43" s="908"/>
      <c r="T43" s="818" t="s">
        <v>1166</v>
      </c>
      <c r="W43" s="818" t="s">
        <v>1167</v>
      </c>
      <c r="X43" s="822"/>
    </row>
    <row r="44" spans="1:35" s="799" customFormat="1" ht="15.75" thickBot="1" x14ac:dyDescent="0.3">
      <c r="A44" s="901"/>
      <c r="B44" s="800" t="s">
        <v>922</v>
      </c>
      <c r="C44" s="781" t="s">
        <v>1168</v>
      </c>
      <c r="D44" s="823">
        <f>E38</f>
        <v>0</v>
      </c>
      <c r="H44" s="824"/>
      <c r="I44" s="824"/>
      <c r="J44" s="825"/>
      <c r="K44" s="826"/>
      <c r="L44" s="827"/>
      <c r="M44" s="828"/>
      <c r="N44" s="829"/>
      <c r="O44" s="829"/>
      <c r="P44" s="829"/>
      <c r="Q44" s="828"/>
      <c r="R44" s="909"/>
      <c r="S44" s="910"/>
      <c r="T44" s="830"/>
      <c r="W44" s="831"/>
      <c r="X44" s="822"/>
    </row>
    <row r="45" spans="1:35" x14ac:dyDescent="0.25">
      <c r="A45" s="901"/>
      <c r="B45" s="780" t="s">
        <v>928</v>
      </c>
      <c r="C45" s="781"/>
      <c r="D45" s="782"/>
      <c r="E45" s="461">
        <v>0.5</v>
      </c>
      <c r="F45" s="461"/>
      <c r="G45" s="461"/>
      <c r="H45" s="461">
        <v>0.5</v>
      </c>
      <c r="I45" s="461"/>
      <c r="J45" s="461">
        <v>0.5</v>
      </c>
      <c r="K45" s="686"/>
      <c r="L45" s="832">
        <v>14</v>
      </c>
      <c r="M45" s="832">
        <v>10</v>
      </c>
      <c r="N45" s="832">
        <v>10</v>
      </c>
      <c r="O45" s="832">
        <v>10</v>
      </c>
      <c r="P45" s="832">
        <v>30</v>
      </c>
      <c r="Q45" s="832">
        <v>10</v>
      </c>
      <c r="R45" s="832">
        <v>40</v>
      </c>
      <c r="S45" s="832"/>
      <c r="T45" s="832">
        <v>26</v>
      </c>
      <c r="W45" s="681" t="s">
        <v>1151</v>
      </c>
      <c r="X45" s="803"/>
    </row>
    <row r="46" spans="1:35" x14ac:dyDescent="0.25">
      <c r="A46" s="901"/>
      <c r="B46" s="780" t="s">
        <v>932</v>
      </c>
      <c r="C46" s="781"/>
      <c r="D46" s="782"/>
      <c r="E46" s="803">
        <v>4</v>
      </c>
      <c r="J46" s="696"/>
      <c r="K46" s="414"/>
      <c r="L46" s="803">
        <v>4</v>
      </c>
      <c r="M46" s="803">
        <v>4</v>
      </c>
      <c r="N46" s="832">
        <v>4</v>
      </c>
      <c r="O46" s="832">
        <v>4</v>
      </c>
      <c r="P46" s="832">
        <v>4</v>
      </c>
      <c r="Q46" s="832">
        <v>4</v>
      </c>
      <c r="R46" s="832">
        <v>4</v>
      </c>
      <c r="S46" s="832"/>
      <c r="T46" s="832">
        <v>4</v>
      </c>
      <c r="W46" s="832">
        <v>4</v>
      </c>
      <c r="X46" s="803"/>
    </row>
    <row r="47" spans="1:35" x14ac:dyDescent="0.25">
      <c r="A47" s="901"/>
      <c r="B47" s="780" t="s">
        <v>936</v>
      </c>
      <c r="C47" s="781"/>
      <c r="D47" s="782"/>
      <c r="E47" s="803"/>
      <c r="K47" s="414"/>
      <c r="L47" s="803"/>
      <c r="M47" s="803"/>
      <c r="N47" s="803"/>
      <c r="O47" s="803"/>
      <c r="P47" s="803"/>
      <c r="Q47" s="803"/>
      <c r="R47" s="803"/>
      <c r="S47" s="803"/>
      <c r="T47" s="803"/>
      <c r="W47" s="803"/>
      <c r="X47" s="803"/>
    </row>
    <row r="48" spans="1:35" s="638" customFormat="1" ht="15.75" thickBot="1" x14ac:dyDescent="0.3">
      <c r="A48" s="902"/>
      <c r="B48" s="785" t="s">
        <v>939</v>
      </c>
      <c r="C48" s="833"/>
      <c r="D48" s="834"/>
      <c r="E48" s="835" t="s">
        <v>1169</v>
      </c>
      <c r="F48" s="835"/>
      <c r="G48" s="414"/>
      <c r="H48" s="414"/>
      <c r="I48" s="414"/>
      <c r="J48" s="696"/>
      <c r="K48" s="813"/>
      <c r="L48" s="835" t="s">
        <v>1170</v>
      </c>
      <c r="M48" s="835" t="s">
        <v>1171</v>
      </c>
      <c r="N48" s="835" t="s">
        <v>1172</v>
      </c>
      <c r="O48" s="835" t="s">
        <v>1173</v>
      </c>
      <c r="P48" s="835" t="s">
        <v>1174</v>
      </c>
      <c r="Q48" s="835" t="s">
        <v>1175</v>
      </c>
      <c r="R48" s="835" t="s">
        <v>1176</v>
      </c>
      <c r="S48" s="832"/>
      <c r="T48" s="835" t="s">
        <v>1177</v>
      </c>
      <c r="W48" s="835" t="s">
        <v>1178</v>
      </c>
      <c r="X48" s="836"/>
      <c r="Y48" s="642"/>
      <c r="Z48" s="414"/>
      <c r="AA48" s="414"/>
      <c r="AB48" s="414"/>
      <c r="AC48" s="414"/>
      <c r="AD48" s="414"/>
      <c r="AE48" s="414"/>
      <c r="AF48" s="414"/>
      <c r="AG48" s="414"/>
      <c r="AH48" s="414"/>
      <c r="AI48" s="414"/>
    </row>
    <row r="49" spans="1:36" ht="30.75" thickBot="1" x14ac:dyDescent="0.3">
      <c r="A49" s="900" t="s">
        <v>65</v>
      </c>
      <c r="B49" s="837" t="s">
        <v>1179</v>
      </c>
      <c r="C49" s="787" t="s">
        <v>1146</v>
      </c>
      <c r="D49" s="788"/>
      <c r="E49" s="444" t="s">
        <v>951</v>
      </c>
      <c r="F49" s="444" t="s">
        <v>1180</v>
      </c>
      <c r="G49" s="444" t="s">
        <v>875</v>
      </c>
      <c r="H49" s="858" t="s">
        <v>762</v>
      </c>
      <c r="I49" s="858"/>
      <c r="J49" s="839" t="s">
        <v>118</v>
      </c>
      <c r="K49" s="840"/>
      <c r="L49" s="911" t="s">
        <v>875</v>
      </c>
      <c r="M49" s="912"/>
      <c r="N49" s="841" t="s">
        <v>1182</v>
      </c>
      <c r="O49" s="842" t="s">
        <v>1183</v>
      </c>
      <c r="P49" s="842" t="s">
        <v>1184</v>
      </c>
      <c r="Q49" s="842" t="s">
        <v>1185</v>
      </c>
      <c r="R49" s="842" t="s">
        <v>1186</v>
      </c>
      <c r="S49" s="842" t="s">
        <v>1187</v>
      </c>
      <c r="T49" s="842" t="s">
        <v>109</v>
      </c>
      <c r="U49" s="842" t="s">
        <v>102</v>
      </c>
      <c r="V49" s="842" t="s">
        <v>83</v>
      </c>
      <c r="W49" s="842" t="s">
        <v>1188</v>
      </c>
      <c r="X49" s="842" t="s">
        <v>127</v>
      </c>
      <c r="Y49" s="639"/>
      <c r="Z49" s="639"/>
      <c r="AA49" s="639"/>
    </row>
    <row r="50" spans="1:36" ht="15.75" thickBot="1" x14ac:dyDescent="0.3">
      <c r="A50" s="901"/>
      <c r="B50" s="800" t="s">
        <v>922</v>
      </c>
      <c r="C50" s="843" t="str">
        <f>IF(LEN(J38)=0,"",J38)</f>
        <v/>
      </c>
      <c r="D50" s="844">
        <v>1</v>
      </c>
      <c r="F50" s="845"/>
      <c r="G50" s="461"/>
      <c r="H50" s="846"/>
      <c r="I50" s="846"/>
      <c r="J50" s="847"/>
      <c r="K50" s="848" t="s">
        <v>1189</v>
      </c>
      <c r="L50" s="913">
        <f>HYPERLINK("https://eu1.salesforce.com/"&amp;F50,G50)</f>
        <v>0</v>
      </c>
      <c r="M50" s="914"/>
      <c r="N50" s="638"/>
      <c r="O50" s="638"/>
      <c r="P50" s="849"/>
      <c r="Q50" s="638"/>
      <c r="R50" s="638"/>
      <c r="S50" s="638"/>
      <c r="T50" s="638"/>
      <c r="U50" s="638"/>
      <c r="V50" s="638"/>
      <c r="W50" s="639"/>
      <c r="X50" s="639"/>
      <c r="Y50" s="639"/>
      <c r="Z50" s="639"/>
      <c r="AA50" s="639"/>
    </row>
    <row r="51" spans="1:36" x14ac:dyDescent="0.25">
      <c r="A51" s="901"/>
      <c r="B51" s="780" t="s">
        <v>928</v>
      </c>
      <c r="C51" s="781"/>
      <c r="D51" s="782"/>
      <c r="E51" s="461">
        <v>0.5</v>
      </c>
      <c r="F51" s="461"/>
      <c r="G51" s="461"/>
      <c r="H51" s="461">
        <v>0.5</v>
      </c>
      <c r="I51" s="461"/>
      <c r="J51" s="461">
        <v>0.5</v>
      </c>
      <c r="K51" s="686"/>
      <c r="L51" s="852" t="s">
        <v>934</v>
      </c>
      <c r="M51" s="852"/>
      <c r="N51" s="852" t="s">
        <v>81</v>
      </c>
      <c r="O51" s="852"/>
      <c r="P51" s="681" t="s">
        <v>1190</v>
      </c>
      <c r="Q51" s="681" t="s">
        <v>1191</v>
      </c>
      <c r="R51" s="852"/>
      <c r="S51" s="852"/>
      <c r="T51" s="852" t="s">
        <v>81</v>
      </c>
      <c r="U51" s="852" t="s">
        <v>81</v>
      </c>
      <c r="V51" s="852" t="s">
        <v>187</v>
      </c>
      <c r="W51" s="852" t="s">
        <v>187</v>
      </c>
      <c r="X51" s="852" t="s">
        <v>187</v>
      </c>
      <c r="AA51" s="646"/>
      <c r="AC51" s="647"/>
      <c r="AD51" s="646"/>
    </row>
    <row r="52" spans="1:36" x14ac:dyDescent="0.25">
      <c r="A52" s="901"/>
      <c r="B52" s="780" t="s">
        <v>932</v>
      </c>
      <c r="C52" s="781" t="s">
        <v>170</v>
      </c>
      <c r="D52" s="853" t="s">
        <v>187</v>
      </c>
      <c r="E52" s="854" t="s">
        <v>1192</v>
      </c>
      <c r="F52" s="803" t="s">
        <v>170</v>
      </c>
      <c r="G52" s="803">
        <v>3</v>
      </c>
      <c r="H52" s="832"/>
      <c r="I52" s="832"/>
      <c r="J52" s="832"/>
      <c r="K52" s="832"/>
      <c r="L52" s="803"/>
      <c r="M52" s="803"/>
      <c r="N52" s="832" t="s">
        <v>943</v>
      </c>
      <c r="O52" s="832">
        <v>26</v>
      </c>
      <c r="P52" s="832" t="s">
        <v>967</v>
      </c>
      <c r="Q52" s="803" t="s">
        <v>1194</v>
      </c>
      <c r="R52" s="803" t="s">
        <v>146</v>
      </c>
      <c r="S52" s="852" t="s">
        <v>933</v>
      </c>
      <c r="T52" s="832" t="s">
        <v>81</v>
      </c>
      <c r="U52" s="680"/>
      <c r="V52" s="680"/>
      <c r="W52" s="680"/>
      <c r="X52" s="680"/>
      <c r="Y52" s="684"/>
      <c r="AF52" s="651"/>
      <c r="AG52" s="651"/>
      <c r="AH52" s="651"/>
      <c r="AI52" s="651"/>
      <c r="AJ52" s="651"/>
    </row>
    <row r="53" spans="1:36" ht="45" x14ac:dyDescent="0.25">
      <c r="A53" s="901"/>
      <c r="B53" s="780" t="s">
        <v>936</v>
      </c>
      <c r="C53" s="781"/>
      <c r="D53" s="782"/>
      <c r="E53" s="856" t="s">
        <v>1201</v>
      </c>
      <c r="K53" s="857" t="s">
        <v>1197</v>
      </c>
      <c r="L53" s="857" t="s">
        <v>1197</v>
      </c>
      <c r="M53" s="695"/>
      <c r="N53" s="695"/>
      <c r="O53" s="695"/>
      <c r="T53" s="695"/>
      <c r="AF53" s="651"/>
      <c r="AG53" s="651"/>
      <c r="AH53" s="651"/>
      <c r="AI53" s="651"/>
      <c r="AJ53" s="651"/>
    </row>
    <row r="54" spans="1:36" ht="15.75" thickBot="1" x14ac:dyDescent="0.3">
      <c r="A54" s="902"/>
      <c r="B54" s="785" t="s">
        <v>939</v>
      </c>
      <c r="C54" s="811"/>
      <c r="D54" s="834"/>
      <c r="E54" s="437"/>
      <c r="H54" s="813"/>
      <c r="I54" s="813"/>
      <c r="K54" s="414"/>
      <c r="L54" s="696"/>
      <c r="AB54" s="650"/>
      <c r="AF54" s="651"/>
      <c r="AG54" s="651"/>
      <c r="AH54" s="651"/>
      <c r="AI54" s="651"/>
      <c r="AJ54" s="651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59</vt:i4>
      </vt:variant>
    </vt:vector>
  </HeadingPairs>
  <TitlesOfParts>
    <vt:vector size="65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2013-08-27T22:59:43Z</dcterms:modified>
</cp:coreProperties>
</file>